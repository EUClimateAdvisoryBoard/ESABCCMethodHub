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0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ea1.sharepoint.com/teams/EuropeanScientificAdvisoryBoardonClimateChange2/Shared Documents/General/Subgroups/1b. Consistency EU measures/Drafts/underlying excels and flowcharts/Final Figures and Graphs/"/>
    </mc:Choice>
  </mc:AlternateContent>
  <xr:revisionPtr revIDLastSave="11003" documentId="11_5149935FDFAAC8D342AC02DDBFF15129D7704391" xr6:coauthVersionLast="47" xr6:coauthVersionMax="47" xr10:uidLastSave="{7799CB9A-C79C-4BA5-9DC4-047485027E1E}"/>
  <bookViews>
    <workbookView xWindow="25800" yWindow="0" windowWidth="25800" windowHeight="21000" tabRatio="567" firstSheet="3" activeTab="7" xr2:uid="{00000000-000D-0000-FFFF-FFFF00000000}"/>
  </bookViews>
  <sheets>
    <sheet name="Colour Palette" sheetId="32" r:id="rId1"/>
    <sheet name="Named Refs&amp;Conversions" sheetId="19" state="hidden" r:id="rId2"/>
    <sheet name="B1. GHG emissions" sheetId="17" r:id="rId3"/>
    <sheet name="B2. buildings - energy" sheetId="21" r:id="rId4"/>
    <sheet name="B3. (Retrofit)" sheetId="34" r:id="rId5"/>
    <sheet name="B4. surface area" sheetId="24" r:id="rId6"/>
    <sheet name="B5a&amp;b energy mix new" sheetId="33" r:id="rId7"/>
    <sheet name="B6. heat pumps" sheetId="31" r:id="rId8"/>
    <sheet name="4 energy drivers" sheetId="25" r:id="rId9"/>
    <sheet name="5 heating &amp; cooling" sheetId="27" state="hidden" r:id="rId10"/>
    <sheet name="Energy balances (for buildings)" sheetId="29" state="hidden" r:id="rId11"/>
    <sheet name="7 energy mix" sheetId="30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_FilterDatabase" localSheetId="10" hidden="1">'Energy balances (for buildings)'!$A$147:$R$179</definedName>
    <definedName name="CH4fact">'Named Refs&amp;Conversions'!$C$3</definedName>
    <definedName name="EJ2TWh">'Named Refs&amp;Conversions'!$C$17</definedName>
    <definedName name="FF55WindOff">#REF!</definedName>
    <definedName name="FF55WindOn">#REF!</definedName>
    <definedName name="ktoe2TWh">'Named Refs&amp;Conversions'!$C$13</definedName>
    <definedName name="Mtoe2TWh">'Named Refs&amp;Conversions'!$C$14</definedName>
    <definedName name="N2Ofact">'Named Refs&amp;Conversions'!$C$4</definedName>
    <definedName name="REPowerPVTo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260" i="30" l="1"/>
  <c r="AW259" i="30"/>
  <c r="AW258" i="30"/>
  <c r="AW257" i="30"/>
  <c r="AW256" i="30"/>
  <c r="AW255" i="30"/>
  <c r="AR260" i="30"/>
  <c r="AR259" i="30"/>
  <c r="AR258" i="30"/>
  <c r="AR257" i="30"/>
  <c r="AR256" i="30"/>
  <c r="AR255" i="30"/>
  <c r="AM260" i="30"/>
  <c r="AM259" i="30"/>
  <c r="AM258" i="30"/>
  <c r="AM257" i="30"/>
  <c r="AM256" i="30"/>
  <c r="AM255" i="30"/>
  <c r="AH260" i="30"/>
  <c r="AH259" i="30"/>
  <c r="AH258" i="30"/>
  <c r="AH257" i="30"/>
  <c r="AH256" i="30"/>
  <c r="AH255" i="30"/>
  <c r="AC260" i="30"/>
  <c r="AC259" i="30"/>
  <c r="AC258" i="30"/>
  <c r="AC257" i="30"/>
  <c r="AC256" i="30"/>
  <c r="AC255" i="30"/>
  <c r="X260" i="30"/>
  <c r="X259" i="30"/>
  <c r="X258" i="30"/>
  <c r="X257" i="30"/>
  <c r="X256" i="30"/>
  <c r="X255" i="30"/>
  <c r="S260" i="30"/>
  <c r="S259" i="30"/>
  <c r="S258" i="30"/>
  <c r="S257" i="30"/>
  <c r="S256" i="30"/>
  <c r="S255" i="30"/>
  <c r="N260" i="30"/>
  <c r="N259" i="30"/>
  <c r="N258" i="30"/>
  <c r="N257" i="30"/>
  <c r="N256" i="30"/>
  <c r="N255" i="30"/>
  <c r="I260" i="30"/>
  <c r="I259" i="30"/>
  <c r="I258" i="30"/>
  <c r="I257" i="30"/>
  <c r="I256" i="30"/>
  <c r="I255" i="30"/>
  <c r="AW87" i="21"/>
  <c r="AW86" i="21"/>
  <c r="AW84" i="21"/>
  <c r="AW83" i="21"/>
  <c r="AM87" i="21"/>
  <c r="AM86" i="21"/>
  <c r="AM84" i="21"/>
  <c r="AM83" i="21"/>
  <c r="AC80" i="17"/>
  <c r="AC79" i="17"/>
  <c r="I20" i="34"/>
  <c r="E20" i="34"/>
  <c r="D14" i="21" l="1"/>
  <c r="E25" i="24"/>
  <c r="W36" i="31"/>
  <c r="AC68" i="33"/>
  <c r="D4" i="33"/>
  <c r="F88" i="33"/>
  <c r="Q63" i="33"/>
  <c r="O100" i="33"/>
  <c r="M100" i="33"/>
  <c r="G100" i="33"/>
  <c r="E100" i="33"/>
  <c r="T99" i="33"/>
  <c r="T100" i="33" s="1"/>
  <c r="S99" i="33"/>
  <c r="S100" i="33" s="1"/>
  <c r="R99" i="33"/>
  <c r="R100" i="33" s="1"/>
  <c r="Q99" i="33"/>
  <c r="Q100" i="33" s="1"/>
  <c r="Q93" i="33" s="1"/>
  <c r="P99" i="33"/>
  <c r="P100" i="33" s="1"/>
  <c r="O99" i="33"/>
  <c r="N99" i="33"/>
  <c r="N100" i="33" s="1"/>
  <c r="M99" i="33"/>
  <c r="L99" i="33"/>
  <c r="L100" i="33" s="1"/>
  <c r="K99" i="33"/>
  <c r="K100" i="33" s="1"/>
  <c r="J99" i="33"/>
  <c r="J100" i="33" s="1"/>
  <c r="I99" i="33"/>
  <c r="H99" i="33"/>
  <c r="H100" i="33" s="1"/>
  <c r="G99" i="33"/>
  <c r="F99" i="33"/>
  <c r="F100" i="33" s="1"/>
  <c r="F93" i="33" s="1"/>
  <c r="F65" i="33" s="1"/>
  <c r="E99" i="33"/>
  <c r="D99" i="33"/>
  <c r="D100" i="33" s="1"/>
  <c r="D98" i="33"/>
  <c r="D97" i="33"/>
  <c r="D96" i="33"/>
  <c r="T94" i="33"/>
  <c r="S94" i="33"/>
  <c r="R94" i="33"/>
  <c r="Q94" i="33"/>
  <c r="P94" i="33"/>
  <c r="O94" i="33"/>
  <c r="N94" i="33"/>
  <c r="M94" i="33"/>
  <c r="L94" i="33"/>
  <c r="K94" i="33"/>
  <c r="J94" i="33"/>
  <c r="I94" i="33"/>
  <c r="H94" i="33"/>
  <c r="G94" i="33"/>
  <c r="F94" i="33"/>
  <c r="E94" i="33"/>
  <c r="D94" i="33"/>
  <c r="T95" i="33"/>
  <c r="S95" i="33"/>
  <c r="R95" i="33"/>
  <c r="Q95" i="33"/>
  <c r="P95" i="33"/>
  <c r="O95" i="33"/>
  <c r="N95" i="33"/>
  <c r="M95" i="33"/>
  <c r="L95" i="33"/>
  <c r="K95" i="33"/>
  <c r="J95" i="33"/>
  <c r="I95" i="33"/>
  <c r="H95" i="33"/>
  <c r="G95" i="33"/>
  <c r="F95" i="33"/>
  <c r="E95" i="33"/>
  <c r="D95" i="33"/>
  <c r="M93" i="33"/>
  <c r="M64" i="33" s="1"/>
  <c r="AW104" i="33"/>
  <c r="AW70" i="33" s="1"/>
  <c r="AC104" i="33"/>
  <c r="AC72" i="33" s="1"/>
  <c r="N104" i="33"/>
  <c r="F87" i="33"/>
  <c r="F86" i="33"/>
  <c r="F33" i="33"/>
  <c r="F32" i="33"/>
  <c r="F31" i="33"/>
  <c r="AW49" i="33"/>
  <c r="AW12" i="33" s="1"/>
  <c r="AC49" i="33"/>
  <c r="AC10" i="33" s="1"/>
  <c r="N49" i="33"/>
  <c r="T38" i="33"/>
  <c r="T4" i="33" s="1"/>
  <c r="S38" i="33"/>
  <c r="S5" i="33" s="1"/>
  <c r="R38" i="33"/>
  <c r="R4" i="33" s="1"/>
  <c r="Q38" i="33"/>
  <c r="Q4" i="33" s="1"/>
  <c r="P38" i="33"/>
  <c r="P4" i="33" s="1"/>
  <c r="D31" i="33" s="1"/>
  <c r="O38" i="33"/>
  <c r="O4" i="33" s="1"/>
  <c r="N38" i="33"/>
  <c r="N4" i="33" s="1"/>
  <c r="M38" i="33"/>
  <c r="M4" i="33" s="1"/>
  <c r="L38" i="33"/>
  <c r="L4" i="33" s="1"/>
  <c r="K38" i="33"/>
  <c r="K8" i="33" s="1"/>
  <c r="J38" i="33"/>
  <c r="J4" i="33" s="1"/>
  <c r="I38" i="33"/>
  <c r="I4" i="33" s="1"/>
  <c r="H38" i="33"/>
  <c r="H4" i="33" s="1"/>
  <c r="G38" i="33"/>
  <c r="G4" i="33" s="1"/>
  <c r="F38" i="33"/>
  <c r="F6" i="33" s="1"/>
  <c r="E38" i="33"/>
  <c r="E4" i="33" s="1"/>
  <c r="D38" i="33"/>
  <c r="D5" i="33" s="1"/>
  <c r="AW22" i="21"/>
  <c r="F63" i="33" l="1"/>
  <c r="M63" i="33"/>
  <c r="J93" i="33"/>
  <c r="S93" i="33"/>
  <c r="K93" i="33"/>
  <c r="R93" i="33"/>
  <c r="AC69" i="33"/>
  <c r="AC70" i="33"/>
  <c r="N93" i="33"/>
  <c r="E93" i="33"/>
  <c r="H93" i="33"/>
  <c r="H63" i="33" s="1"/>
  <c r="AC71" i="33"/>
  <c r="I100" i="33"/>
  <c r="I93" i="33" s="1"/>
  <c r="I63" i="33" s="1"/>
  <c r="G93" i="33"/>
  <c r="O93" i="33"/>
  <c r="O65" i="33" s="1"/>
  <c r="L93" i="33"/>
  <c r="T93" i="33"/>
  <c r="D93" i="33"/>
  <c r="M65" i="33"/>
  <c r="K5" i="33"/>
  <c r="M67" i="33"/>
  <c r="M66" i="33"/>
  <c r="F64" i="33"/>
  <c r="K67" i="33"/>
  <c r="F66" i="33"/>
  <c r="H65" i="33"/>
  <c r="H66" i="33"/>
  <c r="H67" i="33"/>
  <c r="J65" i="33"/>
  <c r="J66" i="33"/>
  <c r="J64" i="33"/>
  <c r="Q67" i="33"/>
  <c r="Q65" i="33"/>
  <c r="Q66" i="33"/>
  <c r="F67" i="33"/>
  <c r="P93" i="33"/>
  <c r="AW71" i="33"/>
  <c r="Q64" i="33"/>
  <c r="AW68" i="33"/>
  <c r="AW72" i="33"/>
  <c r="S64" i="33"/>
  <c r="AW69" i="33"/>
  <c r="AC13" i="33"/>
  <c r="F7" i="33"/>
  <c r="N7" i="33"/>
  <c r="O7" i="33"/>
  <c r="AC12" i="33"/>
  <c r="E8" i="33"/>
  <c r="AW13" i="33"/>
  <c r="F8" i="33"/>
  <c r="E7" i="33"/>
  <c r="G8" i="33"/>
  <c r="M8" i="33"/>
  <c r="G7" i="33"/>
  <c r="N8" i="33"/>
  <c r="M7" i="33"/>
  <c r="O8" i="33"/>
  <c r="AW9" i="33"/>
  <c r="H7" i="33"/>
  <c r="P7" i="33"/>
  <c r="H8" i="33"/>
  <c r="P8" i="33"/>
  <c r="AW10" i="33"/>
  <c r="I7" i="33"/>
  <c r="Q7" i="33"/>
  <c r="I8" i="33"/>
  <c r="Q8" i="33"/>
  <c r="AW11" i="33"/>
  <c r="J7" i="33"/>
  <c r="R7" i="33"/>
  <c r="J8" i="33"/>
  <c r="R8" i="33"/>
  <c r="Q6" i="33"/>
  <c r="K7" i="33"/>
  <c r="S7" i="33"/>
  <c r="S8" i="33"/>
  <c r="Q5" i="33"/>
  <c r="L7" i="33"/>
  <c r="T7" i="33"/>
  <c r="L8" i="33"/>
  <c r="T8" i="33"/>
  <c r="N5" i="33"/>
  <c r="AC9" i="33"/>
  <c r="E31" i="33" s="1"/>
  <c r="K4" i="33"/>
  <c r="AC11" i="33"/>
  <c r="F4" i="33"/>
  <c r="D8" i="33"/>
  <c r="S6" i="33"/>
  <c r="D7" i="33"/>
  <c r="N6" i="33"/>
  <c r="I5" i="33"/>
  <c r="K6" i="33"/>
  <c r="F5" i="33"/>
  <c r="I6" i="33"/>
  <c r="S4" i="33"/>
  <c r="P6" i="33"/>
  <c r="H6" i="33"/>
  <c r="P5" i="33"/>
  <c r="H5" i="33"/>
  <c r="O6" i="33"/>
  <c r="G6" i="33"/>
  <c r="O5" i="33"/>
  <c r="G5" i="33"/>
  <c r="M6" i="33"/>
  <c r="E6" i="33"/>
  <c r="M5" i="33"/>
  <c r="E5" i="33"/>
  <c r="T6" i="33"/>
  <c r="L6" i="33"/>
  <c r="T5" i="33"/>
  <c r="L5" i="33"/>
  <c r="D6" i="33"/>
  <c r="R6" i="33"/>
  <c r="J6" i="33"/>
  <c r="R5" i="33"/>
  <c r="J5" i="33"/>
  <c r="AD112" i="30"/>
  <c r="AC218" i="30"/>
  <c r="AC112" i="30" s="1"/>
  <c r="AB112" i="30"/>
  <c r="AD111" i="30"/>
  <c r="AC111" i="30"/>
  <c r="AB111" i="30"/>
  <c r="F14" i="21"/>
  <c r="D62" i="17"/>
  <c r="D4" i="17" s="1"/>
  <c r="G66" i="33" l="1"/>
  <c r="G63" i="33"/>
  <c r="K66" i="33"/>
  <c r="K63" i="33"/>
  <c r="P64" i="33"/>
  <c r="P63" i="33"/>
  <c r="R67" i="33"/>
  <c r="R63" i="33"/>
  <c r="S66" i="33"/>
  <c r="S63" i="33"/>
  <c r="L65" i="33"/>
  <c r="L63" i="33"/>
  <c r="O66" i="33"/>
  <c r="O63" i="33"/>
  <c r="S65" i="33"/>
  <c r="G65" i="33"/>
  <c r="R64" i="33"/>
  <c r="J67" i="33"/>
  <c r="J63" i="33"/>
  <c r="K64" i="33"/>
  <c r="K65" i="33"/>
  <c r="H64" i="33"/>
  <c r="R65" i="33"/>
  <c r="S67" i="33"/>
  <c r="D65" i="33"/>
  <c r="D64" i="33"/>
  <c r="D63" i="33"/>
  <c r="E67" i="33"/>
  <c r="E63" i="33"/>
  <c r="R66" i="33"/>
  <c r="T65" i="33"/>
  <c r="T63" i="33"/>
  <c r="E86" i="33" s="1"/>
  <c r="N67" i="33"/>
  <c r="N63" i="33"/>
  <c r="I65" i="33"/>
  <c r="I67" i="33"/>
  <c r="I64" i="33"/>
  <c r="I66" i="33"/>
  <c r="E65" i="33"/>
  <c r="N65" i="33"/>
  <c r="O67" i="33"/>
  <c r="O64" i="33"/>
  <c r="N66" i="33"/>
  <c r="E64" i="33"/>
  <c r="N64" i="33"/>
  <c r="G67" i="33"/>
  <c r="E66" i="33"/>
  <c r="D33" i="33"/>
  <c r="G64" i="33"/>
  <c r="T67" i="33"/>
  <c r="E88" i="33" s="1"/>
  <c r="T64" i="33"/>
  <c r="E87" i="33" s="1"/>
  <c r="T66" i="33"/>
  <c r="L64" i="33"/>
  <c r="L66" i="33"/>
  <c r="L67" i="33"/>
  <c r="D66" i="33"/>
  <c r="D67" i="33"/>
  <c r="P65" i="33"/>
  <c r="P66" i="33"/>
  <c r="P67" i="33"/>
  <c r="E32" i="33"/>
  <c r="D32" i="33"/>
  <c r="E33" i="33"/>
  <c r="D29" i="17"/>
  <c r="U52" i="29"/>
  <c r="U51" i="29"/>
  <c r="U48" i="29"/>
  <c r="U36" i="29"/>
  <c r="U23" i="29"/>
  <c r="U22" i="29"/>
  <c r="U19" i="29"/>
  <c r="U16" i="29"/>
  <c r="U4" i="29"/>
  <c r="U5" i="29"/>
  <c r="D86" i="33" l="1"/>
  <c r="D87" i="33"/>
  <c r="D88" i="33"/>
  <c r="AW103" i="30"/>
  <c r="AW102" i="30"/>
  <c r="AW101" i="30"/>
  <c r="AC101" i="30"/>
  <c r="AC102" i="30"/>
  <c r="AC103" i="30"/>
  <c r="AC97" i="30"/>
  <c r="AC91" i="30" a="1"/>
  <c r="AC91" i="30" s="1"/>
  <c r="AW97" i="30"/>
  <c r="AW96" i="30"/>
  <c r="AW95" i="30"/>
  <c r="AW94" i="30"/>
  <c r="AW93" i="30"/>
  <c r="AW92" i="30"/>
  <c r="T100" i="30"/>
  <c r="T99" i="30"/>
  <c r="T98" i="30"/>
  <c r="E98" i="30"/>
  <c r="F98" i="30"/>
  <c r="G98" i="30"/>
  <c r="H98" i="30"/>
  <c r="I98" i="30"/>
  <c r="J98" i="30"/>
  <c r="K98" i="30"/>
  <c r="L98" i="30"/>
  <c r="M98" i="30"/>
  <c r="N98" i="30"/>
  <c r="O98" i="30"/>
  <c r="P98" i="30"/>
  <c r="Q98" i="30"/>
  <c r="R98" i="30"/>
  <c r="S98" i="30"/>
  <c r="E99" i="30"/>
  <c r="F99" i="30"/>
  <c r="G99" i="30"/>
  <c r="H99" i="30"/>
  <c r="I99" i="30"/>
  <c r="J99" i="30"/>
  <c r="K99" i="30"/>
  <c r="L99" i="30"/>
  <c r="M99" i="30"/>
  <c r="N99" i="30"/>
  <c r="O99" i="30"/>
  <c r="P99" i="30"/>
  <c r="Q99" i="30"/>
  <c r="R99" i="30"/>
  <c r="S99" i="30"/>
  <c r="E100" i="30"/>
  <c r="F100" i="30"/>
  <c r="G100" i="30"/>
  <c r="H100" i="30"/>
  <c r="I100" i="30"/>
  <c r="J100" i="30"/>
  <c r="K100" i="30"/>
  <c r="L100" i="30"/>
  <c r="M100" i="30"/>
  <c r="N100" i="30"/>
  <c r="O100" i="30"/>
  <c r="P100" i="30"/>
  <c r="Q100" i="30"/>
  <c r="R100" i="30"/>
  <c r="S100" i="30"/>
  <c r="D100" i="30"/>
  <c r="D99" i="30"/>
  <c r="D98" i="30"/>
  <c r="AW78" i="30"/>
  <c r="AR78" i="30"/>
  <c r="AM78" i="30"/>
  <c r="AH78" i="30"/>
  <c r="J30" i="24"/>
  <c r="S15" i="21"/>
  <c r="S14" i="21"/>
  <c r="AI91" i="30" l="1"/>
  <c r="D73" i="31"/>
  <c r="C70" i="31"/>
  <c r="D71" i="31"/>
  <c r="O69" i="31"/>
  <c r="P69" i="31"/>
  <c r="Q69" i="31"/>
  <c r="R69" i="31"/>
  <c r="S69" i="31"/>
  <c r="E356" i="30"/>
  <c r="F356" i="30"/>
  <c r="G356" i="30"/>
  <c r="H356" i="30"/>
  <c r="I356" i="30"/>
  <c r="J356" i="30"/>
  <c r="K356" i="30"/>
  <c r="L356" i="30"/>
  <c r="M356" i="30"/>
  <c r="N356" i="30"/>
  <c r="O356" i="30"/>
  <c r="P356" i="30"/>
  <c r="Q356" i="30"/>
  <c r="R356" i="30"/>
  <c r="S356" i="30"/>
  <c r="T356" i="30"/>
  <c r="D356" i="30"/>
  <c r="E78" i="25"/>
  <c r="E80" i="25"/>
  <c r="T79" i="25"/>
  <c r="S79" i="25"/>
  <c r="R79" i="25"/>
  <c r="Q79" i="25"/>
  <c r="P79" i="25"/>
  <c r="P77" i="25"/>
  <c r="Q77" i="25"/>
  <c r="R77" i="25"/>
  <c r="S77" i="25"/>
  <c r="T77" i="25"/>
  <c r="V58" i="25" l="1"/>
  <c r="AA29" i="31"/>
  <c r="S35" i="31"/>
  <c r="R35" i="31"/>
  <c r="P35" i="31" l="1"/>
  <c r="R28" i="31"/>
  <c r="R43" i="31" s="1"/>
  <c r="O31" i="31" a="1"/>
  <c r="O31" i="31" s="1"/>
  <c r="T31" i="31" a="1"/>
  <c r="T31" i="31" s="1"/>
  <c r="C28" i="31"/>
  <c r="C43" i="31" s="1"/>
  <c r="C27" i="31"/>
  <c r="T44" i="31"/>
  <c r="U44" i="31"/>
  <c r="V44" i="31"/>
  <c r="W44" i="31"/>
  <c r="S44" i="31"/>
  <c r="S43" i="31"/>
  <c r="B28" i="31"/>
  <c r="B43" i="31" s="1"/>
  <c r="A44" i="31"/>
  <c r="A45" i="31"/>
  <c r="A46" i="31"/>
  <c r="A43" i="31"/>
  <c r="AA42" i="31"/>
  <c r="V42" i="31"/>
  <c r="Q42" i="31"/>
  <c r="L42" i="31"/>
  <c r="G42" i="31"/>
  <c r="B42" i="31"/>
  <c r="Q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B35" i="31"/>
  <c r="Q28" i="31"/>
  <c r="Q43" i="31" s="1"/>
  <c r="P28" i="31"/>
  <c r="P43" i="31" s="1"/>
  <c r="O28" i="31"/>
  <c r="O43" i="31" s="1"/>
  <c r="N28" i="31"/>
  <c r="N43" i="31" s="1"/>
  <c r="M28" i="31"/>
  <c r="M43" i="31" s="1"/>
  <c r="L28" i="31"/>
  <c r="L43" i="31" s="1"/>
  <c r="K28" i="31"/>
  <c r="K43" i="31" s="1"/>
  <c r="J28" i="31"/>
  <c r="J43" i="31" s="1"/>
  <c r="I28" i="31"/>
  <c r="I43" i="31" s="1"/>
  <c r="H28" i="31"/>
  <c r="H43" i="31" s="1"/>
  <c r="G28" i="31"/>
  <c r="G43" i="31" s="1"/>
  <c r="F28" i="31"/>
  <c r="F43" i="31" s="1"/>
  <c r="E28" i="31"/>
  <c r="E43" i="31" s="1"/>
  <c r="D28" i="31"/>
  <c r="D43" i="31" s="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R14" i="31"/>
  <c r="Q14" i="31"/>
  <c r="P14" i="31"/>
  <c r="O14" i="31"/>
  <c r="N14" i="31"/>
  <c r="M14" i="31"/>
  <c r="L14" i="31"/>
  <c r="K14" i="31"/>
  <c r="J14" i="31"/>
  <c r="I14" i="31"/>
  <c r="T38" i="31" l="1"/>
  <c r="S39" i="31" a="1"/>
  <c r="S39" i="31" s="1"/>
  <c r="X39" i="31" a="1"/>
  <c r="X39" i="31" s="1"/>
  <c r="R39" i="31" a="1"/>
  <c r="R39" i="31" s="1"/>
  <c r="V39" i="31" a="1"/>
  <c r="V39" i="31" s="1"/>
  <c r="Q39" i="31" a="1"/>
  <c r="Q39" i="31" s="1"/>
  <c r="U39" i="31" a="1"/>
  <c r="U39" i="31" s="1"/>
  <c r="P39" i="31" a="1"/>
  <c r="P39" i="31" s="1"/>
  <c r="W39" i="31" a="1"/>
  <c r="W39" i="31" s="1"/>
  <c r="AA39" i="31" a="1"/>
  <c r="AA39" i="31" s="1"/>
  <c r="O39" i="31" a="1"/>
  <c r="O39" i="31" s="1"/>
  <c r="Z39" i="31" a="1"/>
  <c r="Z39" i="31" s="1"/>
  <c r="Y39" i="31" a="1"/>
  <c r="Y39" i="31" s="1"/>
  <c r="T39" i="31" a="1"/>
  <c r="T39" i="31" s="1"/>
  <c r="Q31" i="31" a="1"/>
  <c r="Q31" i="31" s="1"/>
  <c r="Q46" i="31" s="1"/>
  <c r="Y31" i="31" a="1"/>
  <c r="Y31" i="31" s="1"/>
  <c r="Y46" i="31" s="1"/>
  <c r="O30" i="31"/>
  <c r="P30" i="31" s="1"/>
  <c r="Q30" i="31" s="1"/>
  <c r="R30" i="31" s="1"/>
  <c r="S30" i="31" s="1"/>
  <c r="T30" i="31" s="1"/>
  <c r="U30" i="31" s="1"/>
  <c r="V30" i="31" s="1"/>
  <c r="W30" i="31" s="1"/>
  <c r="X30" i="31" s="1"/>
  <c r="Y30" i="31" s="1"/>
  <c r="Z30" i="31" s="1"/>
  <c r="AA30" i="31" s="1"/>
  <c r="AA45" i="31" s="1"/>
  <c r="U31" i="31" a="1"/>
  <c r="U31" i="31" s="1"/>
  <c r="U46" i="31" s="1"/>
  <c r="Z31" i="31" a="1"/>
  <c r="Z31" i="31" s="1"/>
  <c r="Z46" i="31" s="1"/>
  <c r="V31" i="31" a="1"/>
  <c r="V31" i="31" s="1"/>
  <c r="V46" i="31" s="1"/>
  <c r="AA31" i="31" a="1"/>
  <c r="AA31" i="31" s="1"/>
  <c r="AA46" i="31" s="1"/>
  <c r="R31" i="31" a="1"/>
  <c r="R31" i="31" s="1"/>
  <c r="R46" i="31" s="1"/>
  <c r="O46" i="31"/>
  <c r="S31" i="31" a="1"/>
  <c r="S31" i="31" s="1"/>
  <c r="S46" i="31" s="1"/>
  <c r="W31" i="31" a="1"/>
  <c r="W31" i="31" s="1"/>
  <c r="W46" i="31" s="1"/>
  <c r="X31" i="31" a="1"/>
  <c r="X31" i="31" s="1"/>
  <c r="X46" i="31" s="1"/>
  <c r="P31" i="31" a="1"/>
  <c r="P31" i="31" s="1"/>
  <c r="P46" i="31" s="1"/>
  <c r="T46" i="31"/>
  <c r="X38" i="31" l="1"/>
  <c r="V37" i="31"/>
  <c r="T37" i="31"/>
  <c r="U38" i="31" s="1"/>
  <c r="Z37" i="31"/>
  <c r="Y37" i="31"/>
  <c r="X37" i="31"/>
  <c r="U37" i="31"/>
  <c r="O45" i="31"/>
  <c r="X45" i="31"/>
  <c r="Y45" i="31"/>
  <c r="R45" i="31"/>
  <c r="S45" i="31"/>
  <c r="Z45" i="31"/>
  <c r="Q45" i="31"/>
  <c r="U45" i="31"/>
  <c r="W45" i="31"/>
  <c r="V45" i="31"/>
  <c r="T45" i="31"/>
  <c r="P45" i="31"/>
  <c r="AM23" i="21"/>
  <c r="V38" i="31" l="1"/>
  <c r="Z29" i="31"/>
  <c r="AA44" i="31"/>
  <c r="Y38" i="31"/>
  <c r="Z38" i="31" s="1"/>
  <c r="Y29" i="31" l="1"/>
  <c r="Z44" i="31"/>
  <c r="X29" i="31" l="1"/>
  <c r="X44" i="31" s="1"/>
  <c r="Y44" i="31"/>
  <c r="AC104" i="21" l="1"/>
  <c r="AC107" i="21" s="1"/>
  <c r="AC103" i="21"/>
  <c r="AC106" i="21" s="1"/>
  <c r="AW23" i="21" l="1"/>
  <c r="AW24" i="21" l="1"/>
  <c r="AW283" i="30"/>
  <c r="AW282" i="30"/>
  <c r="AW281" i="30"/>
  <c r="AW280" i="30"/>
  <c r="AW279" i="30"/>
  <c r="AW286" i="30" s="1"/>
  <c r="G295" i="30" s="1"/>
  <c r="AW278" i="30"/>
  <c r="AC283" i="30"/>
  <c r="AC282" i="30"/>
  <c r="AC281" i="30"/>
  <c r="AC280" i="30"/>
  <c r="AC279" i="30"/>
  <c r="AC278" i="30"/>
  <c r="AC285" i="30" s="1"/>
  <c r="E294" i="30" s="1"/>
  <c r="AW200" i="30"/>
  <c r="AW199" i="30"/>
  <c r="AW198" i="30"/>
  <c r="AW197" i="30"/>
  <c r="AW196" i="30"/>
  <c r="AW195" i="30"/>
  <c r="AW194" i="30"/>
  <c r="AW193" i="30"/>
  <c r="AW192" i="30"/>
  <c r="AW179" i="30"/>
  <c r="AW178" i="30"/>
  <c r="AW177" i="30"/>
  <c r="AW176" i="30"/>
  <c r="AW175" i="30"/>
  <c r="AW174" i="30"/>
  <c r="AW173" i="30"/>
  <c r="AW172" i="30"/>
  <c r="AW171" i="30"/>
  <c r="AW158" i="30"/>
  <c r="AW157" i="30"/>
  <c r="AW156" i="30"/>
  <c r="AW155" i="30"/>
  <c r="AW154" i="30"/>
  <c r="AW153" i="30"/>
  <c r="AW152" i="30"/>
  <c r="AW151" i="30"/>
  <c r="AW150" i="30"/>
  <c r="AW74" i="30"/>
  <c r="AW73" i="30"/>
  <c r="AW72" i="30"/>
  <c r="AW71" i="30"/>
  <c r="AW70" i="30"/>
  <c r="AW69" i="30"/>
  <c r="AW68" i="30"/>
  <c r="AW67" i="30"/>
  <c r="AW66" i="30"/>
  <c r="AW53" i="30"/>
  <c r="AW52" i="30"/>
  <c r="AW51" i="30"/>
  <c r="AW50" i="30"/>
  <c r="AW49" i="30"/>
  <c r="AW48" i="30"/>
  <c r="AW47" i="30"/>
  <c r="AW46" i="30"/>
  <c r="AW45" i="30"/>
  <c r="AW32" i="30"/>
  <c r="AW31" i="30"/>
  <c r="AW30" i="30"/>
  <c r="AW29" i="30"/>
  <c r="AW28" i="30"/>
  <c r="AW27" i="30"/>
  <c r="AW26" i="30"/>
  <c r="AW25" i="30"/>
  <c r="AW24" i="30"/>
  <c r="AC290" i="30" l="1"/>
  <c r="E299" i="30" s="1"/>
  <c r="AW287" i="30"/>
  <c r="G296" i="30" s="1"/>
  <c r="AC286" i="30"/>
  <c r="E295" i="30" s="1"/>
  <c r="AW288" i="30"/>
  <c r="G297" i="30" s="1"/>
  <c r="AW289" i="30"/>
  <c r="G298" i="30" s="1"/>
  <c r="AC288" i="30"/>
  <c r="E297" i="30" s="1"/>
  <c r="AW290" i="30"/>
  <c r="G299" i="30" s="1"/>
  <c r="AC289" i="30"/>
  <c r="E298" i="30" s="1"/>
  <c r="AC287" i="30"/>
  <c r="E296" i="30" s="1"/>
  <c r="AW285" i="30"/>
  <c r="G294" i="30" s="1"/>
  <c r="N150" i="30"/>
  <c r="D131" i="30"/>
  <c r="H130" i="30"/>
  <c r="I331" i="30"/>
  <c r="I330" i="30"/>
  <c r="I329" i="30"/>
  <c r="I328" i="30"/>
  <c r="I327" i="30"/>
  <c r="I326" i="30"/>
  <c r="G331" i="30"/>
  <c r="G330" i="30"/>
  <c r="G329" i="30"/>
  <c r="G328" i="30"/>
  <c r="G327" i="30"/>
  <c r="F331" i="30"/>
  <c r="F330" i="30"/>
  <c r="F329" i="30"/>
  <c r="F328" i="30"/>
  <c r="F327" i="30"/>
  <c r="F326" i="30"/>
  <c r="F333" i="30" l="1"/>
  <c r="I333" i="30"/>
  <c r="G326" i="30"/>
  <c r="G333" i="30" s="1"/>
  <c r="AC262" i="30"/>
  <c r="AR262" i="30"/>
  <c r="AM262" i="30"/>
  <c r="AM274" i="30" s="1"/>
  <c r="F297" i="30" s="1"/>
  <c r="I262" i="30"/>
  <c r="AW262" i="30"/>
  <c r="AW271" i="30" s="1"/>
  <c r="H294" i="30" s="1"/>
  <c r="N262" i="30"/>
  <c r="S262" i="30"/>
  <c r="X262" i="30"/>
  <c r="AH262" i="30"/>
  <c r="AW245" i="30"/>
  <c r="AR245" i="30"/>
  <c r="AM245" i="30"/>
  <c r="AH245" i="30"/>
  <c r="E244" i="30"/>
  <c r="F244" i="30"/>
  <c r="G244" i="30"/>
  <c r="H244" i="30"/>
  <c r="I244" i="30"/>
  <c r="I245" i="30" s="1"/>
  <c r="J244" i="30"/>
  <c r="K244" i="30"/>
  <c r="L244" i="30"/>
  <c r="M244" i="30"/>
  <c r="N244" i="30"/>
  <c r="N245" i="30" s="1"/>
  <c r="O244" i="30"/>
  <c r="P244" i="30"/>
  <c r="Q244" i="30"/>
  <c r="R244" i="30"/>
  <c r="S244" i="30"/>
  <c r="S245" i="30" s="1"/>
  <c r="T244" i="30"/>
  <c r="U244" i="30"/>
  <c r="V244" i="30"/>
  <c r="W244" i="30"/>
  <c r="X244" i="30"/>
  <c r="X245" i="30" s="1"/>
  <c r="Y244" i="30"/>
  <c r="Z244" i="30"/>
  <c r="AA244" i="30"/>
  <c r="AB244" i="30"/>
  <c r="AC244" i="30"/>
  <c r="AC245" i="30" s="1"/>
  <c r="D244" i="30"/>
  <c r="D245" i="30" s="1"/>
  <c r="W130" i="30"/>
  <c r="AO130" i="30" s="1"/>
  <c r="X130" i="30"/>
  <c r="AP130" i="30" s="1"/>
  <c r="Y130" i="30"/>
  <c r="AQ130" i="30" s="1"/>
  <c r="Z130" i="30"/>
  <c r="AR130" i="30" s="1"/>
  <c r="AA130" i="30"/>
  <c r="AS130" i="30" s="1"/>
  <c r="AB130" i="30"/>
  <c r="AT130" i="30" s="1"/>
  <c r="AC130" i="30"/>
  <c r="AU130" i="30" s="1"/>
  <c r="AD130" i="30"/>
  <c r="AV130" i="30" s="1"/>
  <c r="AE130" i="30"/>
  <c r="AW130" i="30" s="1"/>
  <c r="AF130" i="30"/>
  <c r="AX130" i="30" s="1"/>
  <c r="AG130" i="30"/>
  <c r="AY130" i="30" s="1"/>
  <c r="AH130" i="30"/>
  <c r="AZ130" i="30" s="1"/>
  <c r="AI130" i="30"/>
  <c r="BA130" i="30" s="1"/>
  <c r="AJ130" i="30"/>
  <c r="BB130" i="30" s="1"/>
  <c r="AK130" i="30"/>
  <c r="BC130" i="30" s="1"/>
  <c r="AL130" i="30"/>
  <c r="BD130" i="30" s="1"/>
  <c r="W131" i="30"/>
  <c r="AO131" i="30" s="1"/>
  <c r="X131" i="30"/>
  <c r="AP131" i="30" s="1"/>
  <c r="Y131" i="30"/>
  <c r="AQ131" i="30" s="1"/>
  <c r="Z131" i="30"/>
  <c r="AR131" i="30" s="1"/>
  <c r="AA131" i="30"/>
  <c r="AS131" i="30" s="1"/>
  <c r="AB131" i="30"/>
  <c r="AT131" i="30" s="1"/>
  <c r="AC131" i="30"/>
  <c r="AU131" i="30" s="1"/>
  <c r="AD131" i="30"/>
  <c r="AV131" i="30" s="1"/>
  <c r="AE131" i="30"/>
  <c r="AW131" i="30" s="1"/>
  <c r="AF131" i="30"/>
  <c r="AX131" i="30" s="1"/>
  <c r="AG131" i="30"/>
  <c r="AY131" i="30" s="1"/>
  <c r="AH131" i="30"/>
  <c r="AZ131" i="30" s="1"/>
  <c r="AI131" i="30"/>
  <c r="BA131" i="30" s="1"/>
  <c r="AJ131" i="30"/>
  <c r="BB131" i="30" s="1"/>
  <c r="AK131" i="30"/>
  <c r="BC131" i="30" s="1"/>
  <c r="AL131" i="30"/>
  <c r="BD131" i="30" s="1"/>
  <c r="W132" i="30"/>
  <c r="AO132" i="30" s="1"/>
  <c r="X132" i="30"/>
  <c r="AP132" i="30" s="1"/>
  <c r="Y132" i="30"/>
  <c r="AQ132" i="30" s="1"/>
  <c r="Z132" i="30"/>
  <c r="AR132" i="30" s="1"/>
  <c r="AA132" i="30"/>
  <c r="AS132" i="30" s="1"/>
  <c r="AB132" i="30"/>
  <c r="AT132" i="30" s="1"/>
  <c r="AC132" i="30"/>
  <c r="AU132" i="30" s="1"/>
  <c r="AD132" i="30"/>
  <c r="AV132" i="30" s="1"/>
  <c r="AE132" i="30"/>
  <c r="AW132" i="30" s="1"/>
  <c r="AF132" i="30"/>
  <c r="AX132" i="30" s="1"/>
  <c r="AG132" i="30"/>
  <c r="AY132" i="30" s="1"/>
  <c r="AH132" i="30"/>
  <c r="AZ132" i="30" s="1"/>
  <c r="AI132" i="30"/>
  <c r="BA132" i="30" s="1"/>
  <c r="AJ132" i="30"/>
  <c r="BB132" i="30" s="1"/>
  <c r="AK132" i="30"/>
  <c r="BC132" i="30" s="1"/>
  <c r="AL132" i="30"/>
  <c r="BD132" i="30" s="1"/>
  <c r="W133" i="30"/>
  <c r="AO133" i="30" s="1"/>
  <c r="X133" i="30"/>
  <c r="AP133" i="30" s="1"/>
  <c r="Y133" i="30"/>
  <c r="AQ133" i="30" s="1"/>
  <c r="Z133" i="30"/>
  <c r="AR133" i="30" s="1"/>
  <c r="AA133" i="30"/>
  <c r="AS133" i="30" s="1"/>
  <c r="AB133" i="30"/>
  <c r="AT133" i="30" s="1"/>
  <c r="AC133" i="30"/>
  <c r="AU133" i="30" s="1"/>
  <c r="AD133" i="30"/>
  <c r="AV133" i="30" s="1"/>
  <c r="AE133" i="30"/>
  <c r="AW133" i="30" s="1"/>
  <c r="AF133" i="30"/>
  <c r="AX133" i="30" s="1"/>
  <c r="AG133" i="30"/>
  <c r="AY133" i="30" s="1"/>
  <c r="AH133" i="30"/>
  <c r="AZ133" i="30" s="1"/>
  <c r="AI133" i="30"/>
  <c r="BA133" i="30" s="1"/>
  <c r="AJ133" i="30"/>
  <c r="BB133" i="30" s="1"/>
  <c r="AK133" i="30"/>
  <c r="BC133" i="30" s="1"/>
  <c r="AL133" i="30"/>
  <c r="BD133" i="30" s="1"/>
  <c r="W134" i="30"/>
  <c r="AO134" i="30" s="1"/>
  <c r="X134" i="30"/>
  <c r="AP134" i="30" s="1"/>
  <c r="Y134" i="30"/>
  <c r="AQ134" i="30" s="1"/>
  <c r="Z134" i="30"/>
  <c r="AR134" i="30" s="1"/>
  <c r="AA134" i="30"/>
  <c r="AS134" i="30" s="1"/>
  <c r="AB134" i="30"/>
  <c r="AT134" i="30" s="1"/>
  <c r="AC134" i="30"/>
  <c r="AU134" i="30" s="1"/>
  <c r="AD134" i="30"/>
  <c r="AV134" i="30" s="1"/>
  <c r="AE134" i="30"/>
  <c r="AW134" i="30" s="1"/>
  <c r="AF134" i="30"/>
  <c r="AX134" i="30" s="1"/>
  <c r="AG134" i="30"/>
  <c r="AY134" i="30" s="1"/>
  <c r="AH134" i="30"/>
  <c r="AZ134" i="30" s="1"/>
  <c r="AI134" i="30"/>
  <c r="BA134" i="30" s="1"/>
  <c r="AJ134" i="30"/>
  <c r="BB134" i="30" s="1"/>
  <c r="AK134" i="30"/>
  <c r="BC134" i="30" s="1"/>
  <c r="AL134" i="30"/>
  <c r="BD134" i="30" s="1"/>
  <c r="W135" i="30"/>
  <c r="AO135" i="30" s="1"/>
  <c r="X135" i="30"/>
  <c r="AP135" i="30" s="1"/>
  <c r="Y135" i="30"/>
  <c r="AQ135" i="30" s="1"/>
  <c r="Z135" i="30"/>
  <c r="AR135" i="30" s="1"/>
  <c r="AA135" i="30"/>
  <c r="AS135" i="30" s="1"/>
  <c r="AB135" i="30"/>
  <c r="AT135" i="30" s="1"/>
  <c r="AC135" i="30"/>
  <c r="AU135" i="30" s="1"/>
  <c r="AD135" i="30"/>
  <c r="AV135" i="30" s="1"/>
  <c r="AE135" i="30"/>
  <c r="AW135" i="30" s="1"/>
  <c r="AF135" i="30"/>
  <c r="AX135" i="30" s="1"/>
  <c r="AG135" i="30"/>
  <c r="AY135" i="30" s="1"/>
  <c r="AH135" i="30"/>
  <c r="AZ135" i="30" s="1"/>
  <c r="AI135" i="30"/>
  <c r="BA135" i="30" s="1"/>
  <c r="AJ135" i="30"/>
  <c r="BB135" i="30" s="1"/>
  <c r="AK135" i="30"/>
  <c r="BC135" i="30" s="1"/>
  <c r="AL135" i="30"/>
  <c r="BD135" i="30" s="1"/>
  <c r="W136" i="30"/>
  <c r="AO136" i="30" s="1"/>
  <c r="X136" i="30"/>
  <c r="AP136" i="30" s="1"/>
  <c r="Y136" i="30"/>
  <c r="AQ136" i="30" s="1"/>
  <c r="Z136" i="30"/>
  <c r="AR136" i="30" s="1"/>
  <c r="AA136" i="30"/>
  <c r="AS136" i="30" s="1"/>
  <c r="AB136" i="30"/>
  <c r="AT136" i="30" s="1"/>
  <c r="AC136" i="30"/>
  <c r="AU136" i="30" s="1"/>
  <c r="AD136" i="30"/>
  <c r="AV136" i="30" s="1"/>
  <c r="AE136" i="30"/>
  <c r="AW136" i="30" s="1"/>
  <c r="AF136" i="30"/>
  <c r="AX136" i="30" s="1"/>
  <c r="AG136" i="30"/>
  <c r="AY136" i="30" s="1"/>
  <c r="AH136" i="30"/>
  <c r="AZ136" i="30" s="1"/>
  <c r="AI136" i="30"/>
  <c r="BA136" i="30" s="1"/>
  <c r="AJ136" i="30"/>
  <c r="BB136" i="30" s="1"/>
  <c r="AK136" i="30"/>
  <c r="BC136" i="30" s="1"/>
  <c r="AL136" i="30"/>
  <c r="BD136" i="30" s="1"/>
  <c r="V136" i="30"/>
  <c r="AN136" i="30" s="1"/>
  <c r="V135" i="30"/>
  <c r="AN135" i="30" s="1"/>
  <c r="V134" i="30"/>
  <c r="AN134" i="30" s="1"/>
  <c r="V133" i="30"/>
  <c r="AN133" i="30" s="1"/>
  <c r="V132" i="30"/>
  <c r="AN132" i="30" s="1"/>
  <c r="V131" i="30"/>
  <c r="AN131" i="30" s="1"/>
  <c r="V130" i="30"/>
  <c r="AN130" i="30" s="1"/>
  <c r="D136" i="30"/>
  <c r="D135" i="30"/>
  <c r="D134" i="30"/>
  <c r="D133" i="30"/>
  <c r="D362" i="30" s="1"/>
  <c r="D132" i="30"/>
  <c r="D130" i="30"/>
  <c r="W4" i="30"/>
  <c r="AO4" i="30" s="1"/>
  <c r="X4" i="30"/>
  <c r="AP4" i="30" s="1"/>
  <c r="Y4" i="30"/>
  <c r="AQ4" i="30" s="1"/>
  <c r="Z4" i="30"/>
  <c r="AR4" i="30" s="1"/>
  <c r="AA4" i="30"/>
  <c r="AS4" i="30" s="1"/>
  <c r="AB4" i="30"/>
  <c r="AT4" i="30" s="1"/>
  <c r="AC4" i="30"/>
  <c r="AU4" i="30" s="1"/>
  <c r="AD4" i="30"/>
  <c r="AV4" i="30" s="1"/>
  <c r="AE4" i="30"/>
  <c r="AW4" i="30" s="1"/>
  <c r="AF4" i="30"/>
  <c r="AX4" i="30" s="1"/>
  <c r="AG4" i="30"/>
  <c r="AY4" i="30" s="1"/>
  <c r="AH4" i="30"/>
  <c r="AZ4" i="30" s="1"/>
  <c r="AI4" i="30"/>
  <c r="BA4" i="30" s="1"/>
  <c r="AJ4" i="30"/>
  <c r="BB4" i="30" s="1"/>
  <c r="AK4" i="30"/>
  <c r="BC4" i="30" s="1"/>
  <c r="AL4" i="30"/>
  <c r="BD4" i="30" s="1"/>
  <c r="W5" i="30"/>
  <c r="AO5" i="30" s="1"/>
  <c r="X5" i="30"/>
  <c r="AP5" i="30" s="1"/>
  <c r="Y5" i="30"/>
  <c r="AQ5" i="30" s="1"/>
  <c r="Z5" i="30"/>
  <c r="AR5" i="30" s="1"/>
  <c r="AA5" i="30"/>
  <c r="AS5" i="30" s="1"/>
  <c r="AB5" i="30"/>
  <c r="AT5" i="30" s="1"/>
  <c r="AC5" i="30"/>
  <c r="AU5" i="30" s="1"/>
  <c r="AD5" i="30"/>
  <c r="AV5" i="30" s="1"/>
  <c r="AE5" i="30"/>
  <c r="AW5" i="30" s="1"/>
  <c r="AF5" i="30"/>
  <c r="AX5" i="30" s="1"/>
  <c r="AG5" i="30"/>
  <c r="AY5" i="30" s="1"/>
  <c r="AH5" i="30"/>
  <c r="AZ5" i="30" s="1"/>
  <c r="AI5" i="30"/>
  <c r="BA5" i="30" s="1"/>
  <c r="AJ5" i="30"/>
  <c r="BB5" i="30" s="1"/>
  <c r="AK5" i="30"/>
  <c r="BC5" i="30" s="1"/>
  <c r="AL5" i="30"/>
  <c r="BD5" i="30" s="1"/>
  <c r="W6" i="30"/>
  <c r="AO6" i="30" s="1"/>
  <c r="X6" i="30"/>
  <c r="AP6" i="30" s="1"/>
  <c r="F247" i="30" s="1"/>
  <c r="Y6" i="30"/>
  <c r="AQ6" i="30" s="1"/>
  <c r="Z6" i="30"/>
  <c r="AR6" i="30" s="1"/>
  <c r="AA6" i="30"/>
  <c r="AS6" i="30" s="1"/>
  <c r="AB6" i="30"/>
  <c r="AT6" i="30" s="1"/>
  <c r="AC6" i="30"/>
  <c r="AU6" i="30" s="1"/>
  <c r="AD6" i="30"/>
  <c r="AV6" i="30" s="1"/>
  <c r="AE6" i="30"/>
  <c r="AW6" i="30" s="1"/>
  <c r="AF6" i="30"/>
  <c r="AX6" i="30" s="1"/>
  <c r="N247" i="30" s="1"/>
  <c r="AG6" i="30"/>
  <c r="AY6" i="30" s="1"/>
  <c r="AH6" i="30"/>
  <c r="AZ6" i="30" s="1"/>
  <c r="AI6" i="30"/>
  <c r="BA6" i="30" s="1"/>
  <c r="AJ6" i="30"/>
  <c r="BB6" i="30" s="1"/>
  <c r="AK6" i="30"/>
  <c r="BC6" i="30" s="1"/>
  <c r="AL6" i="30"/>
  <c r="BD6" i="30" s="1"/>
  <c r="W7" i="30"/>
  <c r="AO7" i="30" s="1"/>
  <c r="E248" i="30" s="1"/>
  <c r="X7" i="30"/>
  <c r="AP7" i="30" s="1"/>
  <c r="Y7" i="30"/>
  <c r="AQ7" i="30" s="1"/>
  <c r="Z7" i="30"/>
  <c r="AR7" i="30" s="1"/>
  <c r="AA7" i="30"/>
  <c r="AS7" i="30" s="1"/>
  <c r="AB7" i="30"/>
  <c r="AT7" i="30" s="1"/>
  <c r="AC7" i="30"/>
  <c r="AU7" i="30" s="1"/>
  <c r="AD7" i="30"/>
  <c r="AV7" i="30" s="1"/>
  <c r="AE7" i="30"/>
  <c r="AW7" i="30" s="1"/>
  <c r="M248" i="30" s="1"/>
  <c r="AF7" i="30"/>
  <c r="AX7" i="30" s="1"/>
  <c r="AG7" i="30"/>
  <c r="AY7" i="30" s="1"/>
  <c r="AH7" i="30"/>
  <c r="AZ7" i="30" s="1"/>
  <c r="AI7" i="30"/>
  <c r="BA7" i="30" s="1"/>
  <c r="AJ7" i="30"/>
  <c r="BB7" i="30" s="1"/>
  <c r="AK7" i="30"/>
  <c r="BC7" i="30" s="1"/>
  <c r="AL7" i="30"/>
  <c r="BD7" i="30" s="1"/>
  <c r="W8" i="30"/>
  <c r="AO8" i="30" s="1"/>
  <c r="X8" i="30"/>
  <c r="AP8" i="30" s="1"/>
  <c r="F249" i="30" s="1"/>
  <c r="Y8" i="30"/>
  <c r="AQ8" i="30" s="1"/>
  <c r="Z8" i="30"/>
  <c r="AR8" i="30" s="1"/>
  <c r="AA8" i="30"/>
  <c r="AS8" i="30" s="1"/>
  <c r="AB8" i="30"/>
  <c r="AT8" i="30" s="1"/>
  <c r="AC8" i="30"/>
  <c r="AU8" i="30" s="1"/>
  <c r="AD8" i="30"/>
  <c r="AV8" i="30" s="1"/>
  <c r="AE8" i="30"/>
  <c r="AW8" i="30" s="1"/>
  <c r="AF8" i="30"/>
  <c r="AX8" i="30" s="1"/>
  <c r="N249" i="30" s="1"/>
  <c r="AG8" i="30"/>
  <c r="AY8" i="30" s="1"/>
  <c r="AH8" i="30"/>
  <c r="AZ8" i="30" s="1"/>
  <c r="AI8" i="30"/>
  <c r="BA8" i="30" s="1"/>
  <c r="AJ8" i="30"/>
  <c r="BB8" i="30" s="1"/>
  <c r="AK8" i="30"/>
  <c r="BC8" i="30" s="1"/>
  <c r="AL8" i="30"/>
  <c r="BD8" i="30" s="1"/>
  <c r="W9" i="30"/>
  <c r="AO9" i="30" s="1"/>
  <c r="E250" i="30" s="1"/>
  <c r="X9" i="30"/>
  <c r="AP9" i="30" s="1"/>
  <c r="F250" i="30" s="1"/>
  <c r="Y9" i="30"/>
  <c r="AQ9" i="30" s="1"/>
  <c r="Z9" i="30"/>
  <c r="AR9" i="30" s="1"/>
  <c r="AA9" i="30"/>
  <c r="AS9" i="30" s="1"/>
  <c r="AB9" i="30"/>
  <c r="AT9" i="30" s="1"/>
  <c r="AC9" i="30"/>
  <c r="AU9" i="30" s="1"/>
  <c r="AD9" i="30"/>
  <c r="AV9" i="30" s="1"/>
  <c r="AE9" i="30"/>
  <c r="AW9" i="30" s="1"/>
  <c r="M250" i="30" s="1"/>
  <c r="AF9" i="30"/>
  <c r="AX9" i="30" s="1"/>
  <c r="N250" i="30" s="1"/>
  <c r="AG9" i="30"/>
  <c r="AY9" i="30" s="1"/>
  <c r="AH9" i="30"/>
  <c r="AZ9" i="30" s="1"/>
  <c r="AI9" i="30"/>
  <c r="BA9" i="30" s="1"/>
  <c r="AJ9" i="30"/>
  <c r="BB9" i="30" s="1"/>
  <c r="AK9" i="30"/>
  <c r="BC9" i="30" s="1"/>
  <c r="AL9" i="30"/>
  <c r="BD9" i="30" s="1"/>
  <c r="W10" i="30"/>
  <c r="AO10" i="30" s="1"/>
  <c r="E251" i="30" s="1"/>
  <c r="X10" i="30"/>
  <c r="AP10" i="30" s="1"/>
  <c r="F251" i="30" s="1"/>
  <c r="Y10" i="30"/>
  <c r="AQ10" i="30" s="1"/>
  <c r="Z10" i="30"/>
  <c r="AR10" i="30" s="1"/>
  <c r="AA10" i="30"/>
  <c r="AS10" i="30" s="1"/>
  <c r="AB10" i="30"/>
  <c r="AT10" i="30" s="1"/>
  <c r="AC10" i="30"/>
  <c r="AU10" i="30" s="1"/>
  <c r="AD10" i="30"/>
  <c r="AV10" i="30" s="1"/>
  <c r="AE10" i="30"/>
  <c r="AW10" i="30" s="1"/>
  <c r="M251" i="30" s="1"/>
  <c r="AF10" i="30"/>
  <c r="AX10" i="30" s="1"/>
  <c r="N251" i="30" s="1"/>
  <c r="AG10" i="30"/>
  <c r="AY10" i="30" s="1"/>
  <c r="AH10" i="30"/>
  <c r="AZ10" i="30" s="1"/>
  <c r="AI10" i="30"/>
  <c r="BA10" i="30" s="1"/>
  <c r="AJ10" i="30"/>
  <c r="BB10" i="30" s="1"/>
  <c r="AK10" i="30"/>
  <c r="BC10" i="30" s="1"/>
  <c r="AL10" i="30"/>
  <c r="BD10" i="30" s="1"/>
  <c r="V10" i="30"/>
  <c r="AN10" i="30" s="1"/>
  <c r="D251" i="30" s="1"/>
  <c r="V9" i="30"/>
  <c r="AN9" i="30" s="1"/>
  <c r="D250" i="30" s="1"/>
  <c r="V8" i="30"/>
  <c r="AN8" i="30" s="1"/>
  <c r="V7" i="30"/>
  <c r="AN7" i="30" s="1"/>
  <c r="V6" i="30"/>
  <c r="AN6" i="30" s="1"/>
  <c r="D247" i="30" s="1"/>
  <c r="V5" i="30"/>
  <c r="AN5" i="30" s="1"/>
  <c r="V4" i="30"/>
  <c r="AN4" i="30" s="1"/>
  <c r="D10" i="30"/>
  <c r="D9" i="30"/>
  <c r="D8" i="30"/>
  <c r="D7" i="30"/>
  <c r="D6" i="30"/>
  <c r="D5" i="30"/>
  <c r="D4" i="30"/>
  <c r="D81" i="30" s="1"/>
  <c r="O246" i="30" l="1"/>
  <c r="J246" i="30"/>
  <c r="D248" i="30"/>
  <c r="P251" i="30"/>
  <c r="H251" i="30"/>
  <c r="P250" i="30"/>
  <c r="P249" i="30"/>
  <c r="H249" i="30"/>
  <c r="P248" i="30"/>
  <c r="H248" i="30"/>
  <c r="P247" i="30"/>
  <c r="H247" i="30"/>
  <c r="D246" i="30"/>
  <c r="R246" i="30"/>
  <c r="D357" i="30"/>
  <c r="N246" i="30"/>
  <c r="Q246" i="30"/>
  <c r="I246" i="30"/>
  <c r="H250" i="30"/>
  <c r="F246" i="30"/>
  <c r="G246" i="30"/>
  <c r="M246" i="30"/>
  <c r="E246" i="30"/>
  <c r="L251" i="30"/>
  <c r="L249" i="30"/>
  <c r="L247" i="30"/>
  <c r="T246" i="30"/>
  <c r="L246" i="30"/>
  <c r="S246" i="30"/>
  <c r="K246" i="30"/>
  <c r="D326" i="30"/>
  <c r="D249" i="30"/>
  <c r="O251" i="30"/>
  <c r="G251" i="30"/>
  <c r="O250" i="30"/>
  <c r="G250" i="30"/>
  <c r="O249" i="30"/>
  <c r="G249" i="30"/>
  <c r="O248" i="30"/>
  <c r="G248" i="30"/>
  <c r="P246" i="30"/>
  <c r="H246" i="30"/>
  <c r="AW276" i="30"/>
  <c r="H299" i="30" s="1"/>
  <c r="AW274" i="30"/>
  <c r="H297" i="30" s="1"/>
  <c r="AM273" i="30"/>
  <c r="F296" i="30" s="1"/>
  <c r="AM271" i="30"/>
  <c r="F294" i="30" s="1"/>
  <c r="AM272" i="30"/>
  <c r="F295" i="30" s="1"/>
  <c r="AW275" i="30"/>
  <c r="H298" i="30" s="1"/>
  <c r="AW273" i="30"/>
  <c r="H296" i="30" s="1"/>
  <c r="AW272" i="30"/>
  <c r="H295" i="30" s="1"/>
  <c r="AM276" i="30"/>
  <c r="F299" i="30" s="1"/>
  <c r="AM275" i="30"/>
  <c r="F298" i="30" s="1"/>
  <c r="J251" i="30"/>
  <c r="R250" i="30"/>
  <c r="J250" i="30"/>
  <c r="J249" i="30"/>
  <c r="J247" i="30"/>
  <c r="I248" i="30"/>
  <c r="G247" i="30"/>
  <c r="L248" i="30"/>
  <c r="L250" i="30"/>
  <c r="I250" i="30"/>
  <c r="I247" i="30"/>
  <c r="I251" i="30"/>
  <c r="O247" i="30"/>
  <c r="T250" i="30"/>
  <c r="N248" i="30"/>
  <c r="F248" i="30"/>
  <c r="Q250" i="30"/>
  <c r="Q247" i="30"/>
  <c r="E249" i="30"/>
  <c r="M247" i="30"/>
  <c r="E247" i="30"/>
  <c r="I249" i="30"/>
  <c r="M249" i="30"/>
  <c r="Q251" i="30"/>
  <c r="Q248" i="30"/>
  <c r="S251" i="30"/>
  <c r="S249" i="30"/>
  <c r="K249" i="30"/>
  <c r="Q249" i="30"/>
  <c r="T248" i="30"/>
  <c r="K251" i="30"/>
  <c r="R248" i="30"/>
  <c r="J248" i="30"/>
  <c r="S250" i="30"/>
  <c r="S248" i="30"/>
  <c r="S247" i="30"/>
  <c r="T251" i="30"/>
  <c r="T247" i="30"/>
  <c r="K250" i="30"/>
  <c r="K248" i="30"/>
  <c r="K247" i="30"/>
  <c r="T249" i="30"/>
  <c r="R251" i="30"/>
  <c r="R249" i="30"/>
  <c r="R247" i="30"/>
  <c r="AC200" i="30"/>
  <c r="N200" i="30"/>
  <c r="AC199" i="30"/>
  <c r="N199" i="30"/>
  <c r="AC198" i="30"/>
  <c r="N198" i="30"/>
  <c r="AC197" i="30"/>
  <c r="N197" i="30"/>
  <c r="AC196" i="30"/>
  <c r="N196" i="30"/>
  <c r="AC195" i="30"/>
  <c r="N195" i="30"/>
  <c r="AC194" i="30"/>
  <c r="N194" i="30"/>
  <c r="AC193" i="30"/>
  <c r="AC219" i="30" s="1"/>
  <c r="N193" i="30"/>
  <c r="AC192" i="30"/>
  <c r="N192" i="30"/>
  <c r="AC179" i="30"/>
  <c r="N179" i="30"/>
  <c r="AC178" i="30"/>
  <c r="N178" i="30"/>
  <c r="AC177" i="30"/>
  <c r="N177" i="30"/>
  <c r="AC176" i="30"/>
  <c r="N176" i="30"/>
  <c r="AC175" i="30"/>
  <c r="N175" i="30"/>
  <c r="AC174" i="30"/>
  <c r="N174" i="30"/>
  <c r="AC173" i="30"/>
  <c r="N173" i="30"/>
  <c r="AC172" i="30"/>
  <c r="N172" i="30"/>
  <c r="AC171" i="30"/>
  <c r="N171" i="30"/>
  <c r="AC158" i="30"/>
  <c r="N158" i="30"/>
  <c r="AC157" i="30"/>
  <c r="N157" i="30"/>
  <c r="AC156" i="30"/>
  <c r="N156" i="30"/>
  <c r="AC155" i="30"/>
  <c r="N155" i="30"/>
  <c r="AC154" i="30"/>
  <c r="N154" i="30"/>
  <c r="AC153" i="30"/>
  <c r="N153" i="30"/>
  <c r="AC152" i="30"/>
  <c r="N152" i="30"/>
  <c r="AC151" i="30"/>
  <c r="N151" i="30"/>
  <c r="AC150" i="30"/>
  <c r="T136" i="30"/>
  <c r="T211" i="30" s="1"/>
  <c r="T217" i="30" s="1"/>
  <c r="S136" i="30"/>
  <c r="S211" i="30" s="1"/>
  <c r="S217" i="30" s="1"/>
  <c r="R136" i="30"/>
  <c r="R211" i="30" s="1"/>
  <c r="R217" i="30" s="1"/>
  <c r="Q136" i="30"/>
  <c r="Q211" i="30" s="1"/>
  <c r="Q217" i="30" s="1"/>
  <c r="P136" i="30"/>
  <c r="P211" i="30" s="1"/>
  <c r="P217" i="30" s="1"/>
  <c r="O136" i="30"/>
  <c r="O211" i="30" s="1"/>
  <c r="O217" i="30" s="1"/>
  <c r="N136" i="30"/>
  <c r="N211" i="30" s="1"/>
  <c r="N217" i="30" s="1"/>
  <c r="M136" i="30"/>
  <c r="M211" i="30" s="1"/>
  <c r="M217" i="30" s="1"/>
  <c r="L136" i="30"/>
  <c r="L211" i="30" s="1"/>
  <c r="L217" i="30" s="1"/>
  <c r="K136" i="30"/>
  <c r="K211" i="30" s="1"/>
  <c r="K217" i="30" s="1"/>
  <c r="J136" i="30"/>
  <c r="J211" i="30" s="1"/>
  <c r="I136" i="30"/>
  <c r="I211" i="30" s="1"/>
  <c r="I217" i="30" s="1"/>
  <c r="H136" i="30"/>
  <c r="H211" i="30" s="1"/>
  <c r="H217" i="30" s="1"/>
  <c r="G136" i="30"/>
  <c r="G211" i="30" s="1"/>
  <c r="G217" i="30" s="1"/>
  <c r="F136" i="30"/>
  <c r="F211" i="30" s="1"/>
  <c r="F217" i="30" s="1"/>
  <c r="E136" i="30"/>
  <c r="E211" i="30" s="1"/>
  <c r="E217" i="30" s="1"/>
  <c r="D211" i="30"/>
  <c r="D217" i="30" s="1"/>
  <c r="T135" i="30"/>
  <c r="T210" i="30" s="1"/>
  <c r="T216" i="30" s="1"/>
  <c r="S135" i="30"/>
  <c r="S210" i="30" s="1"/>
  <c r="S216" i="30" s="1"/>
  <c r="R135" i="30"/>
  <c r="R210" i="30" s="1"/>
  <c r="R216" i="30" s="1"/>
  <c r="Q135" i="30"/>
  <c r="Q210" i="30" s="1"/>
  <c r="Q216" i="30" s="1"/>
  <c r="P135" i="30"/>
  <c r="P210" i="30" s="1"/>
  <c r="P216" i="30" s="1"/>
  <c r="O135" i="30"/>
  <c r="O210" i="30" s="1"/>
  <c r="O216" i="30" s="1"/>
  <c r="N135" i="30"/>
  <c r="N210" i="30" s="1"/>
  <c r="N216" i="30" s="1"/>
  <c r="M135" i="30"/>
  <c r="M210" i="30" s="1"/>
  <c r="M216" i="30" s="1"/>
  <c r="L135" i="30"/>
  <c r="L210" i="30" s="1"/>
  <c r="L216" i="30" s="1"/>
  <c r="K135" i="30"/>
  <c r="K210" i="30" s="1"/>
  <c r="K216" i="30" s="1"/>
  <c r="J135" i="30"/>
  <c r="J210" i="30" s="1"/>
  <c r="I135" i="30"/>
  <c r="I210" i="30" s="1"/>
  <c r="I216" i="30" s="1"/>
  <c r="H135" i="30"/>
  <c r="H210" i="30" s="1"/>
  <c r="H216" i="30" s="1"/>
  <c r="G135" i="30"/>
  <c r="G210" i="30" s="1"/>
  <c r="G216" i="30" s="1"/>
  <c r="F135" i="30"/>
  <c r="F210" i="30" s="1"/>
  <c r="F216" i="30" s="1"/>
  <c r="E135" i="30"/>
  <c r="E210" i="30" s="1"/>
  <c r="E216" i="30" s="1"/>
  <c r="D210" i="30"/>
  <c r="D216" i="30" s="1"/>
  <c r="T134" i="30"/>
  <c r="T209" i="30" s="1"/>
  <c r="T215" i="30" s="1"/>
  <c r="S134" i="30"/>
  <c r="S209" i="30" s="1"/>
  <c r="S215" i="30" s="1"/>
  <c r="R134" i="30"/>
  <c r="R209" i="30" s="1"/>
  <c r="R215" i="30" s="1"/>
  <c r="Q134" i="30"/>
  <c r="Q209" i="30" s="1"/>
  <c r="Q215" i="30" s="1"/>
  <c r="P134" i="30"/>
  <c r="P209" i="30" s="1"/>
  <c r="P215" i="30" s="1"/>
  <c r="O134" i="30"/>
  <c r="O209" i="30" s="1"/>
  <c r="O215" i="30" s="1"/>
  <c r="N134" i="30"/>
  <c r="N209" i="30" s="1"/>
  <c r="N215" i="30" s="1"/>
  <c r="M134" i="30"/>
  <c r="M209" i="30" s="1"/>
  <c r="M215" i="30" s="1"/>
  <c r="L134" i="30"/>
  <c r="L209" i="30" s="1"/>
  <c r="L215" i="30" s="1"/>
  <c r="K134" i="30"/>
  <c r="K209" i="30" s="1"/>
  <c r="K215" i="30" s="1"/>
  <c r="J134" i="30"/>
  <c r="J209" i="30" s="1"/>
  <c r="I134" i="30"/>
  <c r="I209" i="30" s="1"/>
  <c r="I215" i="30" s="1"/>
  <c r="H134" i="30"/>
  <c r="H209" i="30" s="1"/>
  <c r="H215" i="30" s="1"/>
  <c r="G134" i="30"/>
  <c r="G209" i="30" s="1"/>
  <c r="G215" i="30" s="1"/>
  <c r="F134" i="30"/>
  <c r="F209" i="30" s="1"/>
  <c r="F215" i="30" s="1"/>
  <c r="E134" i="30"/>
  <c r="E209" i="30" s="1"/>
  <c r="E215" i="30" s="1"/>
  <c r="D209" i="30"/>
  <c r="D215" i="30" s="1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208" i="30"/>
  <c r="D214" i="30" s="1"/>
  <c r="T132" i="30"/>
  <c r="T206" i="30" s="1"/>
  <c r="S132" i="30"/>
  <c r="S206" i="30" s="1"/>
  <c r="R132" i="30"/>
  <c r="R206" i="30" s="1"/>
  <c r="Q132" i="30"/>
  <c r="Q206" i="30" s="1"/>
  <c r="P132" i="30"/>
  <c r="P206" i="30" s="1"/>
  <c r="O132" i="30"/>
  <c r="O206" i="30" s="1"/>
  <c r="O212" i="30" s="1"/>
  <c r="N132" i="30"/>
  <c r="N206" i="30" s="1"/>
  <c r="N212" i="30" s="1"/>
  <c r="M132" i="30"/>
  <c r="M206" i="30" s="1"/>
  <c r="M212" i="30" s="1"/>
  <c r="L132" i="30"/>
  <c r="L206" i="30" s="1"/>
  <c r="L212" i="30" s="1"/>
  <c r="K132" i="30"/>
  <c r="K206" i="30" s="1"/>
  <c r="K212" i="30" s="1"/>
  <c r="J132" i="30"/>
  <c r="J206" i="30" s="1"/>
  <c r="I132" i="30"/>
  <c r="I206" i="30" s="1"/>
  <c r="I212" i="30" s="1"/>
  <c r="H132" i="30"/>
  <c r="H206" i="30" s="1"/>
  <c r="H212" i="30" s="1"/>
  <c r="G132" i="30"/>
  <c r="G206" i="30" s="1"/>
  <c r="G212" i="30" s="1"/>
  <c r="F132" i="30"/>
  <c r="F206" i="30" s="1"/>
  <c r="F212" i="30" s="1"/>
  <c r="E132" i="30"/>
  <c r="E206" i="30" s="1"/>
  <c r="E212" i="30" s="1"/>
  <c r="D206" i="30"/>
  <c r="D212" i="30" s="1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T130" i="30"/>
  <c r="S130" i="30"/>
  <c r="R130" i="30"/>
  <c r="R207" i="30" s="1"/>
  <c r="R213" i="30" s="1"/>
  <c r="Q130" i="30"/>
  <c r="Q207" i="30" s="1"/>
  <c r="Q213" i="30" s="1"/>
  <c r="P130" i="30"/>
  <c r="O130" i="30"/>
  <c r="N130" i="30"/>
  <c r="M130" i="30"/>
  <c r="L130" i="30"/>
  <c r="K130" i="30"/>
  <c r="J130" i="30"/>
  <c r="J207" i="30" s="1"/>
  <c r="I130" i="30"/>
  <c r="I207" i="30" s="1"/>
  <c r="I213" i="30" s="1"/>
  <c r="G130" i="30"/>
  <c r="G207" i="30" s="1"/>
  <c r="G213" i="30" s="1"/>
  <c r="F130" i="30"/>
  <c r="E130" i="30"/>
  <c r="AC74" i="30"/>
  <c r="N74" i="30"/>
  <c r="AC73" i="30"/>
  <c r="N73" i="30"/>
  <c r="AC72" i="30"/>
  <c r="N72" i="30"/>
  <c r="AC71" i="30"/>
  <c r="AC95" i="30" s="1"/>
  <c r="N71" i="30"/>
  <c r="AC70" i="30"/>
  <c r="N70" i="30"/>
  <c r="AC69" i="30"/>
  <c r="N69" i="30"/>
  <c r="AC68" i="30"/>
  <c r="N68" i="30"/>
  <c r="AC67" i="30"/>
  <c r="N67" i="30"/>
  <c r="AC66" i="30"/>
  <c r="N66" i="30"/>
  <c r="AC53" i="30"/>
  <c r="N53" i="30"/>
  <c r="AC52" i="30"/>
  <c r="N52" i="30"/>
  <c r="AC51" i="30"/>
  <c r="N51" i="30"/>
  <c r="AC50" i="30"/>
  <c r="N50" i="30"/>
  <c r="AC49" i="30"/>
  <c r="N49" i="30"/>
  <c r="AC48" i="30"/>
  <c r="N48" i="30"/>
  <c r="AC47" i="30"/>
  <c r="N47" i="30"/>
  <c r="AC46" i="30"/>
  <c r="N46" i="30"/>
  <c r="AC45" i="30"/>
  <c r="N45" i="30"/>
  <c r="AC32" i="30"/>
  <c r="N32" i="30"/>
  <c r="AC31" i="30"/>
  <c r="N31" i="30"/>
  <c r="AC30" i="30"/>
  <c r="N30" i="30"/>
  <c r="AC29" i="30"/>
  <c r="N29" i="30"/>
  <c r="AC28" i="30"/>
  <c r="N28" i="30"/>
  <c r="AC27" i="30"/>
  <c r="N27" i="30"/>
  <c r="AC26" i="30"/>
  <c r="N26" i="30"/>
  <c r="AC25" i="30"/>
  <c r="N25" i="30"/>
  <c r="AC24" i="30"/>
  <c r="N24" i="30"/>
  <c r="T10" i="30"/>
  <c r="T85" i="30" s="1"/>
  <c r="T91" i="30" s="1"/>
  <c r="S10" i="30"/>
  <c r="S85" i="30" s="1"/>
  <c r="S91" i="30" s="1"/>
  <c r="R10" i="30"/>
  <c r="R85" i="30" s="1"/>
  <c r="R91" i="30" s="1"/>
  <c r="Q10" i="30"/>
  <c r="Q85" i="30" s="1"/>
  <c r="Q91" i="30" s="1"/>
  <c r="P10" i="30"/>
  <c r="P85" i="30" s="1"/>
  <c r="P91" i="30" s="1"/>
  <c r="O10" i="30"/>
  <c r="O85" i="30" s="1"/>
  <c r="O91" i="30" s="1"/>
  <c r="N10" i="30"/>
  <c r="N85" i="30" s="1"/>
  <c r="N91" i="30" s="1"/>
  <c r="M10" i="30"/>
  <c r="M85" i="30" s="1"/>
  <c r="M91" i="30" s="1"/>
  <c r="L10" i="30"/>
  <c r="L85" i="30" s="1"/>
  <c r="L91" i="30" s="1"/>
  <c r="K10" i="30"/>
  <c r="K85" i="30" s="1"/>
  <c r="K91" i="30" s="1"/>
  <c r="J10" i="30"/>
  <c r="J85" i="30" s="1"/>
  <c r="I10" i="30"/>
  <c r="I85" i="30" s="1"/>
  <c r="I91" i="30" s="1"/>
  <c r="H10" i="30"/>
  <c r="H85" i="30" s="1"/>
  <c r="H91" i="30" s="1"/>
  <c r="G10" i="30"/>
  <c r="G85" i="30" s="1"/>
  <c r="G91" i="30" s="1"/>
  <c r="F10" i="30"/>
  <c r="F85" i="30" s="1"/>
  <c r="F91" i="30" s="1"/>
  <c r="E10" i="30"/>
  <c r="E85" i="30" s="1"/>
  <c r="E91" i="30" s="1"/>
  <c r="D85" i="30"/>
  <c r="D91" i="30" s="1"/>
  <c r="T9" i="30"/>
  <c r="T84" i="30" s="1"/>
  <c r="T90" i="30" s="1"/>
  <c r="S9" i="30"/>
  <c r="S84" i="30" s="1"/>
  <c r="S90" i="30" s="1"/>
  <c r="R9" i="30"/>
  <c r="R84" i="30" s="1"/>
  <c r="R90" i="30" s="1"/>
  <c r="Q9" i="30"/>
  <c r="Q84" i="30" s="1"/>
  <c r="Q90" i="30" s="1"/>
  <c r="P9" i="30"/>
  <c r="P84" i="30" s="1"/>
  <c r="P90" i="30" s="1"/>
  <c r="O9" i="30"/>
  <c r="O84" i="30" s="1"/>
  <c r="O90" i="30" s="1"/>
  <c r="N9" i="30"/>
  <c r="N84" i="30" s="1"/>
  <c r="N90" i="30" s="1"/>
  <c r="M9" i="30"/>
  <c r="M84" i="30" s="1"/>
  <c r="M90" i="30" s="1"/>
  <c r="L9" i="30"/>
  <c r="L84" i="30" s="1"/>
  <c r="L90" i="30" s="1"/>
  <c r="K9" i="30"/>
  <c r="K84" i="30" s="1"/>
  <c r="K90" i="30" s="1"/>
  <c r="J9" i="30"/>
  <c r="J84" i="30" s="1"/>
  <c r="I9" i="30"/>
  <c r="I84" i="30" s="1"/>
  <c r="I90" i="30" s="1"/>
  <c r="H9" i="30"/>
  <c r="H84" i="30" s="1"/>
  <c r="H90" i="30" s="1"/>
  <c r="G9" i="30"/>
  <c r="G84" i="30" s="1"/>
  <c r="G90" i="30" s="1"/>
  <c r="F9" i="30"/>
  <c r="F84" i="30" s="1"/>
  <c r="F90" i="30" s="1"/>
  <c r="E9" i="30"/>
  <c r="E84" i="30" s="1"/>
  <c r="E90" i="30" s="1"/>
  <c r="D84" i="30"/>
  <c r="D90" i="30" s="1"/>
  <c r="T8" i="30"/>
  <c r="T83" i="30" s="1"/>
  <c r="T89" i="30" s="1"/>
  <c r="S8" i="30"/>
  <c r="S83" i="30" s="1"/>
  <c r="S89" i="30" s="1"/>
  <c r="R8" i="30"/>
  <c r="R83" i="30" s="1"/>
  <c r="R89" i="30" s="1"/>
  <c r="Q8" i="30"/>
  <c r="Q83" i="30" s="1"/>
  <c r="Q89" i="30" s="1"/>
  <c r="P8" i="30"/>
  <c r="P83" i="30" s="1"/>
  <c r="P89" i="30" s="1"/>
  <c r="O8" i="30"/>
  <c r="O83" i="30" s="1"/>
  <c r="O89" i="30" s="1"/>
  <c r="N8" i="30"/>
  <c r="N83" i="30" s="1"/>
  <c r="N89" i="30" s="1"/>
  <c r="M8" i="30"/>
  <c r="M83" i="30" s="1"/>
  <c r="M89" i="30" s="1"/>
  <c r="L8" i="30"/>
  <c r="L83" i="30" s="1"/>
  <c r="L89" i="30" s="1"/>
  <c r="K8" i="30"/>
  <c r="K83" i="30" s="1"/>
  <c r="K89" i="30" s="1"/>
  <c r="J8" i="30"/>
  <c r="J83" i="30" s="1"/>
  <c r="I8" i="30"/>
  <c r="I83" i="30" s="1"/>
  <c r="I89" i="30" s="1"/>
  <c r="H8" i="30"/>
  <c r="H83" i="30" s="1"/>
  <c r="H89" i="30" s="1"/>
  <c r="G8" i="30"/>
  <c r="G83" i="30" s="1"/>
  <c r="G89" i="30" s="1"/>
  <c r="F8" i="30"/>
  <c r="F83" i="30" s="1"/>
  <c r="F89" i="30" s="1"/>
  <c r="E8" i="30"/>
  <c r="E83" i="30" s="1"/>
  <c r="E89" i="30" s="1"/>
  <c r="D83" i="30"/>
  <c r="D89" i="30" s="1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82" i="30"/>
  <c r="D88" i="30" s="1"/>
  <c r="T6" i="30"/>
  <c r="T80" i="30" s="1"/>
  <c r="S6" i="30"/>
  <c r="S80" i="30" s="1"/>
  <c r="R6" i="30"/>
  <c r="R80" i="30" s="1"/>
  <c r="R86" i="30" s="1"/>
  <c r="Q6" i="30"/>
  <c r="Q80" i="30" s="1"/>
  <c r="Q86" i="30" s="1"/>
  <c r="P6" i="30"/>
  <c r="P80" i="30" s="1"/>
  <c r="P86" i="30" s="1"/>
  <c r="O6" i="30"/>
  <c r="O80" i="30" s="1"/>
  <c r="O86" i="30" s="1"/>
  <c r="N6" i="30"/>
  <c r="N80" i="30" s="1"/>
  <c r="N86" i="30" s="1"/>
  <c r="M6" i="30"/>
  <c r="M80" i="30" s="1"/>
  <c r="M86" i="30" s="1"/>
  <c r="L6" i="30"/>
  <c r="L80" i="30" s="1"/>
  <c r="L86" i="30" s="1"/>
  <c r="K6" i="30"/>
  <c r="K80" i="30" s="1"/>
  <c r="K86" i="30" s="1"/>
  <c r="J6" i="30"/>
  <c r="J80" i="30" s="1"/>
  <c r="I6" i="30"/>
  <c r="I80" i="30" s="1"/>
  <c r="I86" i="30" s="1"/>
  <c r="H6" i="30"/>
  <c r="H80" i="30" s="1"/>
  <c r="H86" i="30" s="1"/>
  <c r="G6" i="30"/>
  <c r="G80" i="30" s="1"/>
  <c r="G86" i="30" s="1"/>
  <c r="F6" i="30"/>
  <c r="F80" i="30" s="1"/>
  <c r="F86" i="30" s="1"/>
  <c r="E6" i="30"/>
  <c r="E80" i="30" s="1"/>
  <c r="E86" i="30" s="1"/>
  <c r="D80" i="30"/>
  <c r="D86" i="30" s="1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T4" i="30"/>
  <c r="T81" i="30" s="1"/>
  <c r="T87" i="30" s="1"/>
  <c r="S4" i="30"/>
  <c r="R4" i="30"/>
  <c r="Q4" i="30"/>
  <c r="P4" i="30"/>
  <c r="P81" i="30" s="1"/>
  <c r="P87" i="30" s="1"/>
  <c r="O4" i="30"/>
  <c r="N4" i="30"/>
  <c r="M4" i="30"/>
  <c r="L4" i="30"/>
  <c r="L81" i="30" s="1"/>
  <c r="L87" i="30" s="1"/>
  <c r="K4" i="30"/>
  <c r="J4" i="30"/>
  <c r="I4" i="30"/>
  <c r="H4" i="30"/>
  <c r="H81" i="30" s="1"/>
  <c r="H87" i="30" s="1"/>
  <c r="G4" i="30"/>
  <c r="F4" i="30"/>
  <c r="E4" i="30"/>
  <c r="D87" i="30"/>
  <c r="AD262" i="29"/>
  <c r="AC262" i="29"/>
  <c r="AA262" i="29"/>
  <c r="AC261" i="29"/>
  <c r="AA261" i="29"/>
  <c r="V261" i="29"/>
  <c r="Q261" i="29"/>
  <c r="AA260" i="29"/>
  <c r="AD260" i="29" s="1"/>
  <c r="V260" i="29"/>
  <c r="Q260" i="29"/>
  <c r="AD259" i="29"/>
  <c r="AC259" i="29"/>
  <c r="AA259" i="29"/>
  <c r="V259" i="29"/>
  <c r="Q259" i="29"/>
  <c r="R258" i="29"/>
  <c r="AI257" i="29"/>
  <c r="R257" i="29"/>
  <c r="Q257" i="29"/>
  <c r="P257" i="29"/>
  <c r="O257" i="29"/>
  <c r="AJ257" i="29" s="1"/>
  <c r="N257" i="29"/>
  <c r="AH257" i="29" s="1"/>
  <c r="M257" i="29"/>
  <c r="AG257" i="29" s="1"/>
  <c r="L257" i="29"/>
  <c r="K257" i="29"/>
  <c r="J257" i="29"/>
  <c r="I257" i="29"/>
  <c r="X258" i="29" s="1" a="1"/>
  <c r="X258" i="29" s="1"/>
  <c r="H257" i="29"/>
  <c r="Y258" i="29" s="1" a="1"/>
  <c r="Y258" i="29" s="1"/>
  <c r="G257" i="29"/>
  <c r="F257" i="29"/>
  <c r="E257" i="29"/>
  <c r="D257" i="29"/>
  <c r="C257" i="29"/>
  <c r="B257" i="29"/>
  <c r="AD261" i="29" s="1"/>
  <c r="AC252" i="29"/>
  <c r="AA252" i="29"/>
  <c r="AD252" i="29" s="1"/>
  <c r="AK251" i="29"/>
  <c r="AA251" i="29"/>
  <c r="AD251" i="29" s="1"/>
  <c r="V251" i="29"/>
  <c r="Q251" i="29"/>
  <c r="AK250" i="29"/>
  <c r="AD250" i="29"/>
  <c r="AC250" i="29"/>
  <c r="AA250" i="29"/>
  <c r="V250" i="29"/>
  <c r="Q250" i="29"/>
  <c r="AC249" i="29"/>
  <c r="AA249" i="29"/>
  <c r="AD249" i="29" s="1"/>
  <c r="V249" i="29"/>
  <c r="Q249" i="29"/>
  <c r="R248" i="29"/>
  <c r="R247" i="29"/>
  <c r="AC247" i="29" s="1"/>
  <c r="Q247" i="29"/>
  <c r="P247" i="29"/>
  <c r="AJ247" i="29" s="1"/>
  <c r="O247" i="29"/>
  <c r="N247" i="29"/>
  <c r="AI247" i="29" s="1"/>
  <c r="M247" i="29"/>
  <c r="AK249" i="29" s="1"/>
  <c r="L247" i="29"/>
  <c r="AG247" i="29" s="1"/>
  <c r="K247" i="29"/>
  <c r="J247" i="29"/>
  <c r="I247" i="29"/>
  <c r="H247" i="29"/>
  <c r="X248" i="29" s="1" a="1"/>
  <c r="X248" i="29" s="1"/>
  <c r="G247" i="29"/>
  <c r="F247" i="29"/>
  <c r="E247" i="29"/>
  <c r="D247" i="29"/>
  <c r="C247" i="29"/>
  <c r="B247" i="29"/>
  <c r="P253" i="30" l="1"/>
  <c r="P269" i="30" s="1"/>
  <c r="G253" i="30"/>
  <c r="G264" i="30" s="1"/>
  <c r="F253" i="30"/>
  <c r="F268" i="30" s="1"/>
  <c r="H253" i="30"/>
  <c r="H267" i="30"/>
  <c r="H265" i="30"/>
  <c r="H269" i="30"/>
  <c r="F208" i="30"/>
  <c r="F214" i="30" s="1"/>
  <c r="F362" i="30"/>
  <c r="G82" i="30"/>
  <c r="G88" i="30" s="1"/>
  <c r="G357" i="30"/>
  <c r="O82" i="30"/>
  <c r="O88" i="30" s="1"/>
  <c r="O357" i="30"/>
  <c r="E208" i="30"/>
  <c r="E214" i="30" s="1"/>
  <c r="E362" i="30"/>
  <c r="M208" i="30"/>
  <c r="M214" i="30" s="1"/>
  <c r="M362" i="30"/>
  <c r="I82" i="30"/>
  <c r="I88" i="30" s="1"/>
  <c r="I357" i="30"/>
  <c r="Q82" i="30"/>
  <c r="Q88" i="30" s="1"/>
  <c r="Q357" i="30"/>
  <c r="Q358" i="30" s="1"/>
  <c r="G208" i="30"/>
  <c r="G214" i="30" s="1"/>
  <c r="G362" i="30"/>
  <c r="O208" i="30"/>
  <c r="O214" i="30" s="1"/>
  <c r="O362" i="30"/>
  <c r="J82" i="30"/>
  <c r="J88" i="30" s="1"/>
  <c r="J357" i="30"/>
  <c r="R82" i="30"/>
  <c r="R88" i="30" s="1"/>
  <c r="R357" i="30"/>
  <c r="R358" i="30" s="1"/>
  <c r="H208" i="30"/>
  <c r="H214" i="30" s="1"/>
  <c r="H362" i="30"/>
  <c r="P208" i="30"/>
  <c r="P214" i="30" s="1"/>
  <c r="P362" i="30"/>
  <c r="P82" i="30"/>
  <c r="P88" i="30" s="1"/>
  <c r="P357" i="30"/>
  <c r="N208" i="30"/>
  <c r="N214" i="30" s="1"/>
  <c r="N362" i="30"/>
  <c r="K82" i="30"/>
  <c r="K88" i="30" s="1"/>
  <c r="K357" i="30"/>
  <c r="S82" i="30"/>
  <c r="S88" i="30" s="1"/>
  <c r="S357" i="30"/>
  <c r="I208" i="30"/>
  <c r="I214" i="30" s="1"/>
  <c r="I362" i="30"/>
  <c r="Q208" i="30"/>
  <c r="Q214" i="30" s="1"/>
  <c r="Q362" i="30"/>
  <c r="H82" i="30"/>
  <c r="H88" i="30" s="1"/>
  <c r="H357" i="30"/>
  <c r="L82" i="30"/>
  <c r="L88" i="30" s="1"/>
  <c r="L357" i="30"/>
  <c r="T82" i="30"/>
  <c r="T88" i="30" s="1"/>
  <c r="T357" i="30"/>
  <c r="J208" i="30"/>
  <c r="J214" i="30" s="1"/>
  <c r="J362" i="30"/>
  <c r="R208" i="30"/>
  <c r="R214" i="30" s="1"/>
  <c r="R362" i="30"/>
  <c r="AC223" i="30"/>
  <c r="E82" i="30"/>
  <c r="E88" i="30" s="1"/>
  <c r="E357" i="30"/>
  <c r="M82" i="30"/>
  <c r="M88" i="30" s="1"/>
  <c r="M357" i="30"/>
  <c r="K208" i="30"/>
  <c r="K214" i="30" s="1"/>
  <c r="K362" i="30"/>
  <c r="S208" i="30"/>
  <c r="S214" i="30" s="1"/>
  <c r="S362" i="30"/>
  <c r="F82" i="30"/>
  <c r="F88" i="30" s="1"/>
  <c r="F357" i="30"/>
  <c r="N82" i="30"/>
  <c r="N88" i="30" s="1"/>
  <c r="N357" i="30"/>
  <c r="L208" i="30"/>
  <c r="L214" i="30" s="1"/>
  <c r="L362" i="30"/>
  <c r="T208" i="30"/>
  <c r="T214" i="30" s="1"/>
  <c r="T362" i="30"/>
  <c r="D331" i="30"/>
  <c r="D330" i="30"/>
  <c r="F265" i="30"/>
  <c r="H268" i="30"/>
  <c r="D327" i="30"/>
  <c r="D328" i="30"/>
  <c r="N253" i="30"/>
  <c r="N266" i="30" s="1"/>
  <c r="S253" i="30"/>
  <c r="S264" i="30" s="1"/>
  <c r="E253" i="30"/>
  <c r="E267" i="30" s="1"/>
  <c r="O265" i="30"/>
  <c r="F264" i="30"/>
  <c r="D253" i="30"/>
  <c r="D267" i="30" s="1"/>
  <c r="D329" i="30"/>
  <c r="F269" i="30"/>
  <c r="P265" i="30"/>
  <c r="F267" i="30"/>
  <c r="O268" i="30"/>
  <c r="H266" i="30"/>
  <c r="H264" i="30"/>
  <c r="M253" i="30"/>
  <c r="M265" i="30" s="1"/>
  <c r="F266" i="30"/>
  <c r="L253" i="30"/>
  <c r="L268" i="30" s="1"/>
  <c r="R253" i="30"/>
  <c r="R264" i="30" s="1"/>
  <c r="I253" i="30"/>
  <c r="I264" i="30" s="1"/>
  <c r="T253" i="30"/>
  <c r="T264" i="30" s="1"/>
  <c r="D294" i="30" s="1"/>
  <c r="O253" i="30"/>
  <c r="O264" i="30" s="1"/>
  <c r="J253" i="30"/>
  <c r="J264" i="30" s="1"/>
  <c r="K253" i="30"/>
  <c r="K264" i="30" s="1"/>
  <c r="Q253" i="30"/>
  <c r="Q264" i="30" s="1"/>
  <c r="J86" i="30"/>
  <c r="AC86" i="30" a="1"/>
  <c r="AC86" i="30" s="1"/>
  <c r="AC92" i="30"/>
  <c r="AI86" i="30" s="1"/>
  <c r="K81" i="30"/>
  <c r="K87" i="30" s="1"/>
  <c r="S81" i="30"/>
  <c r="S87" i="30" s="1"/>
  <c r="F81" i="30"/>
  <c r="F87" i="30" s="1"/>
  <c r="N81" i="30"/>
  <c r="N87" i="30" s="1"/>
  <c r="O207" i="30"/>
  <c r="O213" i="30" s="1"/>
  <c r="E81" i="30"/>
  <c r="E87" i="30" s="1"/>
  <c r="M81" i="30"/>
  <c r="M87" i="30" s="1"/>
  <c r="AI217" i="30"/>
  <c r="AI89" i="30"/>
  <c r="H207" i="30"/>
  <c r="H213" i="30" s="1"/>
  <c r="P207" i="30"/>
  <c r="P213" i="30" s="1"/>
  <c r="AI213" i="30"/>
  <c r="AC221" i="30"/>
  <c r="AI215" i="30" s="1"/>
  <c r="G81" i="30"/>
  <c r="G87" i="30" s="1"/>
  <c r="O81" i="30"/>
  <c r="O87" i="30" s="1"/>
  <c r="K207" i="30"/>
  <c r="K213" i="30" s="1"/>
  <c r="S207" i="30"/>
  <c r="S213" i="30" s="1"/>
  <c r="AC94" i="30"/>
  <c r="AI88" i="30" s="1"/>
  <c r="AC222" i="30"/>
  <c r="AI216" i="30" s="1"/>
  <c r="E207" i="30"/>
  <c r="E213" i="30" s="1"/>
  <c r="M207" i="30"/>
  <c r="M213" i="30" s="1"/>
  <c r="J81" i="30"/>
  <c r="J87" i="30" s="1"/>
  <c r="R81" i="30"/>
  <c r="R87" i="30" s="1"/>
  <c r="AC93" i="30"/>
  <c r="AI87" i="30" s="1"/>
  <c r="F207" i="30"/>
  <c r="F213" i="30" s="1"/>
  <c r="N207" i="30"/>
  <c r="N213" i="30" s="1"/>
  <c r="AK260" i="29"/>
  <c r="T86" i="30"/>
  <c r="AC89" i="30" a="1"/>
  <c r="AC89" i="30" s="1"/>
  <c r="AH89" i="30" s="1"/>
  <c r="Y89" i="30" a="1"/>
  <c r="Y89" i="30" s="1"/>
  <c r="U89" i="30" a="1"/>
  <c r="U89" i="30" s="1"/>
  <c r="AA89" i="30" a="1"/>
  <c r="AA89" i="30" s="1"/>
  <c r="W89" i="30" a="1"/>
  <c r="W89" i="30" s="1"/>
  <c r="Z89" i="30" a="1"/>
  <c r="Z89" i="30" s="1"/>
  <c r="V89" i="30" a="1"/>
  <c r="V89" i="30" s="1"/>
  <c r="AA91" i="30" a="1"/>
  <c r="AA91" i="30" s="1"/>
  <c r="AH247" i="29"/>
  <c r="U248" i="29" a="1"/>
  <c r="U248" i="29" s="1"/>
  <c r="Y248" i="29" a="1"/>
  <c r="Y248" i="29" s="1"/>
  <c r="V258" i="29" a="1"/>
  <c r="V258" i="29" s="1"/>
  <c r="Z258" i="29" a="1"/>
  <c r="Z258" i="29" s="1"/>
  <c r="Z90" i="30" a="1"/>
  <c r="Z90" i="30" s="1"/>
  <c r="V90" i="30" a="1"/>
  <c r="V90" i="30" s="1"/>
  <c r="AB90" i="30" a="1"/>
  <c r="AB90" i="30" s="1"/>
  <c r="X90" i="30" a="1"/>
  <c r="X90" i="30" s="1"/>
  <c r="J90" i="30"/>
  <c r="AA90" i="30" a="1"/>
  <c r="AA90" i="30" s="1"/>
  <c r="W90" i="30" a="1"/>
  <c r="W90" i="30" s="1"/>
  <c r="AA86" i="30" a="1"/>
  <c r="AA86" i="30" s="1"/>
  <c r="J213" i="30"/>
  <c r="P212" i="30"/>
  <c r="AI212" i="30"/>
  <c r="AK259" i="29"/>
  <c r="AK262" i="29"/>
  <c r="Q212" i="30"/>
  <c r="V248" i="29" a="1"/>
  <c r="V248" i="29" s="1"/>
  <c r="Z248" i="29" a="1"/>
  <c r="Z248" i="29" s="1"/>
  <c r="S258" i="29" a="1"/>
  <c r="S258" i="29" s="1"/>
  <c r="W258" i="29" a="1"/>
  <c r="W258" i="29" s="1"/>
  <c r="AA258" i="29" a="1"/>
  <c r="AA258" i="29" s="1"/>
  <c r="I81" i="30"/>
  <c r="I87" i="30" s="1"/>
  <c r="Q81" i="30"/>
  <c r="U90" i="30" a="1"/>
  <c r="U90" i="30" s="1"/>
  <c r="D207" i="30"/>
  <c r="D213" i="30" s="1"/>
  <c r="L207" i="30"/>
  <c r="L213" i="30" s="1"/>
  <c r="T207" i="30"/>
  <c r="T213" i="30" s="1"/>
  <c r="Z212" i="30" a="1"/>
  <c r="Z212" i="30" s="1"/>
  <c r="V212" i="30" a="1"/>
  <c r="V212" i="30" s="1"/>
  <c r="AC212" i="30" a="1"/>
  <c r="AC212" i="30" s="1"/>
  <c r="AH212" i="30" s="1"/>
  <c r="Y212" i="30" a="1"/>
  <c r="Y212" i="30" s="1"/>
  <c r="U212" i="30" a="1"/>
  <c r="U212" i="30" s="1"/>
  <c r="AB212" i="30" a="1"/>
  <c r="AB212" i="30" s="1"/>
  <c r="X212" i="30" a="1"/>
  <c r="X212" i="30" s="1"/>
  <c r="J212" i="30"/>
  <c r="AA212" i="30" a="1"/>
  <c r="AA212" i="30" s="1"/>
  <c r="W212" i="30" a="1"/>
  <c r="W212" i="30" s="1"/>
  <c r="AK206" i="30"/>
  <c r="R212" i="30"/>
  <c r="AK252" i="29"/>
  <c r="X89" i="30" a="1"/>
  <c r="X89" i="30" s="1"/>
  <c r="S212" i="30"/>
  <c r="AB214" i="30" a="1"/>
  <c r="AB214" i="30" s="1"/>
  <c r="X214" i="30" a="1"/>
  <c r="X214" i="30" s="1"/>
  <c r="W248" i="29" a="1"/>
  <c r="W248" i="29" s="1"/>
  <c r="T258" i="29" a="1"/>
  <c r="T258" i="29" s="1"/>
  <c r="AB86" i="30" a="1"/>
  <c r="AB86" i="30" s="1"/>
  <c r="Y90" i="30" a="1"/>
  <c r="Y90" i="30" s="1"/>
  <c r="T212" i="30"/>
  <c r="Z215" i="30" a="1"/>
  <c r="Z215" i="30" s="1"/>
  <c r="V215" i="30" a="1"/>
  <c r="V215" i="30" s="1"/>
  <c r="AC215" i="30" a="1"/>
  <c r="AC215" i="30" s="1"/>
  <c r="AH215" i="30" s="1"/>
  <c r="Y215" i="30" a="1"/>
  <c r="Y215" i="30" s="1"/>
  <c r="U215" i="30" a="1"/>
  <c r="U215" i="30" s="1"/>
  <c r="AB215" i="30" a="1"/>
  <c r="AB215" i="30" s="1"/>
  <c r="X215" i="30" a="1"/>
  <c r="X215" i="30" s="1"/>
  <c r="J215" i="30"/>
  <c r="AA215" i="30" a="1"/>
  <c r="AA215" i="30" s="1"/>
  <c r="W215" i="30" a="1"/>
  <c r="W215" i="30" s="1"/>
  <c r="S248" i="29" a="1"/>
  <c r="S248" i="29" s="1"/>
  <c r="AC251" i="29"/>
  <c r="AC260" i="29"/>
  <c r="AK261" i="29"/>
  <c r="AC96" i="30"/>
  <c r="AI90" i="30" s="1"/>
  <c r="AB91" i="30" a="1"/>
  <c r="AB91" i="30" s="1"/>
  <c r="X91" i="30" a="1"/>
  <c r="X91" i="30" s="1"/>
  <c r="J91" i="30"/>
  <c r="Z91" i="30" a="1"/>
  <c r="Z91" i="30" s="1"/>
  <c r="V91" i="30" a="1"/>
  <c r="V91" i="30" s="1"/>
  <c r="AH91" i="30"/>
  <c r="Y91" i="30" a="1"/>
  <c r="Y91" i="30" s="1"/>
  <c r="U91" i="30" a="1"/>
  <c r="U91" i="30" s="1"/>
  <c r="AB89" i="30" a="1"/>
  <c r="AB89" i="30" s="1"/>
  <c r="W91" i="30" a="1"/>
  <c r="W91" i="30" s="1"/>
  <c r="AB216" i="30" a="1"/>
  <c r="AB216" i="30" s="1"/>
  <c r="X216" i="30" a="1"/>
  <c r="X216" i="30" s="1"/>
  <c r="J216" i="30"/>
  <c r="AA216" i="30" a="1"/>
  <c r="AA216" i="30" s="1"/>
  <c r="W216" i="30" a="1"/>
  <c r="W216" i="30" s="1"/>
  <c r="Z216" i="30" a="1"/>
  <c r="Z216" i="30" s="1"/>
  <c r="V216" i="30" a="1"/>
  <c r="V216" i="30" s="1"/>
  <c r="AC216" i="30" a="1"/>
  <c r="AC216" i="30" s="1"/>
  <c r="AH216" i="30" s="1"/>
  <c r="Y216" i="30" a="1"/>
  <c r="Y216" i="30" s="1"/>
  <c r="U216" i="30" a="1"/>
  <c r="U216" i="30" s="1"/>
  <c r="AA248" i="29" a="1"/>
  <c r="AA248" i="29" s="1"/>
  <c r="T248" i="29" a="1"/>
  <c r="T248" i="29" s="1"/>
  <c r="U258" i="29" a="1"/>
  <c r="U258" i="29" s="1"/>
  <c r="S86" i="30"/>
  <c r="W86" i="30" a="1"/>
  <c r="W86" i="30" s="1"/>
  <c r="J89" i="30"/>
  <c r="AC90" i="30" a="1"/>
  <c r="AC90" i="30" s="1"/>
  <c r="AH90" i="30" s="1"/>
  <c r="AC217" i="30" a="1"/>
  <c r="AC217" i="30" s="1"/>
  <c r="AH217" i="30" s="1"/>
  <c r="Y217" i="30" a="1"/>
  <c r="Y217" i="30" s="1"/>
  <c r="U217" i="30" a="1"/>
  <c r="U217" i="30" s="1"/>
  <c r="AB217" i="30" a="1"/>
  <c r="AB217" i="30" s="1"/>
  <c r="X217" i="30" a="1"/>
  <c r="X217" i="30" s="1"/>
  <c r="J217" i="30"/>
  <c r="AA217" i="30" a="1"/>
  <c r="AA217" i="30" s="1"/>
  <c r="W217" i="30" a="1"/>
  <c r="W217" i="30" s="1"/>
  <c r="Z217" i="30" a="1"/>
  <c r="Z217" i="30" s="1"/>
  <c r="V217" i="30" a="1"/>
  <c r="V217" i="30" s="1"/>
  <c r="AC220" i="30"/>
  <c r="AI214" i="30" s="1"/>
  <c r="U86" i="30" a="1"/>
  <c r="U86" i="30" s="1"/>
  <c r="Y86" i="30" a="1"/>
  <c r="Y86" i="30" s="1"/>
  <c r="AH86" i="30"/>
  <c r="X88" i="30" a="1"/>
  <c r="X88" i="30" s="1"/>
  <c r="AB88" i="30" a="1"/>
  <c r="AB88" i="30" s="1"/>
  <c r="V86" i="30" a="1"/>
  <c r="V86" i="30" s="1"/>
  <c r="Z86" i="30" a="1"/>
  <c r="Z86" i="30" s="1"/>
  <c r="U88" i="30" a="1"/>
  <c r="U88" i="30" s="1"/>
  <c r="Y88" i="30" a="1"/>
  <c r="Y88" i="30" s="1"/>
  <c r="AC88" i="30" a="1"/>
  <c r="AC88" i="30" s="1"/>
  <c r="AH88" i="30" s="1"/>
  <c r="X86" i="30" a="1"/>
  <c r="X86" i="30" s="1"/>
  <c r="W88" i="30" a="1"/>
  <c r="W88" i="30" s="1"/>
  <c r="AA88" i="30" a="1"/>
  <c r="AA88" i="30" s="1"/>
  <c r="P264" i="30" l="1"/>
  <c r="P268" i="30"/>
  <c r="P266" i="30"/>
  <c r="P267" i="30"/>
  <c r="G267" i="30"/>
  <c r="G268" i="30"/>
  <c r="G265" i="30"/>
  <c r="G269" i="30"/>
  <c r="G266" i="30"/>
  <c r="D333" i="30"/>
  <c r="Z88" i="30" a="1"/>
  <c r="Z88" i="30" s="1"/>
  <c r="U214" i="30" a="1"/>
  <c r="U214" i="30" s="1"/>
  <c r="V214" i="30" a="1"/>
  <c r="V214" i="30" s="1"/>
  <c r="Y214" i="30" a="1"/>
  <c r="Y214" i="30" s="1"/>
  <c r="R268" i="30"/>
  <c r="R267" i="30"/>
  <c r="AC214" i="30" a="1"/>
  <c r="AC214" i="30" s="1"/>
  <c r="AH214" i="30" s="1"/>
  <c r="J269" i="30"/>
  <c r="Z214" i="30" a="1"/>
  <c r="Z214" i="30" s="1"/>
  <c r="W214" i="30" a="1"/>
  <c r="W214" i="30" s="1"/>
  <c r="L266" i="30"/>
  <c r="S358" i="30"/>
  <c r="P363" i="30"/>
  <c r="AA214" i="30" a="1"/>
  <c r="AA214" i="30" s="1"/>
  <c r="V88" i="30" a="1"/>
  <c r="V88" i="30" s="1"/>
  <c r="R363" i="30"/>
  <c r="AC369" i="30"/>
  <c r="T363" i="30"/>
  <c r="S363" i="30"/>
  <c r="J268" i="30"/>
  <c r="J267" i="30"/>
  <c r="E364" i="30"/>
  <c r="J266" i="30"/>
  <c r="O266" i="30"/>
  <c r="Q269" i="30"/>
  <c r="K265" i="30"/>
  <c r="Q363" i="30"/>
  <c r="K269" i="30"/>
  <c r="Q268" i="30"/>
  <c r="K267" i="30"/>
  <c r="J265" i="30"/>
  <c r="AM82" i="30"/>
  <c r="O269" i="30"/>
  <c r="K268" i="30"/>
  <c r="I269" i="30"/>
  <c r="AC368" i="30"/>
  <c r="T358" i="30"/>
  <c r="P358" i="30"/>
  <c r="E359" i="30" s="1"/>
  <c r="I265" i="30"/>
  <c r="S266" i="30"/>
  <c r="T265" i="30"/>
  <c r="D295" i="30" s="1"/>
  <c r="I267" i="30"/>
  <c r="S265" i="30"/>
  <c r="Q267" i="30"/>
  <c r="S267" i="30"/>
  <c r="T269" i="30"/>
  <c r="D299" i="30" s="1"/>
  <c r="Q266" i="30"/>
  <c r="S268" i="30"/>
  <c r="E269" i="30"/>
  <c r="E264" i="30"/>
  <c r="E266" i="30"/>
  <c r="E268" i="30"/>
  <c r="M264" i="30"/>
  <c r="M266" i="30"/>
  <c r="M269" i="30"/>
  <c r="M268" i="30"/>
  <c r="R266" i="30"/>
  <c r="I268" i="30"/>
  <c r="T267" i="30"/>
  <c r="D297" i="30" s="1"/>
  <c r="I266" i="30"/>
  <c r="R265" i="30"/>
  <c r="R269" i="30"/>
  <c r="K266" i="30"/>
  <c r="Q265" i="30"/>
  <c r="N269" i="30"/>
  <c r="N268" i="30"/>
  <c r="N265" i="30"/>
  <c r="N267" i="30"/>
  <c r="N264" i="30"/>
  <c r="L264" i="30"/>
  <c r="L269" i="30"/>
  <c r="L267" i="30"/>
  <c r="L265" i="30"/>
  <c r="O267" i="30"/>
  <c r="S269" i="30"/>
  <c r="D266" i="30"/>
  <c r="D268" i="30"/>
  <c r="D269" i="30"/>
  <c r="D264" i="30"/>
  <c r="D265" i="30"/>
  <c r="E265" i="30"/>
  <c r="T266" i="30"/>
  <c r="D296" i="30" s="1"/>
  <c r="T268" i="30"/>
  <c r="D298" i="30" s="1"/>
  <c r="M267" i="30"/>
  <c r="AI82" i="30"/>
  <c r="AN83" i="30"/>
  <c r="AL82" i="30"/>
  <c r="AI206" i="30"/>
  <c r="AJ206" i="30"/>
  <c r="Z213" i="30" a="1"/>
  <c r="Z213" i="30" s="1"/>
  <c r="X213" i="30" a="1"/>
  <c r="X213" i="30" s="1"/>
  <c r="W213" i="30" a="1"/>
  <c r="W213" i="30" s="1"/>
  <c r="AA213" i="30" a="1"/>
  <c r="AA213" i="30" s="1"/>
  <c r="AM206" i="30"/>
  <c r="AL206" i="30"/>
  <c r="X87" i="30" a="1"/>
  <c r="X87" i="30" s="1"/>
  <c r="Q87" i="30"/>
  <c r="AJ82" i="30"/>
  <c r="V87" i="30" a="1"/>
  <c r="V87" i="30" s="1"/>
  <c r="Z87" i="30" a="1"/>
  <c r="Z87" i="30" s="1"/>
  <c r="Y87" i="30" a="1"/>
  <c r="Y87" i="30" s="1"/>
  <c r="AB213" i="30" a="1"/>
  <c r="AB213" i="30" s="1"/>
  <c r="AC87" i="30" a="1"/>
  <c r="AC87" i="30" s="1"/>
  <c r="AH87" i="30" s="1"/>
  <c r="U213" i="30" a="1"/>
  <c r="U213" i="30" s="1"/>
  <c r="U87" i="30" a="1"/>
  <c r="U87" i="30" s="1"/>
  <c r="W87" i="30" a="1"/>
  <c r="W87" i="30" s="1"/>
  <c r="Y213" i="30" a="1"/>
  <c r="Y213" i="30" s="1"/>
  <c r="AK82" i="30"/>
  <c r="AA87" i="30" a="1"/>
  <c r="AA87" i="30" s="1"/>
  <c r="AC213" i="30" a="1"/>
  <c r="AC213" i="30" s="1"/>
  <c r="AH213" i="30" s="1"/>
  <c r="AB87" i="30" a="1"/>
  <c r="AB87" i="30" s="1"/>
  <c r="AN207" i="30"/>
  <c r="V213" i="30" a="1"/>
  <c r="V213" i="30" s="1"/>
  <c r="E49" i="25" l="1"/>
  <c r="E17" i="27"/>
  <c r="F17" i="27"/>
  <c r="G17" i="27"/>
  <c r="H17" i="27"/>
  <c r="I17" i="27"/>
  <c r="J17" i="27"/>
  <c r="K17" i="27"/>
  <c r="L17" i="27"/>
  <c r="M17" i="27"/>
  <c r="N17" i="27"/>
  <c r="O17" i="27"/>
  <c r="P17" i="27"/>
  <c r="Q17" i="27"/>
  <c r="R17" i="27"/>
  <c r="S17" i="27"/>
  <c r="T17" i="27"/>
  <c r="F16" i="27"/>
  <c r="G16" i="27"/>
  <c r="H16" i="27"/>
  <c r="I16" i="27"/>
  <c r="J16" i="27"/>
  <c r="K16" i="27"/>
  <c r="L16" i="27"/>
  <c r="M16" i="27"/>
  <c r="N16" i="27"/>
  <c r="O16" i="27"/>
  <c r="P16" i="27"/>
  <c r="Q16" i="27"/>
  <c r="R16" i="27"/>
  <c r="S16" i="27"/>
  <c r="T16" i="27"/>
  <c r="F18" i="27"/>
  <c r="G18" i="27"/>
  <c r="H18" i="27"/>
  <c r="I18" i="27"/>
  <c r="J18" i="27"/>
  <c r="K18" i="27"/>
  <c r="L18" i="27"/>
  <c r="M18" i="27"/>
  <c r="N18" i="27"/>
  <c r="O18" i="27"/>
  <c r="P18" i="27"/>
  <c r="Q18" i="27"/>
  <c r="R18" i="27"/>
  <c r="S18" i="27"/>
  <c r="T18" i="27"/>
  <c r="E18" i="27"/>
  <c r="E16" i="27"/>
  <c r="D11" i="27"/>
  <c r="D12" i="27"/>
  <c r="D13" i="27"/>
  <c r="D14" i="27"/>
  <c r="D10" i="27"/>
  <c r="E11" i="27"/>
  <c r="F11" i="27"/>
  <c r="G11" i="27"/>
  <c r="H11" i="27"/>
  <c r="I11" i="27"/>
  <c r="J11" i="27"/>
  <c r="K11" i="27"/>
  <c r="L11" i="27"/>
  <c r="M11" i="27"/>
  <c r="N11" i="27"/>
  <c r="O11" i="27"/>
  <c r="P11" i="27"/>
  <c r="Q11" i="27"/>
  <c r="R11" i="27"/>
  <c r="S11" i="27"/>
  <c r="T11" i="27"/>
  <c r="E12" i="27"/>
  <c r="F12" i="27"/>
  <c r="G12" i="27"/>
  <c r="H12" i="27"/>
  <c r="I12" i="27"/>
  <c r="J12" i="27"/>
  <c r="K12" i="27"/>
  <c r="L12" i="27"/>
  <c r="M12" i="27"/>
  <c r="N12" i="27"/>
  <c r="O12" i="27"/>
  <c r="P12" i="27"/>
  <c r="Q12" i="27"/>
  <c r="R12" i="27"/>
  <c r="S12" i="27"/>
  <c r="T12" i="27"/>
  <c r="E13" i="27"/>
  <c r="F13" i="27"/>
  <c r="G13" i="27"/>
  <c r="H13" i="27"/>
  <c r="I13" i="27"/>
  <c r="J13" i="27"/>
  <c r="K13" i="27"/>
  <c r="L13" i="27"/>
  <c r="M13" i="27"/>
  <c r="N13" i="27"/>
  <c r="O13" i="27"/>
  <c r="P13" i="27"/>
  <c r="Q13" i="27"/>
  <c r="R13" i="27"/>
  <c r="S13" i="27"/>
  <c r="E14" i="27"/>
  <c r="F14" i="27"/>
  <c r="G14" i="27"/>
  <c r="H14" i="27"/>
  <c r="I14" i="27"/>
  <c r="J14" i="27"/>
  <c r="K14" i="27"/>
  <c r="L14" i="27"/>
  <c r="M14" i="27"/>
  <c r="N14" i="27"/>
  <c r="O14" i="27"/>
  <c r="P14" i="27"/>
  <c r="Q14" i="27"/>
  <c r="R14" i="27"/>
  <c r="S14" i="27"/>
  <c r="T14" i="27"/>
  <c r="F10" i="27"/>
  <c r="G10" i="27"/>
  <c r="H10" i="27"/>
  <c r="I10" i="27"/>
  <c r="J10" i="27"/>
  <c r="K10" i="27"/>
  <c r="L10" i="27"/>
  <c r="M10" i="27"/>
  <c r="N10" i="27"/>
  <c r="O10" i="27"/>
  <c r="P10" i="27"/>
  <c r="Q10" i="27"/>
  <c r="R10" i="27"/>
  <c r="S10" i="27"/>
  <c r="T10" i="27"/>
  <c r="E10" i="27"/>
  <c r="D5" i="27"/>
  <c r="D6" i="27"/>
  <c r="D4" i="27"/>
  <c r="G56" i="25"/>
  <c r="H56" i="25"/>
  <c r="I56" i="25"/>
  <c r="J56" i="25"/>
  <c r="K56" i="25"/>
  <c r="L56" i="25"/>
  <c r="M56" i="25"/>
  <c r="N56" i="25"/>
  <c r="O56" i="25"/>
  <c r="P56" i="25"/>
  <c r="Q56" i="25"/>
  <c r="R56" i="25"/>
  <c r="S56" i="25"/>
  <c r="T56" i="25"/>
  <c r="F56" i="25"/>
  <c r="F58" i="25" s="1"/>
  <c r="F49" i="25"/>
  <c r="G49" i="25"/>
  <c r="G55" i="25" s="1"/>
  <c r="H49" i="25"/>
  <c r="H55" i="25" s="1"/>
  <c r="I49" i="25"/>
  <c r="I55" i="25" s="1"/>
  <c r="J49" i="25"/>
  <c r="K49" i="25"/>
  <c r="K55" i="25" s="1"/>
  <c r="L49" i="25"/>
  <c r="M49" i="25"/>
  <c r="M55" i="25" s="1"/>
  <c r="N49" i="25"/>
  <c r="O49" i="25"/>
  <c r="P49" i="25"/>
  <c r="Q49" i="25"/>
  <c r="Q55" i="25" s="1"/>
  <c r="R49" i="25"/>
  <c r="S49" i="25"/>
  <c r="S55" i="25" s="1"/>
  <c r="T49" i="25"/>
  <c r="D47" i="25"/>
  <c r="D51" i="25" s="1"/>
  <c r="D48" i="25"/>
  <c r="D46" i="25"/>
  <c r="K30" i="24"/>
  <c r="L30" i="24"/>
  <c r="M30" i="24"/>
  <c r="N30" i="24"/>
  <c r="O30" i="24"/>
  <c r="P30" i="24"/>
  <c r="Q30" i="24"/>
  <c r="R30" i="24"/>
  <c r="S30" i="24"/>
  <c r="T30" i="24"/>
  <c r="F28" i="24"/>
  <c r="G28" i="24"/>
  <c r="H28" i="24"/>
  <c r="I28" i="24"/>
  <c r="J28" i="24"/>
  <c r="K28" i="24"/>
  <c r="L28" i="24"/>
  <c r="M28" i="24"/>
  <c r="N28" i="24"/>
  <c r="O28" i="24"/>
  <c r="P28" i="24"/>
  <c r="Q28" i="24"/>
  <c r="R28" i="24"/>
  <c r="S28" i="24"/>
  <c r="T28" i="24"/>
  <c r="E28" i="24"/>
  <c r="F26" i="24"/>
  <c r="G26" i="24"/>
  <c r="H26" i="24"/>
  <c r="I26" i="24"/>
  <c r="J26" i="24"/>
  <c r="K26" i="24"/>
  <c r="L26" i="24"/>
  <c r="M26" i="24"/>
  <c r="N26" i="24"/>
  <c r="O26" i="24"/>
  <c r="P26" i="24"/>
  <c r="Q26" i="24"/>
  <c r="R26" i="24"/>
  <c r="S26" i="24"/>
  <c r="T26" i="24"/>
  <c r="E26" i="24"/>
  <c r="S29" i="24"/>
  <c r="Q29" i="24"/>
  <c r="R29" i="24"/>
  <c r="F29" i="24"/>
  <c r="G29" i="24"/>
  <c r="H29" i="24"/>
  <c r="I29" i="24"/>
  <c r="J29" i="24"/>
  <c r="K29" i="24"/>
  <c r="L29" i="24"/>
  <c r="M29" i="24"/>
  <c r="N29" i="24"/>
  <c r="O29" i="24"/>
  <c r="P29" i="24"/>
  <c r="E29" i="24"/>
  <c r="F8" i="25"/>
  <c r="G8" i="25"/>
  <c r="H8" i="25"/>
  <c r="I8" i="25"/>
  <c r="J8" i="25"/>
  <c r="K8" i="25"/>
  <c r="L8" i="25"/>
  <c r="M8" i="25"/>
  <c r="N8" i="25"/>
  <c r="O8" i="25"/>
  <c r="P8" i="25"/>
  <c r="Q8" i="25"/>
  <c r="R8" i="25"/>
  <c r="S8" i="25"/>
  <c r="T8" i="25"/>
  <c r="E8" i="25"/>
  <c r="L6" i="24"/>
  <c r="M6" i="24"/>
  <c r="N6" i="24"/>
  <c r="O6" i="24"/>
  <c r="P6" i="24"/>
  <c r="E15" i="24"/>
  <c r="E27" i="24" s="1"/>
  <c r="F15" i="24"/>
  <c r="G15" i="24"/>
  <c r="H15" i="24"/>
  <c r="I15" i="24"/>
  <c r="I27" i="24" s="1"/>
  <c r="J15" i="24"/>
  <c r="J27" i="24" s="1"/>
  <c r="K15" i="24"/>
  <c r="L15" i="24"/>
  <c r="M15" i="24"/>
  <c r="M27" i="24" s="1"/>
  <c r="N15" i="24"/>
  <c r="O15" i="24"/>
  <c r="P15" i="24"/>
  <c r="F25" i="24"/>
  <c r="G25" i="24"/>
  <c r="H25" i="24"/>
  <c r="I25" i="24"/>
  <c r="J25" i="24"/>
  <c r="K25" i="24"/>
  <c r="L25" i="24"/>
  <c r="M25" i="24"/>
  <c r="N25" i="24"/>
  <c r="O25" i="24"/>
  <c r="P25" i="24"/>
  <c r="H27" i="24"/>
  <c r="R38" i="24"/>
  <c r="R39" i="24"/>
  <c r="M56" i="24" l="1"/>
  <c r="L27" i="24"/>
  <c r="K27" i="24"/>
  <c r="O27" i="24"/>
  <c r="G27" i="24"/>
  <c r="P27" i="24"/>
  <c r="P56" i="24" s="1"/>
  <c r="N27" i="24"/>
  <c r="N56" i="24" s="1"/>
  <c r="F27" i="24"/>
  <c r="O55" i="25"/>
  <c r="N55" i="25"/>
  <c r="F55" i="25"/>
  <c r="P55" i="25"/>
  <c r="V57" i="25"/>
  <c r="L55" i="25"/>
  <c r="R55" i="25"/>
  <c r="J55" i="25"/>
  <c r="F57" i="25" s="1"/>
  <c r="T55" i="25"/>
  <c r="I56" i="21"/>
  <c r="N56" i="21"/>
  <c r="S56" i="21"/>
  <c r="X56" i="21"/>
  <c r="AC56" i="21"/>
  <c r="AH56" i="21"/>
  <c r="AM56" i="21"/>
  <c r="AR56" i="21"/>
  <c r="AW56" i="21"/>
  <c r="D56" i="21"/>
  <c r="T14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D25" i="21"/>
  <c r="AM24" i="21"/>
  <c r="O56" i="24" l="1"/>
  <c r="L56" i="24"/>
  <c r="D57" i="24" s="1"/>
  <c r="AZ6" i="17"/>
  <c r="BA6" i="17" s="1"/>
  <c r="E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O59" i="21" l="1"/>
  <c r="T59" i="21"/>
  <c r="H59" i="21"/>
  <c r="N59" i="21"/>
  <c r="M59" i="21"/>
  <c r="L59" i="21"/>
  <c r="K59" i="21"/>
  <c r="R59" i="21"/>
  <c r="J59" i="21"/>
  <c r="S59" i="21"/>
  <c r="Q59" i="21"/>
  <c r="I59" i="21"/>
  <c r="P59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Q16" i="21" s="1"/>
  <c r="R15" i="21"/>
  <c r="R16" i="21" s="1"/>
  <c r="S16" i="21"/>
  <c r="T15" i="21"/>
  <c r="D15" i="21"/>
  <c r="B3" i="21" l="1"/>
  <c r="B2" i="21"/>
  <c r="J16" i="21"/>
  <c r="N64" i="21"/>
  <c r="E16" i="21"/>
  <c r="I64" i="21"/>
  <c r="I16" i="21"/>
  <c r="M64" i="21"/>
  <c r="H16" i="21"/>
  <c r="L64" i="21"/>
  <c r="L65" i="21" s="1"/>
  <c r="G16" i="21"/>
  <c r="K64" i="21"/>
  <c r="K65" i="21" s="1"/>
  <c r="N16" i="21"/>
  <c r="R64" i="21"/>
  <c r="M16" i="21"/>
  <c r="Q64" i="21"/>
  <c r="P16" i="21"/>
  <c r="T64" i="21"/>
  <c r="T65" i="21" s="1"/>
  <c r="O16" i="21"/>
  <c r="S64" i="21"/>
  <c r="S65" i="21" s="1"/>
  <c r="F16" i="21"/>
  <c r="J64" i="21"/>
  <c r="H64" i="21"/>
  <c r="L16" i="21"/>
  <c r="P64" i="21"/>
  <c r="P65" i="21" s="1"/>
  <c r="K16" i="21"/>
  <c r="O64" i="21"/>
  <c r="D16" i="21"/>
  <c r="T16" i="21"/>
  <c r="T62" i="21"/>
  <c r="D57" i="21"/>
  <c r="Q62" i="21"/>
  <c r="E62" i="21"/>
  <c r="F62" i="21"/>
  <c r="J62" i="21"/>
  <c r="M62" i="21"/>
  <c r="N62" i="21"/>
  <c r="R62" i="21"/>
  <c r="D62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AC109" i="17"/>
  <c r="AC118" i="17" s="1"/>
  <c r="AC108" i="17"/>
  <c r="AC117" i="17" s="1"/>
  <c r="AC107" i="17"/>
  <c r="AC116" i="17" s="1"/>
  <c r="AC106" i="17"/>
  <c r="AC115" i="17" s="1"/>
  <c r="AC105" i="17"/>
  <c r="AC114" i="17" s="1"/>
  <c r="AC104" i="17"/>
  <c r="AC113" i="17" s="1"/>
  <c r="AC103" i="17"/>
  <c r="AC112" i="17" s="1"/>
  <c r="T104" i="17"/>
  <c r="T113" i="17" s="1"/>
  <c r="T105" i="17"/>
  <c r="T114" i="17" s="1"/>
  <c r="T106" i="17"/>
  <c r="T115" i="17" s="1"/>
  <c r="T107" i="17"/>
  <c r="T116" i="17" s="1"/>
  <c r="T108" i="17"/>
  <c r="T117" i="17" s="1"/>
  <c r="T109" i="17"/>
  <c r="T118" i="17" s="1"/>
  <c r="T103" i="17"/>
  <c r="N60" i="21" l="1"/>
  <c r="I62" i="21"/>
  <c r="T60" i="21"/>
  <c r="O65" i="21"/>
  <c r="K60" i="21"/>
  <c r="N65" i="21"/>
  <c r="H60" i="21"/>
  <c r="M65" i="21"/>
  <c r="L62" i="21"/>
  <c r="H65" i="21"/>
  <c r="R65" i="21"/>
  <c r="J65" i="21"/>
  <c r="S62" i="21"/>
  <c r="K62" i="21"/>
  <c r="Q65" i="21"/>
  <c r="I65" i="21"/>
  <c r="P62" i="21"/>
  <c r="H62" i="21"/>
  <c r="O62" i="21"/>
  <c r="G62" i="21"/>
  <c r="J60" i="21"/>
  <c r="S60" i="21"/>
  <c r="R60" i="21"/>
  <c r="Q60" i="21"/>
  <c r="I60" i="21"/>
  <c r="M60" i="21"/>
  <c r="P60" i="21"/>
  <c r="L60" i="21"/>
  <c r="O60" i="21"/>
  <c r="T120" i="17"/>
  <c r="T112" i="17"/>
  <c r="AC84" i="17" l="1"/>
  <c r="AC83" i="17"/>
  <c r="AC9" i="17" s="1"/>
  <c r="A4" i="17"/>
  <c r="N76" i="17" l="1"/>
  <c r="N74" i="17"/>
  <c r="N75" i="17"/>
  <c r="N62" i="17"/>
  <c r="N4" i="17" s="1"/>
  <c r="T64" i="17"/>
  <c r="T63" i="17"/>
  <c r="T5" i="17" s="1"/>
  <c r="T62" i="17"/>
  <c r="T4" i="17" s="1"/>
  <c r="S64" i="17"/>
  <c r="S63" i="17"/>
  <c r="S62" i="17"/>
  <c r="S4" i="17" s="1"/>
  <c r="R64" i="17"/>
  <c r="R63" i="17"/>
  <c r="R5" i="17" s="1"/>
  <c r="R62" i="17"/>
  <c r="R4" i="17" s="1"/>
  <c r="R3" i="17" s="1"/>
  <c r="Q64" i="17"/>
  <c r="Q63" i="17"/>
  <c r="Q5" i="17" s="1"/>
  <c r="Q62" i="17"/>
  <c r="Q4" i="17" s="1"/>
  <c r="P64" i="17"/>
  <c r="P63" i="17"/>
  <c r="P5" i="17" s="1"/>
  <c r="P62" i="17"/>
  <c r="P4" i="17" s="1"/>
  <c r="O64" i="17"/>
  <c r="O63" i="17"/>
  <c r="O5" i="17" s="1"/>
  <c r="O62" i="17"/>
  <c r="O4" i="17" s="1"/>
  <c r="O3" i="17" s="1"/>
  <c r="M64" i="17"/>
  <c r="M63" i="17"/>
  <c r="M5" i="17" s="1"/>
  <c r="M62" i="17"/>
  <c r="M4" i="17" s="1"/>
  <c r="L64" i="17"/>
  <c r="L63" i="17"/>
  <c r="L5" i="17" s="1"/>
  <c r="L62" i="17"/>
  <c r="L4" i="17" s="1"/>
  <c r="L3" i="17" s="1"/>
  <c r="K64" i="17"/>
  <c r="K63" i="17"/>
  <c r="K5" i="17" s="1"/>
  <c r="K62" i="17"/>
  <c r="K4" i="17" s="1"/>
  <c r="K3" i="17" s="1"/>
  <c r="J64" i="17"/>
  <c r="J63" i="17"/>
  <c r="J62" i="17"/>
  <c r="J4" i="17" s="1"/>
  <c r="I64" i="17"/>
  <c r="I63" i="17"/>
  <c r="I5" i="17" s="1"/>
  <c r="I62" i="17"/>
  <c r="I4" i="17" s="1"/>
  <c r="I3" i="17" s="1"/>
  <c r="H64" i="17"/>
  <c r="H63" i="17"/>
  <c r="H5" i="17" s="1"/>
  <c r="H62" i="17"/>
  <c r="H4" i="17" s="1"/>
  <c r="H3" i="17" s="1"/>
  <c r="G64" i="17"/>
  <c r="G63" i="17"/>
  <c r="G5" i="17" s="1"/>
  <c r="G62" i="17"/>
  <c r="G4" i="17" s="1"/>
  <c r="G3" i="17" s="1"/>
  <c r="F64" i="17"/>
  <c r="F63" i="17"/>
  <c r="F5" i="17" s="1"/>
  <c r="F62" i="17"/>
  <c r="F4" i="17" s="1"/>
  <c r="F3" i="17" s="1"/>
  <c r="E64" i="17"/>
  <c r="E63" i="17"/>
  <c r="E5" i="17" s="1"/>
  <c r="E62" i="17"/>
  <c r="E4" i="17" s="1"/>
  <c r="D64" i="17"/>
  <c r="D63" i="17"/>
  <c r="D5" i="17" s="1"/>
  <c r="D3" i="17" s="1"/>
  <c r="N64" i="17"/>
  <c r="N63" i="17"/>
  <c r="N5" i="17" s="1"/>
  <c r="C12" i="19"/>
  <c r="C13" i="19" s="1"/>
  <c r="C14" i="19" s="1"/>
  <c r="Q3" i="17" l="1"/>
  <c r="T3" i="17"/>
  <c r="N3" i="17"/>
  <c r="P3" i="17"/>
  <c r="S3" i="17"/>
  <c r="E3" i="17"/>
  <c r="J5" i="17"/>
  <c r="J3" i="17" s="1"/>
  <c r="M3" i="17"/>
  <c r="S5" i="17"/>
  <c r="AW80" i="17"/>
  <c r="AM80" i="17"/>
  <c r="AW79" i="17"/>
  <c r="AW7" i="17" s="1"/>
  <c r="AM79" i="17"/>
  <c r="AM7" i="17" s="1"/>
  <c r="AW88" i="17"/>
  <c r="BA88" i="17"/>
  <c r="BA87" i="17"/>
  <c r="AW87" i="17"/>
  <c r="E326" i="30"/>
  <c r="H328" i="30"/>
  <c r="E329" i="30"/>
  <c r="H329" i="30"/>
  <c r="E330" i="30"/>
  <c r="H327" i="30"/>
  <c r="H330" i="30"/>
  <c r="E331" i="30"/>
  <c r="E328" i="30"/>
  <c r="H331" i="30"/>
  <c r="H326" i="30"/>
  <c r="E327" i="30"/>
  <c r="J53" i="25"/>
  <c r="R53" i="25"/>
  <c r="K51" i="25"/>
  <c r="K52" i="25" s="1"/>
  <c r="S51" i="25"/>
  <c r="S52" i="25" s="1"/>
  <c r="N53" i="25"/>
  <c r="O51" i="25"/>
  <c r="O52" i="25" s="1"/>
  <c r="G53" i="25"/>
  <c r="K53" i="25"/>
  <c r="S53" i="25"/>
  <c r="L51" i="25"/>
  <c r="L52" i="25" s="1"/>
  <c r="T51" i="25"/>
  <c r="T52" i="25" s="1"/>
  <c r="F53" i="25"/>
  <c r="O53" i="25"/>
  <c r="E53" i="25"/>
  <c r="L53" i="25"/>
  <c r="T53" i="25"/>
  <c r="M51" i="25"/>
  <c r="M52" i="25" s="1"/>
  <c r="E51" i="25"/>
  <c r="E52" i="25" s="1"/>
  <c r="M53" i="25"/>
  <c r="F51" i="25"/>
  <c r="F52" i="25" s="1"/>
  <c r="N51" i="25"/>
  <c r="N52" i="25" s="1"/>
  <c r="G51" i="25"/>
  <c r="G52" i="25" s="1"/>
  <c r="P51" i="25"/>
  <c r="P52" i="25" s="1"/>
  <c r="H53" i="25"/>
  <c r="P53" i="25"/>
  <c r="I51" i="25"/>
  <c r="I52" i="25" s="1"/>
  <c r="Q51" i="25"/>
  <c r="Q52" i="25" s="1"/>
  <c r="I53" i="25"/>
  <c r="Q53" i="25"/>
  <c r="J51" i="25"/>
  <c r="J52" i="25" s="1"/>
  <c r="R51" i="25"/>
  <c r="R52" i="25" s="1"/>
  <c r="H51" i="25"/>
  <c r="H52" i="25" s="1"/>
  <c r="AC95" i="21"/>
  <c r="AC96" i="21"/>
  <c r="AC17" i="21" s="1"/>
  <c r="AC97" i="21"/>
  <c r="AC94" i="21"/>
  <c r="AC19" i="21" s="1"/>
  <c r="D27" i="17"/>
  <c r="T67" i="17"/>
  <c r="T70" i="17" s="1"/>
  <c r="L67" i="17"/>
  <c r="L70" i="17" s="1"/>
  <c r="D67" i="17"/>
  <c r="S67" i="17"/>
  <c r="S70" i="17" s="1"/>
  <c r="K67" i="17"/>
  <c r="K70" i="17" s="1"/>
  <c r="N67" i="17"/>
  <c r="N70" i="17" s="1"/>
  <c r="R67" i="17"/>
  <c r="R70" i="17" s="1"/>
  <c r="J67" i="17"/>
  <c r="J70" i="17" s="1"/>
  <c r="O67" i="17"/>
  <c r="O70" i="17" s="1"/>
  <c r="Q67" i="17"/>
  <c r="Q70" i="17" s="1"/>
  <c r="I67" i="17"/>
  <c r="I70" i="17" s="1"/>
  <c r="E67" i="17"/>
  <c r="E70" i="17" s="1"/>
  <c r="P67" i="17"/>
  <c r="P70" i="17" s="1"/>
  <c r="H67" i="17"/>
  <c r="H70" i="17" s="1"/>
  <c r="G67" i="17"/>
  <c r="G70" i="17" s="1"/>
  <c r="F67" i="17"/>
  <c r="F70" i="17" s="1"/>
  <c r="M67" i="17"/>
  <c r="M70" i="17" s="1"/>
  <c r="L66" i="17"/>
  <c r="L69" i="17" s="1"/>
  <c r="T66" i="17"/>
  <c r="T69" i="17" s="1"/>
  <c r="E66" i="17"/>
  <c r="E69" i="17" s="1"/>
  <c r="M66" i="17"/>
  <c r="M69" i="17" s="1"/>
  <c r="D66" i="17"/>
  <c r="K66" i="17"/>
  <c r="K69" i="17" s="1"/>
  <c r="F66" i="17"/>
  <c r="F69" i="17" s="1"/>
  <c r="N66" i="17"/>
  <c r="N69" i="17" s="1"/>
  <c r="R66" i="17"/>
  <c r="R69" i="17" s="1"/>
  <c r="G66" i="17"/>
  <c r="G69" i="17" s="1"/>
  <c r="O66" i="17"/>
  <c r="O69" i="17" s="1"/>
  <c r="I66" i="17"/>
  <c r="I69" i="17" s="1"/>
  <c r="Q66" i="17"/>
  <c r="Q69" i="17" s="1"/>
  <c r="J66" i="17"/>
  <c r="J69" i="17" s="1"/>
  <c r="H66" i="17"/>
  <c r="H69" i="17" s="1"/>
  <c r="P66" i="17"/>
  <c r="P69" i="17" s="1"/>
  <c r="S66" i="17"/>
  <c r="S69" i="17" s="1"/>
  <c r="AW10" i="17" l="1"/>
  <c r="D2" i="21"/>
  <c r="F2" i="21"/>
  <c r="AC18" i="21"/>
  <c r="AC67" i="21" s="1"/>
  <c r="C3" i="21"/>
  <c r="E3" i="21"/>
  <c r="C2" i="21"/>
  <c r="E2" i="21"/>
  <c r="AC100" i="21"/>
  <c r="D3" i="21"/>
  <c r="F3" i="21"/>
  <c r="B74" i="21"/>
  <c r="AZ5" i="17"/>
  <c r="BA5" i="17" s="1"/>
  <c r="AZ4" i="17"/>
  <c r="BA4" i="17" s="1"/>
  <c r="AW8" i="17"/>
  <c r="H333" i="30"/>
  <c r="AC20" i="21"/>
  <c r="E333" i="30"/>
  <c r="B79" i="21"/>
  <c r="AC68" i="21"/>
  <c r="AM8" i="17"/>
  <c r="K24" i="17"/>
  <c r="Q24" i="17"/>
  <c r="S24" i="17"/>
  <c r="J24" i="17"/>
  <c r="M24" i="17"/>
  <c r="G24" i="17"/>
  <c r="R24" i="17"/>
  <c r="I24" i="17"/>
  <c r="P24" i="17"/>
  <c r="H24" i="17"/>
  <c r="L24" i="17"/>
  <c r="F24" i="17"/>
  <c r="AC99" i="21"/>
  <c r="N24" i="17"/>
  <c r="AW11" i="17"/>
  <c r="X17" i="17"/>
  <c r="AC17" i="17"/>
  <c r="D26" i="17" l="1"/>
  <c r="D28" i="17"/>
  <c r="E24" i="17"/>
  <c r="D25" i="17"/>
  <c r="T24" i="17"/>
  <c r="AZ3" i="17"/>
  <c r="BA3" i="17" s="1"/>
  <c r="O24" i="17"/>
  <c r="B80" i="21"/>
  <c r="B75" i="21"/>
  <c r="AD11" i="17"/>
  <c r="AW20" i="17"/>
  <c r="AE11" i="17" l="1"/>
  <c r="AF11" i="17" s="1"/>
  <c r="AG11" i="17" s="1"/>
  <c r="AH11" i="17" s="1"/>
  <c r="AI11" i="17" s="1"/>
  <c r="AJ11" i="17" s="1"/>
  <c r="AK11" i="17" s="1"/>
  <c r="AL11" i="17" s="1"/>
  <c r="AM11" i="17" s="1"/>
  <c r="AN11" i="17" s="1"/>
  <c r="AO11" i="17" s="1"/>
  <c r="AP11" i="17" s="1"/>
  <c r="AQ11" i="17" s="1"/>
  <c r="AR11" i="17" s="1"/>
  <c r="AS11" i="17" s="1"/>
  <c r="AT11" i="17" s="1"/>
  <c r="AU11" i="17" s="1"/>
  <c r="AV11" i="17" s="1"/>
  <c r="D30" i="17"/>
  <c r="E29" i="17"/>
  <c r="AC69" i="2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Pieter Lemmens</author>
  </authors>
  <commentList>
    <comment ref="S28" authorId="0" shapeId="0" xr:uid="{A49CFFEB-B024-4A12-8A3B-3E396BBC6E8C}">
      <text>
        <r>
          <rPr>
            <b/>
            <sz val="9"/>
            <color indexed="81"/>
            <rFont val="Tahoma"/>
            <family val="2"/>
          </rPr>
          <t>Pieter Lemmens:</t>
        </r>
        <r>
          <rPr>
            <sz val="9"/>
            <color indexed="81"/>
            <rFont val="Tahoma"/>
            <family val="2"/>
          </rPr>
          <t xml:space="preserve">
2022 data based on EHPA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<sst xmlns="http://schemas.openxmlformats.org/spreadsheetml/2006/main" count="1734" uniqueCount="490">
  <si>
    <t>Font and colours:</t>
  </si>
  <si>
    <t xml:space="preserve">Segoe UI, size 8 </t>
  </si>
  <si>
    <t>Signature colour</t>
  </si>
  <si>
    <t>Transparency: 90%</t>
  </si>
  <si>
    <t>High width: 2.25 pt</t>
  </si>
  <si>
    <t>Low width: 0.25 pt</t>
  </si>
  <si>
    <t>Primary colour palette</t>
  </si>
  <si>
    <t>CO2e emissions factors</t>
  </si>
  <si>
    <t>Named Reference Name</t>
  </si>
  <si>
    <t>Rationale</t>
  </si>
  <si>
    <t>CH4</t>
  </si>
  <si>
    <t>CH4fact</t>
  </si>
  <si>
    <t>Table 8.A.1 of IPCC AR5 - the official common metric as per Glasgow CMA decision and EU regulations</t>
  </si>
  <si>
    <t>N2O</t>
  </si>
  <si>
    <t>N2Ofact</t>
  </si>
  <si>
    <t>CH4 (AR4)</t>
  </si>
  <si>
    <t>Unit conversions</t>
  </si>
  <si>
    <t xml:space="preserve">Usually from: https://www.convert-measurement-units.com/ </t>
  </si>
  <si>
    <t>oil equivalent to Watt hours</t>
  </si>
  <si>
    <t>1 toe =</t>
  </si>
  <si>
    <t>MWh</t>
  </si>
  <si>
    <t>1 ktoe =</t>
  </si>
  <si>
    <t>TWh</t>
  </si>
  <si>
    <t>1Mtoe =</t>
  </si>
  <si>
    <t>joules to Watt hours</t>
  </si>
  <si>
    <t>1 EJ =</t>
  </si>
  <si>
    <t>Total buildings</t>
  </si>
  <si>
    <t>Source</t>
  </si>
  <si>
    <t>Unit</t>
  </si>
  <si>
    <t>2005</t>
  </si>
  <si>
    <t>2010</t>
  </si>
  <si>
    <t>2015</t>
  </si>
  <si>
    <t>2020</t>
  </si>
  <si>
    <t>2021 vs 2005</t>
  </si>
  <si>
    <t>Total</t>
  </si>
  <si>
    <t>Calculated</t>
  </si>
  <si>
    <t>Mt CO2e</t>
  </si>
  <si>
    <t>Inventory CRFs (see below)</t>
  </si>
  <si>
    <t>Tertiary</t>
  </si>
  <si>
    <r>
      <t xml:space="preserve">2040 advice minimum </t>
    </r>
    <r>
      <rPr>
        <vertAlign val="superscript"/>
        <sz val="11"/>
        <color theme="1"/>
        <rFont val="Segoe UI"/>
        <family val="2"/>
        <scheme val="minor"/>
      </rPr>
      <t>(1)</t>
    </r>
  </si>
  <si>
    <t>2040 advice scenarios</t>
  </si>
  <si>
    <t>2030 benchmark</t>
  </si>
  <si>
    <t>2050 benchmark</t>
  </si>
  <si>
    <t>linear trajectory to benchmark</t>
  </si>
  <si>
    <t>Data for summary sheet at end of chapter</t>
  </si>
  <si>
    <t>Y-on-y reduction</t>
  </si>
  <si>
    <t>2005-2022</t>
  </si>
  <si>
    <t>calculated</t>
  </si>
  <si>
    <t>2017-2021</t>
  </si>
  <si>
    <t>2018-2022</t>
  </si>
  <si>
    <t>2022-2030</t>
  </si>
  <si>
    <t>2023-2030</t>
  </si>
  <si>
    <t>2031-2050</t>
  </si>
  <si>
    <t>Indicator B1</t>
  </si>
  <si>
    <t>Historical inventory data</t>
  </si>
  <si>
    <t>EU27</t>
  </si>
  <si>
    <t>2006</t>
  </si>
  <si>
    <t>2007</t>
  </si>
  <si>
    <t>2008</t>
  </si>
  <si>
    <t>2009</t>
  </si>
  <si>
    <t>2011</t>
  </si>
  <si>
    <t>2012</t>
  </si>
  <si>
    <t>2013</t>
  </si>
  <si>
    <t>2014</t>
  </si>
  <si>
    <t>2016</t>
  </si>
  <si>
    <t>2017</t>
  </si>
  <si>
    <t>2018</t>
  </si>
  <si>
    <t>2019</t>
  </si>
  <si>
    <t>Residential</t>
  </si>
  <si>
    <t>CRF Table 1.A(a)s4</t>
  </si>
  <si>
    <t>Agriculture and fisheries - energy</t>
  </si>
  <si>
    <t>absolute change vs 2005</t>
  </si>
  <si>
    <t>% change vs 2005</t>
  </si>
  <si>
    <t>UK (in case needed for downscaling EU28)</t>
  </si>
  <si>
    <t>2040 advice: adjusted upwards (because REMIND final energy service sector does not include agriculture and fisheries)</t>
  </si>
  <si>
    <t>Residential &amp; Commercial (min)</t>
  </si>
  <si>
    <t>ESABCC database, CO2 only. Adjusted to remove share of agriculture</t>
  </si>
  <si>
    <t>Residential &amp; Commercial (max)</t>
  </si>
  <si>
    <t>FF55 MIX</t>
  </si>
  <si>
    <t>FF55 MIX, CO2 only</t>
  </si>
  <si>
    <t>Services &amp; agriculture</t>
  </si>
  <si>
    <t>CPFA</t>
  </si>
  <si>
    <t>2005 Base</t>
  </si>
  <si>
    <t>2015 Base</t>
  </si>
  <si>
    <t>CPFA Fig 91 (1.5LIFE)</t>
  </si>
  <si>
    <t>1.5LIFE is shown, but 1.5TECH is near-identical</t>
  </si>
  <si>
    <t>Buildings vs other sectors - absolute</t>
  </si>
  <si>
    <t>Buildings</t>
  </si>
  <si>
    <t>EEA T&amp;P 2022, Fig 2.1 (2030 = WAM)</t>
  </si>
  <si>
    <t>Agriculture</t>
  </si>
  <si>
    <t>Waste</t>
  </si>
  <si>
    <t>International Aviation</t>
  </si>
  <si>
    <t>Energy Supply</t>
  </si>
  <si>
    <t>Industry</t>
  </si>
  <si>
    <t>Transport</t>
  </si>
  <si>
    <t>Buildings vs other sectors - reduction vs 2005 (MtCO2e)</t>
  </si>
  <si>
    <t>Buildings vs other sectors - reduction vs 2005 (%)</t>
  </si>
  <si>
    <t>Buildings as % of total CO2e reduction</t>
  </si>
  <si>
    <t>2022-2030 FF55</t>
  </si>
  <si>
    <t>2022-2030 RePowerEU</t>
  </si>
  <si>
    <t>2031-2050 from FF55</t>
  </si>
  <si>
    <t>2031-2050 from RePowerEU</t>
  </si>
  <si>
    <t>Eurostat Energy use data</t>
  </si>
  <si>
    <t>TIME</t>
  </si>
  <si>
    <t>NRG_BAL (Labels)</t>
  </si>
  <si>
    <t>2025</t>
  </si>
  <si>
    <t>2030</t>
  </si>
  <si>
    <t>2035</t>
  </si>
  <si>
    <t>2040</t>
  </si>
  <si>
    <t>2045</t>
  </si>
  <si>
    <t>2050</t>
  </si>
  <si>
    <t>Final consumption - other sectors - commercial and public services - energy use</t>
  </si>
  <si>
    <t>Eurostat energy balances</t>
  </si>
  <si>
    <t>TJ</t>
  </si>
  <si>
    <t>Final consumption - other sectors - households - energy use</t>
  </si>
  <si>
    <t>Final consumption - other sectors - agriculture and forestry - energy use</t>
  </si>
  <si>
    <t>Eurostat (above): includes agriculture</t>
  </si>
  <si>
    <t>Total (residential + tertiary)</t>
  </si>
  <si>
    <t>2030 benchmark - residential</t>
  </si>
  <si>
    <t>FF55 value from REPowerEU SWD Table 10 (residential)</t>
  </si>
  <si>
    <t>2030 benchmark - tertiary</t>
  </si>
  <si>
    <t>FF55 MIX (commercial inc ag) added to residential for stacking.</t>
  </si>
  <si>
    <t>REPowerEU - residential</t>
  </si>
  <si>
    <t>Residential - Table 10, REPower SWD</t>
  </si>
  <si>
    <t>REPowerEU - tertiary</t>
  </si>
  <si>
    <t>Residential - Table 10, REPower SWD added to residential</t>
  </si>
  <si>
    <t>2050 benchmark - residential</t>
  </si>
  <si>
    <t>CTP IA figure 39</t>
  </si>
  <si>
    <t>2050 benchmark - tertiary</t>
  </si>
  <si>
    <t>EC CPFA Fig 19 (1.5 LIFE) added to residential</t>
  </si>
  <si>
    <t>delete this label - 2040 advice minimum</t>
  </si>
  <si>
    <t>ESABCC database</t>
  </si>
  <si>
    <t>2040 advice scenarios (residential + tertiary)</t>
  </si>
  <si>
    <t>Indicator B2</t>
  </si>
  <si>
    <t>% changes (Eurostat)</t>
  </si>
  <si>
    <r>
      <t xml:space="preserve">Final Energy Consumption - </t>
    </r>
    <r>
      <rPr>
        <b/>
        <u/>
        <sz val="11"/>
        <color theme="1"/>
        <rFont val="Segoe UI"/>
        <family val="2"/>
        <scheme val="minor"/>
      </rPr>
      <t>commercial and institutional</t>
    </r>
  </si>
  <si>
    <t>Five-year average</t>
  </si>
  <si>
    <t>Five-year average 2005</t>
  </si>
  <si>
    <r>
      <t xml:space="preserve">Final Energy Consumption - </t>
    </r>
    <r>
      <rPr>
        <b/>
        <u/>
        <sz val="11"/>
        <color theme="1"/>
        <rFont val="Segoe UI"/>
        <family val="2"/>
        <scheme val="minor"/>
      </rPr>
      <t>residential</t>
    </r>
  </si>
  <si>
    <t>FF55 MIX reduction vs 2021 (res + comm + ag)</t>
  </si>
  <si>
    <t>FF55 MIX reduction vs 2021 (res only)</t>
  </si>
  <si>
    <t>FF55 MIX reduction vs 2021 (comm + ag only)</t>
  </si>
  <si>
    <t>annual change in total final energy consumption 2017-21</t>
  </si>
  <si>
    <t>N/A - do not pick a number because no clear direction of travel</t>
  </si>
  <si>
    <t>annual change in total final energy 2021-benchmark (FF55)</t>
  </si>
  <si>
    <t>annual change in total final energy 2021-REPowerEU</t>
  </si>
  <si>
    <t>Commercial</t>
  </si>
  <si>
    <t>2040 advice</t>
  </si>
  <si>
    <t>Minimum (with agriculture adjustment based on Eurostat)</t>
  </si>
  <si>
    <t>Maximum (with agriculture adjustment based on Eurostat)</t>
  </si>
  <si>
    <t>Minimum (without agriculture adjustment based on Eurostat)</t>
  </si>
  <si>
    <t>Maximum (without agriculture adjustment based on Eurostat)</t>
  </si>
  <si>
    <t>REPowerEU (incl updated estimate of FF55)</t>
  </si>
  <si>
    <t>Residential energy consumption - REPowerEU</t>
  </si>
  <si>
    <t>REPowerEU SWD Table 10</t>
  </si>
  <si>
    <t>Mtoe</t>
  </si>
  <si>
    <t>Tertiary energy consumption - REPowerEU</t>
  </si>
  <si>
    <t>Residential energy consumption - FF55</t>
  </si>
  <si>
    <t>Tertiary energy consumption - FF55</t>
  </si>
  <si>
    <t>REPowerEU % reduction vs 2021 - residential</t>
  </si>
  <si>
    <t>REPowerEU % reduction vs 2021 - tertiary</t>
  </si>
  <si>
    <t>FF55 (PRIMES Excel accompanying the FF55 package)</t>
  </si>
  <si>
    <t>Residential energy consumption</t>
  </si>
  <si>
    <t>FF55 PRIMES Excel - MIX</t>
  </si>
  <si>
    <t>ktoe</t>
  </si>
  <si>
    <t>Tertiary energy consumption (incl ag)</t>
  </si>
  <si>
    <t>Residential FF55 (REPowerEU % diff vs original estimate)</t>
  </si>
  <si>
    <t>REPowerEU table 10 &amp; FF55 Excel</t>
  </si>
  <si>
    <t>%</t>
  </si>
  <si>
    <t>Tertiary FF55 (REPowerEU % diff vs original estimate)</t>
  </si>
  <si>
    <t>Renovation Rate (2012-2016)</t>
  </si>
  <si>
    <t>Non-residential</t>
  </si>
  <si>
    <t>Below threshold</t>
  </si>
  <si>
    <t>Light</t>
  </si>
  <si>
    <t>Medium</t>
  </si>
  <si>
    <t>Deep</t>
  </si>
  <si>
    <t>Weighted renovation rate (2016-2020)</t>
  </si>
  <si>
    <t>CTP Impact assessment - pg 66-67</t>
  </si>
  <si>
    <t>2016-2020</t>
  </si>
  <si>
    <t>Weighted renovation rate (2026-2030)</t>
  </si>
  <si>
    <t>2030 CTP - Figure 53 and 54 - average across scenarios</t>
  </si>
  <si>
    <t>2026-2030</t>
  </si>
  <si>
    <t>Weighted renovation rate</t>
  </si>
  <si>
    <t>Residential buildings</t>
  </si>
  <si>
    <t># of dwellings and buildings (source: EBSO)</t>
  </si>
  <si>
    <t>Total # of buildings</t>
  </si>
  <si>
    <t>#1000</t>
  </si>
  <si>
    <t>Total # of dwellings</t>
  </si>
  <si>
    <t>y-on-y dwelling per building</t>
  </si>
  <si>
    <t>#</t>
  </si>
  <si>
    <t>Single-familiy dwelling</t>
  </si>
  <si>
    <t>Detached single famiy</t>
  </si>
  <si>
    <t>Semi-detached single family</t>
  </si>
  <si>
    <t>Multi-family</t>
  </si>
  <si>
    <t>surfaces (source: EBSO)</t>
  </si>
  <si>
    <t>Total surface of dwellings - EBSCO</t>
  </si>
  <si>
    <t>Mm2</t>
  </si>
  <si>
    <t>Total surface of dwellings - own calculations</t>
  </si>
  <si>
    <t>Total surface of single-family dwellings</t>
  </si>
  <si>
    <t>Total surface of multi-family dwellings</t>
  </si>
  <si>
    <t>average floor area dwellings</t>
  </si>
  <si>
    <t>m2</t>
  </si>
  <si>
    <t>average floor area single-family dwellings</t>
  </si>
  <si>
    <t>average floor area multi-family dwellings</t>
  </si>
  <si>
    <t>Graph feed</t>
  </si>
  <si>
    <t>Total number of dwellings</t>
  </si>
  <si>
    <t>EBSO (old?)</t>
  </si>
  <si>
    <t>% of 2005</t>
  </si>
  <si>
    <t>Average floor area per dwelling</t>
  </si>
  <si>
    <t>Odyssee (see drivers tab)</t>
  </si>
  <si>
    <t>% of 2005 (from Odyssee: see energy drivers tab)</t>
  </si>
  <si>
    <t>Total surface - residential</t>
  </si>
  <si>
    <t>EU population</t>
  </si>
  <si>
    <t>Eurostat (see drivers tab)</t>
  </si>
  <si>
    <t>Total surface - tertiary</t>
  </si>
  <si>
    <t>Average household size</t>
  </si>
  <si>
    <t>% of 2010</t>
  </si>
  <si>
    <t>Non-residential buildings</t>
  </si>
  <si>
    <t>Indicator B4</t>
  </si>
  <si>
    <t>annual change in total dwelling space (2012-2016)</t>
  </si>
  <si>
    <t>Fossils</t>
  </si>
  <si>
    <t>Electricity</t>
  </si>
  <si>
    <t>Biomass</t>
  </si>
  <si>
    <t>District heating</t>
  </si>
  <si>
    <t>Non-bio renewables</t>
  </si>
  <si>
    <t>Fossils - benchmark</t>
  </si>
  <si>
    <t>Electricity - benchmark</t>
  </si>
  <si>
    <t>Biomass - benchmark</t>
  </si>
  <si>
    <t>District heating - benchmark</t>
  </si>
  <si>
    <t>Non-bio renewables - benchmark</t>
  </si>
  <si>
    <t>linear trajectories</t>
  </si>
  <si>
    <t>linear trajectory</t>
  </si>
  <si>
    <t>Indicator B5a</t>
  </si>
  <si>
    <t>non-bio renewables</t>
  </si>
  <si>
    <t>Historic</t>
  </si>
  <si>
    <t>Other fossils (solids, …)</t>
  </si>
  <si>
    <t>Eurostat energy balance</t>
  </si>
  <si>
    <t>Liquid fossils</t>
  </si>
  <si>
    <t>Natural gas</t>
  </si>
  <si>
    <t>Renewables - bio</t>
  </si>
  <si>
    <t>Renewables - other</t>
  </si>
  <si>
    <t>CTP MIX scenario</t>
  </si>
  <si>
    <t>Coal</t>
  </si>
  <si>
    <t>CTP IA part 2 figure 55</t>
  </si>
  <si>
    <t>Oil</t>
  </si>
  <si>
    <t>e-gas</t>
  </si>
  <si>
    <t>Hydrogen</t>
  </si>
  <si>
    <t>Heat distributed</t>
  </si>
  <si>
    <t>Bioenergy</t>
  </si>
  <si>
    <t>Other RES</t>
  </si>
  <si>
    <t>Indicator B5b</t>
  </si>
  <si>
    <t>Other fossils (liquid, solids, …)</t>
  </si>
  <si>
    <t>Objectives</t>
  </si>
  <si>
    <t>Policy</t>
  </si>
  <si>
    <t>Indicator</t>
  </si>
  <si>
    <t>Target year</t>
  </si>
  <si>
    <t xml:space="preserve">Objective </t>
  </si>
  <si>
    <t>RePowerEU</t>
  </si>
  <si>
    <t>SWD table 4</t>
  </si>
  <si>
    <t>total installed in residential and services</t>
  </si>
  <si>
    <t>million units</t>
  </si>
  <si>
    <t>Main doc, page 6</t>
  </si>
  <si>
    <t>new heat pumps installed</t>
  </si>
  <si>
    <t>new sales</t>
  </si>
  <si>
    <t>2022-2026</t>
  </si>
  <si>
    <t>doubling</t>
  </si>
  <si>
    <t>Installed capacity (MW) - Eurostat  NRG_INF_HPTC</t>
  </si>
  <si>
    <t>Aerothermal</t>
  </si>
  <si>
    <t>Geothermal</t>
  </si>
  <si>
    <t>Hydrothermal</t>
  </si>
  <si>
    <t>Number of installations (EHPA annual report) - in 1000 units</t>
  </si>
  <si>
    <t>Sales</t>
  </si>
  <si>
    <t>Total stock</t>
  </si>
  <si>
    <t>Historic vs. required</t>
  </si>
  <si>
    <t>New units</t>
  </si>
  <si>
    <t>Historic (in MW capacity)</t>
  </si>
  <si>
    <t>Average required</t>
  </si>
  <si>
    <t>Average 2018-2022</t>
  </si>
  <si>
    <t>2018-2022 extrapolated</t>
  </si>
  <si>
    <t>Total stock - in million</t>
  </si>
  <si>
    <t>RePowerEU objectives</t>
  </si>
  <si>
    <t>Extrapolation (2018-2022)</t>
  </si>
  <si>
    <t>Historic vs. Required in million units</t>
  </si>
  <si>
    <t>Indicator B6</t>
  </si>
  <si>
    <t>Growth in heat pump stock: 2018-2022 (million units)</t>
  </si>
  <si>
    <t>Average annual growth: 2018-2022</t>
  </si>
  <si>
    <t>Annual growth needed to REPower 2030 target</t>
  </si>
  <si>
    <t>Selected energy use drivers from Odyssee-MURE database</t>
  </si>
  <si>
    <t>Database</t>
  </si>
  <si>
    <t>Item code</t>
  </si>
  <si>
    <t>ISO code</t>
  </si>
  <si>
    <t>Title</t>
  </si>
  <si>
    <t>Note</t>
  </si>
  <si>
    <t>toccfres</t>
  </si>
  <si>
    <t>EU</t>
  </si>
  <si>
    <t>Final energy consumption (residential)</t>
  </si>
  <si>
    <t>Enerdata</t>
  </si>
  <si>
    <t>Final consumption of residential sector</t>
  </si>
  <si>
    <t>toccfrescc</t>
  </si>
  <si>
    <t>Climate-corrected final energy consumption (residential)</t>
  </si>
  <si>
    <t>NRD,Eurostat,ODYSSEE</t>
  </si>
  <si>
    <t>Final consumption of residential with climatic corrections</t>
  </si>
  <si>
    <t>surlog</t>
  </si>
  <si>
    <t>Floor area of dwellings (y-on-y)</t>
  </si>
  <si>
    <t>ODYSSEE</t>
  </si>
  <si>
    <t>Final energy consumption per m2 (residential)</t>
  </si>
  <si>
    <t>Source: Odyssee</t>
  </si>
  <si>
    <t>Date of export: 2023-08-09</t>
  </si>
  <si>
    <t>toccfter</t>
  </si>
  <si>
    <t>Final energy consumption (services)</t>
  </si>
  <si>
    <t>n.a.</t>
  </si>
  <si>
    <t>Enerdata,Eurostat</t>
  </si>
  <si>
    <t>Final consumption of services</t>
  </si>
  <si>
    <t>toccftercc</t>
  </si>
  <si>
    <t>Climate-corrected final energy consumption (services)</t>
  </si>
  <si>
    <t>Total consumption of services (with climatic corrections)</t>
  </si>
  <si>
    <t>surter</t>
  </si>
  <si>
    <t>Floor area of services</t>
  </si>
  <si>
    <t xml:space="preserve">Dataset: </t>
  </si>
  <si>
    <t>Population change - Demographic balance and crude rates at national level [DEMO_GIND__custom_7123476]</t>
  </si>
  <si>
    <t xml:space="preserve">Last updated: </t>
  </si>
  <si>
    <t>13/07/2023 23:00</t>
  </si>
  <si>
    <t>Time frequency</t>
  </si>
  <si>
    <t>Annual</t>
  </si>
  <si>
    <t>Demographic indicator</t>
  </si>
  <si>
    <t>y-on-y population - total</t>
  </si>
  <si>
    <t>2021</t>
  </si>
  <si>
    <t>2022</t>
  </si>
  <si>
    <t>GEO (Labels)</t>
  </si>
  <si>
    <t/>
  </si>
  <si>
    <t>European Union - 27 countries (from 2020)</t>
  </si>
  <si>
    <t>y-on-y household size - EU-SILC survey [ILC_LVPH01__custom_7123881]</t>
  </si>
  <si>
    <t>11/07/2023 23:00</t>
  </si>
  <si>
    <t>Unit of measure</t>
  </si>
  <si>
    <t>y-on-y</t>
  </si>
  <si>
    <t>toe/m^2</t>
  </si>
  <si>
    <t>final energy consumption per square metre - climate corrected (services)</t>
  </si>
  <si>
    <t>cutocsurcc</t>
  </si>
  <si>
    <t>toe/m2</t>
  </si>
  <si>
    <t>final energy consumption per square metre - climate corrected (residential)</t>
  </si>
  <si>
    <t>Unit consumption per m2 with climatic corrections</t>
  </si>
  <si>
    <t>kWh/m^2</t>
  </si>
  <si>
    <t>y-on-y change services</t>
  </si>
  <si>
    <t>y-on-y change residential</t>
  </si>
  <si>
    <t>average services change (simple average of annual changes)</t>
  </si>
  <si>
    <t>average residential change (simple average of annual changes)</t>
  </si>
  <si>
    <t>annual change in energy consumption per square metre (2016-20) - kWh/m2 - services</t>
  </si>
  <si>
    <t>average annual change</t>
  </si>
  <si>
    <t>annual change in energy consumption per square metre (2016-20) - kWh/m2 - residential</t>
  </si>
  <si>
    <r>
      <t xml:space="preserve">Selected energy use drivers from Odyssee-MURE database - </t>
    </r>
    <r>
      <rPr>
        <b/>
        <sz val="11"/>
        <color theme="0"/>
        <rFont val="Segoe UI"/>
        <family val="2"/>
        <scheme val="minor"/>
      </rPr>
      <t>Household sector</t>
    </r>
  </si>
  <si>
    <t>dj</t>
  </si>
  <si>
    <t>degree</t>
  </si>
  <si>
    <t>Eurostat</t>
  </si>
  <si>
    <t>Heating degree-days</t>
  </si>
  <si>
    <t>djcli</t>
  </si>
  <si>
    <t>Cooling degree-days</t>
  </si>
  <si>
    <t>toccfreschf</t>
  </si>
  <si>
    <t>Space heating</t>
  </si>
  <si>
    <t>Final consumption of residential for space heating</t>
  </si>
  <si>
    <t>toccfreschc</t>
  </si>
  <si>
    <t>Space heating (climate corrected)</t>
  </si>
  <si>
    <t>Eurostat,ODYSSEE</t>
  </si>
  <si>
    <t>Final consumption of residential for space heating with climatic corrections</t>
  </si>
  <si>
    <t>elccfrescli</t>
  </si>
  <si>
    <t>Cooling (electricity)</t>
  </si>
  <si>
    <t>Final consumption of residential for air cooling</t>
  </si>
  <si>
    <t>% vs 2005</t>
  </si>
  <si>
    <t>% change heating vs 2005</t>
  </si>
  <si>
    <t>% change heating climate corrected vs 2005</t>
  </si>
  <si>
    <t>% change cooling vs 2005</t>
  </si>
  <si>
    <t>Historical data (Eurostat energy balances - in ktoe)</t>
  </si>
  <si>
    <t>Solid fossil fuels</t>
  </si>
  <si>
    <t>Anthracite</t>
  </si>
  <si>
    <t>Coking coal</t>
  </si>
  <si>
    <t>Other bituminous coal</t>
  </si>
  <si>
    <t>Sub-bituminous coal</t>
  </si>
  <si>
    <t>Lignite</t>
  </si>
  <si>
    <t>Coke oven coke</t>
  </si>
  <si>
    <t>Gas coke</t>
  </si>
  <si>
    <t>Patent fuel</t>
  </si>
  <si>
    <t>Brown coal briquettes</t>
  </si>
  <si>
    <t>Coal tar</t>
  </si>
  <si>
    <t>Manufactured gases</t>
  </si>
  <si>
    <t>Coke oven gas</t>
  </si>
  <si>
    <t>Gas works gas</t>
  </si>
  <si>
    <t>Peat and peat products</t>
  </si>
  <si>
    <t>Peat</t>
  </si>
  <si>
    <t>Peat products</t>
  </si>
  <si>
    <t>Oil and petroleum products (excluding biofuel portion)</t>
  </si>
  <si>
    <t>Refinery gas</t>
  </si>
  <si>
    <t>Liquefied petroleum gases</t>
  </si>
  <si>
    <t>Aviation gasoline</t>
  </si>
  <si>
    <t>Motor gasoline (excluding biofuel portion)</t>
  </si>
  <si>
    <t>Kerosene-type jet fuel (excluding biofuel portion)</t>
  </si>
  <si>
    <t>Other kerosene</t>
  </si>
  <si>
    <t>Gas oil and diesel oil (excluding biofuel portion)</t>
  </si>
  <si>
    <t>Fuel oil</t>
  </si>
  <si>
    <t>White spirit and special boiling point industrial spirits</t>
  </si>
  <si>
    <t>Petroleum coke</t>
  </si>
  <si>
    <t>Bitumen</t>
  </si>
  <si>
    <t>Other oil products n.e.c.</t>
  </si>
  <si>
    <t>Renewables and biofuels</t>
  </si>
  <si>
    <t>Solar thermal</t>
  </si>
  <si>
    <t>Ambient heat (heat pumps)</t>
  </si>
  <si>
    <t>Primary solid biofuels</t>
  </si>
  <si>
    <t>Charcoal</t>
  </si>
  <si>
    <t>Blended biogasoline</t>
  </si>
  <si>
    <t>Pure biodiesels</t>
  </si>
  <si>
    <t>Blended biodiesels</t>
  </si>
  <si>
    <t>Other liquid biofuels</t>
  </si>
  <si>
    <t>Biogases</t>
  </si>
  <si>
    <t>Renewable municipal waste</t>
  </si>
  <si>
    <t>Non-renewable waste</t>
  </si>
  <si>
    <t>Industrial waste (non-renewable)</t>
  </si>
  <si>
    <t>Non-renewable municipal waste</t>
  </si>
  <si>
    <t>Heat</t>
  </si>
  <si>
    <t>Blast furnace gas</t>
  </si>
  <si>
    <t>Other recovered gases</t>
  </si>
  <si>
    <t>Wind</t>
  </si>
  <si>
    <t>:</t>
  </si>
  <si>
    <t>Naphtha</t>
  </si>
  <si>
    <t>Fishery</t>
  </si>
  <si>
    <t>Others</t>
  </si>
  <si>
    <t>Historical vs. required - in TWh</t>
  </si>
  <si>
    <t>Annual reduction</t>
  </si>
  <si>
    <t>Historical</t>
  </si>
  <si>
    <t>Extrapolated (2011-2021 trend)</t>
  </si>
  <si>
    <t>CTP-MIX</t>
  </si>
  <si>
    <t>CTP-REG</t>
  </si>
  <si>
    <t>CTP-MIXCP</t>
  </si>
  <si>
    <t>Tertiary and agriculture</t>
  </si>
  <si>
    <t>2030 vs 2021</t>
  </si>
  <si>
    <t>2030 vs 2005</t>
  </si>
  <si>
    <t>Decarbonization scenarios (in ktoe)</t>
  </si>
  <si>
    <t>MIX</t>
  </si>
  <si>
    <t>REG</t>
  </si>
  <si>
    <t>MIX-CP</t>
  </si>
  <si>
    <t>absolute numbers (ktoe rather than %s)</t>
  </si>
  <si>
    <t>absolute numbers (TWh rather than %s)</t>
  </si>
  <si>
    <t>Eurostat (next sheet)</t>
  </si>
  <si>
    <t>CTP scenarios (source: CTP impact assessment part 2 figure 55)</t>
  </si>
  <si>
    <t>CTP</t>
  </si>
  <si>
    <t>CPRICE</t>
  </si>
  <si>
    <t>Historic vs required</t>
  </si>
  <si>
    <t>Annual decrease in fossil fuels</t>
  </si>
  <si>
    <t>Other fossil fuels</t>
  </si>
  <si>
    <t>2022-2030 required</t>
  </si>
  <si>
    <t>Other renewables</t>
  </si>
  <si>
    <t>Trend</t>
  </si>
  <si>
    <t>Benchmark</t>
  </si>
  <si>
    <t>Natural gas trend (2011-2021 extrapolated)</t>
  </si>
  <si>
    <t>Other fossil fuels trend (2011-2021 extrapolated)</t>
  </si>
  <si>
    <t>Other fossils</t>
  </si>
  <si>
    <t>Electricity trend (2011-2021 extrapolated)</t>
  </si>
  <si>
    <t>District heating trend (2011-2021 extrapolated)</t>
  </si>
  <si>
    <t>Biomass trend (2011-2021 extrapolated)</t>
  </si>
  <si>
    <t>Other renewables trend (2011-2021 extrapolated)</t>
  </si>
  <si>
    <t>Natural gas - CTP</t>
  </si>
  <si>
    <t>Other fossils - CTP</t>
  </si>
  <si>
    <t>Electricity - CTP</t>
  </si>
  <si>
    <t>District heating - CTP</t>
  </si>
  <si>
    <t>Biomass - CTP</t>
  </si>
  <si>
    <t>Other renewables - CTP</t>
  </si>
  <si>
    <t>Share fossils</t>
  </si>
  <si>
    <t>Share electricity</t>
  </si>
  <si>
    <t>Share renewables &amp; district heating</t>
  </si>
  <si>
    <t>Benchmark fossils</t>
  </si>
  <si>
    <t>Benchmark electricity</t>
  </si>
  <si>
    <t>Benchmark renewables &amp; district heating</t>
  </si>
  <si>
    <t>2031-2040</t>
  </si>
  <si>
    <t xml:space="preserve">Residential </t>
  </si>
  <si>
    <t>Totals (residential + tertiary) compared to 2040 advice</t>
  </si>
  <si>
    <t>Eurostat (above)</t>
  </si>
  <si>
    <t>TOTAL</t>
  </si>
  <si>
    <t>2040 advice (90-95% average within env limits)</t>
  </si>
  <si>
    <t>2030 benchmark average</t>
  </si>
  <si>
    <t>Data for chart (%s)</t>
  </si>
  <si>
    <t>Benchmark (CTP)</t>
  </si>
  <si>
    <t>ESBACC 2040 advice*</t>
  </si>
  <si>
    <t>ESABCC 2040 advice*</t>
  </si>
  <si>
    <t>Data for chart (absolute)</t>
  </si>
  <si>
    <t>ESBACC 2040 advice</t>
  </si>
  <si>
    <t>ESABCC 2040 advice</t>
  </si>
  <si>
    <t>Non-fossil share, residential</t>
  </si>
  <si>
    <t>annual change in non-fossil share, residential (2017-2022) (pp per year)</t>
  </si>
  <si>
    <t>Non-fossil share, services</t>
  </si>
  <si>
    <t>annual change in non-fossil share, services (2017-2022) (pp per year)</t>
  </si>
  <si>
    <t>2030 benchmark share</t>
  </si>
  <si>
    <t>average % point increase 2022-2030, residential</t>
  </si>
  <si>
    <t>average % point increase 2022-2030,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</si>
</sst>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-* #,##0.00_-;\-* #,##0.00_-;_-* &quot;-&quot;??_-;_-@_-"/>
    <numFmt numFmtId="164" formatCode="0.0"/>
    <numFmt numFmtId="165" formatCode="###0.00_)"/>
    <numFmt numFmtId="166" formatCode="#,##0_)"/>
    <numFmt numFmtId="167" formatCode="#,##0.0_i"/>
    <numFmt numFmtId="168" formatCode="_-* #,##0.00\ _€_-;\-* #,##0.00\ _€_-;_-* &quot;-&quot;??\ _€_-;_-@_-"/>
    <numFmt numFmtId="169" formatCode="???,???.00"/>
    <numFmt numFmtId="170" formatCode="#,##0.0000"/>
    <numFmt numFmtId="171" formatCode="_-* #,##0_-;\-* #,##0_-;_-* &quot;-&quot;??_-;_-@_-"/>
    <numFmt numFmtId="172" formatCode="0.000%"/>
    <numFmt numFmtId="173" formatCode="#,##0.##########"/>
    <numFmt numFmtId="174" formatCode="#,##0.0"/>
    <numFmt numFmtId="175" formatCode="0.0%"/>
    <numFmt numFmtId="176" formatCode="_-* #,##0.00\ _k_r_._-;\-* #,##0.00\ _k_r_._-;_-* &quot;-&quot;??\ _k_r_._-;_-@_-"/>
    <numFmt numFmtId="177" formatCode="_-* #,##0\ _k_r_._-;\-* #,##0\ _k_r_._-;_-* &quot;-&quot;??\ _k_r_._-;_-@_-"/>
    <numFmt numFmtId="178" formatCode="#,##0.000"/>
    <numFmt numFmtId="179" formatCode="#,##0.0000000000"/>
  </numFmts>
  <fonts count="63" x14ac:knownFonts="1">
    <font>
      <sz val="11"/>
      <color theme="1"/>
      <name val="Segoe UI"/>
      <family val="2"/>
      <scheme val="minor"/>
    </font>
    <font>
      <sz val="11"/>
      <color theme="1"/>
      <name val="Segoe UI"/>
      <family val="2"/>
      <scheme val="minor"/>
    </font>
    <font>
      <sz val="11"/>
      <color theme="0"/>
      <name val="Segoe UI"/>
      <family val="2"/>
      <scheme val="minor"/>
    </font>
    <font>
      <sz val="11"/>
      <name val="Calibri"/>
      <family val="2"/>
    </font>
    <font>
      <b/>
      <sz val="11"/>
      <color theme="1"/>
      <name val="Segoe UI"/>
      <family val="2"/>
      <scheme val="minor"/>
    </font>
    <font>
      <sz val="11"/>
      <color indexed="8"/>
      <name val="Segoe UI"/>
      <family val="2"/>
      <scheme val="minor"/>
    </font>
    <font>
      <sz val="10"/>
      <color rgb="FF000000"/>
      <name val="Calibri"/>
      <family val="2"/>
    </font>
    <font>
      <sz val="10"/>
      <name val="Arial"/>
      <family val="2"/>
    </font>
    <font>
      <sz val="18"/>
      <color theme="3"/>
      <name val="Segoe UI Light"/>
      <family val="2"/>
      <scheme val="major"/>
    </font>
    <font>
      <b/>
      <sz val="15"/>
      <color theme="3"/>
      <name val="Segoe UI"/>
      <family val="2"/>
      <scheme val="minor"/>
    </font>
    <font>
      <b/>
      <sz val="13"/>
      <color theme="3"/>
      <name val="Segoe UI"/>
      <family val="2"/>
      <scheme val="minor"/>
    </font>
    <font>
      <b/>
      <sz val="11"/>
      <color theme="3"/>
      <name val="Segoe UI"/>
      <family val="2"/>
      <scheme val="minor"/>
    </font>
    <font>
      <sz val="11"/>
      <color rgb="FF006100"/>
      <name val="Segoe UI"/>
      <family val="2"/>
      <scheme val="minor"/>
    </font>
    <font>
      <sz val="11"/>
      <color rgb="FF9C0006"/>
      <name val="Segoe UI"/>
      <family val="2"/>
      <scheme val="minor"/>
    </font>
    <font>
      <sz val="11"/>
      <color rgb="FF9C5700"/>
      <name val="Segoe UI"/>
      <family val="2"/>
      <scheme val="minor"/>
    </font>
    <font>
      <sz val="11"/>
      <color rgb="FF3F3F76"/>
      <name val="Segoe UI"/>
      <family val="2"/>
      <scheme val="minor"/>
    </font>
    <font>
      <b/>
      <sz val="11"/>
      <color rgb="FF3F3F3F"/>
      <name val="Segoe UI"/>
      <family val="2"/>
      <scheme val="minor"/>
    </font>
    <font>
      <b/>
      <sz val="11"/>
      <color rgb="FFFA7D00"/>
      <name val="Segoe UI"/>
      <family val="2"/>
      <scheme val="minor"/>
    </font>
    <font>
      <sz val="11"/>
      <color rgb="FFFA7D00"/>
      <name val="Segoe UI"/>
      <family val="2"/>
      <scheme val="minor"/>
    </font>
    <font>
      <b/>
      <sz val="11"/>
      <color theme="0"/>
      <name val="Segoe UI"/>
      <family val="2"/>
      <scheme val="minor"/>
    </font>
    <font>
      <sz val="11"/>
      <color rgb="FFFF0000"/>
      <name val="Segoe UI"/>
      <family val="2"/>
      <scheme val="minor"/>
    </font>
    <font>
      <i/>
      <sz val="11"/>
      <color rgb="FF7F7F7F"/>
      <name val="Segoe UI"/>
      <family val="2"/>
      <scheme val="minor"/>
    </font>
    <font>
      <u/>
      <sz val="11"/>
      <color theme="10"/>
      <name val="Segoe UI"/>
      <family val="2"/>
      <scheme val="minor"/>
    </font>
    <font>
      <sz val="8"/>
      <name val="Arial"/>
      <family val="2"/>
    </font>
    <font>
      <b/>
      <sz val="10"/>
      <color indexed="18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4"/>
      <name val="Helv"/>
    </font>
    <font>
      <b/>
      <sz val="10"/>
      <name val="Helv"/>
    </font>
    <font>
      <sz val="10"/>
      <name val="Helv"/>
    </font>
    <font>
      <sz val="12"/>
      <name val="Helv"/>
    </font>
    <font>
      <b/>
      <sz val="12"/>
      <name val="Helv"/>
    </font>
    <font>
      <sz val="9"/>
      <name val="Helv"/>
    </font>
    <font>
      <vertAlign val="superscript"/>
      <sz val="12"/>
      <name val="Helv"/>
    </font>
    <font>
      <b/>
      <sz val="9"/>
      <name val="Helv"/>
    </font>
    <font>
      <sz val="8.5"/>
      <name val="Helv"/>
    </font>
    <font>
      <sz val="8"/>
      <name val="Helv"/>
    </font>
    <font>
      <sz val="11"/>
      <color rgb="FF9C6500"/>
      <name val="Segoe UI"/>
      <family val="2"/>
      <scheme val="minor"/>
    </font>
    <font>
      <sz val="9"/>
      <color theme="1"/>
      <name val="Arial"/>
      <family val="2"/>
    </font>
    <font>
      <b/>
      <sz val="18"/>
      <color theme="3"/>
      <name val="Segoe UI Light"/>
      <family val="2"/>
      <scheme val="major"/>
    </font>
    <font>
      <sz val="8"/>
      <name val="Arial"/>
      <family val="2"/>
      <charset val="161"/>
    </font>
    <font>
      <sz val="9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</font>
    <font>
      <b/>
      <sz val="12"/>
      <color indexed="10"/>
      <name val="Arial"/>
      <family val="2"/>
    </font>
    <font>
      <sz val="10"/>
      <name val="Arial"/>
      <family val="2"/>
      <charset val="161"/>
    </font>
    <font>
      <sz val="9"/>
      <color theme="1"/>
      <name val="Segoe UI"/>
      <family val="2"/>
      <scheme val="minor"/>
    </font>
    <font>
      <b/>
      <u/>
      <sz val="11"/>
      <color theme="1"/>
      <name val="Segoe UI"/>
      <family val="2"/>
      <scheme val="minor"/>
    </font>
    <font>
      <sz val="8"/>
      <name val="Segoe UI"/>
      <family val="2"/>
      <scheme val="minor"/>
    </font>
    <font>
      <i/>
      <sz val="11"/>
      <color theme="1"/>
      <name val="Segoe UI"/>
      <family val="2"/>
      <scheme val="minor"/>
    </font>
    <font>
      <vertAlign val="superscript"/>
      <sz val="11"/>
      <color theme="1"/>
      <name val="Segoe UI"/>
      <family val="2"/>
      <scheme val="minor"/>
    </font>
    <font>
      <b/>
      <i/>
      <sz val="11"/>
      <color theme="1"/>
      <name val="Segoe UI"/>
      <family val="2"/>
      <scheme val="minor"/>
    </font>
    <font>
      <b/>
      <sz val="9"/>
      <color indexed="9"/>
      <name val="Arial"/>
      <family val="2"/>
    </font>
    <font>
      <b/>
      <sz val="9"/>
      <name val="Arial"/>
      <family val="2"/>
    </font>
    <font>
      <b/>
      <i/>
      <u/>
      <sz val="11"/>
      <color theme="1"/>
      <name val="Segoe UI"/>
      <family val="2"/>
      <scheme val="minor"/>
    </font>
    <font>
      <sz val="10"/>
      <color rgb="FF000000"/>
      <name val="Calibri"/>
      <family val="2"/>
    </font>
    <font>
      <i/>
      <u/>
      <sz val="11"/>
      <color theme="1"/>
      <name val="Segoe U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Segoe UI"/>
      <family val="2"/>
      <scheme val="minor"/>
    </font>
    <font>
      <sz val="11"/>
      <color rgb="FFC00000"/>
      <name val="Segoe UI"/>
      <family val="2"/>
      <scheme val="minor"/>
    </font>
  </fonts>
  <fills count="68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  <fill>
      <patternFill patternType="solid">
        <fgColor indexed="22"/>
        <bgColor indexed="55"/>
      </patternFill>
    </fill>
    <fill>
      <patternFill patternType="lightGray">
        <fgColor indexed="9"/>
      </patternFill>
    </fill>
    <fill>
      <patternFill patternType="gray0625">
        <fgColor indexed="9"/>
      </patternFill>
    </fill>
    <fill>
      <patternFill patternType="solid">
        <fgColor indexed="22"/>
        <bgColor indexed="64"/>
      </patternFill>
    </fill>
    <fill>
      <patternFill patternType="darkTrellis"/>
    </fill>
    <fill>
      <patternFill patternType="solid">
        <fgColor theme="8" tint="0.39997558519241921"/>
        <bgColor indexed="64"/>
      </patternFill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solid">
        <fgColor rgb="FFF6F6F6"/>
      </patternFill>
    </fill>
    <fill>
      <patternFill patternType="solid">
        <fgColor theme="4" tint="0.79998168889431442"/>
        <bgColor indexed="64"/>
      </patternFill>
    </fill>
    <fill>
      <patternFill patternType="mediumGray">
        <bgColor indexed="2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608C95"/>
        <bgColor rgb="FF000000"/>
      </patternFill>
    </fill>
    <fill>
      <patternFill patternType="solid">
        <fgColor rgb="FF3D5584"/>
        <bgColor rgb="FF000000"/>
      </patternFill>
    </fill>
    <fill>
      <patternFill patternType="solid">
        <fgColor rgb="FF648ECA"/>
        <bgColor rgb="FF000000"/>
      </patternFill>
    </fill>
    <fill>
      <patternFill patternType="solid">
        <fgColor rgb="FF98C9EE"/>
        <bgColor rgb="FF000000"/>
      </patternFill>
    </fill>
    <fill>
      <patternFill patternType="solid">
        <fgColor rgb="FFA2C0B6"/>
        <bgColor rgb="FF000000"/>
      </patternFill>
    </fill>
    <fill>
      <patternFill patternType="solid">
        <fgColor rgb="FF64786A"/>
        <bgColor rgb="FF000000"/>
      </patternFill>
    </fill>
    <fill>
      <patternFill patternType="solid">
        <fgColor rgb="FF2E422F"/>
        <bgColor rgb="FF000000"/>
      </patternFill>
    </fill>
    <fill>
      <patternFill patternType="solid">
        <fgColor rgb="FFEFE973"/>
        <bgColor rgb="FF000000"/>
      </patternFill>
    </fill>
    <fill>
      <patternFill patternType="solid">
        <fgColor rgb="FFF59E2D"/>
        <bgColor rgb="FF000000"/>
      </patternFill>
    </fill>
    <fill>
      <patternFill patternType="solid">
        <fgColor rgb="FFF26119"/>
        <bgColor rgb="FF000000"/>
      </patternFill>
    </fill>
    <fill>
      <patternFill patternType="solid">
        <fgColor rgb="FFB04545"/>
        <bgColor rgb="FF000000"/>
      </patternFill>
    </fill>
    <fill>
      <patternFill patternType="solid">
        <fgColor rgb="FFF0CBD9"/>
        <bgColor rgb="FF000000"/>
      </patternFill>
    </fill>
    <fill>
      <patternFill patternType="solid">
        <fgColor rgb="FFB487C7"/>
        <bgColor rgb="FF000000"/>
      </patternFill>
    </fill>
    <fill>
      <patternFill patternType="solid">
        <fgColor rgb="FF4F3A66"/>
        <bgColor rgb="FF000000"/>
      </patternFill>
    </fill>
    <fill>
      <patternFill patternType="solid">
        <fgColor rgb="FF2C2D2D"/>
        <bgColor rgb="FF000000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72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/>
    <xf numFmtId="0" fontId="5" fillId="0" borderId="0"/>
    <xf numFmtId="0" fontId="6" fillId="0" borderId="0"/>
    <xf numFmtId="0" fontId="7" fillId="0" borderId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6" applyNumberFormat="0" applyAlignment="0" applyProtection="0"/>
    <xf numFmtId="0" fontId="16" fillId="7" borderId="7" applyNumberFormat="0" applyAlignment="0" applyProtection="0"/>
    <xf numFmtId="0" fontId="17" fillId="7" borderId="6" applyNumberFormat="0" applyAlignment="0" applyProtection="0"/>
    <xf numFmtId="0" fontId="18" fillId="0" borderId="8" applyNumberFormat="0" applyFill="0" applyAlignment="0" applyProtection="0"/>
    <xf numFmtId="0" fontId="19" fillId="8" borderId="9" applyNumberFormat="0" applyAlignment="0" applyProtection="0"/>
    <xf numFmtId="0" fontId="20" fillId="0" borderId="0" applyNumberFormat="0" applyFill="0" applyBorder="0" applyAlignment="0" applyProtection="0"/>
    <xf numFmtId="0" fontId="1" fillId="9" borderId="10" applyNumberFormat="0" applyFont="0" applyAlignment="0" applyProtection="0"/>
    <xf numFmtId="0" fontId="21" fillId="0" borderId="0" applyNumberFormat="0" applyFill="0" applyBorder="0" applyAlignment="0" applyProtection="0"/>
    <xf numFmtId="0" fontId="4" fillId="0" borderId="11" applyNumberFormat="0" applyFill="0" applyAlignment="0" applyProtection="0"/>
    <xf numFmtId="0" fontId="2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2" fillId="33" borderId="0" applyNumberFormat="0" applyBorder="0" applyAlignment="0" applyProtection="0"/>
    <xf numFmtId="0" fontId="30" fillId="0" borderId="0">
      <alignment horizontal="center" vertical="center" wrapText="1"/>
    </xf>
    <xf numFmtId="43" fontId="7" fillId="0" borderId="0" applyFont="0" applyFill="0" applyBorder="0" applyAlignment="0" applyProtection="0"/>
    <xf numFmtId="0" fontId="31" fillId="0" borderId="0">
      <alignment horizontal="left" vertical="center" wrapText="1"/>
    </xf>
    <xf numFmtId="165" fontId="29" fillId="0" borderId="12" applyNumberFormat="0" applyFill="0">
      <alignment horizontal="right"/>
    </xf>
    <xf numFmtId="166" fontId="32" fillId="0" borderId="12">
      <alignment horizontal="right" vertical="center"/>
    </xf>
    <xf numFmtId="49" fontId="33" fillId="0" borderId="12">
      <alignment horizontal="left" vertical="center"/>
    </xf>
    <xf numFmtId="165" fontId="29" fillId="0" borderId="12" applyNumberFormat="0" applyFill="0">
      <alignment horizontal="right"/>
    </xf>
    <xf numFmtId="0" fontId="28" fillId="0" borderId="12">
      <alignment horizontal="left"/>
    </xf>
    <xf numFmtId="0" fontId="34" fillId="0" borderId="13">
      <alignment horizontal="right" vertical="center"/>
    </xf>
    <xf numFmtId="0" fontId="35" fillId="0" borderId="12">
      <alignment horizontal="left" vertical="center"/>
    </xf>
    <xf numFmtId="0" fontId="29" fillId="0" borderId="12">
      <alignment horizontal="left" vertical="center"/>
    </xf>
    <xf numFmtId="0" fontId="28" fillId="0" borderId="12">
      <alignment horizontal="left"/>
    </xf>
    <xf numFmtId="0" fontId="28" fillId="34" borderId="0">
      <alignment horizontal="centerContinuous" wrapText="1"/>
    </xf>
    <xf numFmtId="49" fontId="28" fillId="34" borderId="14">
      <alignment horizontal="left" vertical="center"/>
    </xf>
    <xf numFmtId="0" fontId="28" fillId="34" borderId="0">
      <alignment horizontal="centerContinuous" vertical="center" wrapText="1"/>
    </xf>
    <xf numFmtId="0" fontId="37" fillId="5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7" fillId="0" borderId="0"/>
    <xf numFmtId="0" fontId="1" fillId="0" borderId="0"/>
    <xf numFmtId="0" fontId="1" fillId="9" borderId="10" applyNumberFormat="0" applyFont="0" applyAlignment="0" applyProtection="0"/>
    <xf numFmtId="0" fontId="1" fillId="9" borderId="10" applyNumberFormat="0" applyFont="0" applyAlignment="0" applyProtection="0"/>
    <xf numFmtId="0" fontId="1" fillId="9" borderId="10" applyNumberFormat="0" applyFont="0" applyAlignment="0" applyProtection="0"/>
    <xf numFmtId="167" fontId="38" fillId="0" borderId="0" applyFill="0" applyBorder="0" applyProtection="0">
      <alignment horizontal="right"/>
    </xf>
    <xf numFmtId="3" fontId="32" fillId="0" borderId="0">
      <alignment horizontal="left" vertical="center"/>
    </xf>
    <xf numFmtId="0" fontId="30" fillId="0" borderId="0">
      <alignment horizontal="left" vertical="center"/>
    </xf>
    <xf numFmtId="0" fontId="36" fillId="0" borderId="0">
      <alignment horizontal="right"/>
    </xf>
    <xf numFmtId="49" fontId="36" fillId="0" borderId="0">
      <alignment horizontal="center"/>
    </xf>
    <xf numFmtId="0" fontId="33" fillId="0" borderId="0">
      <alignment horizontal="right"/>
    </xf>
    <xf numFmtId="0" fontId="36" fillId="0" borderId="0">
      <alignment horizontal="left"/>
    </xf>
    <xf numFmtId="0" fontId="23" fillId="0" borderId="0"/>
    <xf numFmtId="49" fontId="32" fillId="0" borderId="0">
      <alignment horizontal="left" vertical="center"/>
    </xf>
    <xf numFmtId="49" fontId="33" fillId="0" borderId="12">
      <alignment horizontal="left"/>
    </xf>
    <xf numFmtId="165" fontId="32" fillId="0" borderId="0" applyNumberFormat="0">
      <alignment horizontal="right"/>
    </xf>
    <xf numFmtId="0" fontId="34" fillId="35" borderId="0">
      <alignment horizontal="centerContinuous" vertical="center" wrapText="1"/>
    </xf>
    <xf numFmtId="0" fontId="34" fillId="0" borderId="15">
      <alignment horizontal="left" vertical="center"/>
    </xf>
    <xf numFmtId="0" fontId="27" fillId="0" borderId="0">
      <alignment horizontal="left" vertical="top"/>
    </xf>
    <xf numFmtId="0" fontId="3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28" fillId="0" borderId="0">
      <alignment horizontal="left"/>
    </xf>
    <xf numFmtId="0" fontId="31" fillId="0" borderId="0">
      <alignment horizontal="left"/>
    </xf>
    <xf numFmtId="0" fontId="29" fillId="0" borderId="0">
      <alignment horizontal="left"/>
    </xf>
    <xf numFmtId="0" fontId="27" fillId="0" borderId="0">
      <alignment horizontal="left" vertical="top"/>
    </xf>
    <xf numFmtId="0" fontId="31" fillId="0" borderId="0">
      <alignment horizontal="left"/>
    </xf>
    <xf numFmtId="0" fontId="29" fillId="0" borderId="0">
      <alignment horizontal="left"/>
    </xf>
    <xf numFmtId="0" fontId="24" fillId="36" borderId="0" applyNumberFormat="0" applyBorder="0">
      <protection locked="0"/>
    </xf>
    <xf numFmtId="0" fontId="25" fillId="37" borderId="0" applyNumberFormat="0" applyBorder="0">
      <protection locked="0"/>
    </xf>
    <xf numFmtId="49" fontId="32" fillId="0" borderId="12">
      <alignment horizontal="left"/>
    </xf>
    <xf numFmtId="0" fontId="34" fillId="0" borderId="13">
      <alignment horizontal="left"/>
    </xf>
    <xf numFmtId="0" fontId="28" fillId="0" borderId="0">
      <alignment horizontal="left" vertical="center"/>
    </xf>
    <xf numFmtId="49" fontId="36" fillId="0" borderId="12">
      <alignment horizontal="left"/>
    </xf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7" fillId="0" borderId="0"/>
    <xf numFmtId="168" fontId="7" fillId="0" borderId="0" applyFont="0" applyFill="0" applyBorder="0" applyAlignment="0" applyProtection="0"/>
    <xf numFmtId="0" fontId="1" fillId="0" borderId="0"/>
    <xf numFmtId="0" fontId="1" fillId="0" borderId="0"/>
    <xf numFmtId="0" fontId="23" fillId="0" borderId="0"/>
    <xf numFmtId="9" fontId="23" fillId="0" borderId="0" applyFont="0" applyFill="0" applyBorder="0" applyAlignment="0" applyProtection="0"/>
    <xf numFmtId="9" fontId="7" fillId="0" borderId="0" applyFont="0" applyFill="0" applyBorder="0" applyAlignment="0" applyProtection="0"/>
    <xf numFmtId="169" fontId="41" fillId="0" borderId="0" applyNumberFormat="0" applyProtection="0">
      <alignment horizontal="center" vertical="center"/>
    </xf>
    <xf numFmtId="49" fontId="42" fillId="0" borderId="16" applyNumberFormat="0" applyFont="0" applyFill="0" applyBorder="0" applyProtection="0">
      <alignment horizontal="left" vertical="center" indent="5"/>
    </xf>
    <xf numFmtId="4" fontId="43" fillId="0" borderId="2" applyFill="0" applyBorder="0" applyProtection="0">
      <alignment horizontal="right" vertical="center"/>
    </xf>
    <xf numFmtId="43" fontId="1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23" fillId="0" borderId="0"/>
    <xf numFmtId="4" fontId="42" fillId="0" borderId="1" applyFill="0" applyBorder="0" applyProtection="0">
      <alignment horizontal="right" vertical="center"/>
    </xf>
    <xf numFmtId="0" fontId="42" fillId="0" borderId="1" applyNumberFormat="0" applyFill="0" applyAlignment="0" applyProtection="0"/>
    <xf numFmtId="0" fontId="45" fillId="38" borderId="0" applyNumberFormat="0" applyFont="0" applyBorder="0" applyAlignment="0" applyProtection="0"/>
    <xf numFmtId="170" fontId="42" fillId="39" borderId="1" applyNumberFormat="0" applyFont="0" applyBorder="0" applyAlignment="0" applyProtection="0">
      <alignment horizontal="right" vertical="center"/>
    </xf>
    <xf numFmtId="0" fontId="46" fillId="0" borderId="17">
      <alignment horizontal="center"/>
      <protection hidden="1"/>
    </xf>
    <xf numFmtId="0" fontId="47" fillId="0" borderId="0"/>
    <xf numFmtId="0" fontId="40" fillId="0" borderId="0"/>
    <xf numFmtId="0" fontId="7" fillId="0" borderId="0"/>
    <xf numFmtId="43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48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0" fontId="57" fillId="0" borderId="0"/>
  </cellStyleXfs>
  <cellXfs count="124">
    <xf numFmtId="0" fontId="0" fillId="0" borderId="0" xfId="0"/>
    <xf numFmtId="1" fontId="0" fillId="0" borderId="0" xfId="0" applyNumberFormat="1"/>
    <xf numFmtId="9" fontId="0" fillId="0" borderId="0" xfId="1" applyFont="1"/>
    <xf numFmtId="0" fontId="0" fillId="0" borderId="0" xfId="0" quotePrefix="1"/>
    <xf numFmtId="3" fontId="0" fillId="0" borderId="0" xfId="0" applyNumberFormat="1"/>
    <xf numFmtId="0" fontId="2" fillId="2" borderId="0" xfId="0" applyFont="1" applyFill="1"/>
    <xf numFmtId="0" fontId="0" fillId="2" borderId="0" xfId="0" applyFill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49" fillId="0" borderId="0" xfId="0" applyFont="1"/>
    <xf numFmtId="0" fontId="4" fillId="0" borderId="0" xfId="0" applyFont="1"/>
    <xf numFmtId="171" fontId="0" fillId="0" borderId="0" xfId="169" applyNumberFormat="1" applyFont="1"/>
    <xf numFmtId="0" fontId="0" fillId="0" borderId="0" xfId="0" applyAlignment="1">
      <alignment horizontal="left"/>
    </xf>
    <xf numFmtId="2" fontId="0" fillId="0" borderId="0" xfId="0" applyNumberFormat="1"/>
    <xf numFmtId="0" fontId="51" fillId="0" borderId="0" xfId="0" applyFont="1" applyAlignment="1">
      <alignment horizontal="center"/>
    </xf>
    <xf numFmtId="1" fontId="0" fillId="0" borderId="0" xfId="1" applyNumberFormat="1" applyFont="1"/>
    <xf numFmtId="0" fontId="53" fillId="0" borderId="0" xfId="0" applyFont="1"/>
    <xf numFmtId="0" fontId="0" fillId="40" borderId="0" xfId="0" applyFill="1"/>
    <xf numFmtId="172" fontId="0" fillId="0" borderId="0" xfId="1" applyNumberFormat="1" applyFont="1"/>
    <xf numFmtId="172" fontId="0" fillId="0" borderId="0" xfId="0" applyNumberFormat="1"/>
    <xf numFmtId="164" fontId="0" fillId="0" borderId="0" xfId="0" applyNumberFormat="1"/>
    <xf numFmtId="10" fontId="0" fillId="0" borderId="0" xfId="1" applyNumberFormat="1" applyFont="1"/>
    <xf numFmtId="173" fontId="41" fillId="0" borderId="0" xfId="170" applyNumberFormat="1" applyFont="1" applyAlignment="1">
      <alignment horizontal="right" vertical="center" shrinkToFit="1"/>
    </xf>
    <xf numFmtId="174" fontId="41" fillId="0" borderId="0" xfId="170" applyNumberFormat="1" applyFont="1" applyAlignment="1">
      <alignment horizontal="right" vertical="center" shrinkToFit="1"/>
    </xf>
    <xf numFmtId="4" fontId="0" fillId="0" borderId="0" xfId="0" applyNumberFormat="1"/>
    <xf numFmtId="3" fontId="41" fillId="0" borderId="0" xfId="170" applyNumberFormat="1" applyFont="1" applyAlignment="1">
      <alignment horizontal="right" vertical="center" shrinkToFit="1"/>
    </xf>
    <xf numFmtId="0" fontId="54" fillId="41" borderId="18" xfId="0" applyFont="1" applyFill="1" applyBorder="1" applyAlignment="1">
      <alignment horizontal="right" vertical="center"/>
    </xf>
    <xf numFmtId="0" fontId="54" fillId="41" borderId="18" xfId="0" applyFont="1" applyFill="1" applyBorder="1" applyAlignment="1">
      <alignment horizontal="left" vertical="center"/>
    </xf>
    <xf numFmtId="0" fontId="55" fillId="42" borderId="18" xfId="0" applyFont="1" applyFill="1" applyBorder="1" applyAlignment="1">
      <alignment horizontal="left" vertical="center"/>
    </xf>
    <xf numFmtId="0" fontId="55" fillId="43" borderId="18" xfId="0" applyFont="1" applyFill="1" applyBorder="1" applyAlignment="1">
      <alignment horizontal="left" vertical="center"/>
    </xf>
    <xf numFmtId="175" fontId="0" fillId="0" borderId="0" xfId="1" applyNumberFormat="1" applyFont="1"/>
    <xf numFmtId="171" fontId="0" fillId="0" borderId="0" xfId="0" applyNumberFormat="1"/>
    <xf numFmtId="176" fontId="0" fillId="0" borderId="0" xfId="0" applyNumberFormat="1"/>
    <xf numFmtId="177" fontId="0" fillId="0" borderId="0" xfId="0" applyNumberFormat="1"/>
    <xf numFmtId="0" fontId="55" fillId="43" borderId="18" xfId="170" applyFont="1" applyFill="1" applyBorder="1" applyAlignment="1">
      <alignment horizontal="left" vertical="center"/>
    </xf>
    <xf numFmtId="0" fontId="54" fillId="41" borderId="0" xfId="0" applyFont="1" applyFill="1" applyAlignment="1">
      <alignment horizontal="right" vertical="center"/>
    </xf>
    <xf numFmtId="0" fontId="55" fillId="42" borderId="0" xfId="0" applyFont="1" applyFill="1" applyAlignment="1">
      <alignment horizontal="left" vertical="center"/>
    </xf>
    <xf numFmtId="0" fontId="41" fillId="43" borderId="0" xfId="0" applyFont="1" applyFill="1" applyAlignment="1">
      <alignment horizontal="left" vertical="center"/>
    </xf>
    <xf numFmtId="0" fontId="41" fillId="43" borderId="0" xfId="170" applyFont="1" applyFill="1" applyAlignment="1">
      <alignment horizontal="left" vertical="center"/>
    </xf>
    <xf numFmtId="0" fontId="56" fillId="45" borderId="0" xfId="0" applyFont="1" applyFill="1"/>
    <xf numFmtId="0" fontId="0" fillId="45" borderId="0" xfId="0" applyFill="1"/>
    <xf numFmtId="0" fontId="57" fillId="0" borderId="0" xfId="171" applyAlignment="1">
      <alignment vertical="center"/>
    </xf>
    <xf numFmtId="0" fontId="57" fillId="0" borderId="0" xfId="171" applyAlignment="1">
      <alignment horizontal="right" vertical="center"/>
    </xf>
    <xf numFmtId="0" fontId="2" fillId="40" borderId="0" xfId="0" applyFont="1" applyFill="1"/>
    <xf numFmtId="9" fontId="0" fillId="0" borderId="0" xfId="0" applyNumberFormat="1"/>
    <xf numFmtId="0" fontId="55" fillId="0" borderId="0" xfId="0" applyFont="1" applyAlignment="1">
      <alignment horizontal="left" vertical="center"/>
    </xf>
    <xf numFmtId="0" fontId="0" fillId="46" borderId="0" xfId="0" applyFill="1"/>
    <xf numFmtId="0" fontId="54" fillId="41" borderId="18" xfId="0" applyFont="1" applyFill="1" applyBorder="1" applyAlignment="1">
      <alignment vertical="center"/>
    </xf>
    <xf numFmtId="1" fontId="57" fillId="0" borderId="0" xfId="171" applyNumberFormat="1" applyAlignment="1">
      <alignment horizontal="right" vertical="center"/>
    </xf>
    <xf numFmtId="175" fontId="0" fillId="0" borderId="0" xfId="0" applyNumberFormat="1"/>
    <xf numFmtId="1" fontId="4" fillId="0" borderId="0" xfId="0" applyNumberFormat="1" applyFont="1"/>
    <xf numFmtId="3" fontId="4" fillId="0" borderId="0" xfId="0" applyNumberFormat="1" applyFont="1"/>
    <xf numFmtId="0" fontId="6" fillId="0" borderId="0" xfId="171" applyFont="1" applyAlignment="1">
      <alignment vertical="center"/>
    </xf>
    <xf numFmtId="173" fontId="41" fillId="44" borderId="0" xfId="170" applyNumberFormat="1" applyFont="1" applyFill="1" applyAlignment="1">
      <alignment horizontal="right" vertical="center" shrinkToFit="1"/>
    </xf>
    <xf numFmtId="178" fontId="41" fillId="0" borderId="0" xfId="170" applyNumberFormat="1" applyFont="1" applyAlignment="1">
      <alignment horizontal="right" vertical="center" shrinkToFit="1"/>
    </xf>
    <xf numFmtId="178" fontId="41" fillId="44" borderId="0" xfId="170" applyNumberFormat="1" applyFont="1" applyFill="1" applyAlignment="1">
      <alignment horizontal="right" vertical="center" shrinkToFit="1"/>
    </xf>
    <xf numFmtId="179" fontId="0" fillId="0" borderId="0" xfId="0" applyNumberFormat="1"/>
    <xf numFmtId="0" fontId="0" fillId="47" borderId="0" xfId="0" applyFill="1"/>
    <xf numFmtId="0" fontId="4" fillId="40" borderId="0" xfId="0" applyFont="1" applyFill="1"/>
    <xf numFmtId="1" fontId="0" fillId="48" borderId="0" xfId="1" applyNumberFormat="1" applyFont="1" applyFill="1"/>
    <xf numFmtId="164" fontId="0" fillId="0" borderId="0" xfId="1" applyNumberFormat="1" applyFont="1"/>
    <xf numFmtId="0" fontId="56" fillId="0" borderId="0" xfId="0" applyFont="1"/>
    <xf numFmtId="178" fontId="0" fillId="0" borderId="0" xfId="0" applyNumberFormat="1"/>
    <xf numFmtId="0" fontId="2" fillId="49" borderId="0" xfId="0" applyFont="1" applyFill="1"/>
    <xf numFmtId="0" fontId="0" fillId="49" borderId="0" xfId="0" applyFill="1"/>
    <xf numFmtId="3" fontId="41" fillId="44" borderId="0" xfId="170" applyNumberFormat="1" applyFont="1" applyFill="1" applyAlignment="1">
      <alignment horizontal="left" vertical="center" shrinkToFit="1"/>
    </xf>
    <xf numFmtId="3" fontId="41" fillId="0" borderId="0" xfId="170" applyNumberFormat="1" applyFont="1" applyAlignment="1">
      <alignment horizontal="left" vertical="center" shrinkToFit="1"/>
    </xf>
    <xf numFmtId="3" fontId="0" fillId="0" borderId="0" xfId="0" applyNumberFormat="1" applyAlignment="1">
      <alignment horizontal="left"/>
    </xf>
    <xf numFmtId="0" fontId="49" fillId="50" borderId="0" xfId="0" applyFont="1" applyFill="1"/>
    <xf numFmtId="0" fontId="0" fillId="50" borderId="0" xfId="0" applyFill="1"/>
    <xf numFmtId="175" fontId="0" fillId="50" borderId="0" xfId="1" applyNumberFormat="1" applyFont="1" applyFill="1"/>
    <xf numFmtId="9" fontId="0" fillId="50" borderId="0" xfId="1" applyFont="1" applyFill="1"/>
    <xf numFmtId="0" fontId="58" fillId="50" borderId="0" xfId="0" applyFont="1" applyFill="1"/>
    <xf numFmtId="177" fontId="0" fillId="50" borderId="0" xfId="0" applyNumberFormat="1" applyFill="1"/>
    <xf numFmtId="175" fontId="0" fillId="50" borderId="0" xfId="0" applyNumberFormat="1" applyFill="1"/>
    <xf numFmtId="164" fontId="0" fillId="50" borderId="0" xfId="0" applyNumberFormat="1" applyFill="1"/>
    <xf numFmtId="2" fontId="0" fillId="50" borderId="0" xfId="0" applyNumberFormat="1" applyFill="1"/>
    <xf numFmtId="9" fontId="0" fillId="50" borderId="0" xfId="0" applyNumberFormat="1" applyFill="1"/>
    <xf numFmtId="0" fontId="51" fillId="45" borderId="0" xfId="0" applyFont="1" applyFill="1"/>
    <xf numFmtId="0" fontId="61" fillId="51" borderId="0" xfId="0" applyFont="1" applyFill="1"/>
    <xf numFmtId="0" fontId="61" fillId="0" borderId="0" xfId="0" applyFont="1"/>
    <xf numFmtId="0" fontId="61" fillId="52" borderId="0" xfId="0" applyFont="1" applyFill="1"/>
    <xf numFmtId="0" fontId="61" fillId="53" borderId="0" xfId="0" applyFont="1" applyFill="1"/>
    <xf numFmtId="0" fontId="61" fillId="54" borderId="0" xfId="0" applyFont="1" applyFill="1"/>
    <xf numFmtId="0" fontId="61" fillId="55" borderId="0" xfId="0" applyFont="1" applyFill="1"/>
    <xf numFmtId="0" fontId="61" fillId="56" borderId="0" xfId="0" applyFont="1" applyFill="1"/>
    <xf numFmtId="0" fontId="61" fillId="57" borderId="0" xfId="0" applyFont="1" applyFill="1"/>
    <xf numFmtId="0" fontId="61" fillId="58" borderId="0" xfId="0" applyFont="1" applyFill="1"/>
    <xf numFmtId="0" fontId="61" fillId="59" borderId="0" xfId="0" applyFont="1" applyFill="1"/>
    <xf numFmtId="0" fontId="61" fillId="60" borderId="0" xfId="0" applyFont="1" applyFill="1"/>
    <xf numFmtId="0" fontId="61" fillId="61" borderId="0" xfId="0" applyFont="1" applyFill="1"/>
    <xf numFmtId="0" fontId="61" fillId="62" borderId="0" xfId="0" applyFont="1" applyFill="1"/>
    <xf numFmtId="0" fontId="61" fillId="63" borderId="0" xfId="0" applyFont="1" applyFill="1"/>
    <xf numFmtId="0" fontId="61" fillId="64" borderId="0" xfId="0" applyFont="1" applyFill="1"/>
    <xf numFmtId="0" fontId="61" fillId="65" borderId="0" xfId="0" applyFont="1" applyFill="1"/>
    <xf numFmtId="0" fontId="61" fillId="66" borderId="0" xfId="0" applyFont="1" applyFill="1"/>
    <xf numFmtId="9" fontId="4" fillId="0" borderId="0" xfId="0" applyNumberFormat="1" applyFont="1"/>
    <xf numFmtId="175" fontId="4" fillId="0" borderId="0" xfId="1" applyNumberFormat="1" applyFont="1"/>
    <xf numFmtId="175" fontId="4" fillId="0" borderId="0" xfId="0" applyNumberFormat="1" applyFont="1"/>
    <xf numFmtId="0" fontId="55" fillId="43" borderId="0" xfId="170" applyFont="1" applyFill="1" applyAlignment="1">
      <alignment horizontal="left" vertical="center"/>
    </xf>
    <xf numFmtId="3" fontId="0" fillId="0" borderId="0" xfId="1" applyNumberFormat="1" applyFont="1"/>
    <xf numFmtId="0" fontId="0" fillId="67" borderId="0" xfId="0" applyFill="1"/>
    <xf numFmtId="0" fontId="4" fillId="67" borderId="0" xfId="0" applyFont="1" applyFill="1"/>
    <xf numFmtId="173" fontId="41" fillId="67" borderId="0" xfId="170" applyNumberFormat="1" applyFont="1" applyFill="1" applyAlignment="1">
      <alignment horizontal="right" vertical="center" shrinkToFit="1"/>
    </xf>
    <xf numFmtId="3" fontId="41" fillId="67" borderId="0" xfId="170" applyNumberFormat="1" applyFont="1" applyFill="1" applyAlignment="1">
      <alignment horizontal="right" vertical="center" shrinkToFit="1"/>
    </xf>
    <xf numFmtId="9" fontId="0" fillId="67" borderId="0" xfId="0" applyNumberFormat="1" applyFill="1"/>
    <xf numFmtId="0" fontId="51" fillId="0" borderId="0" xfId="0" applyFont="1" applyAlignment="1">
      <alignment horizontal="left" indent="1"/>
    </xf>
    <xf numFmtId="175" fontId="0" fillId="0" borderId="0" xfId="0" applyNumberFormat="1" applyAlignment="1">
      <alignment horizontal="center"/>
    </xf>
    <xf numFmtId="175" fontId="51" fillId="0" borderId="0" xfId="0" applyNumberFormat="1" applyFont="1" applyAlignment="1">
      <alignment horizontal="center"/>
    </xf>
    <xf numFmtId="175" fontId="4" fillId="0" borderId="0" xfId="0" applyNumberFormat="1" applyFont="1" applyAlignment="1">
      <alignment horizontal="center"/>
    </xf>
    <xf numFmtId="0" fontId="0" fillId="0" borderId="0" xfId="0" applyAlignment="1">
      <alignment horizontal="left" indent="1"/>
    </xf>
    <xf numFmtId="0" fontId="62" fillId="0" borderId="0" xfId="0" applyFont="1"/>
    <xf numFmtId="172" fontId="0" fillId="0" borderId="0" xfId="1" applyNumberFormat="1" applyFont="1" applyAlignment="1">
      <alignment horizontal="center"/>
    </xf>
    <xf numFmtId="172" fontId="0" fillId="48" borderId="0" xfId="1" applyNumberFormat="1" applyFont="1" applyFill="1" applyAlignment="1">
      <alignment horizontal="center"/>
    </xf>
    <xf numFmtId="172" fontId="0" fillId="48" borderId="0" xfId="1" applyNumberFormat="1" applyFont="1" applyFill="1"/>
    <xf numFmtId="171" fontId="41" fillId="44" borderId="0" xfId="169" applyNumberFormat="1" applyFont="1" applyFill="1" applyAlignment="1">
      <alignment horizontal="right" vertical="center" shrinkToFit="1"/>
    </xf>
    <xf numFmtId="0" fontId="41" fillId="0" borderId="0" xfId="0" applyFont="1" applyAlignment="1">
      <alignment horizontal="left" vertical="center"/>
    </xf>
    <xf numFmtId="3" fontId="41" fillId="44" borderId="0" xfId="0" applyNumberFormat="1" applyFont="1" applyFill="1" applyAlignment="1">
      <alignment horizontal="right" vertical="center" shrinkToFit="1"/>
    </xf>
    <xf numFmtId="174" fontId="41" fillId="44" borderId="0" xfId="0" applyNumberFormat="1" applyFont="1" applyFill="1" applyAlignment="1">
      <alignment horizontal="right" vertical="center" shrinkToFit="1"/>
    </xf>
    <xf numFmtId="171" fontId="6" fillId="0" borderId="0" xfId="169" applyNumberFormat="1" applyFont="1" applyAlignment="1">
      <alignment horizontal="right" vertical="center"/>
    </xf>
    <xf numFmtId="9" fontId="6" fillId="0" borderId="0" xfId="1" applyFont="1" applyAlignment="1">
      <alignment vertical="center"/>
    </xf>
    <xf numFmtId="9" fontId="6" fillId="0" borderId="0" xfId="1" applyFont="1" applyAlignment="1">
      <alignment horizontal="right" vertical="center"/>
    </xf>
    <xf numFmtId="0" fontId="0" fillId="0" borderId="0" xfId="0" applyAlignment="1">
      <alignment horizontal="center"/>
    </xf>
  </cellXfs>
  <cellStyles count="172">
    <cellStyle name="20% - Accent1" xfId="25" builtinId="30" customBuiltin="1"/>
    <cellStyle name="20% - Accent1 2" xfId="48" xr:uid="{EF349DA7-B6E5-4DC5-B767-B6D92AF7E3EC}"/>
    <cellStyle name="20% - Accent1 3" xfId="49" xr:uid="{37799E49-DBAE-4CD5-A067-E42A578A473C}"/>
    <cellStyle name="20% - Accent2" xfId="29" builtinId="34" customBuiltin="1"/>
    <cellStyle name="20% - Accent2 2" xfId="50" xr:uid="{7CECD539-D3CA-4E15-AC9C-D235FA850490}"/>
    <cellStyle name="20% - Accent2 3" xfId="51" xr:uid="{57C6823C-0F62-4670-9A16-CBAC8C50E5D8}"/>
    <cellStyle name="20% - Accent3" xfId="33" builtinId="38" customBuiltin="1"/>
    <cellStyle name="20% - Accent3 2" xfId="52" xr:uid="{885CBCE4-EA76-43E4-8632-BD033B5D73C4}"/>
    <cellStyle name="20% - Accent3 3" xfId="53" xr:uid="{47556736-6C9D-430C-86B6-3B2EBE9D5966}"/>
    <cellStyle name="20% - Accent4" xfId="37" builtinId="42" customBuiltin="1"/>
    <cellStyle name="20% - Accent4 2" xfId="54" xr:uid="{73353521-A73B-44F8-BBDB-5633077675C4}"/>
    <cellStyle name="20% - Accent4 3" xfId="55" xr:uid="{493AE928-2EFD-483A-8162-272BDA473EF0}"/>
    <cellStyle name="20% - Accent5" xfId="41" builtinId="46" customBuiltin="1"/>
    <cellStyle name="20% - Accent5 2" xfId="56" xr:uid="{0A74C958-C6B7-48B4-8428-C3C1CB6B4A40}"/>
    <cellStyle name="20% - Accent5 3" xfId="57" xr:uid="{EE6D92EA-4FDA-4A0A-90CA-CE55F431CBC2}"/>
    <cellStyle name="20% - Accent6" xfId="45" builtinId="50" customBuiltin="1"/>
    <cellStyle name="20% - Accent6 2" xfId="58" xr:uid="{8F33C687-E8BA-4150-AB50-6F10311B956F}"/>
    <cellStyle name="20% - Accent6 3" xfId="59" xr:uid="{4266150C-5E0C-4AF6-8DA2-1AE4872E707E}"/>
    <cellStyle name="40% - Accent1" xfId="26" builtinId="31" customBuiltin="1"/>
    <cellStyle name="40% - Accent1 2" xfId="60" xr:uid="{FD2576D1-BCFA-458F-9DB5-07D64E00509F}"/>
    <cellStyle name="40% - Accent1 3" xfId="61" xr:uid="{2435BF9E-1B3F-46EF-BC28-15EE8DD4C94A}"/>
    <cellStyle name="40% - Accent2" xfId="30" builtinId="35" customBuiltin="1"/>
    <cellStyle name="40% - Accent2 2" xfId="62" xr:uid="{04B6AEBB-7C83-49E0-BCAC-38F16B175B9B}"/>
    <cellStyle name="40% - Accent2 3" xfId="63" xr:uid="{8F91FD4E-2B27-4C63-894C-66BBF13C29B9}"/>
    <cellStyle name="40% - Accent3" xfId="34" builtinId="39" customBuiltin="1"/>
    <cellStyle name="40% - Accent3 2" xfId="64" xr:uid="{1BD7F255-F5E9-41EF-8CE5-15AE35E0F89F}"/>
    <cellStyle name="40% - Accent3 3" xfId="65" xr:uid="{48952A33-7AFE-438E-915A-E7E27EB72B4D}"/>
    <cellStyle name="40% - Accent4" xfId="38" builtinId="43" customBuiltin="1"/>
    <cellStyle name="40% - Accent4 2" xfId="66" xr:uid="{27369165-4219-413F-839B-3F95831A14FB}"/>
    <cellStyle name="40% - Accent4 3" xfId="67" xr:uid="{5DDB81E7-5A82-4FA7-A133-49EC755E72D3}"/>
    <cellStyle name="40% - Accent5" xfId="42" builtinId="47" customBuiltin="1"/>
    <cellStyle name="40% - Accent5 2" xfId="68" xr:uid="{E33EA2F3-09B9-4376-BE5C-FFF84BCBC07E}"/>
    <cellStyle name="40% - Accent5 3" xfId="69" xr:uid="{FCFFAB5E-45FC-4759-B083-AAFB565C56D8}"/>
    <cellStyle name="40% - Accent6" xfId="46" builtinId="51" customBuiltin="1"/>
    <cellStyle name="40% - Accent6 2" xfId="70" xr:uid="{AD01C7EA-54CC-4C67-BD52-1F8A19DB6570}"/>
    <cellStyle name="40% - Accent6 3" xfId="71" xr:uid="{DB26C4B2-C109-4196-B7E7-49A1ECC046CD}"/>
    <cellStyle name="5x indented GHG Textfiels" xfId="143" xr:uid="{F83D2B3E-D80F-499F-BEC3-FFF7B5C2AEBA}"/>
    <cellStyle name="60% - Accent1" xfId="27" builtinId="32" customBuiltin="1"/>
    <cellStyle name="60% - Accent1 2" xfId="72" xr:uid="{E06E8E81-3F1F-4FD5-A7E2-5A909B821531}"/>
    <cellStyle name="60% - Accent2" xfId="31" builtinId="36" customBuiltin="1"/>
    <cellStyle name="60% - Accent2 2" xfId="73" xr:uid="{11FCD26B-6226-4D8F-B666-C3A7340670DD}"/>
    <cellStyle name="60% - Accent3" xfId="35" builtinId="40" customBuiltin="1"/>
    <cellStyle name="60% - Accent3 2" xfId="74" xr:uid="{69224D30-1CB9-4042-AC47-741B3101FB6C}"/>
    <cellStyle name="60% - Accent4" xfId="39" builtinId="44" customBuiltin="1"/>
    <cellStyle name="60% - Accent4 2" xfId="75" xr:uid="{31A1600E-2ADA-4494-830E-19E470E88D31}"/>
    <cellStyle name="60% - Accent5" xfId="43" builtinId="48" customBuiltin="1"/>
    <cellStyle name="60% - Accent5 2" xfId="76" xr:uid="{EF1950ED-4FE6-4B6D-9132-67D459E99238}"/>
    <cellStyle name="60% - Accent6" xfId="47" builtinId="52" customBuiltin="1"/>
    <cellStyle name="60% - Accent6 2" xfId="77" xr:uid="{3EA7A03E-54F0-4C77-B111-82968D28AD79}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Bold GHG Numbers (0.00)" xfId="144" xr:uid="{DA4FF68C-7FF0-4CED-A5EA-0097B6EB2369}"/>
    <cellStyle name="Calculation" xfId="17" builtinId="22" customBuiltin="1"/>
    <cellStyle name="Check Cell" xfId="19" builtinId="23" customBuiltin="1"/>
    <cellStyle name="Column heading" xfId="78" xr:uid="{B7F6F0CA-8447-40B5-B305-0995BEF9DC81}"/>
    <cellStyle name="Comma" xfId="169" builtinId="3"/>
    <cellStyle name="Comma 2" xfId="79" xr:uid="{E229120F-E6BF-453E-B284-ADB3C2EFF798}"/>
    <cellStyle name="Comma 2 2" xfId="160" xr:uid="{2A2288AD-3C24-4FB2-8418-F26E54997657}"/>
    <cellStyle name="Comma 2 2 2" xfId="167" xr:uid="{EB037193-A471-4CB2-9E7C-8CF3185046D6}"/>
    <cellStyle name="Comma 2 3" xfId="163" xr:uid="{E2D67C64-2CF4-4488-9A8F-645F79D74688}"/>
    <cellStyle name="Comma 2 4" xfId="145" xr:uid="{2BE6E7D8-58DF-4616-A8B4-ACC033CF8394}"/>
    <cellStyle name="Comma 3" xfId="156" xr:uid="{E12608C2-090C-409F-BF94-5C614256EB27}"/>
    <cellStyle name="Comma 3 2" xfId="157" xr:uid="{C669213E-2105-465E-96E8-2B2A1ADD5F86}"/>
    <cellStyle name="Comma 3 3" xfId="161" xr:uid="{84354EFF-D576-4FFC-A206-30B76C92195E}"/>
    <cellStyle name="Comma 3 3 2" xfId="168" xr:uid="{0F5D64C1-E285-420D-B6D8-505AE982E671}"/>
    <cellStyle name="Comma 3 4" xfId="165" xr:uid="{3D09E4A3-5CD1-455D-9B7E-C036370DE385}"/>
    <cellStyle name="Comma 4" xfId="162" xr:uid="{C701A914-F7C5-4135-8657-7A9ABA714A2D}"/>
    <cellStyle name="Comma 5" xfId="159" xr:uid="{086F30DA-0BA8-415D-B817-1952049D5F8A}"/>
    <cellStyle name="Corner heading" xfId="80" xr:uid="{330ED3DB-6560-4052-B4DE-F68437890C69}"/>
    <cellStyle name="Data" xfId="81" xr:uid="{B3481D78-FAE6-4498-BEB0-B4E42369CD22}"/>
    <cellStyle name="Data no deci" xfId="82" xr:uid="{77489161-3B29-4346-8823-96B2E8044414}"/>
    <cellStyle name="Data Superscript" xfId="83" xr:uid="{F640F237-610A-48A7-BE88-46296592F176}"/>
    <cellStyle name="Data_1-1A-Regular" xfId="84" xr:uid="{2AB52574-9598-4CB8-B487-29D8E240C7BF}"/>
    <cellStyle name="Explanatory Text" xfId="22" builtinId="53" customBuiltin="1"/>
    <cellStyle name="Good" xfId="12" builtinId="26" customBuiltin="1"/>
    <cellStyle name="Heading 1" xfId="8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Headline" xfId="146" xr:uid="{4E05191A-A3A7-4E45-B95A-BCD7F498231F}"/>
    <cellStyle name="Hed Side" xfId="85" xr:uid="{7CF23A2E-88A2-4097-BC86-89BEFEED221A}"/>
    <cellStyle name="Hed Side bold" xfId="86" xr:uid="{9F782E38-AE41-4773-941D-50FA1FF86B91}"/>
    <cellStyle name="Hed Side Indent" xfId="87" xr:uid="{17640473-0DD0-4C3B-8441-1B62DE15E0EB}"/>
    <cellStyle name="Hed Side Regular" xfId="88" xr:uid="{E470F15A-3C40-47DB-A3DD-90E86487C31A}"/>
    <cellStyle name="Hed Side_1-1A-Regular" xfId="89" xr:uid="{E9F183F5-C7C6-45E2-816F-496B1C6D77E9}"/>
    <cellStyle name="Hed Top" xfId="90" xr:uid="{7BDA868B-13BF-46CB-AE60-AFE0D0E66FBE}"/>
    <cellStyle name="Hed Top - SECTION" xfId="91" xr:uid="{24B5B5BD-4A52-4F56-BC33-3B0DF32B7AE6}"/>
    <cellStyle name="Hed Top_3-new4" xfId="92" xr:uid="{DD86D1C9-1E75-4C54-8359-BC926AAFA9B5}"/>
    <cellStyle name="Hyperlink 2" xfId="134" xr:uid="{8C068579-6944-4469-B8C5-5876577F8569}"/>
    <cellStyle name="Input" xfId="15" builtinId="20" customBuiltin="1"/>
    <cellStyle name="Linked Cell" xfId="18" builtinId="24" customBuiltin="1"/>
    <cellStyle name="Milliers 2" xfId="136" xr:uid="{D8FFE04B-DB51-4D64-B1E0-2B7720A0CD04}"/>
    <cellStyle name="Neutral" xfId="14" builtinId="28" customBuiltin="1"/>
    <cellStyle name="Neutral 2" xfId="93" xr:uid="{9F71F88E-1C42-42BB-9048-2F53E4F20AA1}"/>
    <cellStyle name="Normal" xfId="0" builtinId="0"/>
    <cellStyle name="Normal 10" xfId="171" xr:uid="{5F8ADD53-7844-4109-B8D4-155D19D69755}"/>
    <cellStyle name="Normal 12" xfId="94" xr:uid="{EC410101-D69E-4FCF-A9F1-21B3CF23F348}"/>
    <cellStyle name="Normal 2" xfId="2" xr:uid="{55B6A459-018A-4159-BCD7-B35C942A65A0}"/>
    <cellStyle name="Normal 2 2" xfId="6" xr:uid="{AA58C20A-3AFF-4D45-9EE5-5F1CBF1179BF}"/>
    <cellStyle name="Normal 2 2 2" xfId="97" xr:uid="{58E3476F-BE97-4199-8773-2E33D564CF2D}"/>
    <cellStyle name="Normal 2 2 3" xfId="96" xr:uid="{831227AC-581D-4890-BAB5-3946EF3B389A}"/>
    <cellStyle name="Normal 2 3" xfId="135" xr:uid="{A978334C-3E38-4F8C-9AEC-0A99C8A704DD}"/>
    <cellStyle name="Normal 2 4" xfId="95" xr:uid="{C7DE0F11-6FE3-4C12-A367-016EE4943441}"/>
    <cellStyle name="Normal 2 5" xfId="170" xr:uid="{D08AAF5B-A8A6-4E88-803E-BF50BE5CFF8F}"/>
    <cellStyle name="Normal 3" xfId="4" xr:uid="{2E4BA378-3DE0-42C2-BA23-2407BCA94ACF}"/>
    <cellStyle name="Normal 3 2" xfId="138" xr:uid="{726176F6-8CC2-4CBA-9AA3-933B2AB786CE}"/>
    <cellStyle name="Normal 3 3" xfId="98" xr:uid="{96377BA5-BA51-47A3-8326-7538582DBB83}"/>
    <cellStyle name="Normal 3 4" xfId="147" xr:uid="{B666AE08-34F2-48FA-8465-610E73AE3A38}"/>
    <cellStyle name="Normal 4" xfId="5" xr:uid="{C4A79ADA-18DB-4104-AD79-FCF2C31AE69C}"/>
    <cellStyle name="Normal 4 2" xfId="132" xr:uid="{C19418A3-F747-4D48-9A68-6EFDF0E72F85}"/>
    <cellStyle name="Normal 4 3" xfId="164" xr:uid="{FB4BA9DE-52B1-451E-B473-EB99721C1AC7}"/>
    <cellStyle name="Normal 5" xfId="142" xr:uid="{58842B04-BC91-4B1D-999F-4998E1DC29C8}"/>
    <cellStyle name="Normal 6" xfId="154" xr:uid="{8229B25A-E9AE-48BB-A9AF-E30C655F08A3}"/>
    <cellStyle name="Normal 6 2" xfId="155" xr:uid="{58BF46DA-3A04-4611-B8D3-011CF36A8D09}"/>
    <cellStyle name="Normal 7" xfId="153" xr:uid="{EA3703FF-45DE-42E8-8F10-6E5FF133FBE2}"/>
    <cellStyle name="Normal 8" xfId="139" xr:uid="{2ED08D51-D347-48C3-AC54-F657E20E74FC}"/>
    <cellStyle name="Normal 9" xfId="3" xr:uid="{901E6851-97D6-414B-9218-20533A98EFED}"/>
    <cellStyle name="Normal 9 2" xfId="99" xr:uid="{FB6972EF-B788-4FB0-B93D-37D130E34275}"/>
    <cellStyle name="Normal GHG Numbers (0.00)" xfId="148" xr:uid="{94AA7987-9E96-4F07-8ADF-A2B53B4EE6BB}"/>
    <cellStyle name="Normal GHG whole table" xfId="149" xr:uid="{3156BCC2-469A-4D5D-BC3A-5854C86DB246}"/>
    <cellStyle name="Normal GHG-Shade" xfId="150" xr:uid="{33F64DAB-4759-4EE0-B938-935266B4665D}"/>
    <cellStyle name="Note" xfId="21" builtinId="10" customBuiltin="1"/>
    <cellStyle name="Note 2" xfId="100" xr:uid="{6DEB8261-6E52-4657-8CC1-81718DF31F1A}"/>
    <cellStyle name="Note 3" xfId="101" xr:uid="{39E54385-D062-4AEF-BF96-DE804439AEF4}"/>
    <cellStyle name="Note 4" xfId="102" xr:uid="{022AF93A-D3B5-4DB6-9D7F-99FD54820E9B}"/>
    <cellStyle name="NumberCellStyle" xfId="103" xr:uid="{D09C104C-93B5-410B-9A69-EB5387AFC1C4}"/>
    <cellStyle name="Output" xfId="16" builtinId="21" customBuiltin="1"/>
    <cellStyle name="Pattern" xfId="151" xr:uid="{C5B6B55A-2D4E-4EFE-B52D-08544A8E2869}"/>
    <cellStyle name="Percent" xfId="1" builtinId="5"/>
    <cellStyle name="Percent 2" xfId="133" xr:uid="{EFE8812B-55B9-44C3-8E2C-F87D498E8DE4}"/>
    <cellStyle name="Percent 2 2" xfId="141" xr:uid="{F9E8E6E0-C3F1-49C1-BC66-A469EF843869}"/>
    <cellStyle name="Percent 3" xfId="158" xr:uid="{C739EFB1-9B9D-4C58-9894-942726FEDA0D}"/>
    <cellStyle name="Percent 4" xfId="140" xr:uid="{FD674B19-9311-426D-81A8-A030956D65BD}"/>
    <cellStyle name="Reference" xfId="104" xr:uid="{DBFA3B77-CFDF-4449-A8DD-1E286D1FA68C}"/>
    <cellStyle name="Row heading" xfId="105" xr:uid="{3D5DD19C-7502-48B3-8DA7-2CE786ACE5A2}"/>
    <cellStyle name="Source Hed" xfId="106" xr:uid="{2699F76C-1169-40F1-A181-5C0E99223BEA}"/>
    <cellStyle name="Source Letter" xfId="107" xr:uid="{D0776B51-2F3C-4C2A-B83D-5968884A2806}"/>
    <cellStyle name="Source Superscript" xfId="108" xr:uid="{10F35462-EEE1-48B3-8E71-98E7E28238AE}"/>
    <cellStyle name="Source Text" xfId="109" xr:uid="{8ED7D922-6E8F-4200-91B1-9369FA2EC1D6}"/>
    <cellStyle name="Standard 2" xfId="131" xr:uid="{5FDB74BA-E82A-4194-A5FC-6401D6ADA2B6}"/>
    <cellStyle name="Standard 3" xfId="137" xr:uid="{781C33C5-8D72-4B7A-B3EE-960A5ABD8341}"/>
    <cellStyle name="Standard_E00seit45" xfId="110" xr:uid="{E60E5DFC-99F9-4821-95F9-A448A6D7ED01}"/>
    <cellStyle name="State" xfId="111" xr:uid="{1E22EF94-4035-46A3-B93F-7B4C04D93865}"/>
    <cellStyle name="Superscript" xfId="112" xr:uid="{E095C70B-1BE0-483B-9328-402E4F7F4665}"/>
    <cellStyle name="Table Data" xfId="113" xr:uid="{6D28BA16-B1ED-487E-97D4-E11766253CAB}"/>
    <cellStyle name="Table Head Top" xfId="114" xr:uid="{D73E975F-B195-4C69-ABA9-C3FDF3B768EE}"/>
    <cellStyle name="Table Hed Side" xfId="115" xr:uid="{19764F6F-0584-40C9-86AF-753E0D4ACD46}"/>
    <cellStyle name="Table Title" xfId="116" xr:uid="{DEDC75C9-E546-42B3-A8E7-56EF9F0EAE06}"/>
    <cellStyle name="Title" xfId="7" builtinId="15" customBuiltin="1"/>
    <cellStyle name="Title 2" xfId="118" xr:uid="{D0FC54C7-BAC5-467F-8F57-2084F2E2393E}"/>
    <cellStyle name="Title 3" xfId="117" xr:uid="{62A59C55-F8BD-439D-9818-59BD38960B4A}"/>
    <cellStyle name="Title Text" xfId="119" xr:uid="{46B5E72A-6019-4651-B789-3218EFB90083}"/>
    <cellStyle name="Title Text 1" xfId="120" xr:uid="{B66B38CF-B1B9-4A7F-A767-134AD0C8B60D}"/>
    <cellStyle name="Title Text 2" xfId="121" xr:uid="{8D7959A8-9EB8-4C2C-A363-103B0AD7FAD3}"/>
    <cellStyle name="Title-1" xfId="122" xr:uid="{36D030D9-D8F5-429A-903C-44ADDFF4B66E}"/>
    <cellStyle name="Title-2" xfId="123" xr:uid="{E482A6AF-F54E-46D8-85EC-0F79A3AB2412}"/>
    <cellStyle name="Title-3" xfId="124" xr:uid="{52079772-F763-4205-A35F-F27A24D17A83}"/>
    <cellStyle name="Titre ligne" xfId="125" xr:uid="{B26EA383-68B0-464B-A8D1-9AE2A1714C6F}"/>
    <cellStyle name="Total" xfId="23" builtinId="25" customBuiltin="1"/>
    <cellStyle name="Total intermediaire" xfId="126" xr:uid="{F17DB0AD-BDDB-41FD-8960-52BB3FCB6198}"/>
    <cellStyle name="Warning Text" xfId="20" builtinId="11" customBuiltin="1"/>
    <cellStyle name="Wrap" xfId="127" xr:uid="{374F57C0-3A75-4493-8C04-4C69D4F4D0BF}"/>
    <cellStyle name="Wrap Bold" xfId="128" xr:uid="{A3F8ABE9-DB85-4BEB-8717-FDE1DBC76539}"/>
    <cellStyle name="Wrap Title" xfId="129" xr:uid="{1DF114DE-99D7-4A0A-BF1F-5AB3072093AC}"/>
    <cellStyle name="Wrap_NTS99-~11" xfId="130" xr:uid="{B35AD1E7-4B68-4494-9F06-F6EF3B83D614}"/>
    <cellStyle name="Year" xfId="152" xr:uid="{BF9A27E0-4EC2-4496-B182-E26259F1F3E4}"/>
    <cellStyle name="Κόμμα 2" xfId="166" xr:uid="{39429696-BB52-41AB-928B-DAAD9594DB86}"/>
  </cellStyles>
  <dxfs count="0"/>
  <tableStyles count="0" defaultTableStyle="TableStyleMedium2" defaultPivotStyle="PivotStyleLight16"/>
  <colors>
    <mruColors>
      <color rgb="FF608C95"/>
      <color rgb="FFAFABAB"/>
      <color rgb="FF64786A"/>
      <color rgb="FFA2C0B6"/>
      <color rgb="FFF59E2D"/>
      <color rgb="FF648ECA"/>
      <color rgb="FF2C2D2D"/>
      <color rgb="FF3D5584"/>
      <color rgb="FF2E422F"/>
      <color rgb="FFB497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9" Type="http://schemas.openxmlformats.org/officeDocument/2006/relationships/customXml" Target="../customXml/item2.xml"/><Relationship Id="rId21" Type="http://schemas.openxmlformats.org/officeDocument/2006/relationships/externalLink" Target="externalLinks/externalLink9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theme" Target="theme/theme1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32" Type="http://schemas.openxmlformats.org/officeDocument/2006/relationships/externalLink" Target="externalLinks/externalLink20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36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31" Type="http://schemas.openxmlformats.org/officeDocument/2006/relationships/externalLink" Target="externalLinks/externalLink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BE"/>
              <a:t>International aviation emissions</a:t>
            </a:r>
            <a:r>
              <a:rPr lang="en-BE" baseline="0"/>
              <a:t> (in Mt CO2eq.)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'[21]Indicator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'[21]Indicator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'[21]Indicator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382-415B-8B7E-792B7CCE149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'[21]Indicator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'[21]Indicator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'[21]Indicator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3382-415B-8B7E-792B7CCE1499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'[21]Indicator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'[21]Indicator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'[21]Indicator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3382-415B-8B7E-792B7CCE1499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'[21]Indicator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'[21]Indicator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'[21]Indicator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3382-415B-8B7E-792B7CCE1499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'[21]Indicator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'[21]Indicator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'[21]Indicator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F61-44AC-B869-3775691699E2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'[21]Indicator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'[21]Indicator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'[21]Indicator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F61-44AC-B869-377569169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742560"/>
        <c:axId val="111744000"/>
      </c:lineChart>
      <c:catAx>
        <c:axId val="11174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11744000"/>
        <c:crosses val="autoZero"/>
        <c:auto val="1"/>
        <c:lblAlgn val="ctr"/>
        <c:lblOffset val="100"/>
        <c:noMultiLvlLbl val="0"/>
      </c:catAx>
      <c:valAx>
        <c:axId val="111744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1174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'B1. GHG emissions'!$A$4</c:f>
              <c:strCache>
                <c:ptCount val="1"/>
                <c:pt idx="0">
                  <c:v>Residential</c:v>
                </c:pt>
              </c:strCache>
            </c:strRef>
          </c:tx>
          <c:spPr>
            <a:solidFill>
              <a:srgbClr val="3D5584"/>
            </a:solidFill>
            <a:ln>
              <a:noFill/>
            </a:ln>
            <a:effectLst/>
          </c:spPr>
          <c:invertIfNegative val="0"/>
          <c:cat>
            <c:strRef>
              <c:f>'B1. GHG emissions'!$D$2:$AW$2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'B1. GHG emissions'!$D$4:$AW$4</c:f>
              <c:numCache>
                <c:formatCode>#,##0</c:formatCode>
                <c:ptCount val="46"/>
                <c:pt idx="0">
                  <c:v>426.80484862196442</c:v>
                </c:pt>
                <c:pt idx="1">
                  <c:v>420.47884735046398</c:v>
                </c:pt>
                <c:pt idx="2">
                  <c:v>368.56146835491239</c:v>
                </c:pt>
                <c:pt idx="3">
                  <c:v>399.00521270769099</c:v>
                </c:pt>
                <c:pt idx="4">
                  <c:v>389.51003567241133</c:v>
                </c:pt>
                <c:pt idx="5">
                  <c:v>412.95249275610053</c:v>
                </c:pt>
                <c:pt idx="6">
                  <c:v>362.0069820055989</c:v>
                </c:pt>
                <c:pt idx="7">
                  <c:v>372.54848949754961</c:v>
                </c:pt>
                <c:pt idx="8">
                  <c:v>375.12387610261135</c:v>
                </c:pt>
                <c:pt idx="9">
                  <c:v>316.91459591519572</c:v>
                </c:pt>
                <c:pt idx="10">
                  <c:v>335.16025534231989</c:v>
                </c:pt>
                <c:pt idx="11">
                  <c:v>341.31848003471134</c:v>
                </c:pt>
                <c:pt idx="12">
                  <c:v>338.5408877789356</c:v>
                </c:pt>
                <c:pt idx="13">
                  <c:v>328.39196226282581</c:v>
                </c:pt>
                <c:pt idx="14">
                  <c:v>321.1751820670957</c:v>
                </c:pt>
                <c:pt idx="15">
                  <c:v>319.38421303496597</c:v>
                </c:pt>
                <c:pt idx="16">
                  <c:v>324.73676140580284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E8-4168-9FDD-12792C482253}"/>
            </c:ext>
          </c:extLst>
        </c:ser>
        <c:ser>
          <c:idx val="2"/>
          <c:order val="2"/>
          <c:tx>
            <c:strRef>
              <c:f>'B1. GHG emissions'!$A$5</c:f>
              <c:strCache>
                <c:ptCount val="1"/>
                <c:pt idx="0">
                  <c:v>Tertiary</c:v>
                </c:pt>
              </c:strCache>
            </c:strRef>
          </c:tx>
          <c:spPr>
            <a:solidFill>
              <a:srgbClr val="98C9EE"/>
            </a:solidFill>
            <a:ln>
              <a:noFill/>
            </a:ln>
            <a:effectLst/>
          </c:spPr>
          <c:invertIfNegative val="0"/>
          <c:cat>
            <c:strRef>
              <c:f>'B1. GHG emissions'!$D$2:$AW$2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'B1. GHG emissions'!$D$5:$AW$5</c:f>
              <c:numCache>
                <c:formatCode>#,##0</c:formatCode>
                <c:ptCount val="46"/>
                <c:pt idx="0">
                  <c:v>238.23439237567101</c:v>
                </c:pt>
                <c:pt idx="1">
                  <c:v>242.96898532910478</c:v>
                </c:pt>
                <c:pt idx="2">
                  <c:v>220.93319289947922</c:v>
                </c:pt>
                <c:pt idx="3">
                  <c:v>236.06480856121465</c:v>
                </c:pt>
                <c:pt idx="4">
                  <c:v>231.87701688770272</c:v>
                </c:pt>
                <c:pt idx="5">
                  <c:v>243.13893396667339</c:v>
                </c:pt>
                <c:pt idx="6">
                  <c:v>219.48417715319997</c:v>
                </c:pt>
                <c:pt idx="7">
                  <c:v>217.02247293301096</c:v>
                </c:pt>
                <c:pt idx="8">
                  <c:v>218.77467176457634</c:v>
                </c:pt>
                <c:pt idx="9">
                  <c:v>200.86005224497859</c:v>
                </c:pt>
                <c:pt idx="10">
                  <c:v>205.84056375001825</c:v>
                </c:pt>
                <c:pt idx="11">
                  <c:v>206.41614142065617</c:v>
                </c:pt>
                <c:pt idx="12">
                  <c:v>207.18742169712556</c:v>
                </c:pt>
                <c:pt idx="13">
                  <c:v>204.54033345134872</c:v>
                </c:pt>
                <c:pt idx="14">
                  <c:v>201.64789617517772</c:v>
                </c:pt>
                <c:pt idx="15">
                  <c:v>200.32946058128198</c:v>
                </c:pt>
                <c:pt idx="16">
                  <c:v>207.7971256868758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E8-4168-9FDD-12792C482253}"/>
            </c:ext>
          </c:extLst>
        </c:ser>
        <c:ser>
          <c:idx val="4"/>
          <c:order val="3"/>
          <c:tx>
            <c:strRef>
              <c:f>'B1. GHG emissions'!$A$7</c:f>
              <c:strCache>
                <c:ptCount val="1"/>
                <c:pt idx="0">
                  <c:v>2040 advice minimum (1)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Pt>
            <c:idx val="35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BC2-48FE-8FC2-DEA03E45FCC0}"/>
              </c:ext>
            </c:extLst>
          </c:dPt>
          <c:cat>
            <c:strRef>
              <c:f>'B1. GHG emissions'!$D$2:$AW$2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'B1. GHG emissions'!$D$7:$AW$7</c:f>
              <c:numCache>
                <c:formatCode>#,##0</c:formatCode>
                <c:ptCount val="46"/>
                <c:pt idx="35">
                  <c:v>82.919064401835485</c:v>
                </c:pt>
                <c:pt idx="45">
                  <c:v>1.7490330181044427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E8-4168-9FDD-12792C482253}"/>
            </c:ext>
          </c:extLst>
        </c:ser>
        <c:ser>
          <c:idx val="5"/>
          <c:order val="4"/>
          <c:tx>
            <c:strRef>
              <c:f>'B1. GHG emissions'!$A$8</c:f>
              <c:strCache>
                <c:ptCount val="1"/>
                <c:pt idx="0">
                  <c:v>2040 advice scenarios</c:v>
                </c:pt>
              </c:strCache>
            </c:strRef>
          </c:tx>
          <c:spPr>
            <a:solidFill>
              <a:srgbClr val="A2C0B6"/>
            </a:solidFill>
            <a:ln>
              <a:noFill/>
            </a:ln>
            <a:effectLst/>
          </c:spPr>
          <c:invertIfNegative val="0"/>
          <c:cat>
            <c:strRef>
              <c:f>'B1. GHG emissions'!$D$2:$AW$2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'B1. GHG emissions'!$D$8:$AW$8</c:f>
              <c:numCache>
                <c:formatCode>#,##0</c:formatCode>
                <c:ptCount val="46"/>
                <c:pt idx="35">
                  <c:v>43.931394227508818</c:v>
                </c:pt>
                <c:pt idx="45">
                  <c:v>12.752292035965086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E8-4168-9FDD-12792C482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overlap val="100"/>
        <c:axId val="1459007903"/>
        <c:axId val="1459005503"/>
      </c:barChart>
      <c:lineChart>
        <c:grouping val="standard"/>
        <c:varyColors val="0"/>
        <c:ser>
          <c:idx val="0"/>
          <c:order val="0"/>
          <c:tx>
            <c:strRef>
              <c:f>'B1. GHG emissions'!$A$3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'B1. GHG emissions'!$D$2:$AW$2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'B1. GHG emissions'!$D$3:$AW$3</c:f>
              <c:numCache>
                <c:formatCode>#,##0</c:formatCode>
                <c:ptCount val="46"/>
                <c:pt idx="0">
                  <c:v>665.03924099763549</c:v>
                </c:pt>
                <c:pt idx="1">
                  <c:v>663.44783267956882</c:v>
                </c:pt>
                <c:pt idx="2">
                  <c:v>589.49466125439164</c:v>
                </c:pt>
                <c:pt idx="3">
                  <c:v>635.07002126890563</c:v>
                </c:pt>
                <c:pt idx="4">
                  <c:v>621.38705256011406</c:v>
                </c:pt>
                <c:pt idx="5">
                  <c:v>656.09142672277392</c:v>
                </c:pt>
                <c:pt idx="6">
                  <c:v>581.49115915879884</c:v>
                </c:pt>
                <c:pt idx="7">
                  <c:v>589.5709624305606</c:v>
                </c:pt>
                <c:pt idx="8">
                  <c:v>593.89854786718774</c:v>
                </c:pt>
                <c:pt idx="9">
                  <c:v>517.77464816017437</c:v>
                </c:pt>
                <c:pt idx="10">
                  <c:v>541.00081909233813</c:v>
                </c:pt>
                <c:pt idx="11">
                  <c:v>547.73462145536746</c:v>
                </c:pt>
                <c:pt idx="12">
                  <c:v>545.72830947606121</c:v>
                </c:pt>
                <c:pt idx="13">
                  <c:v>532.93229571417453</c:v>
                </c:pt>
                <c:pt idx="14">
                  <c:v>522.82307824227337</c:v>
                </c:pt>
                <c:pt idx="15">
                  <c:v>519.71367361624789</c:v>
                </c:pt>
                <c:pt idx="16">
                  <c:v>532.5338870926787</c:v>
                </c:pt>
                <c:pt idx="17">
                  <c:v>481.83207028999999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E8-4168-9FDD-12792C482253}"/>
            </c:ext>
          </c:extLst>
        </c:ser>
        <c:ser>
          <c:idx val="6"/>
          <c:order val="5"/>
          <c:tx>
            <c:strRef>
              <c:f>'B1. GHG emissions'!$A$9</c:f>
              <c:strCache>
                <c:ptCount val="1"/>
                <c:pt idx="0">
                  <c:v>2030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59E2D"/>
              </a:solidFill>
              <a:ln w="9525">
                <a:noFill/>
              </a:ln>
              <a:effectLst/>
            </c:spPr>
          </c:marker>
          <c:cat>
            <c:strRef>
              <c:f>'B1. GHG emissions'!$D$2:$AW$2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'B1. GHG emissions'!$D$9:$AW$9</c:f>
              <c:numCache>
                <c:formatCode>#,##0</c:formatCode>
                <c:ptCount val="46"/>
                <c:pt idx="25">
                  <c:v>250.3476847492112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9E8-4168-9FDD-12792C482253}"/>
            </c:ext>
          </c:extLst>
        </c:ser>
        <c:ser>
          <c:idx val="7"/>
          <c:order val="6"/>
          <c:tx>
            <c:strRef>
              <c:f>'B1. GHG emissions'!$A$10</c:f>
              <c:strCache>
                <c:ptCount val="1"/>
                <c:pt idx="0">
                  <c:v>2050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3D5584"/>
              </a:solidFill>
              <a:ln w="9525">
                <a:noFill/>
              </a:ln>
              <a:effectLst/>
            </c:spPr>
          </c:marker>
          <c:cat>
            <c:strRef>
              <c:f>'B1. GHG emissions'!$D$2:$AW$2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'B1. GHG emissions'!$D$10:$AW$10</c:f>
              <c:numCache>
                <c:formatCode>#,##0</c:formatCode>
                <c:ptCount val="46"/>
                <c:pt idx="45">
                  <c:v>26.413928752037123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9E8-4168-9FDD-12792C482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9007903"/>
        <c:axId val="1459005503"/>
        <c:extLst>
          <c:ext xmlns:c15="http://schemas.microsoft.com/office/drawing/2012/chart" uri="{02D57815-91ED-43cb-92C2-25804820EDAC}">
            <c15:filteredLineSeries>
              <c15:ser>
                <c:idx val="8"/>
                <c:order val="7"/>
                <c:tx>
                  <c:strRef>
                    <c:extLst>
                      <c:ext uri="{02D57815-91ED-43cb-92C2-25804820EDAC}">
                        <c15:formulaRef>
                          <c15:sqref>'B1. GHG emissions'!$A$11</c15:sqref>
                        </c15:formulaRef>
                      </c:ext>
                    </c:extLst>
                    <c:strCache>
                      <c:ptCount val="1"/>
                      <c:pt idx="0">
                        <c:v>linear trajectory to benchmark</c:v>
                      </c:pt>
                    </c:strCache>
                  </c:strRef>
                </c:tx>
                <c:spPr>
                  <a:ln w="12700" cap="rnd">
                    <a:solidFill>
                      <a:srgbClr val="2C2D2D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'B1. GHG emissions'!$D$2:$AW$2</c15:sqref>
                        </c15:formulaRef>
                      </c:ext>
                    </c:extLst>
                    <c:strCache>
                      <c:ptCount val="4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  <c:pt idx="30">
                        <c:v>2035</c:v>
                      </c:pt>
                      <c:pt idx="35">
                        <c:v>2040</c:v>
                      </c:pt>
                      <c:pt idx="40">
                        <c:v>2045</c:v>
                      </c:pt>
                      <c:pt idx="45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'B1. GHG emissions'!$D$11:$AW$11</c15:sqref>
                        </c15:formulaRef>
                      </c:ext>
                    </c:extLst>
                    <c:numCache>
                      <c:formatCode>#,##0</c:formatCode>
                      <c:ptCount val="46"/>
                      <c:pt idx="17">
                        <c:v>481.83207029000005</c:v>
                      </c:pt>
                      <c:pt idx="18">
                        <c:v>452.89652209740143</c:v>
                      </c:pt>
                      <c:pt idx="19">
                        <c:v>423.96097390480281</c:v>
                      </c:pt>
                      <c:pt idx="20">
                        <c:v>395.0254257122042</c:v>
                      </c:pt>
                      <c:pt idx="21">
                        <c:v>366.08987751960558</c:v>
                      </c:pt>
                      <c:pt idx="22">
                        <c:v>337.15432932700702</c:v>
                      </c:pt>
                      <c:pt idx="23">
                        <c:v>308.2187811344084</c:v>
                      </c:pt>
                      <c:pt idx="24">
                        <c:v>279.28323294180979</c:v>
                      </c:pt>
                      <c:pt idx="25">
                        <c:v>250.34768474921117</c:v>
                      </c:pt>
                      <c:pt idx="26">
                        <c:v>239.15099694935247</c:v>
                      </c:pt>
                      <c:pt idx="27">
                        <c:v>227.95430914949378</c:v>
                      </c:pt>
                      <c:pt idx="28">
                        <c:v>216.75762134963509</c:v>
                      </c:pt>
                      <c:pt idx="29">
                        <c:v>205.56093354977639</c:v>
                      </c:pt>
                      <c:pt idx="30">
                        <c:v>194.3642457499177</c:v>
                      </c:pt>
                      <c:pt idx="31">
                        <c:v>183.16755795005901</c:v>
                      </c:pt>
                      <c:pt idx="32">
                        <c:v>171.97087015020031</c:v>
                      </c:pt>
                      <c:pt idx="33">
                        <c:v>160.77418235034162</c:v>
                      </c:pt>
                      <c:pt idx="34">
                        <c:v>149.57749455048292</c:v>
                      </c:pt>
                      <c:pt idx="35">
                        <c:v>138.38080675062423</c:v>
                      </c:pt>
                      <c:pt idx="36">
                        <c:v>127.18411895076552</c:v>
                      </c:pt>
                      <c:pt idx="37">
                        <c:v>115.98743115090681</c:v>
                      </c:pt>
                      <c:pt idx="38">
                        <c:v>104.79074335104811</c:v>
                      </c:pt>
                      <c:pt idx="39">
                        <c:v>93.594055551189399</c:v>
                      </c:pt>
                      <c:pt idx="40">
                        <c:v>82.397367751330691</c:v>
                      </c:pt>
                      <c:pt idx="41">
                        <c:v>71.200679951471983</c:v>
                      </c:pt>
                      <c:pt idx="42">
                        <c:v>60.003992151613282</c:v>
                      </c:pt>
                      <c:pt idx="43">
                        <c:v>48.807304351754581</c:v>
                      </c:pt>
                      <c:pt idx="44">
                        <c:v>37.61061655189588</c:v>
                      </c:pt>
                      <c:pt idx="45">
                        <c:v>26.413928752037123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FBC2-48FE-8FC2-DEA03E45FCC0}"/>
                  </c:ext>
                </c:extLst>
              </c15:ser>
            </c15:filteredLineSeries>
          </c:ext>
        </c:extLst>
      </c:lineChart>
      <c:catAx>
        <c:axId val="145900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1459005503"/>
        <c:crosses val="autoZero"/>
        <c:auto val="1"/>
        <c:lblAlgn val="ctr"/>
        <c:lblOffset val="100"/>
        <c:noMultiLvlLbl val="0"/>
      </c:catAx>
      <c:valAx>
        <c:axId val="1459005503"/>
        <c:scaling>
          <c:orientation val="minMax"/>
          <c:max val="7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US" b="1"/>
                  <a:t>Mt CO2e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DK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1459007903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Segoe UI" panose="020B0502040204020203" pitchFamily="34" charset="0"/>
          <a:cs typeface="Segoe UI" panose="020B0502040204020203" pitchFamily="34" charset="0"/>
        </a:defRPr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2073526022606E-2"/>
          <c:y val="3.9119937838787859E-2"/>
          <c:w val="0.66918688272929916"/>
          <c:h val="0.90920596451630808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'B2. buildings - energy'!$A$15</c:f>
              <c:strCache>
                <c:ptCount val="1"/>
                <c:pt idx="0">
                  <c:v>Residential</c:v>
                </c:pt>
              </c:strCache>
            </c:strRef>
          </c:tx>
          <c:spPr>
            <a:solidFill>
              <a:srgbClr val="F59E2D"/>
            </a:solidFill>
            <a:ln>
              <a:noFill/>
            </a:ln>
            <a:effectLst/>
          </c:spPr>
          <c:invertIfNegative val="0"/>
          <c:cat>
            <c:strRef>
              <c:f>'B2. buildings - energy'!$D$10:$AW$10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'B2. buildings - energy'!$D$15:$T$15</c:f>
              <c:numCache>
                <c:formatCode>_-* #,##0\ _k_r_._-;\-* #,##0\ _k_r_._-;_-* "-"??\ _k_r_._-;_-@_-</c:formatCode>
                <c:ptCount val="17"/>
                <c:pt idx="0">
                  <c:v>3097.3839138730796</c:v>
                </c:pt>
                <c:pt idx="1">
                  <c:v>3086.5643698174194</c:v>
                </c:pt>
                <c:pt idx="2">
                  <c:v>2898.6530940392399</c:v>
                </c:pt>
                <c:pt idx="3">
                  <c:v>3073.4311030854597</c:v>
                </c:pt>
                <c:pt idx="4">
                  <c:v>3051.6017759522397</c:v>
                </c:pt>
                <c:pt idx="5">
                  <c:v>3244.0676114999396</c:v>
                </c:pt>
                <c:pt idx="6">
                  <c:v>2929.6374771900996</c:v>
                </c:pt>
                <c:pt idx="7">
                  <c:v>3058.9367054645395</c:v>
                </c:pt>
                <c:pt idx="8">
                  <c:v>3094.7585289812796</c:v>
                </c:pt>
                <c:pt idx="9">
                  <c:v>2728.9250290033597</c:v>
                </c:pt>
                <c:pt idx="10">
                  <c:v>2849.7835328080996</c:v>
                </c:pt>
                <c:pt idx="11">
                  <c:v>2917.6818996018001</c:v>
                </c:pt>
                <c:pt idx="12">
                  <c:v>2927.3938584079601</c:v>
                </c:pt>
                <c:pt idx="13">
                  <c:v>2904.5408633632396</c:v>
                </c:pt>
                <c:pt idx="14">
                  <c:v>2886.3804475255192</c:v>
                </c:pt>
                <c:pt idx="15">
                  <c:v>2885.6863666951394</c:v>
                </c:pt>
                <c:pt idx="16">
                  <c:v>3044.4211832301798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A3-4AD4-9F3C-A28101E67611}"/>
            </c:ext>
          </c:extLst>
        </c:ser>
        <c:ser>
          <c:idx val="0"/>
          <c:order val="1"/>
          <c:tx>
            <c:strRef>
              <c:f>'B2. buildings - energy'!$A$14</c:f>
              <c:strCache>
                <c:ptCount val="1"/>
                <c:pt idx="0">
                  <c:v>Tertiary</c:v>
                </c:pt>
              </c:strCache>
            </c:strRef>
          </c:tx>
          <c:spPr>
            <a:solidFill>
              <a:srgbClr val="648ECA"/>
            </a:solidFill>
            <a:ln>
              <a:noFill/>
            </a:ln>
            <a:effectLst/>
          </c:spPr>
          <c:invertIfNegative val="0"/>
          <c:cat>
            <c:strRef>
              <c:f>'B2. buildings - energy'!$D$10:$AW$10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'B2. buildings - energy'!$D$14:$T$14</c:f>
              <c:numCache>
                <c:formatCode>_-* #,##0\ _k_r_._-;\-* #,##0\ _k_r_._-;_-* "-"??\ _k_r_._-;_-@_-</c:formatCode>
                <c:ptCount val="17"/>
                <c:pt idx="0">
                  <c:v>1802.3118550461597</c:v>
                </c:pt>
                <c:pt idx="1">
                  <c:v>1841.7123360808198</c:v>
                </c:pt>
                <c:pt idx="2">
                  <c:v>1757.8121962739597</c:v>
                </c:pt>
                <c:pt idx="3">
                  <c:v>1848.0360191698799</c:v>
                </c:pt>
                <c:pt idx="4">
                  <c:v>1842.78632745046</c:v>
                </c:pt>
                <c:pt idx="5">
                  <c:v>1924.6279388447797</c:v>
                </c:pt>
                <c:pt idx="6">
                  <c:v>1782.4057660764997</c:v>
                </c:pt>
                <c:pt idx="7">
                  <c:v>1812.4269642997199</c:v>
                </c:pt>
                <c:pt idx="8">
                  <c:v>1835.0715715662398</c:v>
                </c:pt>
                <c:pt idx="9">
                  <c:v>1720.7252173582797</c:v>
                </c:pt>
                <c:pt idx="10">
                  <c:v>1779.9947278994598</c:v>
                </c:pt>
                <c:pt idx="11">
                  <c:v>1804.1931814855398</c:v>
                </c:pt>
                <c:pt idx="12">
                  <c:v>1850.9066874128198</c:v>
                </c:pt>
                <c:pt idx="13">
                  <c:v>1852.4109230577199</c:v>
                </c:pt>
                <c:pt idx="14">
                  <c:v>1821.25811911506</c:v>
                </c:pt>
                <c:pt idx="15">
                  <c:v>1740.1843410855799</c:v>
                </c:pt>
                <c:pt idx="16">
                  <c:v>1834.3029162503799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A3-4AD4-9F3C-A28101E67611}"/>
            </c:ext>
          </c:extLst>
        </c:ser>
        <c:ser>
          <c:idx val="8"/>
          <c:order val="6"/>
          <c:tx>
            <c:strRef>
              <c:f>'B2. buildings - energy'!$A$23</c:f>
              <c:strCache>
                <c:ptCount val="1"/>
                <c:pt idx="0">
                  <c:v>delete this label - 2040 advice minimum</c:v>
                </c:pt>
              </c:strCache>
              <c:extLst xmlns:c15="http://schemas.microsoft.com/office/drawing/2012/chart"/>
            </c:strRef>
          </c:tx>
          <c:spPr>
            <a:noFill/>
            <a:ln>
              <a:noFill/>
            </a:ln>
            <a:effectLst/>
          </c:spPr>
          <c:invertIfNegative val="0"/>
          <c:val>
            <c:numRef>
              <c:f>'B2. buildings - energy'!$D$23:$AW$23</c:f>
              <c:numCache>
                <c:formatCode>General</c:formatCode>
                <c:ptCount val="46"/>
                <c:pt idx="35">
                  <c:v>3027.7325769182644</c:v>
                </c:pt>
                <c:pt idx="45">
                  <c:v>2559.9018078063095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D0A3-4AD4-9F3C-A28101E67611}"/>
            </c:ext>
          </c:extLst>
        </c:ser>
        <c:ser>
          <c:idx val="9"/>
          <c:order val="7"/>
          <c:tx>
            <c:strRef>
              <c:f>'B2. buildings - energy'!$A$24</c:f>
              <c:strCache>
                <c:ptCount val="1"/>
                <c:pt idx="0">
                  <c:v>2040 advice scenarios (residential + tertiary)</c:v>
                </c:pt>
              </c:strCache>
              <c:extLst xmlns:c15="http://schemas.microsoft.com/office/drawing/2012/chart"/>
            </c:strRef>
          </c:tx>
          <c:spPr>
            <a:solidFill>
              <a:srgbClr val="A2C0B6"/>
            </a:solidFill>
            <a:ln>
              <a:noFill/>
            </a:ln>
            <a:effectLst/>
          </c:spPr>
          <c:invertIfNegative val="0"/>
          <c:val>
            <c:numRef>
              <c:f>'B2. buildings - energy'!$D$24:$AW$24</c:f>
              <c:numCache>
                <c:formatCode>General</c:formatCode>
                <c:ptCount val="46"/>
                <c:pt idx="35">
                  <c:v>140.81992139532713</c:v>
                </c:pt>
                <c:pt idx="45">
                  <c:v>294.44977852155898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D0A3-4AD4-9F3C-A28101E67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2952832"/>
        <c:axId val="167823264"/>
        <c:extLst/>
      </c:barChart>
      <c:lineChart>
        <c:grouping val="standard"/>
        <c:varyColors val="0"/>
        <c:ser>
          <c:idx val="2"/>
          <c:order val="2"/>
          <c:tx>
            <c:strRef>
              <c:f>'B2. buildings - energy'!$A$17</c:f>
              <c:strCache>
                <c:ptCount val="1"/>
                <c:pt idx="0">
                  <c:v>2030 benchmark - residential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cat>
            <c:strRef>
              <c:f>'B2. buildings - energy'!$D$10:$AW$10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'B2. buildings - energy'!$D$17:$AW$17</c:f>
              <c:numCache>
                <c:formatCode>General</c:formatCode>
                <c:ptCount val="46"/>
                <c:pt idx="25" formatCode="0">
                  <c:v>2163.1799999999998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A3-4AD4-9F3C-A28101E67611}"/>
            </c:ext>
          </c:extLst>
        </c:ser>
        <c:ser>
          <c:idx val="3"/>
          <c:order val="3"/>
          <c:tx>
            <c:strRef>
              <c:f>'B2. buildings - energy'!$A$18</c:f>
              <c:strCache>
                <c:ptCount val="1"/>
                <c:pt idx="0">
                  <c:v>2030 benchmark - tertiary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648ECA"/>
              </a:solidFill>
              <a:ln w="9525">
                <a:noFill/>
              </a:ln>
              <a:effectLst/>
            </c:spPr>
          </c:marker>
          <c:cat>
            <c:strRef>
              <c:f>'B2. buildings - energy'!$D$10:$AW$10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'B2. buildings - energy'!$D$18:$AW$18</c:f>
              <c:numCache>
                <c:formatCode>General</c:formatCode>
                <c:ptCount val="46"/>
                <c:pt idx="25" formatCode="0">
                  <c:v>3675.08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0A3-4AD4-9F3C-A28101E67611}"/>
            </c:ext>
          </c:extLst>
        </c:ser>
        <c:ser>
          <c:idx val="6"/>
          <c:order val="4"/>
          <c:tx>
            <c:strRef>
              <c:f>'B2. buildings - energy'!$A$21</c:f>
              <c:strCache>
                <c:ptCount val="1"/>
                <c:pt idx="0">
                  <c:v>2050 benchmark - residential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rgbClr val="F59E2D"/>
              </a:solidFill>
              <a:ln w="9525">
                <a:noFill/>
              </a:ln>
              <a:effectLst/>
            </c:spPr>
          </c:marker>
          <c:dPt>
            <c:idx val="45"/>
            <c:marker>
              <c:symbol val="diamond"/>
              <c:size val="8"/>
              <c:spPr>
                <a:solidFill>
                  <a:srgbClr val="F59E2D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D0A3-4AD4-9F3C-A28101E67611}"/>
              </c:ext>
            </c:extLst>
          </c:dPt>
          <c:val>
            <c:numRef>
              <c:f>'B2. buildings - energy'!$D$21:$AW$21</c:f>
              <c:numCache>
                <c:formatCode>General</c:formatCode>
                <c:ptCount val="46"/>
                <c:pt idx="45" formatCode="_-* #,##0\ _k_r_._-;\-* #,##0\ _k_r_._-;_-* &quot;-&quot;??\ _k_r_._-;_-@_-">
                  <c:v>2053.0783829335001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0A3-4AD4-9F3C-A28101E67611}"/>
            </c:ext>
          </c:extLst>
        </c:ser>
        <c:ser>
          <c:idx val="7"/>
          <c:order val="5"/>
          <c:tx>
            <c:strRef>
              <c:f>'B2. buildings - energy'!$A$22</c:f>
              <c:strCache>
                <c:ptCount val="1"/>
                <c:pt idx="0">
                  <c:v>2050 benchmark - tertiary</c:v>
                </c:pt>
              </c:strCache>
              <c:extLst xmlns:c15="http://schemas.microsoft.com/office/drawing/2012/chart"/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rgbClr val="648ECA"/>
              </a:solidFill>
              <a:ln w="9525">
                <a:noFill/>
              </a:ln>
              <a:effectLst/>
            </c:spPr>
          </c:marker>
          <c:dPt>
            <c:idx val="45"/>
            <c:marker>
              <c:symbol val="diamond"/>
              <c:size val="8"/>
              <c:spPr>
                <a:solidFill>
                  <a:srgbClr val="648ECA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A6DA-452F-9FBD-1567FA5D211A}"/>
              </c:ext>
            </c:extLst>
          </c:dPt>
          <c:val>
            <c:numRef>
              <c:f>'B2. buildings - energy'!$D$22:$AW$22</c:f>
              <c:numCache>
                <c:formatCode>General</c:formatCode>
                <c:ptCount val="46"/>
                <c:pt idx="45" formatCode="_-* #,##0\ _k_r_._-;\-* #,##0\ _k_r_._-;_-* &quot;-&quot;??\ _k_r_._-;_-@_-">
                  <c:v>3516.4432197839601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D0A3-4AD4-9F3C-A28101E67611}"/>
            </c:ext>
          </c:extLst>
        </c:ser>
        <c:ser>
          <c:idx val="10"/>
          <c:order val="8"/>
          <c:tx>
            <c:strRef>
              <c:f>'B2. buildings - energy'!$A$16</c:f>
              <c:strCache>
                <c:ptCount val="1"/>
                <c:pt idx="0">
                  <c:v>Total (residential + tertiary)</c:v>
                </c:pt>
              </c:strCache>
            </c:strRef>
          </c:tx>
          <c:spPr>
            <a:ln w="19050" cap="rnd">
              <a:solidFill>
                <a:srgbClr val="2C2D2D"/>
              </a:solidFill>
              <a:round/>
            </a:ln>
            <a:effectLst/>
          </c:spPr>
          <c:marker>
            <c:symbol val="none"/>
          </c:marker>
          <c:val>
            <c:numRef>
              <c:f>'B2. buildings - energy'!$D$16:$T$16</c:f>
              <c:numCache>
                <c:formatCode>_-* #,##0\ _k_r_._-;\-* #,##0\ _k_r_._-;_-* "-"??\ _k_r_._-;_-@_-</c:formatCode>
                <c:ptCount val="17"/>
                <c:pt idx="0">
                  <c:v>4899.6957689192395</c:v>
                </c:pt>
                <c:pt idx="1">
                  <c:v>4928.276705898239</c:v>
                </c:pt>
                <c:pt idx="2">
                  <c:v>4656.4652903131991</c:v>
                </c:pt>
                <c:pt idx="3">
                  <c:v>4921.4671222553397</c:v>
                </c:pt>
                <c:pt idx="4">
                  <c:v>4894.3881034026999</c:v>
                </c:pt>
                <c:pt idx="5">
                  <c:v>5168.6955503447189</c:v>
                </c:pt>
                <c:pt idx="6">
                  <c:v>4712.0432432665993</c:v>
                </c:pt>
                <c:pt idx="7">
                  <c:v>4871.3636697642596</c:v>
                </c:pt>
                <c:pt idx="8">
                  <c:v>4929.8301005475196</c:v>
                </c:pt>
                <c:pt idx="9">
                  <c:v>4449.6502463616398</c:v>
                </c:pt>
                <c:pt idx="10">
                  <c:v>4629.7782607075596</c:v>
                </c:pt>
                <c:pt idx="11">
                  <c:v>4721.8750810873398</c:v>
                </c:pt>
                <c:pt idx="12">
                  <c:v>4778.3005458207799</c:v>
                </c:pt>
                <c:pt idx="13">
                  <c:v>4756.9517864209593</c:v>
                </c:pt>
                <c:pt idx="14">
                  <c:v>4707.6385666405795</c:v>
                </c:pt>
                <c:pt idx="15">
                  <c:v>4625.8707077807194</c:v>
                </c:pt>
                <c:pt idx="16">
                  <c:v>4878.7240994805597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0A3-4AD4-9F3C-A28101E67611}"/>
            </c:ext>
          </c:extLst>
        </c:ser>
        <c:ser>
          <c:idx val="11"/>
          <c:order val="9"/>
          <c:tx>
            <c:strRef>
              <c:f>'B2. buildings - energy'!$A$19</c:f>
              <c:strCache>
                <c:ptCount val="1"/>
                <c:pt idx="0">
                  <c:v>REPowerEU - residential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7"/>
            <c:spPr>
              <a:noFill/>
              <a:ln w="9525">
                <a:solidFill>
                  <a:srgbClr val="F59E2D"/>
                </a:solidFill>
              </a:ln>
              <a:effectLst/>
            </c:spPr>
          </c:marker>
          <c:val>
            <c:numRef>
              <c:f>'B2. buildings - energy'!$D$19:$AC$19</c:f>
              <c:numCache>
                <c:formatCode>General</c:formatCode>
                <c:ptCount val="26"/>
                <c:pt idx="25" formatCode="0">
                  <c:v>2023.62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0A3-4AD4-9F3C-A28101E67611}"/>
            </c:ext>
          </c:extLst>
        </c:ser>
        <c:ser>
          <c:idx val="12"/>
          <c:order val="10"/>
          <c:tx>
            <c:strRef>
              <c:f>'B2. buildings - energy'!$A$20</c:f>
              <c:strCache>
                <c:ptCount val="1"/>
                <c:pt idx="0">
                  <c:v>REPowerEU - tertiary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7"/>
            <c:spPr>
              <a:noFill/>
              <a:ln w="9525">
                <a:solidFill>
                  <a:srgbClr val="648ECA"/>
                </a:solidFill>
              </a:ln>
              <a:effectLst/>
            </c:spPr>
          </c:marker>
          <c:val>
            <c:numRef>
              <c:f>'B2. buildings - energy'!$D$20:$AC$20</c:f>
              <c:numCache>
                <c:formatCode>General</c:formatCode>
                <c:ptCount val="26"/>
                <c:pt idx="25" formatCode="0">
                  <c:v>3430.8499999999995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0A3-4AD4-9F3C-A28101E67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2952832"/>
        <c:axId val="167823264"/>
        <c:extLst/>
      </c:lineChart>
      <c:catAx>
        <c:axId val="58295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167823264"/>
        <c:crosses val="autoZero"/>
        <c:auto val="1"/>
        <c:lblAlgn val="ctr"/>
        <c:lblOffset val="100"/>
        <c:noMultiLvlLbl val="0"/>
      </c:catAx>
      <c:valAx>
        <c:axId val="16782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US" b="1"/>
                  <a:t>TWh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DK"/>
            </a:p>
          </c:txPr>
        </c:title>
        <c:numFmt formatCode="_-* #,##0\ _k_r_._-;\-* #,##0\ _k_r_._-;_-* &quot;-&quot;??\ _k_r_.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58295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 algn="ctr">
        <a:defRPr lang="en-US" sz="1000" b="0" i="0" u="none" strike="noStrike" kern="1200" baseline="0">
          <a:solidFill>
            <a:schemeClr val="tx1"/>
          </a:solidFill>
          <a:latin typeface="Segoe UI" panose="020B0502040204020203" pitchFamily="34" charset="0"/>
          <a:ea typeface="+mn-ea"/>
          <a:cs typeface="Segoe UI" panose="020B0502040204020203" pitchFamily="34" charset="0"/>
        </a:defRPr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IE">
                <a:latin typeface="Segoe UI Semibold" panose="020B0702040204020203" pitchFamily="34" charset="0"/>
                <a:cs typeface="Segoe UI Semibold" panose="020B0702040204020203" pitchFamily="34" charset="0"/>
              </a:rPr>
              <a:t>Residential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DK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'B3. (Retrofit)'!$C$19</c:f>
              <c:strCache>
                <c:ptCount val="1"/>
                <c:pt idx="0">
                  <c:v>Deep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'B3. (Retrofit)'!$D$16:$E$16</c:f>
              <c:strCache>
                <c:ptCount val="2"/>
                <c:pt idx="0">
                  <c:v>2016-2020</c:v>
                </c:pt>
                <c:pt idx="1">
                  <c:v>2026-2030</c:v>
                </c:pt>
              </c:strCache>
            </c:strRef>
          </c:cat>
          <c:val>
            <c:numRef>
              <c:f>'B3. (Retrofit)'!$D$19:$E$19</c:f>
              <c:numCache>
                <c:formatCode>0.000%</c:formatCode>
                <c:ptCount val="2"/>
                <c:pt idx="0">
                  <c:v>0</c:v>
                </c:pt>
                <c:pt idx="1">
                  <c:v>1.2805705465844374E-2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79-4C2D-B4EA-89F09EC5D166}"/>
            </c:ext>
          </c:extLst>
        </c:ser>
        <c:ser>
          <c:idx val="1"/>
          <c:order val="1"/>
          <c:tx>
            <c:strRef>
              <c:f>'B3. (Retrofit)'!$C$18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'B3. (Retrofit)'!$D$16:$E$16</c:f>
              <c:strCache>
                <c:ptCount val="2"/>
                <c:pt idx="0">
                  <c:v>2016-2020</c:v>
                </c:pt>
                <c:pt idx="1">
                  <c:v>2026-2030</c:v>
                </c:pt>
              </c:strCache>
            </c:strRef>
          </c:cat>
          <c:val>
            <c:numRef>
              <c:f>'B3. (Retrofit)'!$D$18:$E$18</c:f>
              <c:numCache>
                <c:formatCode>0.000%</c:formatCode>
                <c:ptCount val="2"/>
                <c:pt idx="0">
                  <c:v>0</c:v>
                </c:pt>
                <c:pt idx="1">
                  <c:v>6.5007481884481501E-3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79-4C2D-B4EA-89F09EC5D166}"/>
            </c:ext>
          </c:extLst>
        </c:ser>
        <c:ser>
          <c:idx val="0"/>
          <c:order val="2"/>
          <c:tx>
            <c:strRef>
              <c:f>'B3. (Retrofit)'!$C$17</c:f>
              <c:strCache>
                <c:ptCount val="1"/>
                <c:pt idx="0">
                  <c:v>Light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'B3. (Retrofit)'!$D$16:$E$16</c:f>
              <c:strCache>
                <c:ptCount val="2"/>
                <c:pt idx="0">
                  <c:v>2016-2020</c:v>
                </c:pt>
                <c:pt idx="1">
                  <c:v>2026-2030</c:v>
                </c:pt>
              </c:strCache>
            </c:strRef>
          </c:cat>
          <c:val>
            <c:numRef>
              <c:f>'B3. (Retrofit)'!$D$17:$E$17</c:f>
              <c:numCache>
                <c:formatCode>0.000%</c:formatCode>
                <c:ptCount val="2"/>
                <c:pt idx="0">
                  <c:v>0</c:v>
                </c:pt>
                <c:pt idx="1">
                  <c:v>1.6022757564806115E-3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79-4C2D-B4EA-89F09EC5D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811119"/>
        <c:axId val="255080239"/>
      </c:barChart>
      <c:lineChart>
        <c:grouping val="standard"/>
        <c:varyColors val="0"/>
        <c:ser>
          <c:idx val="3"/>
          <c:order val="3"/>
          <c:tx>
            <c:strRef>
              <c:f>'B3. (Retrofit)'!$C$20</c:f>
              <c:strCache>
                <c:ptCount val="1"/>
                <c:pt idx="0">
                  <c:v>Weighted renovation rate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17"/>
            <c:spPr>
              <a:solidFill>
                <a:srgbClr val="2C2D2D"/>
              </a:solidFill>
              <a:ln w="9525">
                <a:noFill/>
              </a:ln>
              <a:effectLst/>
            </c:spPr>
          </c:marker>
          <c:val>
            <c:numRef>
              <c:f>'B3. (Retrofit)'!$D$20:$E$20</c:f>
              <c:numCache>
                <c:formatCode>0.000%</c:formatCode>
                <c:ptCount val="2"/>
                <c:pt idx="0">
                  <c:v>0.01</c:v>
                </c:pt>
                <c:pt idx="1">
                  <c:v>2.0908729410773135E-2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79-4C2D-B4EA-89F09EC5D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8811119"/>
        <c:axId val="255080239"/>
      </c:lineChart>
      <c:catAx>
        <c:axId val="62881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rgbClr val="AFABAB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255080239"/>
        <c:crosses val="autoZero"/>
        <c:auto val="1"/>
        <c:lblAlgn val="ctr"/>
        <c:lblOffset val="100"/>
        <c:noMultiLvlLbl val="0"/>
      </c:catAx>
      <c:valAx>
        <c:axId val="255080239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rgbClr val="AFABAB"/>
              </a:solidFill>
              <a:prstDash val="sysDot"/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62881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egoe UI" panose="020B0502040204020203" pitchFamily="34" charset="0"/>
          <a:cs typeface="Segoe UI" panose="020B0502040204020203" pitchFamily="34" charset="0"/>
        </a:defRPr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IE">
                <a:latin typeface="Segoe UI Semibold" panose="020B0702040204020203" pitchFamily="34" charset="0"/>
                <a:cs typeface="Segoe UI Semibold" panose="020B0702040204020203" pitchFamily="34" charset="0"/>
              </a:rPr>
              <a:t>Tertiary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DK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'B3. (Retrofit)'!$C$19</c:f>
              <c:strCache>
                <c:ptCount val="1"/>
                <c:pt idx="0">
                  <c:v>Deep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'B3. (Retrofit)'!$D$16:$E$16</c:f>
              <c:strCache>
                <c:ptCount val="2"/>
                <c:pt idx="0">
                  <c:v>2016-2020</c:v>
                </c:pt>
                <c:pt idx="1">
                  <c:v>2026-2030</c:v>
                </c:pt>
              </c:strCache>
            </c:strRef>
          </c:cat>
          <c:val>
            <c:numRef>
              <c:f>'B3. (Retrofit)'!$H$19:$I$19</c:f>
              <c:numCache>
                <c:formatCode>0.000%</c:formatCode>
                <c:ptCount val="2"/>
                <c:pt idx="0">
                  <c:v>0</c:v>
                </c:pt>
                <c:pt idx="1">
                  <c:v>7.9093972300149661E-4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47-4258-9170-14C07595294A}"/>
            </c:ext>
          </c:extLst>
        </c:ser>
        <c:ser>
          <c:idx val="1"/>
          <c:order val="1"/>
          <c:tx>
            <c:strRef>
              <c:f>'B3. (Retrofit)'!$C$18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'B3. (Retrofit)'!$D$16:$E$16</c:f>
              <c:strCache>
                <c:ptCount val="2"/>
                <c:pt idx="0">
                  <c:v>2016-2020</c:v>
                </c:pt>
                <c:pt idx="1">
                  <c:v>2026-2030</c:v>
                </c:pt>
              </c:strCache>
            </c:strRef>
          </c:cat>
          <c:val>
            <c:numRef>
              <c:f>'B3. (Retrofit)'!$H$18:$I$18</c:f>
              <c:numCache>
                <c:formatCode>0.000%</c:formatCode>
                <c:ptCount val="2"/>
                <c:pt idx="0">
                  <c:v>0</c:v>
                </c:pt>
                <c:pt idx="1">
                  <c:v>7.9493822568558956E-3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47-4258-9170-14C07595294A}"/>
            </c:ext>
          </c:extLst>
        </c:ser>
        <c:ser>
          <c:idx val="0"/>
          <c:order val="2"/>
          <c:tx>
            <c:strRef>
              <c:f>'B3. (Retrofit)'!$C$17</c:f>
              <c:strCache>
                <c:ptCount val="1"/>
                <c:pt idx="0">
                  <c:v>Light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'B3. (Retrofit)'!$D$16:$E$16</c:f>
              <c:strCache>
                <c:ptCount val="2"/>
                <c:pt idx="0">
                  <c:v>2016-2020</c:v>
                </c:pt>
                <c:pt idx="1">
                  <c:v>2026-2030</c:v>
                </c:pt>
              </c:strCache>
            </c:strRef>
          </c:cat>
          <c:val>
            <c:numRef>
              <c:f>'B3. (Retrofit)'!$H$17:$I$17</c:f>
              <c:numCache>
                <c:formatCode>0.000%</c:formatCode>
                <c:ptCount val="2"/>
                <c:pt idx="0">
                  <c:v>0</c:v>
                </c:pt>
                <c:pt idx="1">
                  <c:v>2.3603941859067471E-3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47-4258-9170-14C075952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811119"/>
        <c:axId val="255080239"/>
      </c:barChart>
      <c:lineChart>
        <c:grouping val="standard"/>
        <c:varyColors val="0"/>
        <c:ser>
          <c:idx val="3"/>
          <c:order val="3"/>
          <c:tx>
            <c:strRef>
              <c:f>'B3. (Retrofit)'!$C$20</c:f>
              <c:strCache>
                <c:ptCount val="1"/>
                <c:pt idx="0">
                  <c:v>Weighted renovation rate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17"/>
            <c:spPr>
              <a:solidFill>
                <a:srgbClr val="2C2D2D"/>
              </a:solidFill>
              <a:ln w="9525">
                <a:noFill/>
              </a:ln>
              <a:effectLst/>
            </c:spPr>
          </c:marker>
          <c:val>
            <c:numRef>
              <c:f>'B3. (Retrofit)'!$H$20:$I$20</c:f>
              <c:numCache>
                <c:formatCode>0.000%</c:formatCode>
                <c:ptCount val="2"/>
                <c:pt idx="0">
                  <c:v>6.0000000000000001E-3</c:v>
                </c:pt>
                <c:pt idx="1">
                  <c:v>1.1100716165764139E-2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47-4258-9170-14C075952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8811119"/>
        <c:axId val="255080239"/>
      </c:lineChart>
      <c:catAx>
        <c:axId val="62881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rgbClr val="AFABAB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255080239"/>
        <c:crosses val="autoZero"/>
        <c:auto val="1"/>
        <c:lblAlgn val="ctr"/>
        <c:lblOffset val="100"/>
        <c:noMultiLvlLbl val="0"/>
      </c:catAx>
      <c:valAx>
        <c:axId val="255080239"/>
        <c:scaling>
          <c:orientation val="minMax"/>
          <c:max val="2.5000000000000005E-2"/>
        </c:scaling>
        <c:delete val="1"/>
        <c:axPos val="l"/>
        <c:majorGridlines>
          <c:spPr>
            <a:ln w="12700" cap="flat" cmpd="sng" algn="ctr">
              <a:solidFill>
                <a:srgbClr val="AFABAB"/>
              </a:solidFill>
              <a:prstDash val="sysDot"/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crossAx val="62881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egoe UI" panose="020B0502040204020203" pitchFamily="34" charset="0"/>
          <a:cs typeface="Segoe UI" panose="020B0502040204020203" pitchFamily="34" charset="0"/>
        </a:defRPr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'B4. surface area'!$A$25</c:f>
              <c:strCache>
                <c:ptCount val="1"/>
                <c:pt idx="0">
                  <c:v>Total number of dwellings</c:v>
                </c:pt>
              </c:strCache>
            </c:strRef>
          </c:tx>
          <c:spPr>
            <a:ln w="19050" cap="rnd">
              <a:solidFill>
                <a:srgbClr val="F59E2D"/>
              </a:solidFill>
              <a:prstDash val="lgDash"/>
              <a:round/>
            </a:ln>
            <a:effectLst/>
          </c:spPr>
          <c:marker>
            <c:symbol val="none"/>
          </c:marker>
          <c:dLbls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22A-41C1-AC1A-61F403C8F6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'B4. surface area'!$E$24:$T$24</c:f>
              <c:numCache>
                <c:formatCode>General</c:formatCode>
                <c:ptCount val="1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</c:numCache>
            </c:numRef>
          </c:cat>
          <c:val>
            <c:numRef>
              <c:f>'B4. surface area'!$E$25:$T$25</c:f>
              <c:numCache>
                <c:formatCode>0%</c:formatCode>
                <c:ptCount val="16"/>
                <c:pt idx="0">
                  <c:v>1</c:v>
                </c:pt>
                <c:pt idx="1">
                  <c:v>1.0121934804843109</c:v>
                </c:pt>
                <c:pt idx="2">
                  <c:v>1.0211980439870374</c:v>
                </c:pt>
                <c:pt idx="3">
                  <c:v>1.0315929351444029</c:v>
                </c:pt>
                <c:pt idx="4">
                  <c:v>1.0408115042244108</c:v>
                </c:pt>
                <c:pt idx="5">
                  <c:v>1.0526803627718686</c:v>
                </c:pt>
                <c:pt idx="6">
                  <c:v>1.0534793720822195</c:v>
                </c:pt>
                <c:pt idx="7">
                  <c:v>1.0634242389217778</c:v>
                </c:pt>
                <c:pt idx="8">
                  <c:v>1.0691830892331928</c:v>
                </c:pt>
                <c:pt idx="9">
                  <c:v>1.0750450701279421</c:v>
                </c:pt>
                <c:pt idx="10">
                  <c:v>1.0819160870750553</c:v>
                </c:pt>
                <c:pt idx="11">
                  <c:v>1.0856117015689932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2A-41C1-AC1A-61F403C8F63F}"/>
            </c:ext>
          </c:extLst>
        </c:ser>
        <c:ser>
          <c:idx val="1"/>
          <c:order val="1"/>
          <c:tx>
            <c:strRef>
              <c:f>'B4. surface area'!$A$26</c:f>
              <c:strCache>
                <c:ptCount val="1"/>
                <c:pt idx="0">
                  <c:v>Average floor area per dwelling</c:v>
                </c:pt>
              </c:strCache>
            </c:strRef>
          </c:tx>
          <c:spPr>
            <a:ln w="19050" cap="rnd">
              <a:solidFill>
                <a:srgbClr val="F59E2D"/>
              </a:solidFill>
              <a:prstDash val="dashDot"/>
              <a:round/>
            </a:ln>
            <a:effectLst/>
          </c:spPr>
          <c:marker>
            <c:symbol val="none"/>
          </c:marker>
          <c:dLbls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22A-41C1-AC1A-61F403C8F6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'B4. surface area'!$E$24:$T$24</c:f>
              <c:numCache>
                <c:formatCode>General</c:formatCode>
                <c:ptCount val="1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</c:numCache>
            </c:numRef>
          </c:cat>
          <c:val>
            <c:numRef>
              <c:f>'B4. surface area'!$E$26:$T$26</c:f>
              <c:numCache>
                <c:formatCode>0%</c:formatCode>
                <c:ptCount val="16"/>
                <c:pt idx="0">
                  <c:v>1</c:v>
                </c:pt>
                <c:pt idx="1">
                  <c:v>1.0040531184658685</c:v>
                </c:pt>
                <c:pt idx="2">
                  <c:v>1.0071309371807227</c:v>
                </c:pt>
                <c:pt idx="3">
                  <c:v>1.0101948396089986</c:v>
                </c:pt>
                <c:pt idx="4">
                  <c:v>1.0136344817748832</c:v>
                </c:pt>
                <c:pt idx="5">
                  <c:v>1.0306587390220794</c:v>
                </c:pt>
                <c:pt idx="6">
                  <c:v>1.0365917158665381</c:v>
                </c:pt>
                <c:pt idx="7">
                  <c:v>1.0377189350793634</c:v>
                </c:pt>
                <c:pt idx="8">
                  <c:v>1.0399896091726883</c:v>
                </c:pt>
                <c:pt idx="9">
                  <c:v>1.0414021122603645</c:v>
                </c:pt>
                <c:pt idx="10">
                  <c:v>1.0432263054926423</c:v>
                </c:pt>
                <c:pt idx="11">
                  <c:v>1.0442642285332582</c:v>
                </c:pt>
                <c:pt idx="12">
                  <c:v>1.0444578968548033</c:v>
                </c:pt>
                <c:pt idx="13">
                  <c:v>1.0440867958793876</c:v>
                </c:pt>
                <c:pt idx="14">
                  <c:v>1.0438212267438556</c:v>
                </c:pt>
                <c:pt idx="15">
                  <c:v>1.0443059773929924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2A-41C1-AC1A-61F403C8F63F}"/>
            </c:ext>
          </c:extLst>
        </c:ser>
        <c:ser>
          <c:idx val="2"/>
          <c:order val="2"/>
          <c:tx>
            <c:strRef>
              <c:f>'B4. surface area'!$A$27</c:f>
              <c:strCache>
                <c:ptCount val="1"/>
                <c:pt idx="0">
                  <c:v>Total surface - residential</c:v>
                </c:pt>
              </c:strCache>
            </c:strRef>
          </c:tx>
          <c:spPr>
            <a:ln w="19050" cap="rnd">
              <a:solidFill>
                <a:srgbClr val="F59E2D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22A-41C1-AC1A-61F403C8F6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'B4. surface area'!$E$24:$T$24</c:f>
              <c:numCache>
                <c:formatCode>General</c:formatCode>
                <c:ptCount val="1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</c:numCache>
            </c:numRef>
          </c:cat>
          <c:val>
            <c:numRef>
              <c:f>'B4. surface area'!$E$27:$T$27</c:f>
              <c:numCache>
                <c:formatCode>0%</c:formatCode>
                <c:ptCount val="16"/>
                <c:pt idx="0">
                  <c:v>1</c:v>
                </c:pt>
                <c:pt idx="1">
                  <c:v>1.0185452307476415</c:v>
                </c:pt>
                <c:pt idx="2">
                  <c:v>1.0296660134858384</c:v>
                </c:pt>
                <c:pt idx="3">
                  <c:v>1.0431406479409069</c:v>
                </c:pt>
                <c:pt idx="4">
                  <c:v>1.0542250409411351</c:v>
                </c:pt>
                <c:pt idx="5">
                  <c:v>1.0830934865998711</c:v>
                </c:pt>
                <c:pt idx="6">
                  <c:v>1.0874393559406192</c:v>
                </c:pt>
                <c:pt idx="7">
                  <c:v>1.1007798228263208</c:v>
                </c:pt>
                <c:pt idx="8">
                  <c:v>1.1129352660094061</c:v>
                </c:pt>
                <c:pt idx="9">
                  <c:v>1.1172618208589122</c:v>
                </c:pt>
                <c:pt idx="10">
                  <c:v>1.1263790671868974</c:v>
                </c:pt>
                <c:pt idx="11">
                  <c:v>1.1312849018442155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2A-41C1-AC1A-61F403C8F63F}"/>
            </c:ext>
          </c:extLst>
        </c:ser>
        <c:ser>
          <c:idx val="3"/>
          <c:order val="3"/>
          <c:tx>
            <c:strRef>
              <c:f>'B4. surface area'!$A$28</c:f>
              <c:strCache>
                <c:ptCount val="1"/>
                <c:pt idx="0">
                  <c:v>EU population</c:v>
                </c:pt>
              </c:strCache>
            </c:strRef>
          </c:tx>
          <c:spPr>
            <a:ln w="19050" cap="rnd">
              <a:solidFill>
                <a:srgbClr val="2E422F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22A-41C1-AC1A-61F403C8F6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'B4. surface area'!$E$24:$T$24</c:f>
              <c:numCache>
                <c:formatCode>General</c:formatCode>
                <c:ptCount val="1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</c:numCache>
            </c:numRef>
          </c:cat>
          <c:val>
            <c:numRef>
              <c:f>'B4. surface area'!$E$28:$T$28</c:f>
              <c:numCache>
                <c:formatCode>0%</c:formatCode>
                <c:ptCount val="16"/>
                <c:pt idx="0">
                  <c:v>1</c:v>
                </c:pt>
                <c:pt idx="1">
                  <c:v>1.0032304286201177</c:v>
                </c:pt>
                <c:pt idx="2">
                  <c:v>1.0065913097330534</c:v>
                </c:pt>
                <c:pt idx="3">
                  <c:v>1.0098143541197153</c:v>
                </c:pt>
                <c:pt idx="4">
                  <c:v>1.0122039407886609</c:v>
                </c:pt>
                <c:pt idx="5">
                  <c:v>1.0136174917519858</c:v>
                </c:pt>
                <c:pt idx="6">
                  <c:v>1.0118224312530508</c:v>
                </c:pt>
                <c:pt idx="7">
                  <c:v>1.0133043340642476</c:v>
                </c:pt>
                <c:pt idx="8">
                  <c:v>1.0157261167264968</c:v>
                </c:pt>
                <c:pt idx="9">
                  <c:v>1.018749694880394</c:v>
                </c:pt>
                <c:pt idx="10">
                  <c:v>1.0209566223191469</c:v>
                </c:pt>
                <c:pt idx="11">
                  <c:v>1.0230994174720027</c:v>
                </c:pt>
                <c:pt idx="12">
                  <c:v>1.0247180837330889</c:v>
                </c:pt>
                <c:pt idx="13">
                  <c:v>1.0265195815920956</c:v>
                </c:pt>
                <c:pt idx="14">
                  <c:v>1.0273628045161467</c:v>
                </c:pt>
                <c:pt idx="15">
                  <c:v>1.0281076744147555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22A-41C1-AC1A-61F403C8F63F}"/>
            </c:ext>
          </c:extLst>
        </c:ser>
        <c:ser>
          <c:idx val="4"/>
          <c:order val="4"/>
          <c:tx>
            <c:strRef>
              <c:f>'B4. surface area'!$A$29</c:f>
              <c:strCache>
                <c:ptCount val="1"/>
                <c:pt idx="0">
                  <c:v>Total surface - tertiary</c:v>
                </c:pt>
              </c:strCache>
            </c:strRef>
          </c:tx>
          <c:spPr>
            <a:ln w="19050" cap="rnd">
              <a:solidFill>
                <a:srgbClr val="648ECA"/>
              </a:solidFill>
              <a:round/>
            </a:ln>
            <a:effectLst/>
          </c:spPr>
          <c:marker>
            <c:symbol val="none"/>
          </c:marker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22A-41C1-AC1A-61F403C8F6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'B4. surface area'!$E$29:$T$29</c:f>
              <c:numCache>
                <c:formatCode>0%</c:formatCode>
                <c:ptCount val="16"/>
                <c:pt idx="0">
                  <c:v>1</c:v>
                </c:pt>
                <c:pt idx="1">
                  <c:v>0.99643472534631927</c:v>
                </c:pt>
                <c:pt idx="2">
                  <c:v>1.0124635348172535</c:v>
                </c:pt>
                <c:pt idx="3">
                  <c:v>1.0385601270173519</c:v>
                </c:pt>
                <c:pt idx="4">
                  <c:v>1.0469481998306425</c:v>
                </c:pt>
                <c:pt idx="5">
                  <c:v>1.0559829500563602</c:v>
                </c:pt>
                <c:pt idx="6">
                  <c:v>1.0597429211918961</c:v>
                </c:pt>
                <c:pt idx="7">
                  <c:v>1.0714230548520629</c:v>
                </c:pt>
                <c:pt idx="8">
                  <c:v>1.0853558295335908</c:v>
                </c:pt>
                <c:pt idx="9">
                  <c:v>1.0940722847007043</c:v>
                </c:pt>
                <c:pt idx="10">
                  <c:v>1.1017370906573654</c:v>
                </c:pt>
                <c:pt idx="11">
                  <c:v>1.1133487358671734</c:v>
                </c:pt>
                <c:pt idx="12">
                  <c:v>1.1114190440811684</c:v>
                </c:pt>
                <c:pt idx="13">
                  <c:v>1.1203537587170393</c:v>
                </c:pt>
                <c:pt idx="14">
                  <c:v>1.119677481519413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22A-41C1-AC1A-61F403C8F63F}"/>
            </c:ext>
          </c:extLst>
        </c:ser>
        <c:ser>
          <c:idx val="5"/>
          <c:order val="5"/>
          <c:tx>
            <c:strRef>
              <c:f>'B4. surface area'!$A$30</c:f>
              <c:strCache>
                <c:ptCount val="1"/>
                <c:pt idx="0">
                  <c:v>Average household size</c:v>
                </c:pt>
              </c:strCache>
            </c:strRef>
          </c:tx>
          <c:spPr>
            <a:ln w="19050" cap="rnd">
              <a:solidFill>
                <a:srgbClr val="2C2D2D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22A-41C1-AC1A-61F403C8F6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'B4. surface area'!$E$30:$T$30</c:f>
              <c:numCache>
                <c:formatCode>General</c:formatCode>
                <c:ptCount val="16"/>
                <c:pt idx="5" formatCode="0%">
                  <c:v>1</c:v>
                </c:pt>
                <c:pt idx="6" formatCode="0%">
                  <c:v>1</c:v>
                </c:pt>
                <c:pt idx="7" formatCode="0%">
                  <c:v>1</c:v>
                </c:pt>
                <c:pt idx="8" formatCode="0%">
                  <c:v>1</c:v>
                </c:pt>
                <c:pt idx="9" formatCode="0%">
                  <c:v>0.95833333333333326</c:v>
                </c:pt>
                <c:pt idx="10" formatCode="0%">
                  <c:v>0.95833333333333326</c:v>
                </c:pt>
                <c:pt idx="11" formatCode="0%">
                  <c:v>0.95833333333333326</c:v>
                </c:pt>
                <c:pt idx="12" formatCode="0%">
                  <c:v>0.95833333333333326</c:v>
                </c:pt>
                <c:pt idx="13" formatCode="0%">
                  <c:v>0.95833333333333326</c:v>
                </c:pt>
                <c:pt idx="14" formatCode="0%">
                  <c:v>0.95833333333333326</c:v>
                </c:pt>
                <c:pt idx="15" formatCode="0%">
                  <c:v>0.95833333333333326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22A-41C1-AC1A-61F403C8F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3085791"/>
        <c:axId val="1893088287"/>
      </c:lineChart>
      <c:catAx>
        <c:axId val="1893085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893088287"/>
        <c:crosses val="autoZero"/>
        <c:auto val="1"/>
        <c:lblAlgn val="ctr"/>
        <c:lblOffset val="100"/>
        <c:noMultiLvlLbl val="0"/>
      </c:catAx>
      <c:valAx>
        <c:axId val="1893088287"/>
        <c:scaling>
          <c:orientation val="minMax"/>
          <c:min val="0.95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893085791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0"/>
          <c:tx>
            <c:strRef>
              <c:f>'B4. surface area'!$A$27</c:f>
              <c:strCache>
                <c:ptCount val="1"/>
                <c:pt idx="0">
                  <c:v>Total surface - residential</c:v>
                </c:pt>
              </c:strCache>
            </c:strRef>
          </c:tx>
          <c:spPr>
            <a:ln w="19050" cap="rnd">
              <a:solidFill>
                <a:srgbClr val="F59E2D"/>
              </a:solidFill>
              <a:round/>
            </a:ln>
            <a:effectLst/>
          </c:spPr>
          <c:marker>
            <c:symbol val="none"/>
          </c:marker>
          <c:cat>
            <c:numRef>
              <c:f>'B4. surface area'!$E$24:$T$24</c:f>
              <c:numCache>
                <c:formatCode>General</c:formatCode>
                <c:ptCount val="1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</c:numCache>
            </c:numRef>
          </c:cat>
          <c:val>
            <c:numRef>
              <c:f>'B4. surface area'!$E$27:$T$27</c:f>
              <c:numCache>
                <c:formatCode>0%</c:formatCode>
                <c:ptCount val="16"/>
                <c:pt idx="0">
                  <c:v>1</c:v>
                </c:pt>
                <c:pt idx="1">
                  <c:v>1.0185452307476415</c:v>
                </c:pt>
                <c:pt idx="2">
                  <c:v>1.0296660134858384</c:v>
                </c:pt>
                <c:pt idx="3">
                  <c:v>1.0431406479409069</c:v>
                </c:pt>
                <c:pt idx="4">
                  <c:v>1.0542250409411351</c:v>
                </c:pt>
                <c:pt idx="5">
                  <c:v>1.0830934865998711</c:v>
                </c:pt>
                <c:pt idx="6">
                  <c:v>1.0874393559406192</c:v>
                </c:pt>
                <c:pt idx="7">
                  <c:v>1.1007798228263208</c:v>
                </c:pt>
                <c:pt idx="8">
                  <c:v>1.1129352660094061</c:v>
                </c:pt>
                <c:pt idx="9">
                  <c:v>1.1172618208589122</c:v>
                </c:pt>
                <c:pt idx="10">
                  <c:v>1.1263790671868974</c:v>
                </c:pt>
                <c:pt idx="11">
                  <c:v>1.1312849018442155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41-433C-8BA1-6409F2E214FD}"/>
            </c:ext>
          </c:extLst>
        </c:ser>
        <c:ser>
          <c:idx val="4"/>
          <c:order val="1"/>
          <c:tx>
            <c:strRef>
              <c:f>'B4. surface area'!$A$29</c:f>
              <c:strCache>
                <c:ptCount val="1"/>
                <c:pt idx="0">
                  <c:v>Total surface - tertiary</c:v>
                </c:pt>
              </c:strCache>
            </c:strRef>
          </c:tx>
          <c:spPr>
            <a:ln w="19050" cap="rnd">
              <a:solidFill>
                <a:srgbClr val="648ECA"/>
              </a:solidFill>
              <a:round/>
            </a:ln>
            <a:effectLst/>
          </c:spPr>
          <c:marker>
            <c:symbol val="none"/>
          </c:marker>
          <c:val>
            <c:numRef>
              <c:f>'B4. surface area'!$E$29:$T$29</c:f>
              <c:numCache>
                <c:formatCode>0%</c:formatCode>
                <c:ptCount val="16"/>
                <c:pt idx="0">
                  <c:v>1</c:v>
                </c:pt>
                <c:pt idx="1">
                  <c:v>0.99643472534631927</c:v>
                </c:pt>
                <c:pt idx="2">
                  <c:v>1.0124635348172535</c:v>
                </c:pt>
                <c:pt idx="3">
                  <c:v>1.0385601270173519</c:v>
                </c:pt>
                <c:pt idx="4">
                  <c:v>1.0469481998306425</c:v>
                </c:pt>
                <c:pt idx="5">
                  <c:v>1.0559829500563602</c:v>
                </c:pt>
                <c:pt idx="6">
                  <c:v>1.0597429211918961</c:v>
                </c:pt>
                <c:pt idx="7">
                  <c:v>1.0714230548520629</c:v>
                </c:pt>
                <c:pt idx="8">
                  <c:v>1.0853558295335908</c:v>
                </c:pt>
                <c:pt idx="9">
                  <c:v>1.0940722847007043</c:v>
                </c:pt>
                <c:pt idx="10">
                  <c:v>1.1017370906573654</c:v>
                </c:pt>
                <c:pt idx="11">
                  <c:v>1.1133487358671734</c:v>
                </c:pt>
                <c:pt idx="12">
                  <c:v>1.1114190440811684</c:v>
                </c:pt>
                <c:pt idx="13">
                  <c:v>1.1203537587170393</c:v>
                </c:pt>
                <c:pt idx="14">
                  <c:v>1.119677481519413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B41-433C-8BA1-6409F2E214FD}"/>
            </c:ext>
          </c:extLst>
        </c:ser>
        <c:ser>
          <c:idx val="0"/>
          <c:order val="2"/>
          <c:tx>
            <c:strRef>
              <c:f>'B4. surface area'!$A$25</c:f>
              <c:strCache>
                <c:ptCount val="1"/>
                <c:pt idx="0">
                  <c:v>Total number of dwellings</c:v>
                </c:pt>
              </c:strCache>
            </c:strRef>
          </c:tx>
          <c:spPr>
            <a:ln w="19050" cap="rnd">
              <a:solidFill>
                <a:srgbClr val="F59E2D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'B4. surface area'!$E$24:$T$24</c:f>
              <c:numCache>
                <c:formatCode>General</c:formatCode>
                <c:ptCount val="1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</c:numCache>
            </c:numRef>
          </c:cat>
          <c:val>
            <c:numRef>
              <c:f>'B4. surface area'!$E$25:$T$25</c:f>
              <c:numCache>
                <c:formatCode>0%</c:formatCode>
                <c:ptCount val="16"/>
                <c:pt idx="0">
                  <c:v>1</c:v>
                </c:pt>
                <c:pt idx="1">
                  <c:v>1.0121934804843109</c:v>
                </c:pt>
                <c:pt idx="2">
                  <c:v>1.0211980439870374</c:v>
                </c:pt>
                <c:pt idx="3">
                  <c:v>1.0315929351444029</c:v>
                </c:pt>
                <c:pt idx="4">
                  <c:v>1.0408115042244108</c:v>
                </c:pt>
                <c:pt idx="5">
                  <c:v>1.0526803627718686</c:v>
                </c:pt>
                <c:pt idx="6">
                  <c:v>1.0534793720822195</c:v>
                </c:pt>
                <c:pt idx="7">
                  <c:v>1.0634242389217778</c:v>
                </c:pt>
                <c:pt idx="8">
                  <c:v>1.0691830892331928</c:v>
                </c:pt>
                <c:pt idx="9">
                  <c:v>1.0750450701279421</c:v>
                </c:pt>
                <c:pt idx="10">
                  <c:v>1.0819160870750553</c:v>
                </c:pt>
                <c:pt idx="11">
                  <c:v>1.0856117015689932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41-433C-8BA1-6409F2E214FD}"/>
            </c:ext>
          </c:extLst>
        </c:ser>
        <c:ser>
          <c:idx val="1"/>
          <c:order val="3"/>
          <c:tx>
            <c:strRef>
              <c:f>'B4. surface area'!$A$26</c:f>
              <c:strCache>
                <c:ptCount val="1"/>
                <c:pt idx="0">
                  <c:v>Average floor area per dwelling</c:v>
                </c:pt>
              </c:strCache>
            </c:strRef>
          </c:tx>
          <c:spPr>
            <a:ln w="19050" cap="rnd">
              <a:solidFill>
                <a:srgbClr val="F59E2D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'B4. surface area'!$E$24:$T$24</c:f>
              <c:numCache>
                <c:formatCode>General</c:formatCode>
                <c:ptCount val="1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</c:numCache>
            </c:numRef>
          </c:cat>
          <c:val>
            <c:numRef>
              <c:f>'B4. surface area'!$E$26:$T$26</c:f>
              <c:numCache>
                <c:formatCode>0%</c:formatCode>
                <c:ptCount val="16"/>
                <c:pt idx="0">
                  <c:v>1</c:v>
                </c:pt>
                <c:pt idx="1">
                  <c:v>1.0040531184658685</c:v>
                </c:pt>
                <c:pt idx="2">
                  <c:v>1.0071309371807227</c:v>
                </c:pt>
                <c:pt idx="3">
                  <c:v>1.0101948396089986</c:v>
                </c:pt>
                <c:pt idx="4">
                  <c:v>1.0136344817748832</c:v>
                </c:pt>
                <c:pt idx="5">
                  <c:v>1.0306587390220794</c:v>
                </c:pt>
                <c:pt idx="6">
                  <c:v>1.0365917158665381</c:v>
                </c:pt>
                <c:pt idx="7">
                  <c:v>1.0377189350793634</c:v>
                </c:pt>
                <c:pt idx="8">
                  <c:v>1.0399896091726883</c:v>
                </c:pt>
                <c:pt idx="9">
                  <c:v>1.0414021122603645</c:v>
                </c:pt>
                <c:pt idx="10">
                  <c:v>1.0432263054926423</c:v>
                </c:pt>
                <c:pt idx="11">
                  <c:v>1.0442642285332582</c:v>
                </c:pt>
                <c:pt idx="12">
                  <c:v>1.0444578968548033</c:v>
                </c:pt>
                <c:pt idx="13">
                  <c:v>1.0440867958793876</c:v>
                </c:pt>
                <c:pt idx="14">
                  <c:v>1.0438212267438556</c:v>
                </c:pt>
                <c:pt idx="15">
                  <c:v>1.0443059773929924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41-433C-8BA1-6409F2E214FD}"/>
            </c:ext>
          </c:extLst>
        </c:ser>
        <c:ser>
          <c:idx val="3"/>
          <c:order val="4"/>
          <c:tx>
            <c:strRef>
              <c:f>'B4. surface area'!$A$28</c:f>
              <c:strCache>
                <c:ptCount val="1"/>
                <c:pt idx="0">
                  <c:v>EU population</c:v>
                </c:pt>
              </c:strCache>
            </c:strRef>
          </c:tx>
          <c:spPr>
            <a:ln w="19050" cap="rnd">
              <a:solidFill>
                <a:srgbClr val="2E422F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'B4. surface area'!$E$24:$T$24</c:f>
              <c:numCache>
                <c:formatCode>General</c:formatCode>
                <c:ptCount val="1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</c:numCache>
            </c:numRef>
          </c:cat>
          <c:val>
            <c:numRef>
              <c:f>'B4. surface area'!$E$28:$T$28</c:f>
              <c:numCache>
                <c:formatCode>0%</c:formatCode>
                <c:ptCount val="16"/>
                <c:pt idx="0">
                  <c:v>1</c:v>
                </c:pt>
                <c:pt idx="1">
                  <c:v>1.0032304286201177</c:v>
                </c:pt>
                <c:pt idx="2">
                  <c:v>1.0065913097330534</c:v>
                </c:pt>
                <c:pt idx="3">
                  <c:v>1.0098143541197153</c:v>
                </c:pt>
                <c:pt idx="4">
                  <c:v>1.0122039407886609</c:v>
                </c:pt>
                <c:pt idx="5">
                  <c:v>1.0136174917519858</c:v>
                </c:pt>
                <c:pt idx="6">
                  <c:v>1.0118224312530508</c:v>
                </c:pt>
                <c:pt idx="7">
                  <c:v>1.0133043340642476</c:v>
                </c:pt>
                <c:pt idx="8">
                  <c:v>1.0157261167264968</c:v>
                </c:pt>
                <c:pt idx="9">
                  <c:v>1.018749694880394</c:v>
                </c:pt>
                <c:pt idx="10">
                  <c:v>1.0209566223191469</c:v>
                </c:pt>
                <c:pt idx="11">
                  <c:v>1.0230994174720027</c:v>
                </c:pt>
                <c:pt idx="12">
                  <c:v>1.0247180837330889</c:v>
                </c:pt>
                <c:pt idx="13">
                  <c:v>1.0265195815920956</c:v>
                </c:pt>
                <c:pt idx="14">
                  <c:v>1.0273628045161467</c:v>
                </c:pt>
                <c:pt idx="15">
                  <c:v>1.0281076744147555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B41-433C-8BA1-6409F2E21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3085791"/>
        <c:axId val="1893088287"/>
      </c:lineChart>
      <c:catAx>
        <c:axId val="1893085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893088287"/>
        <c:crosses val="autoZero"/>
        <c:auto val="1"/>
        <c:lblAlgn val="ctr"/>
        <c:lblOffset val="100"/>
        <c:noMultiLvlLbl val="0"/>
      </c:catAx>
      <c:valAx>
        <c:axId val="1893088287"/>
        <c:scaling>
          <c:orientation val="minMax"/>
          <c:min val="0.95000000000000007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/>
                  <a:t>% of 2005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893085791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'B5a&amp;b energy mix new'!$A$4</c:f>
              <c:strCache>
                <c:ptCount val="1"/>
                <c:pt idx="0">
                  <c:v>Fossils</c:v>
                </c:pt>
              </c:strCache>
            </c:strRef>
          </c:tx>
          <c:spPr>
            <a:ln w="28575" cap="rnd">
              <a:solidFill>
                <a:srgbClr val="A2C0B6"/>
              </a:solidFill>
              <a:round/>
            </a:ln>
            <a:effectLst/>
          </c:spPr>
          <c:marker>
            <c:symbol val="none"/>
          </c:marker>
          <c:cat>
            <c:numRef>
              <c:f>'B5a&amp;b energy mix new'!$D$3:$AW$3</c:f>
              <c:numCache>
                <c:formatCode>General</c:formatCod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numCache>
            </c:numRef>
          </c:cat>
          <c:val>
            <c:numRef>
              <c:f>'B5a&amp;b energy mix new'!$D$4:$AW$4</c:f>
              <c:numCache>
                <c:formatCode>0%</c:formatCode>
                <c:ptCount val="46"/>
                <c:pt idx="0">
                  <c:v>0.56612349573201293</c:v>
                </c:pt>
                <c:pt idx="1">
                  <c:v>0.55726345694625667</c:v>
                </c:pt>
                <c:pt idx="2">
                  <c:v>0.51742437035316835</c:v>
                </c:pt>
                <c:pt idx="3">
                  <c:v>0.52641873339637957</c:v>
                </c:pt>
                <c:pt idx="4">
                  <c:v>0.51881096635260504</c:v>
                </c:pt>
                <c:pt idx="5">
                  <c:v>0.51869880861141815</c:v>
                </c:pt>
                <c:pt idx="6">
                  <c:v>0.50364642041789953</c:v>
                </c:pt>
                <c:pt idx="7">
                  <c:v>0.49741507568154203</c:v>
                </c:pt>
                <c:pt idx="8">
                  <c:v>0.49652929470957347</c:v>
                </c:pt>
                <c:pt idx="9">
                  <c:v>0.47284393975349526</c:v>
                </c:pt>
                <c:pt idx="10">
                  <c:v>0.47990272474664852</c:v>
                </c:pt>
                <c:pt idx="11">
                  <c:v>0.48442799764193356</c:v>
                </c:pt>
                <c:pt idx="12">
                  <c:v>0.47891402939636735</c:v>
                </c:pt>
                <c:pt idx="13">
                  <c:v>0.46978225390372674</c:v>
                </c:pt>
                <c:pt idx="14">
                  <c:v>0.46525365403970043</c:v>
                </c:pt>
                <c:pt idx="15">
                  <c:v>0.46744257942129669</c:v>
                </c:pt>
                <c:pt idx="16">
                  <c:v>0.4558169985732281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96-4013-A8F0-572C4F72843D}"/>
            </c:ext>
          </c:extLst>
        </c:ser>
        <c:ser>
          <c:idx val="1"/>
          <c:order val="1"/>
          <c:tx>
            <c:strRef>
              <c:f>'B5a&amp;b energy mix new'!$A$5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rgbClr val="3D5584"/>
              </a:solidFill>
              <a:round/>
            </a:ln>
            <a:effectLst/>
          </c:spPr>
          <c:marker>
            <c:symbol val="none"/>
          </c:marker>
          <c:cat>
            <c:numRef>
              <c:f>'B5a&amp;b energy mix new'!$D$3:$AW$3</c:f>
              <c:numCache>
                <c:formatCode>General</c:formatCod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numCache>
            </c:numRef>
          </c:cat>
          <c:val>
            <c:numRef>
              <c:f>'B5a&amp;b energy mix new'!$D$5:$AW$5</c:f>
              <c:numCache>
                <c:formatCode>0%</c:formatCode>
                <c:ptCount val="46"/>
                <c:pt idx="0">
                  <c:v>0.21604349878402157</c:v>
                </c:pt>
                <c:pt idx="1">
                  <c:v>0.22206552490273199</c:v>
                </c:pt>
                <c:pt idx="2">
                  <c:v>0.23486467279548151</c:v>
                </c:pt>
                <c:pt idx="3">
                  <c:v>0.22649044283473047</c:v>
                </c:pt>
                <c:pt idx="4">
                  <c:v>0.2292566543752883</c:v>
                </c:pt>
                <c:pt idx="5">
                  <c:v>0.22506152648288355</c:v>
                </c:pt>
                <c:pt idx="6">
                  <c:v>0.24028410441402692</c:v>
                </c:pt>
                <c:pt idx="7">
                  <c:v>0.23501990776859516</c:v>
                </c:pt>
                <c:pt idx="8">
                  <c:v>0.23129176280299726</c:v>
                </c:pt>
                <c:pt idx="9">
                  <c:v>0.24982503729471278</c:v>
                </c:pt>
                <c:pt idx="10">
                  <c:v>0.24278050240072163</c:v>
                </c:pt>
                <c:pt idx="11">
                  <c:v>0.2412118273481309</c:v>
                </c:pt>
                <c:pt idx="12">
                  <c:v>0.24202950919414898</c:v>
                </c:pt>
                <c:pt idx="13">
                  <c:v>0.24304421002367682</c:v>
                </c:pt>
                <c:pt idx="14">
                  <c:v>0.24385682648783663</c:v>
                </c:pt>
                <c:pt idx="15">
                  <c:v>0.24693556821810678</c:v>
                </c:pt>
                <c:pt idx="16">
                  <c:v>0.24546312768314202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96-4013-A8F0-572C4F72843D}"/>
            </c:ext>
          </c:extLst>
        </c:ser>
        <c:ser>
          <c:idx val="3"/>
          <c:order val="4"/>
          <c:tx>
            <c:strRef>
              <c:f>'B5a&amp;b energy mix new'!$A$8</c:f>
              <c:strCache>
                <c:ptCount val="1"/>
                <c:pt idx="0">
                  <c:v>Non-bio renewables</c:v>
                </c:pt>
              </c:strCache>
            </c:strRef>
          </c:tx>
          <c:spPr>
            <a:ln w="28575" cap="rnd">
              <a:solidFill>
                <a:srgbClr val="F59E2D"/>
              </a:solidFill>
              <a:round/>
            </a:ln>
            <a:effectLst/>
          </c:spPr>
          <c:marker>
            <c:symbol val="none"/>
          </c:marker>
          <c:cat>
            <c:numRef>
              <c:f>'B5a&amp;b energy mix new'!$D$3:$AW$3</c:f>
              <c:numCache>
                <c:formatCode>General</c:formatCod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numCache>
            </c:numRef>
          </c:cat>
          <c:val>
            <c:numRef>
              <c:f>'B5a&amp;b energy mix new'!$D$8:$AW$8</c:f>
              <c:numCache>
                <c:formatCode>0%</c:formatCode>
                <c:ptCount val="46"/>
                <c:pt idx="0">
                  <c:v>4.1448854015417218E-3</c:v>
                </c:pt>
                <c:pt idx="1">
                  <c:v>5.2322894409578503E-3</c:v>
                </c:pt>
                <c:pt idx="2">
                  <c:v>6.9439481715835288E-3</c:v>
                </c:pt>
                <c:pt idx="3">
                  <c:v>8.3081117300407188E-3</c:v>
                </c:pt>
                <c:pt idx="4">
                  <c:v>1.0406835392065661E-2</c:v>
                </c:pt>
                <c:pt idx="5">
                  <c:v>1.1783906729515238E-2</c:v>
                </c:pt>
                <c:pt idx="6">
                  <c:v>1.2966189740946715E-2</c:v>
                </c:pt>
                <c:pt idx="7">
                  <c:v>1.4145156465757026E-2</c:v>
                </c:pt>
                <c:pt idx="8">
                  <c:v>1.5544991220212925E-2</c:v>
                </c:pt>
                <c:pt idx="9">
                  <c:v>1.9151762870693277E-2</c:v>
                </c:pt>
                <c:pt idx="10">
                  <c:v>2.0470632596132122E-2</c:v>
                </c:pt>
                <c:pt idx="11">
                  <c:v>2.2060858510559021E-2</c:v>
                </c:pt>
                <c:pt idx="12">
                  <c:v>2.6034996394207973E-2</c:v>
                </c:pt>
                <c:pt idx="13">
                  <c:v>2.8465994150130691E-2</c:v>
                </c:pt>
                <c:pt idx="14">
                  <c:v>3.1284393627073498E-2</c:v>
                </c:pt>
                <c:pt idx="15">
                  <c:v>3.3655501841347406E-2</c:v>
                </c:pt>
                <c:pt idx="16">
                  <c:v>3.7548981916999589E-2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96-4013-A8F0-572C4F72843D}"/>
            </c:ext>
          </c:extLst>
        </c:ser>
        <c:ser>
          <c:idx val="4"/>
          <c:order val="5"/>
          <c:tx>
            <c:strRef>
              <c:f>'B5a&amp;b energy mix new'!$A$9</c:f>
              <c:strCache>
                <c:ptCount val="1"/>
                <c:pt idx="0">
                  <c:v>Fossils -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A2C0B6"/>
              </a:solidFill>
              <a:ln w="9525">
                <a:noFill/>
              </a:ln>
              <a:effectLst/>
            </c:spPr>
          </c:marker>
          <c:cat>
            <c:numRef>
              <c:f>'B5a&amp;b energy mix new'!$D$3:$AW$3</c:f>
              <c:numCache>
                <c:formatCode>General</c:formatCod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numCache>
            </c:numRef>
          </c:cat>
          <c:val>
            <c:numRef>
              <c:f>'B5a&amp;b energy mix new'!$D$9:$AW$9</c:f>
              <c:numCache>
                <c:formatCode>General</c:formatCode>
                <c:ptCount val="46"/>
                <c:pt idx="25" formatCode="0%">
                  <c:v>0.23816373474482383</c:v>
                </c:pt>
                <c:pt idx="45" formatCode="0%">
                  <c:v>1.1530964515210735E-2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96-4013-A8F0-572C4F72843D}"/>
            </c:ext>
          </c:extLst>
        </c:ser>
        <c:ser>
          <c:idx val="5"/>
          <c:order val="6"/>
          <c:tx>
            <c:strRef>
              <c:f>'B5a&amp;b energy mix new'!$A$10</c:f>
              <c:strCache>
                <c:ptCount val="1"/>
                <c:pt idx="0">
                  <c:v>Electricity -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3D5584"/>
              </a:solidFill>
              <a:ln w="9525">
                <a:noFill/>
              </a:ln>
              <a:effectLst/>
            </c:spPr>
          </c:marker>
          <c:cat>
            <c:numRef>
              <c:f>'B5a&amp;b energy mix new'!$D$3:$AW$3</c:f>
              <c:numCache>
                <c:formatCode>General</c:formatCod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numCache>
            </c:numRef>
          </c:cat>
          <c:val>
            <c:numRef>
              <c:f>'B5a&amp;b energy mix new'!$D$10:$AW$10</c:f>
              <c:numCache>
                <c:formatCode>General</c:formatCode>
                <c:ptCount val="46"/>
                <c:pt idx="25" formatCode="0%">
                  <c:v>0.36687024834909693</c:v>
                </c:pt>
                <c:pt idx="45" formatCode="0%">
                  <c:v>0.43717562907525653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296-4013-A8F0-572C4F72843D}"/>
            </c:ext>
          </c:extLst>
        </c:ser>
        <c:ser>
          <c:idx val="7"/>
          <c:order val="9"/>
          <c:tx>
            <c:strRef>
              <c:f>'B5a&amp;b energy mix new'!$A$13</c:f>
              <c:strCache>
                <c:ptCount val="1"/>
                <c:pt idx="0">
                  <c:v>Non-bio renewables -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59E2D"/>
              </a:solidFill>
              <a:ln w="9525">
                <a:noFill/>
              </a:ln>
              <a:effectLst/>
            </c:spPr>
          </c:marker>
          <c:cat>
            <c:numRef>
              <c:f>'B5a&amp;b energy mix new'!$D$3:$AW$3</c:f>
              <c:numCache>
                <c:formatCode>General</c:formatCod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numCache>
            </c:numRef>
          </c:cat>
          <c:val>
            <c:numRef>
              <c:f>'B5a&amp;b energy mix new'!$D$13:$AW$13</c:f>
              <c:numCache>
                <c:formatCode>General</c:formatCode>
                <c:ptCount val="46"/>
                <c:pt idx="25" formatCode="0%">
                  <c:v>0.11901853092532021</c:v>
                </c:pt>
                <c:pt idx="45" formatCode="0%">
                  <c:v>0.279818790489896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296-4013-A8F0-572C4F72843D}"/>
            </c:ext>
          </c:extLst>
        </c:ser>
        <c:ser>
          <c:idx val="8"/>
          <c:order val="10"/>
          <c:tx>
            <c:strRef>
              <c:f>'B5a&amp;b energy mix new'!$A$14</c:f>
              <c:strCache>
                <c:ptCount val="1"/>
                <c:pt idx="0">
                  <c:v>linear trajectories</c:v>
                </c:pt>
              </c:strCache>
            </c:strRef>
          </c:tx>
          <c:spPr>
            <a:ln w="9525" cap="rnd">
              <a:solidFill>
                <a:sysClr val="windowText" lastClr="00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'B5a&amp;b energy mix new'!$D$3:$AW$3</c:f>
              <c:numCache>
                <c:formatCode>General</c:formatCod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numCache>
            </c:numRef>
          </c:cat>
          <c:val>
            <c:numRef>
              <c:f>'B5a&amp;b energy mix new'!$D$14:$AW$14</c:f>
              <c:numCache>
                <c:formatCode>General</c:formatCode>
                <c:ptCount val="46"/>
                <c:pt idx="16" formatCode="0%">
                  <c:v>0.4558169985732281</c:v>
                </c:pt>
                <c:pt idx="17" formatCode="0%">
                  <c:v>0.43163330259229427</c:v>
                </c:pt>
                <c:pt idx="18" formatCode="0%">
                  <c:v>0.40744960661136048</c:v>
                </c:pt>
                <c:pt idx="19" formatCode="0%">
                  <c:v>0.38326591063042664</c:v>
                </c:pt>
                <c:pt idx="20" formatCode="0%">
                  <c:v>0.35908221464949286</c:v>
                </c:pt>
                <c:pt idx="21" formatCode="0%">
                  <c:v>0.33489851866855902</c:v>
                </c:pt>
                <c:pt idx="22" formatCode="0%">
                  <c:v>0.31071482268762524</c:v>
                </c:pt>
                <c:pt idx="23" formatCode="0%">
                  <c:v>0.28653112670669145</c:v>
                </c:pt>
                <c:pt idx="24" formatCode="0%">
                  <c:v>0.26234743072575761</c:v>
                </c:pt>
                <c:pt idx="25" formatCode="0%">
                  <c:v>0.2381637347448238</c:v>
                </c:pt>
                <c:pt idx="26" formatCode="0%">
                  <c:v>0.22683209623334313</c:v>
                </c:pt>
                <c:pt idx="27" formatCode="0%">
                  <c:v>0.21550045772186249</c:v>
                </c:pt>
                <c:pt idx="28" formatCode="0%">
                  <c:v>0.20416881921038182</c:v>
                </c:pt>
                <c:pt idx="29" formatCode="0%">
                  <c:v>0.19283718069890118</c:v>
                </c:pt>
                <c:pt idx="30" formatCode="0%">
                  <c:v>0.18150554218742054</c:v>
                </c:pt>
                <c:pt idx="31" formatCode="0%">
                  <c:v>0.17017390367593987</c:v>
                </c:pt>
                <c:pt idx="32" formatCode="0%">
                  <c:v>0.15884226516445923</c:v>
                </c:pt>
                <c:pt idx="33" formatCode="0%">
                  <c:v>0.14751062665297859</c:v>
                </c:pt>
                <c:pt idx="34" formatCode="0%">
                  <c:v>0.13617898814149793</c:v>
                </c:pt>
                <c:pt idx="35" formatCode="0%">
                  <c:v>0.12484734963001728</c:v>
                </c:pt>
                <c:pt idx="36" formatCode="0%">
                  <c:v>0.11351571111853664</c:v>
                </c:pt>
                <c:pt idx="37" formatCode="0%">
                  <c:v>0.10218407260705598</c:v>
                </c:pt>
                <c:pt idx="38" formatCode="0%">
                  <c:v>9.0852434095575335E-2</c:v>
                </c:pt>
                <c:pt idx="39" formatCode="0%">
                  <c:v>7.9520795584094667E-2</c:v>
                </c:pt>
                <c:pt idx="40" formatCode="0%">
                  <c:v>6.8189157072614026E-2</c:v>
                </c:pt>
                <c:pt idx="41" formatCode="0%">
                  <c:v>5.6857518561133386E-2</c:v>
                </c:pt>
                <c:pt idx="42" formatCode="0%">
                  <c:v>4.5525880049652717E-2</c:v>
                </c:pt>
                <c:pt idx="43" formatCode="0%">
                  <c:v>3.4194241538172077E-2</c:v>
                </c:pt>
                <c:pt idx="44" formatCode="0%">
                  <c:v>2.2862603026691408E-2</c:v>
                </c:pt>
                <c:pt idx="45" formatCode="0%">
                  <c:v>1.1530964515210768E-2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296-4013-A8F0-572C4F72843D}"/>
            </c:ext>
          </c:extLst>
        </c:ser>
        <c:ser>
          <c:idx val="9"/>
          <c:order val="11"/>
          <c:tx>
            <c:strRef>
              <c:f>'B5a&amp;b energy mix new'!$A$15</c:f>
              <c:strCache>
                <c:ptCount val="1"/>
                <c:pt idx="0">
                  <c:v>linear trajectory</c:v>
                </c:pt>
              </c:strCache>
            </c:strRef>
          </c:tx>
          <c:spPr>
            <a:ln w="9525" cap="rnd">
              <a:solidFill>
                <a:sysClr val="windowText" lastClr="00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'B5a&amp;b energy mix new'!$D$3:$AW$3</c:f>
              <c:numCache>
                <c:formatCode>General</c:formatCod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numCache>
            </c:numRef>
          </c:cat>
          <c:val>
            <c:numRef>
              <c:f>'B5a&amp;b energy mix new'!$D$15:$AW$15</c:f>
              <c:numCache>
                <c:formatCode>General</c:formatCode>
                <c:ptCount val="46"/>
                <c:pt idx="16" formatCode="0%">
                  <c:v>0.24546312768314199</c:v>
                </c:pt>
                <c:pt idx="17" formatCode="0%">
                  <c:v>0.25895280775713697</c:v>
                </c:pt>
                <c:pt idx="18" formatCode="0%">
                  <c:v>0.27244248783113201</c:v>
                </c:pt>
                <c:pt idx="19" formatCode="0%">
                  <c:v>0.28593216790512699</c:v>
                </c:pt>
                <c:pt idx="20" formatCode="0%">
                  <c:v>0.29942184797912197</c:v>
                </c:pt>
                <c:pt idx="21" formatCode="0%">
                  <c:v>0.31291152805311695</c:v>
                </c:pt>
                <c:pt idx="22" formatCode="0%">
                  <c:v>0.32640120812711193</c:v>
                </c:pt>
                <c:pt idx="23" formatCode="0%">
                  <c:v>0.33989088820110691</c:v>
                </c:pt>
                <c:pt idx="24" formatCode="0%">
                  <c:v>0.35338056827510189</c:v>
                </c:pt>
                <c:pt idx="25" formatCode="0%">
                  <c:v>0.36687024834909693</c:v>
                </c:pt>
                <c:pt idx="26" formatCode="0%">
                  <c:v>0.37038551738540487</c:v>
                </c:pt>
                <c:pt idx="27" formatCode="0%">
                  <c:v>0.37390078642171287</c:v>
                </c:pt>
                <c:pt idx="28" formatCode="0%">
                  <c:v>0.37741605545802087</c:v>
                </c:pt>
                <c:pt idx="29" formatCode="0%">
                  <c:v>0.38093132449432882</c:v>
                </c:pt>
                <c:pt idx="30" formatCode="0%">
                  <c:v>0.38444659353063682</c:v>
                </c:pt>
                <c:pt idx="31" formatCode="0%">
                  <c:v>0.38796186256694482</c:v>
                </c:pt>
                <c:pt idx="32" formatCode="0%">
                  <c:v>0.39147713160325276</c:v>
                </c:pt>
                <c:pt idx="33" formatCode="0%">
                  <c:v>0.39499240063956076</c:v>
                </c:pt>
                <c:pt idx="34" formatCode="0%">
                  <c:v>0.39850766967586876</c:v>
                </c:pt>
                <c:pt idx="35" formatCode="0%">
                  <c:v>0.40202293871217676</c:v>
                </c:pt>
                <c:pt idx="36" formatCode="0%">
                  <c:v>0.4055382077484847</c:v>
                </c:pt>
                <c:pt idx="37" formatCode="0%">
                  <c:v>0.4090534767847927</c:v>
                </c:pt>
                <c:pt idx="38" formatCode="0%">
                  <c:v>0.4125687458211007</c:v>
                </c:pt>
                <c:pt idx="39" formatCode="0%">
                  <c:v>0.41608401485740865</c:v>
                </c:pt>
                <c:pt idx="40" formatCode="0%">
                  <c:v>0.41959928389371665</c:v>
                </c:pt>
                <c:pt idx="41" formatCode="0%">
                  <c:v>0.42311455293002465</c:v>
                </c:pt>
                <c:pt idx="42" formatCode="0%">
                  <c:v>0.42662982196633259</c:v>
                </c:pt>
                <c:pt idx="43" formatCode="0%">
                  <c:v>0.43014509100264059</c:v>
                </c:pt>
                <c:pt idx="44" formatCode="0%">
                  <c:v>0.43366036003894859</c:v>
                </c:pt>
                <c:pt idx="45" formatCode="0%">
                  <c:v>0.43717562907525653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296-4013-A8F0-572C4F72843D}"/>
            </c:ext>
          </c:extLst>
        </c:ser>
        <c:ser>
          <c:idx val="14"/>
          <c:order val="14"/>
          <c:tx>
            <c:strRef>
              <c:f>'B5a&amp;b energy mix new'!$A$18</c:f>
              <c:strCache>
                <c:ptCount val="1"/>
              </c:strCache>
            </c:strRef>
          </c:tx>
          <c:spPr>
            <a:ln w="9525" cap="rnd">
              <a:solidFill>
                <a:sysClr val="windowText" lastClr="000000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'B5a&amp;b energy mix new'!$D$18:$AW$18</c:f>
              <c:numCache>
                <c:formatCode>General</c:formatCode>
                <c:ptCount val="46"/>
                <c:pt idx="16" formatCode="0%">
                  <c:v>3.7548981916999589E-2</c:v>
                </c:pt>
                <c:pt idx="17" formatCode="0%">
                  <c:v>4.6601154029035211E-2</c:v>
                </c:pt>
                <c:pt idx="18" formatCode="0%">
                  <c:v>5.5653326141070839E-2</c:v>
                </c:pt>
                <c:pt idx="19" formatCode="0%">
                  <c:v>6.4705498253106453E-2</c:v>
                </c:pt>
                <c:pt idx="20" formatCode="0%">
                  <c:v>7.3757670365142081E-2</c:v>
                </c:pt>
                <c:pt idx="21" formatCode="0%">
                  <c:v>8.2809842477177709E-2</c:v>
                </c:pt>
                <c:pt idx="22" formatCode="0%">
                  <c:v>9.1862014589213323E-2</c:v>
                </c:pt>
                <c:pt idx="23" formatCode="0%">
                  <c:v>0.10091418670124895</c:v>
                </c:pt>
                <c:pt idx="24" formatCode="0%">
                  <c:v>0.10996635881328458</c:v>
                </c:pt>
                <c:pt idx="25" formatCode="0%">
                  <c:v>0.11901853092532023</c:v>
                </c:pt>
                <c:pt idx="26" formatCode="0%">
                  <c:v>0.12705854390354901</c:v>
                </c:pt>
                <c:pt idx="27" formatCode="0%">
                  <c:v>0.1350985568817778</c:v>
                </c:pt>
                <c:pt idx="28" formatCode="0%">
                  <c:v>0.14313856986000659</c:v>
                </c:pt>
                <c:pt idx="29" formatCode="0%">
                  <c:v>0.15117858283823538</c:v>
                </c:pt>
                <c:pt idx="30" formatCode="0%">
                  <c:v>0.15921859581646416</c:v>
                </c:pt>
                <c:pt idx="31" formatCode="0%">
                  <c:v>0.16725860879469295</c:v>
                </c:pt>
                <c:pt idx="32" formatCode="0%">
                  <c:v>0.17529862177292174</c:v>
                </c:pt>
                <c:pt idx="33" formatCode="0%">
                  <c:v>0.18333863475115053</c:v>
                </c:pt>
                <c:pt idx="34" formatCode="0%">
                  <c:v>0.19137864772937932</c:v>
                </c:pt>
                <c:pt idx="35" formatCode="0%">
                  <c:v>0.19941866070760811</c:v>
                </c:pt>
                <c:pt idx="36" formatCode="0%">
                  <c:v>0.20745867368583687</c:v>
                </c:pt>
                <c:pt idx="37" formatCode="0%">
                  <c:v>0.21549868666406569</c:v>
                </c:pt>
                <c:pt idx="38" formatCode="0%">
                  <c:v>0.22353869964229445</c:v>
                </c:pt>
                <c:pt idx="39" formatCode="0%">
                  <c:v>0.23157871262052326</c:v>
                </c:pt>
                <c:pt idx="40" formatCode="0%">
                  <c:v>0.23961872559875202</c:v>
                </c:pt>
                <c:pt idx="41" formatCode="0%">
                  <c:v>0.24765873857698084</c:v>
                </c:pt>
                <c:pt idx="42" formatCode="0%">
                  <c:v>0.2556987515552096</c:v>
                </c:pt>
                <c:pt idx="43" formatCode="0%">
                  <c:v>0.26373876453343842</c:v>
                </c:pt>
                <c:pt idx="44" formatCode="0%">
                  <c:v>0.27177877751166718</c:v>
                </c:pt>
                <c:pt idx="45" formatCode="0%">
                  <c:v>0.279818790489896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296-4013-A8F0-572C4F728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2907727"/>
        <c:axId val="209789555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'B5a&amp;b energy mix new'!$A$6</c15:sqref>
                        </c15:formulaRef>
                      </c:ext>
                    </c:extLst>
                    <c:strCache>
                      <c:ptCount val="1"/>
                      <c:pt idx="0">
                        <c:v>Biomass</c:v>
                      </c:pt>
                    </c:strCache>
                  </c:strRef>
                </c:tx>
                <c:spPr>
                  <a:ln w="28575" cap="rnd">
                    <a:solidFill>
                      <a:srgbClr val="2E422F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'B5a&amp;b energy mix new'!$D$3:$AW$3</c15:sqref>
                        </c15:formulaRef>
                      </c:ext>
                    </c:extLst>
                    <c:numCache>
                      <c:formatCode>General</c:formatCode>
                      <c:ptCount val="4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  <c:pt idx="30">
                        <c:v>2035</c:v>
                      </c:pt>
                      <c:pt idx="35">
                        <c:v>2040</c:v>
                      </c:pt>
                      <c:pt idx="40">
                        <c:v>2045</c:v>
                      </c:pt>
                      <c:pt idx="45">
                        <c:v>2050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'B5a&amp;b energy mix new'!$D$6:$AW$6</c15:sqref>
                        </c15:formulaRef>
                      </c:ext>
                    </c:extLst>
                    <c:numCache>
                      <c:formatCode>0%</c:formatCode>
                      <c:ptCount val="46"/>
                      <c:pt idx="0">
                        <c:v>0.13012534601228662</c:v>
                      </c:pt>
                      <c:pt idx="1">
                        <c:v>0.13512945674340218</c:v>
                      </c:pt>
                      <c:pt idx="2">
                        <c:v>0.15386200433104222</c:v>
                      </c:pt>
                      <c:pt idx="3">
                        <c:v>0.15775224249036623</c:v>
                      </c:pt>
                      <c:pt idx="4">
                        <c:v>0.16011629400099864</c:v>
                      </c:pt>
                      <c:pt idx="5">
                        <c:v>0.15956980481539776</c:v>
                      </c:pt>
                      <c:pt idx="6">
                        <c:v>0.15867276097631247</c:v>
                      </c:pt>
                      <c:pt idx="7">
                        <c:v>0.17160029744481503</c:v>
                      </c:pt>
                      <c:pt idx="8">
                        <c:v>0.17161411944670643</c:v>
                      </c:pt>
                      <c:pt idx="9">
                        <c:v>0.17214650159379921</c:v>
                      </c:pt>
                      <c:pt idx="10">
                        <c:v>0.17079724507557489</c:v>
                      </c:pt>
                      <c:pt idx="11">
                        <c:v>0.16422186437316735</c:v>
                      </c:pt>
                      <c:pt idx="12">
                        <c:v>0.16502035104851032</c:v>
                      </c:pt>
                      <c:pt idx="13">
                        <c:v>0.17420949778487532</c:v>
                      </c:pt>
                      <c:pt idx="14">
                        <c:v>0.17556496064042254</c:v>
                      </c:pt>
                      <c:pt idx="15">
                        <c:v>0.16969262264599594</c:v>
                      </c:pt>
                      <c:pt idx="16">
                        <c:v>0.17484867072391078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296-4013-A8F0-572C4F72843D}"/>
                  </c:ext>
                </c:extLst>
              </c15:ser>
            </c15:filteredLineSeries>
            <c15:filteredLineSeries>
              <c15:ser>
                <c:idx val="1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'B5a&amp;b energy mix new'!$A$7</c15:sqref>
                        </c15:formulaRef>
                      </c:ext>
                    </c:extLst>
                    <c:strCache>
                      <c:ptCount val="1"/>
                      <c:pt idx="0">
                        <c:v>District heating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'B5a&amp;b energy mix new'!$D$7:$AW$7</c15:sqref>
                        </c15:formulaRef>
                      </c:ext>
                    </c:extLst>
                    <c:numCache>
                      <c:formatCode>0%</c:formatCode>
                      <c:ptCount val="46"/>
                      <c:pt idx="0">
                        <c:v>8.3562774070137083E-2</c:v>
                      </c:pt>
                      <c:pt idx="1">
                        <c:v>8.0309271966651163E-2</c:v>
                      </c:pt>
                      <c:pt idx="2">
                        <c:v>8.6905004348724474E-2</c:v>
                      </c:pt>
                      <c:pt idx="3">
                        <c:v>8.1030469548482933E-2</c:v>
                      </c:pt>
                      <c:pt idx="4">
                        <c:v>8.1409249879042411E-2</c:v>
                      </c:pt>
                      <c:pt idx="5">
                        <c:v>8.4885953360785277E-2</c:v>
                      </c:pt>
                      <c:pt idx="6">
                        <c:v>8.4430524450814379E-2</c:v>
                      </c:pt>
                      <c:pt idx="7">
                        <c:v>8.1819562639290869E-2</c:v>
                      </c:pt>
                      <c:pt idx="8">
                        <c:v>8.5019831820509886E-2</c:v>
                      </c:pt>
                      <c:pt idx="9">
                        <c:v>8.6032758487299549E-2</c:v>
                      </c:pt>
                      <c:pt idx="10">
                        <c:v>8.6048895180922833E-2</c:v>
                      </c:pt>
                      <c:pt idx="11">
                        <c:v>8.8077452126209169E-2</c:v>
                      </c:pt>
                      <c:pt idx="12">
                        <c:v>8.8001113966765548E-2</c:v>
                      </c:pt>
                      <c:pt idx="13">
                        <c:v>8.4498044137590406E-2</c:v>
                      </c:pt>
                      <c:pt idx="14">
                        <c:v>8.4040165204966988E-2</c:v>
                      </c:pt>
                      <c:pt idx="15">
                        <c:v>8.2273727873253197E-2</c:v>
                      </c:pt>
                      <c:pt idx="16">
                        <c:v>8.6322221102719587E-2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6296-4013-A8F0-572C4F72843D}"/>
                  </c:ext>
                </c:extLst>
              </c15:ser>
            </c15:filteredLineSeries>
            <c15:filteredLineSeries>
              <c15:ser>
                <c:idx val="6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'B5a&amp;b energy mix new'!$A$11</c15:sqref>
                        </c15:formulaRef>
                      </c:ext>
                    </c:extLst>
                    <c:strCache>
                      <c:ptCount val="1"/>
                      <c:pt idx="0">
                        <c:v>Biomass - benchmark</c:v>
                      </c:pt>
                    </c:strCache>
                  </c:strRef>
                </c:tx>
                <c:spPr>
                  <a:ln w="28575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2E422F"/>
                    </a:solidFill>
                    <a:ln w="9525">
                      <a:noFill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'B5a&amp;b energy mix new'!$D$3:$AW$3</c15:sqref>
                        </c15:formulaRef>
                      </c:ext>
                    </c:extLst>
                    <c:numCache>
                      <c:formatCode>General</c:formatCode>
                      <c:ptCount val="4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  <c:pt idx="30">
                        <c:v>2035</c:v>
                      </c:pt>
                      <c:pt idx="35">
                        <c:v>2040</c:v>
                      </c:pt>
                      <c:pt idx="40">
                        <c:v>2045</c:v>
                      </c:pt>
                      <c:pt idx="45">
                        <c:v>2050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'B5a&amp;b energy mix new'!$D$11:$AW$11</c15:sqref>
                        </c15:formulaRef>
                      </c:ext>
                    </c:extLst>
                    <c:numCache>
                      <c:formatCode>General</c:formatCode>
                      <c:ptCount val="46"/>
                      <c:pt idx="25" formatCode="0%">
                        <c:v>0.17838153985953312</c:v>
                      </c:pt>
                      <c:pt idx="45" formatCode="0%">
                        <c:v>0.17709178865807024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296-4013-A8F0-572C4F72843D}"/>
                  </c:ext>
                </c:extLst>
              </c15:ser>
            </c15:filteredLineSeries>
            <c15:filteredLineSeries>
              <c15:ser>
                <c:idx val="13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'B5a&amp;b energy mix new'!$A$12</c15:sqref>
                        </c15:formulaRef>
                      </c:ext>
                    </c:extLst>
                    <c:strCache>
                      <c:ptCount val="1"/>
                      <c:pt idx="0">
                        <c:v>District heating - benchmark</c:v>
                      </c:pt>
                    </c:strCache>
                  </c:strRef>
                </c:tx>
                <c:spPr>
                  <a:ln w="28575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648ECA"/>
                    </a:solidFill>
                    <a:ln w="9525">
                      <a:noFill/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'B5a&amp;b energy mix new'!$D$12:$AW$12</c15:sqref>
                        </c15:formulaRef>
                      </c:ext>
                    </c:extLst>
                    <c:numCache>
                      <c:formatCode>General</c:formatCode>
                      <c:ptCount val="46"/>
                      <c:pt idx="25" formatCode="0%">
                        <c:v>9.7565946121225905E-2</c:v>
                      </c:pt>
                      <c:pt idx="45" formatCode="0%">
                        <c:v>9.4382827261566521E-2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6296-4013-A8F0-572C4F72843D}"/>
                  </c:ext>
                </c:extLst>
              </c15:ser>
            </c15:filteredLineSeries>
            <c15:filteredLineSeries>
              <c15:ser>
                <c:idx val="10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'B5a&amp;b energy mix new'!$A$16</c15:sqref>
                        </c15:formulaRef>
                      </c:ext>
                    </c:extLst>
                    <c:strCache>
                      <c:ptCount val="1"/>
                      <c:pt idx="0">
                        <c:v>linear trajectory</c:v>
                      </c:pt>
                    </c:strCache>
                  </c:strRef>
                </c:tx>
                <c:spPr>
                  <a:ln w="9525" cap="rnd">
                    <a:solidFill>
                      <a:sysClr val="windowText" lastClr="00000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'B5a&amp;b energy mix new'!$D$3:$AW$3</c15:sqref>
                        </c15:formulaRef>
                      </c:ext>
                    </c:extLst>
                    <c:numCache>
                      <c:formatCode>General</c:formatCode>
                      <c:ptCount val="4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  <c:pt idx="30">
                        <c:v>2035</c:v>
                      </c:pt>
                      <c:pt idx="35">
                        <c:v>2040</c:v>
                      </c:pt>
                      <c:pt idx="40">
                        <c:v>2045</c:v>
                      </c:pt>
                      <c:pt idx="45">
                        <c:v>2050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'B5a&amp;b energy mix new'!$D$16:$AW$16</c15:sqref>
                        </c15:formulaRef>
                      </c:ext>
                    </c:extLst>
                    <c:numCache>
                      <c:formatCode>General</c:formatCode>
                      <c:ptCount val="46"/>
                      <c:pt idx="16" formatCode="0%">
                        <c:v>0.17484867072391078</c:v>
                      </c:pt>
                      <c:pt idx="17" formatCode="0%">
                        <c:v>0.17524121173897994</c:v>
                      </c:pt>
                      <c:pt idx="18" formatCode="0%">
                        <c:v>0.17563375275404908</c:v>
                      </c:pt>
                      <c:pt idx="19" formatCode="0%">
                        <c:v>0.17602629376911824</c:v>
                      </c:pt>
                      <c:pt idx="20" formatCode="0%">
                        <c:v>0.17641883478418738</c:v>
                      </c:pt>
                      <c:pt idx="21" formatCode="0%">
                        <c:v>0.17681137579925654</c:v>
                      </c:pt>
                      <c:pt idx="22" formatCode="0%">
                        <c:v>0.17720391681432568</c:v>
                      </c:pt>
                      <c:pt idx="23" formatCode="0%">
                        <c:v>0.17759645782939484</c:v>
                      </c:pt>
                      <c:pt idx="24" formatCode="0%">
                        <c:v>0.17798899884446398</c:v>
                      </c:pt>
                      <c:pt idx="25" formatCode="0%">
                        <c:v>0.17838153985953314</c:v>
                      </c:pt>
                      <c:pt idx="26" formatCode="0%">
                        <c:v>0.17831705229946002</c:v>
                      </c:pt>
                      <c:pt idx="27" formatCode="0%">
                        <c:v>0.17825256473938686</c:v>
                      </c:pt>
                      <c:pt idx="28" formatCode="0%">
                        <c:v>0.17818807717931373</c:v>
                      </c:pt>
                      <c:pt idx="29" formatCode="0%">
                        <c:v>0.17812358961924057</c:v>
                      </c:pt>
                      <c:pt idx="30" formatCode="0%">
                        <c:v>0.17805910205916742</c:v>
                      </c:pt>
                      <c:pt idx="31" formatCode="0%">
                        <c:v>0.17799461449909429</c:v>
                      </c:pt>
                      <c:pt idx="32" formatCode="0%">
                        <c:v>0.17793012693902113</c:v>
                      </c:pt>
                      <c:pt idx="33" formatCode="0%">
                        <c:v>0.177865639378948</c:v>
                      </c:pt>
                      <c:pt idx="34" formatCode="0%">
                        <c:v>0.17780115181887485</c:v>
                      </c:pt>
                      <c:pt idx="35" formatCode="0%">
                        <c:v>0.17773666425880169</c:v>
                      </c:pt>
                      <c:pt idx="36" formatCode="0%">
                        <c:v>0.17767217669872856</c:v>
                      </c:pt>
                      <c:pt idx="37" formatCode="0%">
                        <c:v>0.17760768913865541</c:v>
                      </c:pt>
                      <c:pt idx="38" formatCode="0%">
                        <c:v>0.17754320157858228</c:v>
                      </c:pt>
                      <c:pt idx="39" formatCode="0%">
                        <c:v>0.17747871401850912</c:v>
                      </c:pt>
                      <c:pt idx="40" formatCode="0%">
                        <c:v>0.17741422645843596</c:v>
                      </c:pt>
                      <c:pt idx="41" formatCode="0%">
                        <c:v>0.17734973889836284</c:v>
                      </c:pt>
                      <c:pt idx="42" formatCode="0%">
                        <c:v>0.17728525133828968</c:v>
                      </c:pt>
                      <c:pt idx="43" formatCode="0%">
                        <c:v>0.17722076377821655</c:v>
                      </c:pt>
                      <c:pt idx="44" formatCode="0%">
                        <c:v>0.17715627621814339</c:v>
                      </c:pt>
                      <c:pt idx="45" formatCode="0%">
                        <c:v>0.17709178865807024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6296-4013-A8F0-572C4F72843D}"/>
                  </c:ext>
                </c:extLst>
              </c15:ser>
            </c15:filteredLineSeries>
            <c15:filteredLineSeries>
              <c15:ser>
                <c:idx val="11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'B5a&amp;b energy mix new'!$A$17</c15:sqref>
                        </c15:formulaRef>
                      </c:ext>
                    </c:extLst>
                    <c:strCache>
                      <c:ptCount val="1"/>
                      <c:pt idx="0">
                        <c:v>linear trajectory</c:v>
                      </c:pt>
                    </c:strCache>
                  </c:strRef>
                </c:tx>
                <c:spPr>
                  <a:ln w="9525" cap="rnd">
                    <a:solidFill>
                      <a:sysClr val="windowText" lastClr="00000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'B5a&amp;b energy mix new'!$D$3:$AW$3</c15:sqref>
                        </c15:formulaRef>
                      </c:ext>
                    </c:extLst>
                    <c:numCache>
                      <c:formatCode>General</c:formatCode>
                      <c:ptCount val="4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  <c:pt idx="30">
                        <c:v>2035</c:v>
                      </c:pt>
                      <c:pt idx="35">
                        <c:v>2040</c:v>
                      </c:pt>
                      <c:pt idx="40">
                        <c:v>2045</c:v>
                      </c:pt>
                      <c:pt idx="45">
                        <c:v>2050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'B5a&amp;b energy mix new'!$D$17:$AW$17</c15:sqref>
                        </c15:formulaRef>
                      </c:ext>
                    </c:extLst>
                    <c:numCache>
                      <c:formatCode>General</c:formatCode>
                      <c:ptCount val="46"/>
                      <c:pt idx="16" formatCode="0%">
                        <c:v>8.6322221102719587E-2</c:v>
                      </c:pt>
                      <c:pt idx="17" formatCode="0%">
                        <c:v>8.7571523882553626E-2</c:v>
                      </c:pt>
                      <c:pt idx="18" formatCode="0%">
                        <c:v>8.882082666238765E-2</c:v>
                      </c:pt>
                      <c:pt idx="19" formatCode="0%">
                        <c:v>9.0070129442221689E-2</c:v>
                      </c:pt>
                      <c:pt idx="20" formatCode="0%">
                        <c:v>9.1319432222055727E-2</c:v>
                      </c:pt>
                      <c:pt idx="21" formatCode="0%">
                        <c:v>9.2568735001889765E-2</c:v>
                      </c:pt>
                      <c:pt idx="22" formatCode="0%">
                        <c:v>9.381803778172379E-2</c:v>
                      </c:pt>
                      <c:pt idx="23" formatCode="0%">
                        <c:v>9.5067340561557828E-2</c:v>
                      </c:pt>
                      <c:pt idx="24" formatCode="0%">
                        <c:v>9.6316643341391867E-2</c:v>
                      </c:pt>
                      <c:pt idx="25" formatCode="0%">
                        <c:v>9.7565946121225905E-2</c:v>
                      </c:pt>
                      <c:pt idx="26" formatCode="0%">
                        <c:v>9.7406790178242927E-2</c:v>
                      </c:pt>
                      <c:pt idx="27" formatCode="0%">
                        <c:v>9.7247634235259964E-2</c:v>
                      </c:pt>
                      <c:pt idx="28" formatCode="0%">
                        <c:v>9.7088478292276986E-2</c:v>
                      </c:pt>
                      <c:pt idx="29" formatCode="0%">
                        <c:v>9.6929322349294023E-2</c:v>
                      </c:pt>
                      <c:pt idx="30" formatCode="0%">
                        <c:v>9.6770166406311059E-2</c:v>
                      </c:pt>
                      <c:pt idx="31" formatCode="0%">
                        <c:v>9.6611010463328081E-2</c:v>
                      </c:pt>
                      <c:pt idx="32" formatCode="0%">
                        <c:v>9.6451854520345118E-2</c:v>
                      </c:pt>
                      <c:pt idx="33" formatCode="0%">
                        <c:v>9.629269857736214E-2</c:v>
                      </c:pt>
                      <c:pt idx="34" formatCode="0%">
                        <c:v>9.6133542634379177E-2</c:v>
                      </c:pt>
                      <c:pt idx="35" formatCode="0%">
                        <c:v>9.5974386691396213E-2</c:v>
                      </c:pt>
                      <c:pt idx="36" formatCode="0%">
                        <c:v>9.5815230748413235E-2</c:v>
                      </c:pt>
                      <c:pt idx="37" formatCode="0%">
                        <c:v>9.5656074805430272E-2</c:v>
                      </c:pt>
                      <c:pt idx="38" formatCode="0%">
                        <c:v>9.5496918862447294E-2</c:v>
                      </c:pt>
                      <c:pt idx="39" formatCode="0%">
                        <c:v>9.5337762919464331E-2</c:v>
                      </c:pt>
                      <c:pt idx="40" formatCode="0%">
                        <c:v>9.5178606976481367E-2</c:v>
                      </c:pt>
                      <c:pt idx="41" formatCode="0%">
                        <c:v>9.5019451033498389E-2</c:v>
                      </c:pt>
                      <c:pt idx="42" formatCode="0%">
                        <c:v>9.4860295090515426E-2</c:v>
                      </c:pt>
                      <c:pt idx="43" formatCode="0%">
                        <c:v>9.4701139147532448E-2</c:v>
                      </c:pt>
                      <c:pt idx="44" formatCode="0%">
                        <c:v>9.4541983204549485E-2</c:v>
                      </c:pt>
                      <c:pt idx="45" formatCode="0%">
                        <c:v>9.4382827261566521E-2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6296-4013-A8F0-572C4F72843D}"/>
                  </c:ext>
                </c:extLst>
              </c15:ser>
            </c15:filteredLineSeries>
          </c:ext>
        </c:extLst>
      </c:lineChart>
      <c:catAx>
        <c:axId val="200290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097895551"/>
        <c:crosses val="autoZero"/>
        <c:auto val="1"/>
        <c:lblAlgn val="ctr"/>
        <c:lblOffset val="100"/>
        <c:noMultiLvlLbl val="0"/>
      </c:catAx>
      <c:valAx>
        <c:axId val="20978955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</a:t>
                </a:r>
                <a:r>
                  <a:rPr lang="en-US" b="1" baseline="0"/>
                  <a:t> in final energy use</a:t>
                </a:r>
                <a:endParaRPr lang="en-DK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00290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'B5a&amp;b energy mix new'!$A$63</c:f>
              <c:strCache>
                <c:ptCount val="1"/>
                <c:pt idx="0">
                  <c:v>Fossils</c:v>
                </c:pt>
              </c:strCache>
            </c:strRef>
          </c:tx>
          <c:spPr>
            <a:ln w="28575" cap="rnd">
              <a:solidFill>
                <a:srgbClr val="A2C0B6"/>
              </a:solidFill>
              <a:round/>
            </a:ln>
            <a:effectLst/>
          </c:spPr>
          <c:marker>
            <c:symbol val="none"/>
          </c:marker>
          <c:cat>
            <c:numRef>
              <c:f>'B5a&amp;b energy mix new'!$D$3:$AW$3</c:f>
              <c:numCache>
                <c:formatCode>General</c:formatCod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numCache>
            </c:numRef>
          </c:cat>
          <c:val>
            <c:numRef>
              <c:f>'B5a&amp;b energy mix new'!$D$63:$AW$63</c:f>
              <c:numCache>
                <c:formatCode>0%</c:formatCode>
                <c:ptCount val="46"/>
                <c:pt idx="0">
                  <c:v>0.46977532630781721</c:v>
                </c:pt>
                <c:pt idx="1">
                  <c:v>0.46654900527690674</c:v>
                </c:pt>
                <c:pt idx="2">
                  <c:v>0.42854238751383511</c:v>
                </c:pt>
                <c:pt idx="3">
                  <c:v>0.43893855716032321</c:v>
                </c:pt>
                <c:pt idx="4">
                  <c:v>0.4325611479963074</c:v>
                </c:pt>
                <c:pt idx="5">
                  <c:v>0.42837593343907232</c:v>
                </c:pt>
                <c:pt idx="6">
                  <c:v>0.40796739342164745</c:v>
                </c:pt>
                <c:pt idx="7">
                  <c:v>0.40900116427895811</c:v>
                </c:pt>
                <c:pt idx="8">
                  <c:v>0.42420996831383556</c:v>
                </c:pt>
                <c:pt idx="9">
                  <c:v>0.39976759439794529</c:v>
                </c:pt>
                <c:pt idx="10">
                  <c:v>0.40364645037703101</c:v>
                </c:pt>
                <c:pt idx="11">
                  <c:v>0.4013427834894141</c:v>
                </c:pt>
                <c:pt idx="12">
                  <c:v>0.3896696785690813</c:v>
                </c:pt>
                <c:pt idx="13">
                  <c:v>0.37705907920989373</c:v>
                </c:pt>
                <c:pt idx="14">
                  <c:v>0.37125220298055517</c:v>
                </c:pt>
                <c:pt idx="15">
                  <c:v>0.37283073696537039</c:v>
                </c:pt>
                <c:pt idx="16">
                  <c:v>0.38736503455267957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90-4C2B-9301-83F3EB65758C}"/>
            </c:ext>
          </c:extLst>
        </c:ser>
        <c:ser>
          <c:idx val="1"/>
          <c:order val="1"/>
          <c:tx>
            <c:strRef>
              <c:f>'B5a&amp;b energy mix new'!$A$64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rgbClr val="3D5584"/>
              </a:solidFill>
              <a:round/>
            </a:ln>
            <a:effectLst/>
          </c:spPr>
          <c:marker>
            <c:symbol val="none"/>
          </c:marker>
          <c:cat>
            <c:numRef>
              <c:f>'B5a&amp;b energy mix new'!$D$3:$AW$3</c:f>
              <c:numCache>
                <c:formatCode>General</c:formatCod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numCache>
            </c:numRef>
          </c:cat>
          <c:val>
            <c:numRef>
              <c:f>'B5a&amp;b energy mix new'!$D$64:$AW$64</c:f>
              <c:numCache>
                <c:formatCode>0%</c:formatCode>
                <c:ptCount val="46"/>
                <c:pt idx="0">
                  <c:v>0.43587173387253614</c:v>
                </c:pt>
                <c:pt idx="1">
                  <c:v>0.44263953493818436</c:v>
                </c:pt>
                <c:pt idx="2">
                  <c:v>0.4733741285294682</c:v>
                </c:pt>
                <c:pt idx="3">
                  <c:v>0.46008124193828176</c:v>
                </c:pt>
                <c:pt idx="4">
                  <c:v>0.46433032060009</c:v>
                </c:pt>
                <c:pt idx="5">
                  <c:v>0.45690739287852944</c:v>
                </c:pt>
                <c:pt idx="6">
                  <c:v>0.4856531334268267</c:v>
                </c:pt>
                <c:pt idx="7">
                  <c:v>0.48114768672670982</c:v>
                </c:pt>
                <c:pt idx="8">
                  <c:v>0.47215821540039998</c:v>
                </c:pt>
                <c:pt idx="9">
                  <c:v>0.49203882892340839</c:v>
                </c:pt>
                <c:pt idx="10">
                  <c:v>0.49050824982090641</c:v>
                </c:pt>
                <c:pt idx="11">
                  <c:v>0.48843921508254562</c:v>
                </c:pt>
                <c:pt idx="12">
                  <c:v>0.47587447664473675</c:v>
                </c:pt>
                <c:pt idx="13">
                  <c:v>0.48340620804898637</c:v>
                </c:pt>
                <c:pt idx="14">
                  <c:v>0.48537196644057135</c:v>
                </c:pt>
                <c:pt idx="15">
                  <c:v>0.48050100174958998</c:v>
                </c:pt>
                <c:pt idx="16">
                  <c:v>0.46305091555486866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90-4C2B-9301-83F3EB65758C}"/>
            </c:ext>
          </c:extLst>
        </c:ser>
        <c:ser>
          <c:idx val="3"/>
          <c:order val="2"/>
          <c:tx>
            <c:strRef>
              <c:f>'B5a&amp;b energy mix new'!$A$67</c:f>
              <c:strCache>
                <c:ptCount val="1"/>
                <c:pt idx="0">
                  <c:v>Non-bio renewables</c:v>
                </c:pt>
              </c:strCache>
            </c:strRef>
          </c:tx>
          <c:spPr>
            <a:ln w="28575" cap="rnd">
              <a:solidFill>
                <a:srgbClr val="F59E2D"/>
              </a:solidFill>
              <a:round/>
            </a:ln>
            <a:effectLst/>
          </c:spPr>
          <c:marker>
            <c:symbol val="none"/>
          </c:marker>
          <c:cat>
            <c:numRef>
              <c:f>'B5a&amp;b energy mix new'!$D$3:$AW$3</c:f>
              <c:numCache>
                <c:formatCode>General</c:formatCod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numCache>
            </c:numRef>
          </c:cat>
          <c:val>
            <c:numRef>
              <c:f>'B5a&amp;b energy mix new'!$D$67:$AW$67</c:f>
              <c:numCache>
                <c:formatCode>0%</c:formatCode>
                <c:ptCount val="46"/>
                <c:pt idx="0">
                  <c:v>4.3358545656371613E-3</c:v>
                </c:pt>
                <c:pt idx="1">
                  <c:v>4.4474573857195667E-3</c:v>
                </c:pt>
                <c:pt idx="2">
                  <c:v>5.0605617916864125E-3</c:v>
                </c:pt>
                <c:pt idx="3">
                  <c:v>5.4768409932022012E-3</c:v>
                </c:pt>
                <c:pt idx="4">
                  <c:v>5.7857552212696884E-3</c:v>
                </c:pt>
                <c:pt idx="5">
                  <c:v>6.0065211478320365E-3</c:v>
                </c:pt>
                <c:pt idx="6">
                  <c:v>7.9512492516058009E-3</c:v>
                </c:pt>
                <c:pt idx="7">
                  <c:v>8.6246602248359998E-3</c:v>
                </c:pt>
                <c:pt idx="8">
                  <c:v>9.3524499704789113E-3</c:v>
                </c:pt>
                <c:pt idx="9">
                  <c:v>1.3789097684310263E-2</c:v>
                </c:pt>
                <c:pt idx="10">
                  <c:v>1.4053691942343084E-2</c:v>
                </c:pt>
                <c:pt idx="11">
                  <c:v>1.5112360131041077E-2</c:v>
                </c:pt>
                <c:pt idx="12">
                  <c:v>3.7120129525355566E-2</c:v>
                </c:pt>
                <c:pt idx="13">
                  <c:v>3.9021584066630005E-2</c:v>
                </c:pt>
                <c:pt idx="14">
                  <c:v>4.1066296956855361E-2</c:v>
                </c:pt>
                <c:pt idx="15">
                  <c:v>4.4090642571672882E-2</c:v>
                </c:pt>
                <c:pt idx="16">
                  <c:v>4.3749997196585774E-2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90-4C2B-9301-83F3EB65758C}"/>
            </c:ext>
          </c:extLst>
        </c:ser>
        <c:ser>
          <c:idx val="4"/>
          <c:order val="3"/>
          <c:tx>
            <c:strRef>
              <c:f>'B5a&amp;b energy mix new'!$A$68</c:f>
              <c:strCache>
                <c:ptCount val="1"/>
                <c:pt idx="0">
                  <c:v>Fossils -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A2C0B6"/>
              </a:solidFill>
              <a:ln w="9525">
                <a:noFill/>
              </a:ln>
              <a:effectLst/>
            </c:spPr>
          </c:marker>
          <c:cat>
            <c:numRef>
              <c:f>'B5a&amp;b energy mix new'!$D$3:$AW$3</c:f>
              <c:numCache>
                <c:formatCode>General</c:formatCod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numCache>
            </c:numRef>
          </c:cat>
          <c:val>
            <c:numRef>
              <c:f>'B5a&amp;b energy mix new'!$D$68:$AW$68</c:f>
              <c:numCache>
                <c:formatCode>General</c:formatCode>
                <c:ptCount val="46"/>
                <c:pt idx="25" formatCode="0%">
                  <c:v>0.21190182792914064</c:v>
                </c:pt>
                <c:pt idx="45" formatCode="0%">
                  <c:v>1.1546131030803972E-2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90-4C2B-9301-83F3EB65758C}"/>
            </c:ext>
          </c:extLst>
        </c:ser>
        <c:ser>
          <c:idx val="5"/>
          <c:order val="4"/>
          <c:tx>
            <c:strRef>
              <c:f>'B5a&amp;b energy mix new'!$A$69</c:f>
              <c:strCache>
                <c:ptCount val="1"/>
                <c:pt idx="0">
                  <c:v>Electricity -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3D5584"/>
              </a:solidFill>
              <a:ln w="9525">
                <a:noFill/>
              </a:ln>
              <a:effectLst/>
            </c:spPr>
          </c:marker>
          <c:cat>
            <c:numRef>
              <c:f>'B5a&amp;b energy mix new'!$D$3:$AW$3</c:f>
              <c:numCache>
                <c:formatCode>General</c:formatCod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numCache>
            </c:numRef>
          </c:cat>
          <c:val>
            <c:numRef>
              <c:f>'B5a&amp;b energy mix new'!$D$69:$AW$69</c:f>
              <c:numCache>
                <c:formatCode>General</c:formatCode>
                <c:ptCount val="46"/>
                <c:pt idx="25" formatCode="0%">
                  <c:v>0.529779085724286</c:v>
                </c:pt>
                <c:pt idx="45" formatCode="0%">
                  <c:v>0.5943462677268021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690-4C2B-9301-83F3EB65758C}"/>
            </c:ext>
          </c:extLst>
        </c:ser>
        <c:ser>
          <c:idx val="7"/>
          <c:order val="5"/>
          <c:tx>
            <c:strRef>
              <c:f>'B5a&amp;b energy mix new'!$A$72</c:f>
              <c:strCache>
                <c:ptCount val="1"/>
                <c:pt idx="0">
                  <c:v>Non-bio renewables -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59E2D"/>
              </a:solidFill>
              <a:ln w="9525">
                <a:noFill/>
              </a:ln>
              <a:effectLst/>
            </c:spPr>
          </c:marker>
          <c:cat>
            <c:numRef>
              <c:f>'B5a&amp;b energy mix new'!$D$3:$AW$3</c:f>
              <c:numCache>
                <c:formatCode>General</c:formatCod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numCache>
            </c:numRef>
          </c:cat>
          <c:val>
            <c:numRef>
              <c:f>'B5a&amp;b energy mix new'!$D$72:$AW$72</c:f>
              <c:numCache>
                <c:formatCode>General</c:formatCode>
                <c:ptCount val="46"/>
                <c:pt idx="25" formatCode="0%">
                  <c:v>0.14641111937411588</c:v>
                </c:pt>
                <c:pt idx="45" formatCode="0%">
                  <c:v>0.28891951218585338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690-4C2B-9301-83F3EB65758C}"/>
            </c:ext>
          </c:extLst>
        </c:ser>
        <c:ser>
          <c:idx val="8"/>
          <c:order val="6"/>
          <c:tx>
            <c:strRef>
              <c:f>'B5a&amp;b energy mix new'!$A$73</c:f>
              <c:strCache>
                <c:ptCount val="1"/>
                <c:pt idx="0">
                  <c:v>linear trajectories</c:v>
                </c:pt>
              </c:strCache>
            </c:strRef>
          </c:tx>
          <c:spPr>
            <a:ln w="9525" cap="rnd">
              <a:solidFill>
                <a:schemeClr val="accent3">
                  <a:lumMod val="6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'B5a&amp;b energy mix new'!$D$3:$AW$3</c:f>
              <c:numCache>
                <c:formatCode>General</c:formatCod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numCache>
            </c:numRef>
          </c:cat>
          <c:val>
            <c:numRef>
              <c:f>'B5a&amp;b energy mix new'!$D$73:$AW$73</c:f>
              <c:numCache>
                <c:formatCode>General</c:formatCode>
                <c:ptCount val="46"/>
                <c:pt idx="16" formatCode="0%">
                  <c:v>0.38736503455267957</c:v>
                </c:pt>
                <c:pt idx="17" formatCode="0%">
                  <c:v>0.36786912270561972</c:v>
                </c:pt>
                <c:pt idx="18" formatCode="0%">
                  <c:v>0.34837321085855982</c:v>
                </c:pt>
                <c:pt idx="19" formatCode="0%">
                  <c:v>0.32887729901149998</c:v>
                </c:pt>
                <c:pt idx="20" formatCode="0%">
                  <c:v>0.30938138716444008</c:v>
                </c:pt>
                <c:pt idx="21" formatCode="0%">
                  <c:v>0.28988547531738018</c:v>
                </c:pt>
                <c:pt idx="22" formatCode="0%">
                  <c:v>0.27038956347032034</c:v>
                </c:pt>
                <c:pt idx="23" formatCode="0%">
                  <c:v>0.25089365162326049</c:v>
                </c:pt>
                <c:pt idx="24" formatCode="0%">
                  <c:v>0.23139773977620059</c:v>
                </c:pt>
                <c:pt idx="25" formatCode="0%">
                  <c:v>0.21190182792914072</c:v>
                </c:pt>
                <c:pt idx="26" formatCode="0%">
                  <c:v>0.20188404308422389</c:v>
                </c:pt>
                <c:pt idx="27" formatCode="0%">
                  <c:v>0.19186625823930703</c:v>
                </c:pt>
                <c:pt idx="28" formatCode="0%">
                  <c:v>0.1818484733943902</c:v>
                </c:pt>
                <c:pt idx="29" formatCode="0%">
                  <c:v>0.17183068854947336</c:v>
                </c:pt>
                <c:pt idx="30" formatCode="0%">
                  <c:v>0.16181290370455653</c:v>
                </c:pt>
                <c:pt idx="31" formatCode="0%">
                  <c:v>0.1517951188596397</c:v>
                </c:pt>
                <c:pt idx="32" formatCode="0%">
                  <c:v>0.14177733401472287</c:v>
                </c:pt>
                <c:pt idx="33" formatCode="0%">
                  <c:v>0.13175954916980603</c:v>
                </c:pt>
                <c:pt idx="34" formatCode="0%">
                  <c:v>0.12174176432488917</c:v>
                </c:pt>
                <c:pt idx="35" formatCode="0%">
                  <c:v>0.11172397947997234</c:v>
                </c:pt>
                <c:pt idx="36" formatCode="0%">
                  <c:v>0.10170619463505551</c:v>
                </c:pt>
                <c:pt idx="37" formatCode="0%">
                  <c:v>9.1688409790138675E-2</c:v>
                </c:pt>
                <c:pt idx="38" formatCode="0%">
                  <c:v>8.1670624945221815E-2</c:v>
                </c:pt>
                <c:pt idx="39" formatCode="0%">
                  <c:v>7.1652840100304982E-2</c:v>
                </c:pt>
                <c:pt idx="40" formatCode="0%">
                  <c:v>6.1635055255388149E-2</c:v>
                </c:pt>
                <c:pt idx="41" formatCode="0%">
                  <c:v>5.1617270410471316E-2</c:v>
                </c:pt>
                <c:pt idx="42" formatCode="0%">
                  <c:v>4.1599485565554484E-2</c:v>
                </c:pt>
                <c:pt idx="43" formatCode="0%">
                  <c:v>3.1581700720637623E-2</c:v>
                </c:pt>
                <c:pt idx="44" formatCode="0%">
                  <c:v>2.156391587572079E-2</c:v>
                </c:pt>
                <c:pt idx="45" formatCode="0%">
                  <c:v>1.1546131030803958E-2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690-4C2B-9301-83F3EB65758C}"/>
            </c:ext>
          </c:extLst>
        </c:ser>
        <c:ser>
          <c:idx val="9"/>
          <c:order val="7"/>
          <c:tx>
            <c:strRef>
              <c:f>'B5a&amp;b energy mix new'!$A$74</c:f>
              <c:strCache>
                <c:ptCount val="1"/>
                <c:pt idx="0">
                  <c:v>linear trajectory</c:v>
                </c:pt>
              </c:strCache>
            </c:strRef>
          </c:tx>
          <c:spPr>
            <a:ln w="9525" cap="rnd">
              <a:solidFill>
                <a:sysClr val="windowText" lastClr="00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'B5a&amp;b energy mix new'!$D$3:$AW$3</c:f>
              <c:numCache>
                <c:formatCode>General</c:formatCod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numCache>
            </c:numRef>
          </c:cat>
          <c:val>
            <c:numRef>
              <c:f>'B5a&amp;b energy mix new'!$D$74:$AW$74</c:f>
              <c:numCache>
                <c:formatCode>General</c:formatCode>
                <c:ptCount val="46"/>
                <c:pt idx="16" formatCode="0%">
                  <c:v>0.46305091555486866</c:v>
                </c:pt>
                <c:pt idx="17" formatCode="0%">
                  <c:v>0.47046515668480393</c:v>
                </c:pt>
                <c:pt idx="18" formatCode="0%">
                  <c:v>0.47787939781473915</c:v>
                </c:pt>
                <c:pt idx="19" formatCode="0%">
                  <c:v>0.48529363894467442</c:v>
                </c:pt>
                <c:pt idx="20" formatCode="0%">
                  <c:v>0.49270788007460969</c:v>
                </c:pt>
                <c:pt idx="21" formatCode="0%">
                  <c:v>0.50012212120454491</c:v>
                </c:pt>
                <c:pt idx="22" formatCode="0%">
                  <c:v>0.50753636233448018</c:v>
                </c:pt>
                <c:pt idx="23" formatCode="0%">
                  <c:v>0.51495060346441546</c:v>
                </c:pt>
                <c:pt idx="24" formatCode="0%">
                  <c:v>0.52236484459435073</c:v>
                </c:pt>
                <c:pt idx="25" formatCode="0%">
                  <c:v>0.529779085724286</c:v>
                </c:pt>
                <c:pt idx="26" formatCode="0%">
                  <c:v>0.53300744482441187</c:v>
                </c:pt>
                <c:pt idx="27" formatCode="0%">
                  <c:v>0.53623580392453762</c:v>
                </c:pt>
                <c:pt idx="28" formatCode="0%">
                  <c:v>0.53946416302466349</c:v>
                </c:pt>
                <c:pt idx="29" formatCode="0%">
                  <c:v>0.54269252212478925</c:v>
                </c:pt>
                <c:pt idx="30" formatCode="0%">
                  <c:v>0.54592088122491511</c:v>
                </c:pt>
                <c:pt idx="31" formatCode="0%">
                  <c:v>0.54914924032504087</c:v>
                </c:pt>
                <c:pt idx="32" formatCode="0%">
                  <c:v>0.55237759942516673</c:v>
                </c:pt>
                <c:pt idx="33" formatCode="0%">
                  <c:v>0.55560595852529249</c:v>
                </c:pt>
                <c:pt idx="34" formatCode="0%">
                  <c:v>0.55883431762541824</c:v>
                </c:pt>
                <c:pt idx="35" formatCode="0%">
                  <c:v>0.56206267672554411</c:v>
                </c:pt>
                <c:pt idx="36" formatCode="0%">
                  <c:v>0.56529103582566986</c:v>
                </c:pt>
                <c:pt idx="37" formatCode="0%">
                  <c:v>0.56851939492579573</c:v>
                </c:pt>
                <c:pt idx="38" formatCode="0%">
                  <c:v>0.57174775402592148</c:v>
                </c:pt>
                <c:pt idx="39" formatCode="0%">
                  <c:v>0.57497611312604735</c:v>
                </c:pt>
                <c:pt idx="40" formatCode="0%">
                  <c:v>0.57820447222617311</c:v>
                </c:pt>
                <c:pt idx="41" formatCode="0%">
                  <c:v>0.58143283132629886</c:v>
                </c:pt>
                <c:pt idx="42" formatCode="0%">
                  <c:v>0.58466119042642473</c:v>
                </c:pt>
                <c:pt idx="43" formatCode="0%">
                  <c:v>0.58788954952655048</c:v>
                </c:pt>
                <c:pt idx="44" formatCode="0%">
                  <c:v>0.59111790862667635</c:v>
                </c:pt>
                <c:pt idx="45" formatCode="0%">
                  <c:v>0.5943462677268021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690-4C2B-9301-83F3EB65758C}"/>
            </c:ext>
          </c:extLst>
        </c:ser>
        <c:ser>
          <c:idx val="10"/>
          <c:order val="8"/>
          <c:tx>
            <c:strRef>
              <c:f>'B5a&amp;b energy mix new'!$A$75</c:f>
              <c:strCache>
                <c:ptCount val="1"/>
                <c:pt idx="0">
                  <c:v>linear trajectory</c:v>
                </c:pt>
              </c:strCache>
            </c:strRef>
          </c:tx>
          <c:spPr>
            <a:ln w="9525" cap="rnd">
              <a:solidFill>
                <a:sysClr val="windowText" lastClr="00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'B5a&amp;b energy mix new'!$D$3:$AW$3</c:f>
              <c:numCache>
                <c:formatCode>General</c:formatCod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numCache>
              <c:extLst xmlns:c15="http://schemas.microsoft.com/office/drawing/2012/chart"/>
            </c:numRef>
          </c:cat>
          <c:val>
            <c:numRef>
              <c:f>'B5a&amp;b energy mix new'!$D$75:$AW$75</c:f>
              <c:numCache>
                <c:formatCode>General</c:formatCode>
                <c:ptCount val="46"/>
                <c:pt idx="16" formatCode="0%">
                  <c:v>4.374999719658576E-2</c:v>
                </c:pt>
                <c:pt idx="17" formatCode="0%">
                  <c:v>5.5156788549644661E-2</c:v>
                </c:pt>
                <c:pt idx="18" formatCode="0%">
                  <c:v>6.6563579902703562E-2</c:v>
                </c:pt>
                <c:pt idx="19" formatCode="0%">
                  <c:v>7.7970371255762477E-2</c:v>
                </c:pt>
                <c:pt idx="20" formatCode="0%">
                  <c:v>8.9377162608821364E-2</c:v>
                </c:pt>
                <c:pt idx="21" formatCode="0%">
                  <c:v>0.10078395396188028</c:v>
                </c:pt>
                <c:pt idx="22" formatCode="0%">
                  <c:v>0.11219074531493918</c:v>
                </c:pt>
                <c:pt idx="23" formatCode="0%">
                  <c:v>0.12359753666799808</c:v>
                </c:pt>
                <c:pt idx="24" formatCode="0%">
                  <c:v>0.135004328021057</c:v>
                </c:pt>
                <c:pt idx="25" formatCode="0%">
                  <c:v>0.14641111937411588</c:v>
                </c:pt>
                <c:pt idx="26" formatCode="0%">
                  <c:v>0.15353653901470274</c:v>
                </c:pt>
                <c:pt idx="27" formatCode="0%">
                  <c:v>0.16066195865528962</c:v>
                </c:pt>
                <c:pt idx="28" formatCode="0%">
                  <c:v>0.1677873782958765</c:v>
                </c:pt>
                <c:pt idx="29" formatCode="0%">
                  <c:v>0.17491279793646336</c:v>
                </c:pt>
                <c:pt idx="30" formatCode="0%">
                  <c:v>0.18203821757705024</c:v>
                </c:pt>
                <c:pt idx="31" formatCode="0%">
                  <c:v>0.18916363721763713</c:v>
                </c:pt>
                <c:pt idx="32" formatCode="0%">
                  <c:v>0.19628905685822401</c:v>
                </c:pt>
                <c:pt idx="33" formatCode="0%">
                  <c:v>0.20341447649881086</c:v>
                </c:pt>
                <c:pt idx="34" formatCode="0%">
                  <c:v>0.21053989613939775</c:v>
                </c:pt>
                <c:pt idx="35" formatCode="0%">
                  <c:v>0.2176653157799846</c:v>
                </c:pt>
                <c:pt idx="36" formatCode="0%">
                  <c:v>0.22479073542057149</c:v>
                </c:pt>
                <c:pt idx="37" formatCode="0%">
                  <c:v>0.23191615506115837</c:v>
                </c:pt>
                <c:pt idx="38" formatCode="0%">
                  <c:v>0.23904157470174525</c:v>
                </c:pt>
                <c:pt idx="39" formatCode="0%">
                  <c:v>0.24616699434233213</c:v>
                </c:pt>
                <c:pt idx="40" formatCode="0%">
                  <c:v>0.25329241398291902</c:v>
                </c:pt>
                <c:pt idx="41" formatCode="0%">
                  <c:v>0.26041783362350585</c:v>
                </c:pt>
                <c:pt idx="42" formatCode="0%">
                  <c:v>0.26754325326409273</c:v>
                </c:pt>
                <c:pt idx="43" formatCode="0%">
                  <c:v>0.27466867290467961</c:v>
                </c:pt>
                <c:pt idx="44" formatCode="0%">
                  <c:v>0.28179409254526649</c:v>
                </c:pt>
                <c:pt idx="45" formatCode="0%">
                  <c:v>0.28891951218585332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B690-4C2B-9301-83F3EB657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2907727"/>
        <c:axId val="2097895551"/>
        <c:extLst/>
      </c:lineChart>
      <c:catAx>
        <c:axId val="200290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097895551"/>
        <c:crosses val="autoZero"/>
        <c:auto val="1"/>
        <c:lblAlgn val="ctr"/>
        <c:lblOffset val="100"/>
        <c:noMultiLvlLbl val="0"/>
      </c:catAx>
      <c:valAx>
        <c:axId val="20978955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</a:t>
                </a:r>
                <a:r>
                  <a:rPr lang="en-US" b="1" baseline="0"/>
                  <a:t> in final energy use</a:t>
                </a:r>
                <a:endParaRPr lang="en-DK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00290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'B6. heat pumps'!$A$35</c:f>
              <c:strCache>
                <c:ptCount val="1"/>
                <c:pt idx="0">
                  <c:v>Historic</c:v>
                </c:pt>
              </c:strCache>
            </c:strRef>
          </c:tx>
          <c:spPr>
            <a:solidFill>
              <a:srgbClr val="2C2D2D"/>
            </a:solidFill>
            <a:ln w="19050">
              <a:noFill/>
            </a:ln>
            <a:effectLst/>
          </c:spPr>
          <c:invertIfNegative val="0"/>
          <c:cat>
            <c:numRef>
              <c:f>'B6. heat pumps'!$B$34:$AA$34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'B6. heat pumps'!$B$35:$AA$35</c:f>
              <c:numCache>
                <c:formatCode>General</c:formatCode>
                <c:ptCount val="26"/>
                <c:pt idx="0">
                  <c:v>1.1000000000000001</c:v>
                </c:pt>
                <c:pt idx="1">
                  <c:v>1.6</c:v>
                </c:pt>
                <c:pt idx="2">
                  <c:v>2.17</c:v>
                </c:pt>
                <c:pt idx="3">
                  <c:v>2.98</c:v>
                </c:pt>
                <c:pt idx="4">
                  <c:v>3.71</c:v>
                </c:pt>
                <c:pt idx="5">
                  <c:v>4.5</c:v>
                </c:pt>
                <c:pt idx="6">
                  <c:v>5.3</c:v>
                </c:pt>
                <c:pt idx="7">
                  <c:v>6.03</c:v>
                </c:pt>
                <c:pt idx="8">
                  <c:v>6.78</c:v>
                </c:pt>
                <c:pt idx="9">
                  <c:v>7.55</c:v>
                </c:pt>
                <c:pt idx="10">
                  <c:v>8.43</c:v>
                </c:pt>
                <c:pt idx="11">
                  <c:v>9.41</c:v>
                </c:pt>
                <c:pt idx="12">
                  <c:v>10.5</c:v>
                </c:pt>
                <c:pt idx="13">
                  <c:v>11.78</c:v>
                </c:pt>
                <c:pt idx="14">
                  <c:v>13.21</c:v>
                </c:pt>
                <c:pt idx="15">
                  <c:v>14.77</c:v>
                </c:pt>
                <c:pt idx="16">
                  <c:v>16.87</c:v>
                </c:pt>
                <c:pt idx="17">
                  <c:v>19.79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4A-440A-BB42-4DE327A388E4}"/>
            </c:ext>
          </c:extLst>
        </c:ser>
        <c:ser>
          <c:idx val="1"/>
          <c:order val="1"/>
          <c:tx>
            <c:strRef>
              <c:f>'B6. heat pumps'!$A$36</c:f>
              <c:strCache>
                <c:ptCount val="1"/>
                <c:pt idx="0">
                  <c:v>RePowerEU objectives</c:v>
                </c:pt>
              </c:strCache>
            </c:strRef>
          </c:tx>
          <c:spPr>
            <a:solidFill>
              <a:srgbClr val="F59E2D"/>
            </a:solidFill>
            <a:ln w="19050">
              <a:noFill/>
            </a:ln>
            <a:effectLst/>
          </c:spPr>
          <c:invertIfNegative val="0"/>
          <c:cat>
            <c:numRef>
              <c:f>'B6. heat pumps'!$B$34:$AA$34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'B6. heat pumps'!$B$36:$AA$36</c:f>
              <c:numCache>
                <c:formatCode>General</c:formatCode>
                <c:ptCount val="26"/>
                <c:pt idx="21">
                  <c:v>26.87</c:v>
                </c:pt>
                <c:pt idx="25">
                  <c:v>41.5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4A-440A-BB42-4DE327A388E4}"/>
            </c:ext>
          </c:extLst>
        </c:ser>
        <c:ser>
          <c:idx val="3"/>
          <c:order val="2"/>
          <c:tx>
            <c:strRef>
              <c:f>'B6. heat pumps'!$A$38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numRef>
              <c:f>'B6. heat pumps'!$B$34:$AA$34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'B6. heat pumps'!$B$38:$AA$38</c:f>
              <c:numCache>
                <c:formatCode>General</c:formatCode>
                <c:ptCount val="26"/>
                <c:pt idx="18">
                  <c:v>19.79</c:v>
                </c:pt>
                <c:pt idx="19">
                  <c:v>21.56</c:v>
                </c:pt>
                <c:pt idx="20">
                  <c:v>23.33</c:v>
                </c:pt>
                <c:pt idx="22">
                  <c:v>26.87</c:v>
                </c:pt>
                <c:pt idx="23">
                  <c:v>30.5275</c:v>
                </c:pt>
                <c:pt idx="24">
                  <c:v>34.185000000000002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4A-440A-BB42-4DE327A388E4}"/>
            </c:ext>
          </c:extLst>
        </c:ser>
        <c:ser>
          <c:idx val="2"/>
          <c:order val="3"/>
          <c:tx>
            <c:strRef>
              <c:f>'B6. heat pumps'!$A$37</c:f>
              <c:strCache>
                <c:ptCount val="1"/>
              </c:strCache>
            </c:strRef>
          </c:tx>
          <c:spPr>
            <a:pattFill prst="dkUpDiag">
              <a:fgClr>
                <a:srgbClr val="F59E2D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numRef>
              <c:f>'B6. heat pumps'!$B$34:$AA$34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'B6. heat pumps'!$B$37:$AA$37</c:f>
              <c:numCache>
                <c:formatCode>General</c:formatCode>
                <c:ptCount val="26"/>
                <c:pt idx="18">
                  <c:v>1.7700000000000005</c:v>
                </c:pt>
                <c:pt idx="19">
                  <c:v>1.7700000000000005</c:v>
                </c:pt>
                <c:pt idx="20">
                  <c:v>1.7700000000000005</c:v>
                </c:pt>
                <c:pt idx="22">
                  <c:v>3.6574999999999998</c:v>
                </c:pt>
                <c:pt idx="23">
                  <c:v>3.6574999999999998</c:v>
                </c:pt>
                <c:pt idx="24">
                  <c:v>3.6574999999999998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4A-440A-BB42-4DE327A38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2008304"/>
        <c:axId val="1392011632"/>
      </c:barChart>
      <c:catAx>
        <c:axId val="139200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392011632"/>
        <c:crosses val="autoZero"/>
        <c:auto val="1"/>
        <c:lblAlgn val="ctr"/>
        <c:lblOffset val="100"/>
        <c:noMultiLvlLbl val="0"/>
      </c:catAx>
      <c:valAx>
        <c:axId val="13920116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/>
                  <a:t>million units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392008304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'B6. heat pumps'!$A$28</c:f>
              <c:strCache>
                <c:ptCount val="1"/>
                <c:pt idx="0">
                  <c:v>Historic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'B6. heat pumps'!$B$26:$AA$26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'B6. heat pumps'!$B$28:$AA$28</c:f>
              <c:numCache>
                <c:formatCode>General</c:formatCode>
                <c:ptCount val="26"/>
                <c:pt idx="0">
                  <c:v>446.03699999999998</c:v>
                </c:pt>
                <c:pt idx="1">
                  <c:v>502.96499999999997</c:v>
                </c:pt>
                <c:pt idx="2">
                  <c:v>572.84</c:v>
                </c:pt>
                <c:pt idx="3">
                  <c:v>804.45699999999999</c:v>
                </c:pt>
                <c:pt idx="4">
                  <c:v>731.48199999999997</c:v>
                </c:pt>
                <c:pt idx="5">
                  <c:v>788.60500000000002</c:v>
                </c:pt>
                <c:pt idx="6">
                  <c:v>802.66</c:v>
                </c:pt>
                <c:pt idx="7">
                  <c:v>743.88</c:v>
                </c:pt>
                <c:pt idx="8">
                  <c:v>757.14200000000005</c:v>
                </c:pt>
                <c:pt idx="9">
                  <c:v>791.53800000000001</c:v>
                </c:pt>
                <c:pt idx="10">
                  <c:v>892.80899999999997</c:v>
                </c:pt>
                <c:pt idx="11">
                  <c:v>999.68200000000002</c:v>
                </c:pt>
                <c:pt idx="12">
                  <c:v>1120</c:v>
                </c:pt>
                <c:pt idx="13">
                  <c:v>1270</c:v>
                </c:pt>
                <c:pt idx="14">
                  <c:v>1510</c:v>
                </c:pt>
                <c:pt idx="15">
                  <c:v>1600</c:v>
                </c:pt>
                <c:pt idx="16">
                  <c:v>2160</c:v>
                </c:pt>
                <c:pt idx="17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6E-4825-98A0-8420E7AA3257}"/>
            </c:ext>
          </c:extLst>
        </c:ser>
        <c:ser>
          <c:idx val="2"/>
          <c:order val="1"/>
          <c:tx>
            <c:strRef>
              <c:f>'B6. heat pumps'!$A$29</c:f>
              <c:strCache>
                <c:ptCount val="1"/>
                <c:pt idx="0">
                  <c:v>Average required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'B6. heat pumps'!$B$26:$AA$26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'B6. heat pumps'!$B$29:$AA$29</c:f>
              <c:numCache>
                <c:formatCode>General</c:formatCode>
                <c:ptCount val="26"/>
                <c:pt idx="17">
                  <c:v>2000</c:v>
                </c:pt>
                <c:pt idx="18">
                  <c:v>2000</c:v>
                </c:pt>
                <c:pt idx="19">
                  <c:v>2000</c:v>
                </c:pt>
                <c:pt idx="20">
                  <c:v>2000</c:v>
                </c:pt>
                <c:pt idx="21">
                  <c:v>2000</c:v>
                </c:pt>
                <c:pt idx="22">
                  <c:v>3657.4999999999995</c:v>
                </c:pt>
                <c:pt idx="23">
                  <c:v>3657.4999999999995</c:v>
                </c:pt>
                <c:pt idx="24">
                  <c:v>3657.4999999999995</c:v>
                </c:pt>
                <c:pt idx="25">
                  <c:v>3657.4999999999995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6E-4825-98A0-8420E7AA3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9796240"/>
        <c:axId val="259776272"/>
      </c:barChart>
      <c:lineChart>
        <c:grouping val="standard"/>
        <c:varyColors val="0"/>
        <c:ser>
          <c:idx val="3"/>
          <c:order val="2"/>
          <c:tx>
            <c:strRef>
              <c:f>'B6. heat pumps'!$A$30</c:f>
              <c:strCache>
                <c:ptCount val="1"/>
                <c:pt idx="0">
                  <c:v>Average 2018-2022</c:v>
                </c:pt>
              </c:strCache>
            </c:strRef>
          </c:tx>
          <c:spPr>
            <a:ln w="19050" cap="rnd">
              <a:solidFill>
                <a:schemeClr val="accent5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'B6. heat pumps'!$B$26:$AA$26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'B6. heat pumps'!$B$30:$AA$30</c:f>
              <c:numCache>
                <c:formatCode>General</c:formatCode>
                <c:ptCount val="26"/>
                <c:pt idx="13">
                  <c:v>1908</c:v>
                </c:pt>
                <c:pt idx="14">
                  <c:v>1908</c:v>
                </c:pt>
                <c:pt idx="15">
                  <c:v>1908</c:v>
                </c:pt>
                <c:pt idx="16">
                  <c:v>1908</c:v>
                </c:pt>
                <c:pt idx="17">
                  <c:v>1908</c:v>
                </c:pt>
                <c:pt idx="18">
                  <c:v>1908</c:v>
                </c:pt>
                <c:pt idx="19">
                  <c:v>1908</c:v>
                </c:pt>
                <c:pt idx="20">
                  <c:v>1908</c:v>
                </c:pt>
                <c:pt idx="21">
                  <c:v>1908</c:v>
                </c:pt>
                <c:pt idx="22">
                  <c:v>1908</c:v>
                </c:pt>
                <c:pt idx="23">
                  <c:v>1908</c:v>
                </c:pt>
                <c:pt idx="24">
                  <c:v>1908</c:v>
                </c:pt>
                <c:pt idx="25">
                  <c:v>1908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6E-4825-98A0-8420E7AA3257}"/>
            </c:ext>
          </c:extLst>
        </c:ser>
        <c:ser>
          <c:idx val="4"/>
          <c:order val="3"/>
          <c:tx>
            <c:strRef>
              <c:f>'B6. heat pumps'!$A$31</c:f>
              <c:strCache>
                <c:ptCount val="1"/>
                <c:pt idx="0">
                  <c:v>2018-2022 extrapolated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'B6. heat pumps'!$B$26:$AA$26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'B6. heat pumps'!$B$31:$AA$31</c:f>
              <c:numCache>
                <c:formatCode>General</c:formatCode>
                <c:ptCount val="26"/>
                <c:pt idx="13">
                  <c:v>1086</c:v>
                </c:pt>
                <c:pt idx="14">
                  <c:v>1497</c:v>
                </c:pt>
                <c:pt idx="15">
                  <c:v>1908</c:v>
                </c:pt>
                <c:pt idx="16">
                  <c:v>2319</c:v>
                </c:pt>
                <c:pt idx="17">
                  <c:v>2730</c:v>
                </c:pt>
                <c:pt idx="18">
                  <c:v>3141</c:v>
                </c:pt>
                <c:pt idx="19">
                  <c:v>3552</c:v>
                </c:pt>
                <c:pt idx="20">
                  <c:v>3963</c:v>
                </c:pt>
                <c:pt idx="21">
                  <c:v>4374</c:v>
                </c:pt>
                <c:pt idx="22">
                  <c:v>4785</c:v>
                </c:pt>
                <c:pt idx="23">
                  <c:v>5196</c:v>
                </c:pt>
                <c:pt idx="24">
                  <c:v>5607</c:v>
                </c:pt>
                <c:pt idx="25">
                  <c:v>6018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16E-4825-98A0-8420E7AA3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796240"/>
        <c:axId val="259776272"/>
      </c:lineChart>
      <c:catAx>
        <c:axId val="25979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59776272"/>
        <c:crosses val="autoZero"/>
        <c:auto val="1"/>
        <c:lblAlgn val="ctr"/>
        <c:lblOffset val="100"/>
        <c:noMultiLvlLbl val="0"/>
      </c:catAx>
      <c:valAx>
        <c:axId val="2597762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thousand units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5979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'4 energy drivers'!$D$8</c:f>
              <c:strCache>
                <c:ptCount val="1"/>
                <c:pt idx="0">
                  <c:v>Final energy consumption per m2 (residential)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'4 energy drivers'!$E$4:$T$4</c:f>
              <c:numCache>
                <c:formatCode>General</c:formatCode>
                <c:ptCount val="1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</c:numCache>
            </c:numRef>
          </c:cat>
          <c:val>
            <c:numRef>
              <c:f>'4 energy drivers'!$E$8:$T$8</c:f>
              <c:numCache>
                <c:formatCode>General</c:formatCode>
                <c:ptCount val="16"/>
                <c:pt idx="0">
                  <c:v>3.0797356833302598</c:v>
                </c:pt>
                <c:pt idx="1">
                  <c:v>3.0542369200987762</c:v>
                </c:pt>
                <c:pt idx="2">
                  <c:v>2.8560063469545671</c:v>
                </c:pt>
                <c:pt idx="3">
                  <c:v>3.0146827537912273</c:v>
                </c:pt>
                <c:pt idx="4">
                  <c:v>2.9802358201305177</c:v>
                </c:pt>
                <c:pt idx="5">
                  <c:v>3.1133936287041375</c:v>
                </c:pt>
                <c:pt idx="6">
                  <c:v>2.7933315582445419</c:v>
                </c:pt>
                <c:pt idx="7">
                  <c:v>2.9112674671220264</c:v>
                </c:pt>
                <c:pt idx="8">
                  <c:v>2.9364650494769076</c:v>
                </c:pt>
                <c:pt idx="9">
                  <c:v>2.5790512249443207</c:v>
                </c:pt>
                <c:pt idx="10">
                  <c:v>2.6858665166695754</c:v>
                </c:pt>
                <c:pt idx="11">
                  <c:v>2.742134090273058</c:v>
                </c:pt>
                <c:pt idx="12">
                  <c:v>2.7401644395343285</c:v>
                </c:pt>
                <c:pt idx="13">
                  <c:v>2.7038347689419813</c:v>
                </c:pt>
                <c:pt idx="14">
                  <c:v>2.6821592603373454</c:v>
                </c:pt>
                <c:pt idx="15">
                  <c:v>2.6797482298801563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E2-455A-9191-FAEB43EA2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9397328"/>
        <c:axId val="775662512"/>
      </c:barChart>
      <c:lineChart>
        <c:grouping val="standard"/>
        <c:varyColors val="0"/>
        <c:ser>
          <c:idx val="0"/>
          <c:order val="0"/>
          <c:tx>
            <c:strRef>
              <c:f>'4 energy drivers'!$D$7</c:f>
              <c:strCache>
                <c:ptCount val="1"/>
                <c:pt idx="0">
                  <c:v>Floor area of dwellings (y-on-y)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'4 energy drivers'!$E$4:$T$4</c:f>
              <c:numCache>
                <c:formatCode>General</c:formatCode>
                <c:ptCount val="1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</c:numCache>
            </c:numRef>
          </c:cat>
          <c:val>
            <c:numRef>
              <c:f>'4 energy drivers'!$E$7:$T$7</c:f>
              <c:numCache>
                <c:formatCode>General</c:formatCode>
                <c:ptCount val="16"/>
                <c:pt idx="0">
                  <c:v>86.229900000000001</c:v>
                </c:pt>
                <c:pt idx="1">
                  <c:v>86.579400000000007</c:v>
                </c:pt>
                <c:pt idx="2">
                  <c:v>86.844800000000006</c:v>
                </c:pt>
                <c:pt idx="3">
                  <c:v>87.108999999999995</c:v>
                </c:pt>
                <c:pt idx="4">
                  <c:v>87.405600000000007</c:v>
                </c:pt>
                <c:pt idx="5">
                  <c:v>88.873599999999996</c:v>
                </c:pt>
                <c:pt idx="6">
                  <c:v>89.385199999999998</c:v>
                </c:pt>
                <c:pt idx="7">
                  <c:v>89.482399999999998</c:v>
                </c:pt>
                <c:pt idx="8">
                  <c:v>89.678200000000004</c:v>
                </c:pt>
                <c:pt idx="9">
                  <c:v>89.8</c:v>
                </c:pt>
                <c:pt idx="10">
                  <c:v>89.957300000000004</c:v>
                </c:pt>
                <c:pt idx="11">
                  <c:v>90.046800000000005</c:v>
                </c:pt>
                <c:pt idx="12">
                  <c:v>90.063500000000005</c:v>
                </c:pt>
                <c:pt idx="13">
                  <c:v>90.031499999999994</c:v>
                </c:pt>
                <c:pt idx="14">
                  <c:v>90.008600000000001</c:v>
                </c:pt>
                <c:pt idx="15">
                  <c:v>90.050399999999996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E2-455A-9191-FAEB43EA2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0913136"/>
        <c:axId val="457713567"/>
      </c:lineChart>
      <c:catAx>
        <c:axId val="76939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775662512"/>
        <c:crosses val="autoZero"/>
        <c:auto val="1"/>
        <c:lblAlgn val="ctr"/>
        <c:lblOffset val="100"/>
        <c:noMultiLvlLbl val="0"/>
      </c:catAx>
      <c:valAx>
        <c:axId val="77566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769397328"/>
        <c:crosses val="autoZero"/>
        <c:crossBetween val="between"/>
      </c:valAx>
      <c:valAx>
        <c:axId val="45771356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680913136"/>
        <c:crosses val="max"/>
        <c:crossBetween val="between"/>
      </c:valAx>
      <c:catAx>
        <c:axId val="680913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577135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'4 energy drivers'!$D$52</c:f>
              <c:strCache>
                <c:ptCount val="1"/>
                <c:pt idx="0">
                  <c:v>final energy consumption per square metre - climate corrected (services)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 energy drivers'!$E$46:$T$46</c:f>
              <c:numCache>
                <c:formatCode>General</c:formatCode>
                <c:ptCount val="1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</c:numCache>
            </c:numRef>
          </c:cat>
          <c:val>
            <c:numRef>
              <c:f>'4 energy drivers'!$E$52:$T$52</c:f>
              <c:numCache>
                <c:formatCode>_-* #,##0_-;\-* #,##0_-;_-* "-"??_-;_-@_-</c:formatCode>
                <c:ptCount val="16"/>
                <c:pt idx="0">
                  <c:v>284.00050074268199</c:v>
                </c:pt>
                <c:pt idx="1">
                  <c:v>299.25759822309919</c:v>
                </c:pt>
                <c:pt idx="2">
                  <c:v>281.72174149636203</c:v>
                </c:pt>
                <c:pt idx="3">
                  <c:v>290.56915029747796</c:v>
                </c:pt>
                <c:pt idx="4">
                  <c:v>286.29272452343491</c:v>
                </c:pt>
                <c:pt idx="5">
                  <c:v>287.43157673054776</c:v>
                </c:pt>
                <c:pt idx="6">
                  <c:v>273.80332584424599</c:v>
                </c:pt>
                <c:pt idx="7">
                  <c:v>271.10677718691363</c:v>
                </c:pt>
                <c:pt idx="8">
                  <c:v>272.31529824593008</c:v>
                </c:pt>
                <c:pt idx="9">
                  <c:v>257.06166714053899</c:v>
                </c:pt>
                <c:pt idx="10">
                  <c:v>264.0266035309362</c:v>
                </c:pt>
                <c:pt idx="11">
                  <c:v>261.50911462015995</c:v>
                </c:pt>
                <c:pt idx="12">
                  <c:v>263.22227156229525</c:v>
                </c:pt>
                <c:pt idx="13">
                  <c:v>257.37871105237127</c:v>
                </c:pt>
                <c:pt idx="14">
                  <c:v>251.81963039039226</c:v>
                </c:pt>
                <c:pt idx="15">
                  <c:v>261.17509752887781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10-4A54-B6B6-0AEDB1F868F9}"/>
            </c:ext>
          </c:extLst>
        </c:ser>
        <c:ser>
          <c:idx val="1"/>
          <c:order val="1"/>
          <c:tx>
            <c:strRef>
              <c:f>'4 energy drivers'!$D$53</c:f>
              <c:strCache>
                <c:ptCount val="1"/>
                <c:pt idx="0">
                  <c:v>final energy consumption per square metre - climate corrected (residential)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'4 energy drivers'!$E$46:$T$46</c:f>
              <c:numCache>
                <c:formatCode>General</c:formatCode>
                <c:ptCount val="1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</c:numCache>
            </c:numRef>
          </c:cat>
          <c:val>
            <c:numRef>
              <c:f>'4 energy drivers'!$E$53:$T$53</c:f>
              <c:numCache>
                <c:formatCode>_-* #,##0_-;\-* #,##0_-;_-* "-"??_-;_-@_-</c:formatCode>
                <c:ptCount val="16"/>
                <c:pt idx="0">
                  <c:v>204.817093</c:v>
                </c:pt>
                <c:pt idx="1">
                  <c:v>205.04620399999996</c:v>
                </c:pt>
                <c:pt idx="2">
                  <c:v>193.269666</c:v>
                </c:pt>
                <c:pt idx="3">
                  <c:v>200.331402</c:v>
                </c:pt>
                <c:pt idx="4">
                  <c:v>193.76394099999996</c:v>
                </c:pt>
                <c:pt idx="5">
                  <c:v>188.30365599999996</c:v>
                </c:pt>
                <c:pt idx="6">
                  <c:v>183.26670299999998</c:v>
                </c:pt>
                <c:pt idx="7">
                  <c:v>181.43381499999998</c:v>
                </c:pt>
                <c:pt idx="8">
                  <c:v>184.22850399999999</c:v>
                </c:pt>
                <c:pt idx="9">
                  <c:v>170.02013300000002</c:v>
                </c:pt>
                <c:pt idx="10">
                  <c:v>173.73475499999998</c:v>
                </c:pt>
                <c:pt idx="11">
                  <c:v>172.50313799999998</c:v>
                </c:pt>
                <c:pt idx="12">
                  <c:v>171.11684199999996</c:v>
                </c:pt>
                <c:pt idx="13">
                  <c:v>170.58884</c:v>
                </c:pt>
                <c:pt idx="14">
                  <c:v>168.86294800000002</c:v>
                </c:pt>
                <c:pt idx="15">
                  <c:v>171.64135499999998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10-4A54-B6B6-0AEDB1F86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8288864"/>
        <c:axId val="1889433632"/>
      </c:lineChart>
      <c:catAx>
        <c:axId val="13982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889433632"/>
        <c:crosses val="autoZero"/>
        <c:auto val="1"/>
        <c:lblAlgn val="ctr"/>
        <c:lblOffset val="100"/>
        <c:noMultiLvlLbl val="0"/>
      </c:catAx>
      <c:valAx>
        <c:axId val="18894336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/>
                  <a:t>kWh / m</a:t>
                </a:r>
                <a:r>
                  <a:rPr lang="en-US" sz="900" baseline="30000"/>
                  <a:t>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39828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'5 heating &amp; cooling'!$E$8</c:f>
              <c:strCache>
                <c:ptCount val="1"/>
                <c:pt idx="0">
                  <c:v>174,55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'5 heating &amp; cooling'!$F$4:$U$4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</c:numCache>
            </c:numRef>
          </c:cat>
          <c:val>
            <c:numRef>
              <c:f>'5 heating &amp; cooling'!$F$8:$U$8</c:f>
              <c:numCache>
                <c:formatCode>General</c:formatCode>
                <c:ptCount val="16"/>
                <c:pt idx="0">
                  <c:v>177.83359999999999</c:v>
                </c:pt>
                <c:pt idx="1">
                  <c:v>167.0463</c:v>
                </c:pt>
                <c:pt idx="2">
                  <c:v>176.24809999999999</c:v>
                </c:pt>
                <c:pt idx="3">
                  <c:v>171.24170000000001</c:v>
                </c:pt>
                <c:pt idx="4">
                  <c:v>166.10509999999999</c:v>
                </c:pt>
                <c:pt idx="5">
                  <c:v>165.25970000000001</c:v>
                </c:pt>
                <c:pt idx="6">
                  <c:v>162.23169999999999</c:v>
                </c:pt>
                <c:pt idx="7">
                  <c:v>170.60329999999999</c:v>
                </c:pt>
                <c:pt idx="8">
                  <c:v>158.86529999999999</c:v>
                </c:pt>
                <c:pt idx="9">
                  <c:v>164.60220000000001</c:v>
                </c:pt>
                <c:pt idx="10">
                  <c:v>162.15289999999999</c:v>
                </c:pt>
                <c:pt idx="11">
                  <c:v>160.25919999999999</c:v>
                </c:pt>
                <c:pt idx="12">
                  <c:v>161.6711</c:v>
                </c:pt>
                <c:pt idx="13">
                  <c:v>161.25030000000001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86-4943-A6FE-557FBE104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9397328"/>
        <c:axId val="775662512"/>
      </c:barChart>
      <c:lineChart>
        <c:grouping val="standard"/>
        <c:varyColors val="0"/>
        <c:ser>
          <c:idx val="0"/>
          <c:order val="0"/>
          <c:tx>
            <c:strRef>
              <c:f>'5 heating &amp; cooling'!$E$7</c:f>
              <c:strCache>
                <c:ptCount val="1"/>
                <c:pt idx="0">
                  <c:v>181,9487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'5 heating &amp; cooling'!$F$4:$U$4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</c:numCache>
            </c:numRef>
          </c:cat>
          <c:val>
            <c:numRef>
              <c:f>'5 heating &amp; cooling'!$F$7:$U$7</c:f>
              <c:numCache>
                <c:formatCode>General</c:formatCode>
                <c:ptCount val="16"/>
                <c:pt idx="0">
                  <c:v>178.834</c:v>
                </c:pt>
                <c:pt idx="1">
                  <c:v>163.14959999999999</c:v>
                </c:pt>
                <c:pt idx="2">
                  <c:v>174.74940000000001</c:v>
                </c:pt>
                <c:pt idx="3">
                  <c:v>173.65</c:v>
                </c:pt>
                <c:pt idx="4">
                  <c:v>187.17619999999999</c:v>
                </c:pt>
                <c:pt idx="5">
                  <c:v>160.54339999999999</c:v>
                </c:pt>
                <c:pt idx="6">
                  <c:v>170.4486</c:v>
                </c:pt>
                <c:pt idx="7">
                  <c:v>175.34880000000001</c:v>
                </c:pt>
                <c:pt idx="8">
                  <c:v>147.21270000000001</c:v>
                </c:pt>
                <c:pt idx="9">
                  <c:v>156.6705</c:v>
                </c:pt>
                <c:pt idx="10">
                  <c:v>160.61500000000001</c:v>
                </c:pt>
                <c:pt idx="11">
                  <c:v>159.2946</c:v>
                </c:pt>
                <c:pt idx="12">
                  <c:v>155.7637</c:v>
                </c:pt>
                <c:pt idx="13">
                  <c:v>153.86179999999999</c:v>
                </c:pt>
                <c:pt idx="14">
                  <c:v>152.17699999999999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86-4943-A6FE-557FBE104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0913136"/>
        <c:axId val="457713567"/>
      </c:lineChart>
      <c:catAx>
        <c:axId val="76939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775662512"/>
        <c:crosses val="autoZero"/>
        <c:auto val="1"/>
        <c:lblAlgn val="ctr"/>
        <c:lblOffset val="100"/>
        <c:noMultiLvlLbl val="0"/>
      </c:catAx>
      <c:valAx>
        <c:axId val="77566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769397328"/>
        <c:crosses val="autoZero"/>
        <c:crossBetween val="between"/>
      </c:valAx>
      <c:valAx>
        <c:axId val="45771356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680913136"/>
        <c:crosses val="max"/>
        <c:crossBetween val="between"/>
      </c:valAx>
      <c:catAx>
        <c:axId val="680913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577135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'5 heating &amp; cooling'!$D$10</c:f>
              <c:strCache>
                <c:ptCount val="1"/>
                <c:pt idx="0">
                  <c:v>Heating degree-days</c:v>
                </c:pt>
              </c:strCache>
            </c:strRef>
          </c:tx>
          <c:spPr>
            <a:ln w="12700" cap="rnd">
              <a:solidFill>
                <a:srgbClr val="B0454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'5 heating &amp; cooling'!$E$4:$T$4</c:f>
              <c:numCache>
                <c:formatCode>General</c:formatCode>
                <c:ptCount val="1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</c:numCache>
            </c:numRef>
          </c:cat>
          <c:val>
            <c:numRef>
              <c:f>'5 heating &amp; cooling'!$E$10:$T$10</c:f>
              <c:numCache>
                <c:formatCode>0%</c:formatCode>
                <c:ptCount val="16"/>
                <c:pt idx="0">
                  <c:v>1</c:v>
                </c:pt>
                <c:pt idx="1">
                  <c:v>0.96099036676096372</c:v>
                </c:pt>
                <c:pt idx="2">
                  <c:v>0.93026806076542512</c:v>
                </c:pt>
                <c:pt idx="3">
                  <c:v>0.94599840484528253</c:v>
                </c:pt>
                <c:pt idx="4">
                  <c:v>0.96994441882781057</c:v>
                </c:pt>
                <c:pt idx="5">
                  <c:v>1.0896308712286431</c:v>
                </c:pt>
                <c:pt idx="6">
                  <c:v>0.92473798337549706</c:v>
                </c:pt>
                <c:pt idx="7">
                  <c:v>1.0087671198733847</c:v>
                </c:pt>
                <c:pt idx="8">
                  <c:v>0.9845375920641054</c:v>
                </c:pt>
                <c:pt idx="9">
                  <c:v>0.87718866443178856</c:v>
                </c:pt>
                <c:pt idx="10">
                  <c:v>0.90388881273132871</c:v>
                </c:pt>
                <c:pt idx="11">
                  <c:v>0.9449578156350088</c:v>
                </c:pt>
                <c:pt idx="12">
                  <c:v>0.9486341487731017</c:v>
                </c:pt>
                <c:pt idx="13">
                  <c:v>0.91624814625574824</c:v>
                </c:pt>
                <c:pt idx="14">
                  <c:v>0.90639993519683959</c:v>
                </c:pt>
                <c:pt idx="15">
                  <c:v>0.85956095858828807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F9-47CA-B2F6-9C7AA3AE59BD}"/>
            </c:ext>
          </c:extLst>
        </c:ser>
        <c:ser>
          <c:idx val="1"/>
          <c:order val="1"/>
          <c:tx>
            <c:strRef>
              <c:f>'5 heating &amp; cooling'!$D$11</c:f>
              <c:strCache>
                <c:ptCount val="1"/>
                <c:pt idx="0">
                  <c:v>Cooling degree-days</c:v>
                </c:pt>
              </c:strCache>
            </c:strRef>
          </c:tx>
          <c:spPr>
            <a:ln w="12700" cap="rnd">
              <a:solidFill>
                <a:srgbClr val="648ECA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'5 heating &amp; cooling'!$E$4:$T$4</c:f>
              <c:numCache>
                <c:formatCode>General</c:formatCode>
                <c:ptCount val="1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</c:numCache>
            </c:numRef>
          </c:cat>
          <c:val>
            <c:numRef>
              <c:f>'5 heating &amp; cooling'!$E$11:$T$11</c:f>
              <c:numCache>
                <c:formatCode>0%</c:formatCode>
                <c:ptCount val="16"/>
                <c:pt idx="0">
                  <c:v>1</c:v>
                </c:pt>
                <c:pt idx="1">
                  <c:v>1.3405352662391972</c:v>
                </c:pt>
                <c:pt idx="2">
                  <c:v>1.0880959018678562</c:v>
                </c:pt>
                <c:pt idx="3">
                  <c:v>1.0245330359632006</c:v>
                </c:pt>
                <c:pt idx="4">
                  <c:v>1.1543072205185392</c:v>
                </c:pt>
                <c:pt idx="5">
                  <c:v>1.3483412322274884</c:v>
                </c:pt>
                <c:pt idx="6">
                  <c:v>1.0717870086423196</c:v>
                </c:pt>
                <c:pt idx="7">
                  <c:v>1.6003624198494566</c:v>
                </c:pt>
                <c:pt idx="8">
                  <c:v>1.1860886534708672</c:v>
                </c:pt>
                <c:pt idx="9">
                  <c:v>0.82185670476721506</c:v>
                </c:pt>
                <c:pt idx="10">
                  <c:v>1.6951491497072764</c:v>
                </c:pt>
                <c:pt idx="11">
                  <c:v>1.3031781432952327</c:v>
                </c:pt>
                <c:pt idx="12">
                  <c:v>1.5582659604126012</c:v>
                </c:pt>
                <c:pt idx="13">
                  <c:v>1.3639531642040703</c:v>
                </c:pt>
                <c:pt idx="14">
                  <c:v>1.5408419291887374</c:v>
                </c:pt>
                <c:pt idx="15">
                  <c:v>1.3734318371898524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F9-47CA-B2F6-9C7AA3AE59BD}"/>
            </c:ext>
          </c:extLst>
        </c:ser>
        <c:ser>
          <c:idx val="2"/>
          <c:order val="2"/>
          <c:tx>
            <c:strRef>
              <c:f>'5 heating &amp; cooling'!$D$12</c:f>
              <c:strCache>
                <c:ptCount val="1"/>
                <c:pt idx="0">
                  <c:v>Space heating</c:v>
                </c:pt>
              </c:strCache>
            </c:strRef>
          </c:tx>
          <c:spPr>
            <a:ln w="19050" cap="rnd">
              <a:solidFill>
                <a:srgbClr val="B04545"/>
              </a:solidFill>
              <a:round/>
            </a:ln>
            <a:effectLst/>
          </c:spPr>
          <c:marker>
            <c:symbol val="none"/>
          </c:marker>
          <c:cat>
            <c:numRef>
              <c:f>'5 heating &amp; cooling'!$E$4:$T$4</c:f>
              <c:numCache>
                <c:formatCode>General</c:formatCode>
                <c:ptCount val="1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</c:numCache>
            </c:numRef>
          </c:cat>
          <c:val>
            <c:numRef>
              <c:f>'5 heating &amp; cooling'!$E$12:$T$12</c:f>
              <c:numCache>
                <c:formatCode>0%</c:formatCode>
                <c:ptCount val="16"/>
                <c:pt idx="0">
                  <c:v>1</c:v>
                </c:pt>
                <c:pt idx="1">
                  <c:v>0.98288143855933019</c:v>
                </c:pt>
                <c:pt idx="2">
                  <c:v>0.89667911889450158</c:v>
                </c:pt>
                <c:pt idx="3">
                  <c:v>0.96043225370667673</c:v>
                </c:pt>
                <c:pt idx="4">
                  <c:v>0.95438989121659024</c:v>
                </c:pt>
                <c:pt idx="5">
                  <c:v>1.0287306257203266</c:v>
                </c:pt>
                <c:pt idx="6">
                  <c:v>0.88235530124699979</c:v>
                </c:pt>
                <c:pt idx="7">
                  <c:v>0.93679482183714424</c:v>
                </c:pt>
                <c:pt idx="8">
                  <c:v>0.96372658886818108</c:v>
                </c:pt>
                <c:pt idx="9">
                  <c:v>0.80908904542873905</c:v>
                </c:pt>
                <c:pt idx="10">
                  <c:v>0.86106963116526802</c:v>
                </c:pt>
                <c:pt idx="11">
                  <c:v>0.88274881876045286</c:v>
                </c:pt>
                <c:pt idx="12">
                  <c:v>0.87549182819113303</c:v>
                </c:pt>
                <c:pt idx="13">
                  <c:v>0.85608580880215135</c:v>
                </c:pt>
                <c:pt idx="14">
                  <c:v>0.84563286244969038</c:v>
                </c:pt>
                <c:pt idx="15">
                  <c:v>0.83637310956329991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F9-47CA-B2F6-9C7AA3AE59BD}"/>
            </c:ext>
          </c:extLst>
        </c:ser>
        <c:ser>
          <c:idx val="3"/>
          <c:order val="3"/>
          <c:tx>
            <c:strRef>
              <c:f>'5 heating &amp; cooling'!$D$13</c:f>
              <c:strCache>
                <c:ptCount val="1"/>
                <c:pt idx="0">
                  <c:v>Space heating (climate corrected)</c:v>
                </c:pt>
              </c:strCache>
            </c:strRef>
          </c:tx>
          <c:spPr>
            <a:ln w="19050" cap="rnd">
              <a:solidFill>
                <a:srgbClr val="F59E2D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'5 heating &amp; cooling'!$E$4:$T$4</c:f>
              <c:numCache>
                <c:formatCode>General</c:formatCode>
                <c:ptCount val="1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</c:numCache>
            </c:numRef>
          </c:cat>
          <c:val>
            <c:numRef>
              <c:f>'5 heating &amp; cooling'!$E$13:$T$13</c:f>
              <c:numCache>
                <c:formatCode>0%</c:formatCode>
                <c:ptCount val="16"/>
                <c:pt idx="0">
                  <c:v>1</c:v>
                </c:pt>
                <c:pt idx="1">
                  <c:v>1.0188118017759953</c:v>
                </c:pt>
                <c:pt idx="2">
                  <c:v>0.95701117158407323</c:v>
                </c:pt>
                <c:pt idx="3">
                  <c:v>1.0097284445717558</c:v>
                </c:pt>
                <c:pt idx="4">
                  <c:v>0.98104669149240908</c:v>
                </c:pt>
                <c:pt idx="5">
                  <c:v>0.95161902033801193</c:v>
                </c:pt>
                <c:pt idx="6">
                  <c:v>0.94677570896591234</c:v>
                </c:pt>
                <c:pt idx="7">
                  <c:v>0.92942824405614421</c:v>
                </c:pt>
                <c:pt idx="8">
                  <c:v>0.97738928673732439</c:v>
                </c:pt>
                <c:pt idx="9">
                  <c:v>0.91014207963334282</c:v>
                </c:pt>
                <c:pt idx="10">
                  <c:v>0.94300887997708394</c:v>
                </c:pt>
                <c:pt idx="11">
                  <c:v>0.92897679747923223</c:v>
                </c:pt>
                <c:pt idx="12">
                  <c:v>0.91812775708965899</c:v>
                </c:pt>
                <c:pt idx="13">
                  <c:v>0.92621655686049831</c:v>
                </c:pt>
                <c:pt idx="14">
                  <c:v>0.9238057863076482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F9-47CA-B2F6-9C7AA3AE59BD}"/>
            </c:ext>
          </c:extLst>
        </c:ser>
        <c:ser>
          <c:idx val="4"/>
          <c:order val="4"/>
          <c:tx>
            <c:strRef>
              <c:f>'5 heating &amp; cooling'!$D$14</c:f>
              <c:strCache>
                <c:ptCount val="1"/>
                <c:pt idx="0">
                  <c:v>Cooling (electricity)</c:v>
                </c:pt>
              </c:strCache>
            </c:strRef>
          </c:tx>
          <c:spPr>
            <a:ln w="19050" cap="rnd">
              <a:solidFill>
                <a:srgbClr val="648ECA"/>
              </a:solidFill>
              <a:round/>
            </a:ln>
            <a:effectLst/>
          </c:spPr>
          <c:marker>
            <c:symbol val="none"/>
          </c:marker>
          <c:cat>
            <c:numRef>
              <c:f>'5 heating &amp; cooling'!$E$4:$T$4</c:f>
              <c:numCache>
                <c:formatCode>General</c:formatCode>
                <c:ptCount val="1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</c:numCache>
            </c:numRef>
          </c:cat>
          <c:val>
            <c:numRef>
              <c:f>'5 heating &amp; cooling'!$E$14:$T$14</c:f>
              <c:numCache>
                <c:formatCode>0%</c:formatCode>
                <c:ptCount val="16"/>
                <c:pt idx="0">
                  <c:v>1</c:v>
                </c:pt>
                <c:pt idx="1">
                  <c:v>1.0774403470715834</c:v>
                </c:pt>
                <c:pt idx="2">
                  <c:v>1.1496746203904555</c:v>
                </c:pt>
                <c:pt idx="3">
                  <c:v>1.2867678958785247</c:v>
                </c:pt>
                <c:pt idx="4">
                  <c:v>1.3386117136659434</c:v>
                </c:pt>
                <c:pt idx="5">
                  <c:v>1.4796095444685466</c:v>
                </c:pt>
                <c:pt idx="6">
                  <c:v>1.5377440347071583</c:v>
                </c:pt>
                <c:pt idx="7">
                  <c:v>1.5787418655097614</c:v>
                </c:pt>
                <c:pt idx="8">
                  <c:v>1.5700650759219088</c:v>
                </c:pt>
                <c:pt idx="9">
                  <c:v>1.511930585683297</c:v>
                </c:pt>
                <c:pt idx="10">
                  <c:v>1.6147505422993491</c:v>
                </c:pt>
                <c:pt idx="11">
                  <c:v>1.6590021691973971</c:v>
                </c:pt>
                <c:pt idx="12">
                  <c:v>1.8947939262472886</c:v>
                </c:pt>
                <c:pt idx="13">
                  <c:v>1.9193058568329717</c:v>
                </c:pt>
                <c:pt idx="14">
                  <c:v>2.0785249457700652</c:v>
                </c:pt>
                <c:pt idx="15">
                  <c:v>2.215835140997831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BF9-47CA-B2F6-9C7AA3AE5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8288864"/>
        <c:axId val="1889433632"/>
      </c:lineChart>
      <c:catAx>
        <c:axId val="13982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889433632"/>
        <c:crosses val="autoZero"/>
        <c:auto val="1"/>
        <c:lblAlgn val="ctr"/>
        <c:lblOffset val="100"/>
        <c:noMultiLvlLbl val="0"/>
      </c:catAx>
      <c:valAx>
        <c:axId val="188943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39828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>
        <c:manualLayout>
          <c:layoutTarget val="inner"/>
          <c:xMode val="edge"/>
          <c:yMode val="edge"/>
          <c:x val="3.6070066390648386E-2"/>
          <c:y val="0.12652531685520621"/>
          <c:w val="0.95193896606101269"/>
          <c:h val="0.49456944356774202"/>
        </c:manualLayout>
      </c:layout>
      <c:lineChart>
        <c:grouping val="standard"/>
        <c:varyColors val="0"/>
        <c:ser>
          <c:idx val="0"/>
          <c:order val="0"/>
          <c:tx>
            <c:strRef>
              <c:f>'Energy balances (for buildings)'!$A$247</c:f>
              <c:strCache>
                <c:ptCount val="1"/>
                <c:pt idx="0">
                  <c:v>Historical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'Energy balances (for buildings)'!$B$246:$AA$246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'Energy balances (for buildings)'!$B$247:$AA$247</c:f>
              <c:numCache>
                <c:formatCode>0</c:formatCode>
                <c:ptCount val="26"/>
                <c:pt idx="0">
                  <c:v>3097.2599180800003</c:v>
                </c:pt>
                <c:pt idx="1">
                  <c:v>3086.5094600900002</c:v>
                </c:pt>
                <c:pt idx="2">
                  <c:v>2898.5779873500001</c:v>
                </c:pt>
                <c:pt idx="3">
                  <c:v>3073.35417396</c:v>
                </c:pt>
                <c:pt idx="4">
                  <c:v>3051.4933211099997</c:v>
                </c:pt>
                <c:pt idx="5">
                  <c:v>3243.9499803299996</c:v>
                </c:pt>
                <c:pt idx="6">
                  <c:v>2929.5322208999996</c:v>
                </c:pt>
                <c:pt idx="7">
                  <c:v>3058.83128124</c:v>
                </c:pt>
                <c:pt idx="8">
                  <c:v>3094.6418422600004</c:v>
                </c:pt>
                <c:pt idx="9">
                  <c:v>2728.8300196099999</c:v>
                </c:pt>
                <c:pt idx="10">
                  <c:v>2849.6755818500001</c:v>
                </c:pt>
                <c:pt idx="11">
                  <c:v>2917.69635827</c:v>
                </c:pt>
                <c:pt idx="12">
                  <c:v>2927.4231669199999</c:v>
                </c:pt>
                <c:pt idx="13">
                  <c:v>2904.55906375</c:v>
                </c:pt>
                <c:pt idx="14">
                  <c:v>2886.4398842799997</c:v>
                </c:pt>
                <c:pt idx="15">
                  <c:v>2885.7265000799998</c:v>
                </c:pt>
                <c:pt idx="16">
                  <c:v>3044.8816195899999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3D-4858-98A3-F8EE81D058A4}"/>
            </c:ext>
          </c:extLst>
        </c:ser>
        <c:ser>
          <c:idx val="1"/>
          <c:order val="1"/>
          <c:tx>
            <c:strRef>
              <c:f>'Energy balances (for buildings)'!$A$248</c:f>
              <c:strCache>
                <c:ptCount val="1"/>
                <c:pt idx="0">
                  <c:v>Extrapolated (2011-2021 trend)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'Energy balances (for buildings)'!$B$246:$AA$246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'Energy balances (for buildings)'!$B$248:$AA$248</c:f>
              <c:numCache>
                <c:formatCode>General</c:formatCode>
                <c:ptCount val="26"/>
                <c:pt idx="16" formatCode="0">
                  <c:v>3044.8816195899999</c:v>
                </c:pt>
                <c:pt idx="17">
                  <c:v>2912.8721945165444</c:v>
                </c:pt>
                <c:pt idx="18">
                  <c:v>2910.0442642276357</c:v>
                </c:pt>
                <c:pt idx="19">
                  <c:v>2907.2163339387262</c:v>
                </c:pt>
                <c:pt idx="20">
                  <c:v>2904.3884036498175</c:v>
                </c:pt>
                <c:pt idx="21">
                  <c:v>2901.560473360908</c:v>
                </c:pt>
                <c:pt idx="22">
                  <c:v>2898.7325430719993</c:v>
                </c:pt>
                <c:pt idx="23">
                  <c:v>2895.9046127830898</c:v>
                </c:pt>
                <c:pt idx="24">
                  <c:v>2893.0766824941811</c:v>
                </c:pt>
                <c:pt idx="25">
                  <c:v>2890.2487522052716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3D-4858-98A3-F8EE81D058A4}"/>
            </c:ext>
          </c:extLst>
        </c:ser>
        <c:ser>
          <c:idx val="2"/>
          <c:order val="2"/>
          <c:tx>
            <c:strRef>
              <c:f>'Energy balances (for buildings)'!$A$249</c:f>
              <c:strCache>
                <c:ptCount val="1"/>
                <c:pt idx="0">
                  <c:v>CTP-MIX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numRef>
              <c:f>'Energy balances (for buildings)'!$B$246:$AA$246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'Energy balances (for buildings)'!$B$249:$AA$249</c:f>
              <c:numCache>
                <c:formatCode>General</c:formatCode>
                <c:ptCount val="26"/>
                <c:pt idx="15">
                  <c:v>2919.4997456443043</c:v>
                </c:pt>
                <c:pt idx="20">
                  <c:v>2615.1741414239868</c:v>
                </c:pt>
                <c:pt idx="25">
                  <c:v>2326.9800431577414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3D-4858-98A3-F8EE81D058A4}"/>
            </c:ext>
          </c:extLst>
        </c:ser>
        <c:ser>
          <c:idx val="3"/>
          <c:order val="3"/>
          <c:tx>
            <c:strRef>
              <c:f>'Energy balances (for buildings)'!$A$250</c:f>
              <c:strCache>
                <c:ptCount val="1"/>
                <c:pt idx="0">
                  <c:v>CTP-REG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cat>
            <c:numRef>
              <c:f>'Energy balances (for buildings)'!$B$246:$AA$246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'Energy balances (for buildings)'!$B$250:$AA$250</c:f>
              <c:numCache>
                <c:formatCode>General</c:formatCode>
                <c:ptCount val="26"/>
                <c:pt idx="15">
                  <c:v>2919.500135664267</c:v>
                </c:pt>
                <c:pt idx="20">
                  <c:v>2588.8765398757687</c:v>
                </c:pt>
                <c:pt idx="25">
                  <c:v>2297.4499268161885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3D-4858-98A3-F8EE81D058A4}"/>
            </c:ext>
          </c:extLst>
        </c:ser>
        <c:ser>
          <c:idx val="4"/>
          <c:order val="4"/>
          <c:tx>
            <c:strRef>
              <c:f>'Energy balances (for buildings)'!$A$251</c:f>
              <c:strCache>
                <c:ptCount val="1"/>
                <c:pt idx="0">
                  <c:v>CTP-MIXCP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cat>
            <c:numRef>
              <c:f>'Energy balances (for buildings)'!$B$246:$AA$246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'Energy balances (for buildings)'!$B$251:$AA$251</c:f>
              <c:numCache>
                <c:formatCode>General</c:formatCode>
                <c:ptCount val="26"/>
                <c:pt idx="15">
                  <c:v>2919.5113855486811</c:v>
                </c:pt>
                <c:pt idx="20">
                  <c:v>2632.5210342882378</c:v>
                </c:pt>
                <c:pt idx="25">
                  <c:v>2413.6977783818857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3D-4858-98A3-F8EE81D058A4}"/>
            </c:ext>
          </c:extLst>
        </c:ser>
        <c:ser>
          <c:idx val="5"/>
          <c:order val="5"/>
          <c:tx>
            <c:strRef>
              <c:f>'Energy balances (for buildings)'!$A$252</c:f>
              <c:strCache>
                <c:ptCount val="1"/>
                <c:pt idx="0">
                  <c:v>RePowerEU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cat>
            <c:numRef>
              <c:f>'Energy balances (for buildings)'!$B$246:$AA$246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'Energy balances (for buildings)'!$B$252:$AA$252</c:f>
              <c:numCache>
                <c:formatCode>General</c:formatCode>
                <c:ptCount val="26"/>
                <c:pt idx="25">
                  <c:v>2023.62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B3D-4858-98A3-F8EE81D05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2083760"/>
        <c:axId val="642077520"/>
      </c:lineChart>
      <c:catAx>
        <c:axId val="64208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642077520"/>
        <c:crosses val="autoZero"/>
        <c:auto val="1"/>
        <c:lblAlgn val="ctr"/>
        <c:lblOffset val="100"/>
        <c:noMultiLvlLbl val="0"/>
      </c:catAx>
      <c:valAx>
        <c:axId val="64207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64208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574970069789662"/>
          <c:y val="0.80939290851389301"/>
          <c:w val="0.63656228549323834"/>
          <c:h val="5.74756971188400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780831340019915E-2"/>
          <c:y val="8.9996958342281261E-2"/>
          <c:w val="0.60607106481481476"/>
          <c:h val="0.8190900902294386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'7 energy mix'!$A$80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AFABAB"/>
            </a:solidFill>
            <a:ln>
              <a:noFill/>
            </a:ln>
            <a:effectLst/>
          </c:spPr>
          <c:invertIfNegative val="0"/>
          <c:dLbls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01A-41B9-A02D-0D6EF1569FD5}"/>
                </c:ext>
              </c:extLst>
            </c:dLbl>
            <c:spPr>
              <a:solidFill>
                <a:srgbClr val="AFABAB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 energy mix'!$D$79:$AC$79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'7 energy mix'!$D$80:$AC$80</c:f>
              <c:numCache>
                <c:formatCode>0%</c:formatCode>
                <c:ptCount val="26"/>
                <c:pt idx="0">
                  <c:v>0.33390175617262735</c:v>
                </c:pt>
                <c:pt idx="1">
                  <c:v>0.32832489631198175</c:v>
                </c:pt>
                <c:pt idx="2">
                  <c:v>0.32147210372693857</c:v>
                </c:pt>
                <c:pt idx="3">
                  <c:v>0.31763544489965623</c:v>
                </c:pt>
                <c:pt idx="4">
                  <c:v>0.32293027842235206</c:v>
                </c:pt>
                <c:pt idx="5">
                  <c:v>0.33047904927342375</c:v>
                </c:pt>
                <c:pt idx="6">
                  <c:v>0.32065507760532858</c:v>
                </c:pt>
                <c:pt idx="7">
                  <c:v>0.32341753279015845</c:v>
                </c:pt>
                <c:pt idx="8">
                  <c:v>0.32510787594252138</c:v>
                </c:pt>
                <c:pt idx="9">
                  <c:v>0.30225770687537384</c:v>
                </c:pt>
                <c:pt idx="10">
                  <c:v>0.31357190838540711</c:v>
                </c:pt>
                <c:pt idx="11">
                  <c:v>0.3258081023529289</c:v>
                </c:pt>
                <c:pt idx="12">
                  <c:v>0.32342460195672623</c:v>
                </c:pt>
                <c:pt idx="13">
                  <c:v>0.32222141896528339</c:v>
                </c:pt>
                <c:pt idx="14">
                  <c:v>0.32081765087270775</c:v>
                </c:pt>
                <c:pt idx="15">
                  <c:v>0.31677195756238791</c:v>
                </c:pt>
                <c:pt idx="16">
                  <c:v>0.33500952148259672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1A-41B9-A02D-0D6EF1569FD5}"/>
            </c:ext>
          </c:extLst>
        </c:ser>
        <c:ser>
          <c:idx val="1"/>
          <c:order val="1"/>
          <c:tx>
            <c:strRef>
              <c:f>'7 energy mix'!$A$81</c:f>
              <c:strCache>
                <c:ptCount val="1"/>
                <c:pt idx="0">
                  <c:v>Other fossil fuels</c:v>
                </c:pt>
              </c:strCache>
            </c:strRef>
          </c:tx>
          <c:spPr>
            <a:solidFill>
              <a:srgbClr val="2C2D2D"/>
            </a:solidFill>
            <a:ln>
              <a:noFill/>
            </a:ln>
            <a:effectLst/>
          </c:spPr>
          <c:invertIfNegative val="0"/>
          <c:dLbls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01A-41B9-A02D-0D6EF1569FD5}"/>
                </c:ext>
              </c:extLst>
            </c:dLbl>
            <c:spPr>
              <a:solidFill>
                <a:schemeClr val="tx1">
                  <a:lumMod val="85000"/>
                  <a:lumOff val="1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 energy mix'!$D$79:$AC$79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'7 energy mix'!$D$81:$AC$81</c:f>
              <c:numCache>
                <c:formatCode>0%</c:formatCode>
                <c:ptCount val="26"/>
                <c:pt idx="0">
                  <c:v>0.23222172680485456</c:v>
                </c:pt>
                <c:pt idx="1">
                  <c:v>0.22893856693359868</c:v>
                </c:pt>
                <c:pt idx="2">
                  <c:v>0.19595227908263857</c:v>
                </c:pt>
                <c:pt idx="3">
                  <c:v>0.20878328451263989</c:v>
                </c:pt>
                <c:pt idx="4">
                  <c:v>0.19588070177147643</c:v>
                </c:pt>
                <c:pt idx="5">
                  <c:v>0.18821974260154517</c:v>
                </c:pt>
                <c:pt idx="6">
                  <c:v>0.18299134681144003</c:v>
                </c:pt>
                <c:pt idx="7">
                  <c:v>0.17399754478260829</c:v>
                </c:pt>
                <c:pt idx="8">
                  <c:v>0.17142142436508501</c:v>
                </c:pt>
                <c:pt idx="9">
                  <c:v>0.17058623287812139</c:v>
                </c:pt>
                <c:pt idx="10">
                  <c:v>0.16633081048555287</c:v>
                </c:pt>
                <c:pt idx="11">
                  <c:v>0.15861989335806431</c:v>
                </c:pt>
                <c:pt idx="12">
                  <c:v>0.15548941031607241</c:v>
                </c:pt>
                <c:pt idx="13">
                  <c:v>0.1475608217712216</c:v>
                </c:pt>
                <c:pt idx="14">
                  <c:v>0.14443598817024866</c:v>
                </c:pt>
                <c:pt idx="15">
                  <c:v>0.15067061243951788</c:v>
                </c:pt>
                <c:pt idx="16">
                  <c:v>0.12080747360862294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1A-41B9-A02D-0D6EF1569FD5}"/>
            </c:ext>
          </c:extLst>
        </c:ser>
        <c:ser>
          <c:idx val="2"/>
          <c:order val="2"/>
          <c:tx>
            <c:strRef>
              <c:f>'7 energy mix'!$A$82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648ECA"/>
            </a:solidFill>
            <a:ln>
              <a:noFill/>
            </a:ln>
            <a:effectLst/>
          </c:spPr>
          <c:invertIfNegative val="0"/>
          <c:dLbls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01A-41B9-A02D-0D6EF1569FD5}"/>
                </c:ext>
              </c:extLst>
            </c:dLbl>
            <c:spPr>
              <a:solidFill>
                <a:srgbClr val="648ECA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 energy mix'!$D$79:$AC$79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'7 energy mix'!$D$82:$AC$82</c:f>
              <c:numCache>
                <c:formatCode>0%</c:formatCode>
                <c:ptCount val="26"/>
                <c:pt idx="0">
                  <c:v>0.21604349391664984</c:v>
                </c:pt>
                <c:pt idx="1">
                  <c:v>0.22206552741296767</c:v>
                </c:pt>
                <c:pt idx="2">
                  <c:v>0.23486467844958395</c:v>
                </c:pt>
                <c:pt idx="3">
                  <c:v>0.22649044112058775</c:v>
                </c:pt>
                <c:pt idx="4">
                  <c:v>0.22925666049156718</c:v>
                </c:pt>
                <c:pt idx="5">
                  <c:v>0.22506151922099912</c:v>
                </c:pt>
                <c:pt idx="6">
                  <c:v>0.24028410632184286</c:v>
                </c:pt>
                <c:pt idx="7">
                  <c:v>0.23501990866216568</c:v>
                </c:pt>
                <c:pt idx="8">
                  <c:v>0.23129176541065591</c:v>
                </c:pt>
                <c:pt idx="9">
                  <c:v>0.24982503729471275</c:v>
                </c:pt>
                <c:pt idx="10">
                  <c:v>0.24278049942823882</c:v>
                </c:pt>
                <c:pt idx="11">
                  <c:v>0.24121182638665542</c:v>
                </c:pt>
                <c:pt idx="12">
                  <c:v>0.24202950054038508</c:v>
                </c:pt>
                <c:pt idx="13">
                  <c:v>0.24304420321154849</c:v>
                </c:pt>
                <c:pt idx="14">
                  <c:v>0.24385681862748268</c:v>
                </c:pt>
                <c:pt idx="15">
                  <c:v>0.24693556324213164</c:v>
                </c:pt>
                <c:pt idx="16">
                  <c:v>0.24546312580803711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01A-41B9-A02D-0D6EF1569FD5}"/>
            </c:ext>
          </c:extLst>
        </c:ser>
        <c:ser>
          <c:idx val="3"/>
          <c:order val="3"/>
          <c:tx>
            <c:strRef>
              <c:f>'7 energy mix'!$A$83</c:f>
              <c:strCache>
                <c:ptCount val="1"/>
                <c:pt idx="0">
                  <c:v>District heating</c:v>
                </c:pt>
              </c:strCache>
            </c:strRef>
          </c:tx>
          <c:spPr>
            <a:solidFill>
              <a:srgbClr val="F59E2D"/>
            </a:solidFill>
            <a:ln>
              <a:noFill/>
            </a:ln>
            <a:effectLst/>
          </c:spPr>
          <c:invertIfNegative val="0"/>
          <c:dLbls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01A-41B9-A02D-0D6EF1569FD5}"/>
                </c:ext>
              </c:extLst>
            </c:dLbl>
            <c:spPr>
              <a:solidFill>
                <a:srgbClr val="F59E2D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 energy mix'!$D$79:$AC$79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'7 energy mix'!$D$83:$AC$83</c:f>
              <c:numCache>
                <c:formatCode>0%</c:formatCode>
                <c:ptCount val="26"/>
                <c:pt idx="0">
                  <c:v>8.3562772187501938E-2</c:v>
                </c:pt>
                <c:pt idx="1">
                  <c:v>8.0309272874469706E-2</c:v>
                </c:pt>
                <c:pt idx="2">
                  <c:v>8.690500644086456E-2</c:v>
                </c:pt>
                <c:pt idx="3">
                  <c:v>8.1030468935221797E-2</c:v>
                </c:pt>
                <c:pt idx="4">
                  <c:v>8.1409252050938699E-2</c:v>
                </c:pt>
                <c:pt idx="5">
                  <c:v>8.4885950621836542E-2</c:v>
                </c:pt>
                <c:pt idx="6">
                  <c:v>8.4430525121178754E-2</c:v>
                </c:pt>
                <c:pt idx="7">
                  <c:v>8.1819562950377497E-2</c:v>
                </c:pt>
                <c:pt idx="8">
                  <c:v>8.5019832779051147E-2</c:v>
                </c:pt>
                <c:pt idx="9">
                  <c:v>8.6032758487299535E-2</c:v>
                </c:pt>
                <c:pt idx="10">
                  <c:v>8.6048894127383285E-2</c:v>
                </c:pt>
                <c:pt idx="11">
                  <c:v>8.8077451775130558E-2</c:v>
                </c:pt>
                <c:pt idx="12">
                  <c:v>8.8001110820286152E-2</c:v>
                </c:pt>
                <c:pt idx="13">
                  <c:v>8.4498041769249591E-2</c:v>
                </c:pt>
                <c:pt idx="14">
                  <c:v>8.404016249606007E-2</c:v>
                </c:pt>
                <c:pt idx="15">
                  <c:v>8.2273726215363135E-2</c:v>
                </c:pt>
                <c:pt idx="16">
                  <c:v>8.6322220443299902E-2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01A-41B9-A02D-0D6EF1569FD5}"/>
            </c:ext>
          </c:extLst>
        </c:ser>
        <c:ser>
          <c:idx val="4"/>
          <c:order val="4"/>
          <c:tx>
            <c:strRef>
              <c:f>'7 energy mix'!$A$84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64786A"/>
            </a:solidFill>
            <a:ln>
              <a:noFill/>
            </a:ln>
            <a:effectLst/>
          </c:spPr>
          <c:invertIfNegative val="0"/>
          <c:dLbls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01A-41B9-A02D-0D6EF1569FD5}"/>
                </c:ext>
              </c:extLst>
            </c:dLbl>
            <c:spPr>
              <a:solidFill>
                <a:srgbClr val="64786A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 energy mix'!$D$79:$AC$79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'7 energy mix'!$D$84:$AC$84</c:f>
              <c:numCache>
                <c:formatCode>0%</c:formatCode>
                <c:ptCount val="26"/>
                <c:pt idx="0">
                  <c:v>0.13012534308061577</c:v>
                </c:pt>
                <c:pt idx="1">
                  <c:v>0.1351294582709098</c:v>
                </c:pt>
                <c:pt idx="2">
                  <c:v>0.15386200803509667</c:v>
                </c:pt>
                <c:pt idx="3">
                  <c:v>0.15775224129645335</c:v>
                </c:pt>
                <c:pt idx="4">
                  <c:v>0.16011629827269977</c:v>
                </c:pt>
                <c:pt idx="5">
                  <c:v>0.15956979966668353</c:v>
                </c:pt>
                <c:pt idx="6">
                  <c:v>0.15867276223614787</c:v>
                </c:pt>
                <c:pt idx="7">
                  <c:v>0.17160029809725749</c:v>
                </c:pt>
                <c:pt idx="8">
                  <c:v>0.17161412138153989</c:v>
                </c:pt>
                <c:pt idx="9">
                  <c:v>0.17214650159379918</c:v>
                </c:pt>
                <c:pt idx="10">
                  <c:v>0.17079724298441901</c:v>
                </c:pt>
                <c:pt idx="11">
                  <c:v>0.1642218637185755</c:v>
                </c:pt>
                <c:pt idx="12">
                  <c:v>0.16502034514820849</c:v>
                </c:pt>
                <c:pt idx="13">
                  <c:v>0.17420949290207044</c:v>
                </c:pt>
                <c:pt idx="14">
                  <c:v>0.17556495498135302</c:v>
                </c:pt>
                <c:pt idx="15">
                  <c:v>0.16969261922653603</c:v>
                </c:pt>
                <c:pt idx="16">
                  <c:v>0.17484866938823321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01A-41B9-A02D-0D6EF1569FD5}"/>
            </c:ext>
          </c:extLst>
        </c:ser>
        <c:ser>
          <c:idx val="5"/>
          <c:order val="5"/>
          <c:tx>
            <c:strRef>
              <c:f>'7 energy mix'!$A$85</c:f>
              <c:strCache>
                <c:ptCount val="1"/>
                <c:pt idx="0">
                  <c:v>Other renewables</c:v>
                </c:pt>
              </c:strCache>
            </c:strRef>
          </c:tx>
          <c:spPr>
            <a:solidFill>
              <a:srgbClr val="B497C7"/>
            </a:solidFill>
            <a:ln>
              <a:noFill/>
            </a:ln>
            <a:effectLst/>
          </c:spPr>
          <c:invertIfNegative val="0"/>
          <c:dLbls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01A-41B9-A02D-0D6EF1569FD5}"/>
                </c:ext>
              </c:extLst>
            </c:dLbl>
            <c:spPr>
              <a:solidFill>
                <a:srgbClr val="B497C7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 energy mix'!$D$79:$AC$79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'7 energy mix'!$D$85:$AC$85</c:f>
              <c:numCache>
                <c:formatCode>0%</c:formatCode>
                <c:ptCount val="26"/>
                <c:pt idx="0">
                  <c:v>4.1448853081591476E-3</c:v>
                </c:pt>
                <c:pt idx="1">
                  <c:v>5.2322895001038145E-3</c:v>
                </c:pt>
                <c:pt idx="2">
                  <c:v>6.9439483387512589E-3</c:v>
                </c:pt>
                <c:pt idx="3">
                  <c:v>8.3081116671626168E-3</c:v>
                </c:pt>
                <c:pt idx="4">
                  <c:v>1.0406835669706927E-2</c:v>
                </c:pt>
                <c:pt idx="5">
                  <c:v>1.1783906349293128E-2</c:v>
                </c:pt>
                <c:pt idx="6">
                  <c:v>1.2966189843896112E-2</c:v>
                </c:pt>
                <c:pt idx="7">
                  <c:v>1.4145156519538406E-2</c:v>
                </c:pt>
                <c:pt idx="8">
                  <c:v>1.5544991395472219E-2</c:v>
                </c:pt>
                <c:pt idx="9">
                  <c:v>1.9151762870693277E-2</c:v>
                </c:pt>
                <c:pt idx="10">
                  <c:v>2.0470632345499954E-2</c:v>
                </c:pt>
                <c:pt idx="11">
                  <c:v>2.2060858422623966E-2</c:v>
                </c:pt>
                <c:pt idx="12">
                  <c:v>2.6034995463326809E-2</c:v>
                </c:pt>
                <c:pt idx="13">
                  <c:v>2.8465993352275828E-2</c:v>
                </c:pt>
                <c:pt idx="14">
                  <c:v>3.1284392618668645E-2</c:v>
                </c:pt>
                <c:pt idx="15">
                  <c:v>3.3655501163158588E-2</c:v>
                </c:pt>
                <c:pt idx="16">
                  <c:v>3.7548981630161071E-2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01A-41B9-A02D-0D6EF1569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28857056"/>
        <c:axId val="228857888"/>
        <c:extLst>
          <c:ext xmlns:c15="http://schemas.microsoft.com/office/drawing/2012/chart" uri="{02D57815-91ED-43cb-92C2-25804820EDAC}">
            <c15:filteredBarSeries>
              <c15:ser>
                <c:idx val="12"/>
                <c:order val="12"/>
                <c:tx>
                  <c:strRef>
                    <c:extLst>
                      <c:ext uri="{02D57815-91ED-43cb-92C2-25804820EDAC}">
                        <c15:formulaRef>
                          <c15:sqref>'7 energy mix'!$A$92</c15:sqref>
                        </c15:formulaRef>
                      </c:ext>
                    </c:extLst>
                    <c:strCache>
                      <c:ptCount val="1"/>
                      <c:pt idx="0">
                        <c:v>Natural gas - CTP</c:v>
                      </c:pt>
                    </c:strCache>
                  </c:strRef>
                </c:tx>
                <c:spPr>
                  <a:solidFill>
                    <a:srgbClr val="AFABAB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'7 energy mix'!$D$79:$AC$79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'7 energy mix'!$D$92:$AC$92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5" formatCode="0%">
                        <c:v>0.20635718185921753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D-901A-41B9-A02D-0D6EF1569FD5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mix'!$A$93</c15:sqref>
                        </c15:formulaRef>
                      </c:ext>
                    </c:extLst>
                    <c:strCache>
                      <c:ptCount val="1"/>
                      <c:pt idx="0">
                        <c:v>Other fossils - CTP</c:v>
                      </c:pt>
                    </c:strCache>
                  </c:strRef>
                </c:tx>
                <c:spPr>
                  <a:solidFill>
                    <a:srgbClr val="2C2D2D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mix'!$D$79:$AC$79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mix'!$D$93:$AC$93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5" formatCode="0%">
                        <c:v>2.912708708360244E-2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901A-41B9-A02D-0D6EF1569FD5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mix'!$A$94</c15:sqref>
                        </c15:formulaRef>
                      </c:ext>
                    </c:extLst>
                    <c:strCache>
                      <c:ptCount val="1"/>
                      <c:pt idx="0">
                        <c:v>Electricity - CTP</c:v>
                      </c:pt>
                    </c:strCache>
                  </c:strRef>
                </c:tx>
                <c:spPr>
                  <a:solidFill>
                    <a:srgbClr val="648ECA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mix'!$D$79:$AC$79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mix'!$D$94:$AC$94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5" formatCode="0%">
                        <c:v>0.37153767983083602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901A-41B9-A02D-0D6EF1569FD5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mix'!$A$95</c15:sqref>
                        </c15:formulaRef>
                      </c:ext>
                    </c:extLst>
                    <c:strCache>
                      <c:ptCount val="1"/>
                      <c:pt idx="0">
                        <c:v>District heating - CTP</c:v>
                      </c:pt>
                    </c:strCache>
                  </c:strRef>
                </c:tx>
                <c:spPr>
                  <a:solidFill>
                    <a:srgbClr val="F59E2D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mix'!$D$79:$AC$79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mix'!$D$95:$AC$95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5" formatCode="0%">
                        <c:v>9.6117536108980148E-2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901A-41B9-A02D-0D6EF1569FD5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mix'!$A$96</c15:sqref>
                        </c15:formulaRef>
                      </c:ext>
                    </c:extLst>
                    <c:strCache>
                      <c:ptCount val="1"/>
                      <c:pt idx="0">
                        <c:v>Biomass - CTP</c:v>
                      </c:pt>
                    </c:strCache>
                  </c:strRef>
                </c:tx>
                <c:spPr>
                  <a:solidFill>
                    <a:srgbClr val="2E422F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mix'!$D$79:$AC$79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mix'!$D$96:$AC$96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5" formatCode="0%">
                        <c:v>0.17125294491994233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901A-41B9-A02D-0D6EF1569FD5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mix'!$A$97</c15:sqref>
                        </c15:formulaRef>
                      </c:ext>
                    </c:extLst>
                    <c:strCache>
                      <c:ptCount val="1"/>
                      <c:pt idx="0">
                        <c:v>Other renewables - CTP</c:v>
                      </c:pt>
                    </c:strCache>
                  </c:strRef>
                </c:tx>
                <c:spPr>
                  <a:solidFill>
                    <a:srgbClr val="B497C7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mix'!$D$79:$AC$79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mix'!$D$97:$AC$97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5" formatCode="0%">
                        <c:v>0.12656453466966194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901A-41B9-A02D-0D6EF1569FD5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6"/>
          <c:order val="6"/>
          <c:tx>
            <c:strRef>
              <c:f>'7 energy mix'!$A$86</c:f>
              <c:strCache>
                <c:ptCount val="1"/>
                <c:pt idx="0">
                  <c:v>Natural gas trend (2011-2021 extrapolated)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'7 energy mix'!$D$79:$AC$79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'7 energy mix'!$D$86:$AC$86</c:f>
              <c:numCache>
                <c:formatCode>0%</c:formatCode>
                <c:ptCount val="26"/>
                <c:pt idx="0">
                  <c:v>0.33390175617262735</c:v>
                </c:pt>
                <c:pt idx="1">
                  <c:v>0.32832489631198175</c:v>
                </c:pt>
                <c:pt idx="2">
                  <c:v>0.32147210372693857</c:v>
                </c:pt>
                <c:pt idx="3">
                  <c:v>0.31763544489965623</c:v>
                </c:pt>
                <c:pt idx="4">
                  <c:v>0.32293027842235206</c:v>
                </c:pt>
                <c:pt idx="5">
                  <c:v>0.33047904927342375</c:v>
                </c:pt>
                <c:pt idx="6">
                  <c:v>0.32065507760532858</c:v>
                </c:pt>
                <c:pt idx="7">
                  <c:v>0.32341753279015845</c:v>
                </c:pt>
                <c:pt idx="8">
                  <c:v>0.32510787594252138</c:v>
                </c:pt>
                <c:pt idx="9">
                  <c:v>0.30225770687537384</c:v>
                </c:pt>
                <c:pt idx="10">
                  <c:v>0.31357190838540711</c:v>
                </c:pt>
                <c:pt idx="11">
                  <c:v>0.3258081023529289</c:v>
                </c:pt>
                <c:pt idx="12">
                  <c:v>0.32342460195672623</c:v>
                </c:pt>
                <c:pt idx="13">
                  <c:v>0.32222141896528339</c:v>
                </c:pt>
                <c:pt idx="14">
                  <c:v>0.32081765087270775</c:v>
                </c:pt>
                <c:pt idx="15">
                  <c:v>0.31677195756238791</c:v>
                </c:pt>
                <c:pt idx="16">
                  <c:v>0.33500952148259672</c:v>
                </c:pt>
                <c:pt idx="17">
                  <c:v>0.32530208830923568</c:v>
                </c:pt>
                <c:pt idx="18">
                  <c:v>0.32604844613666262</c:v>
                </c:pt>
                <c:pt idx="19">
                  <c:v>0.32679480396408955</c:v>
                </c:pt>
                <c:pt idx="20">
                  <c:v>0.32754116179151649</c:v>
                </c:pt>
                <c:pt idx="21">
                  <c:v>0.3282875196189432</c:v>
                </c:pt>
                <c:pt idx="22">
                  <c:v>0.32903387744637014</c:v>
                </c:pt>
                <c:pt idx="23">
                  <c:v>0.32978023527379707</c:v>
                </c:pt>
                <c:pt idx="24">
                  <c:v>0.33052659310122379</c:v>
                </c:pt>
                <c:pt idx="25">
                  <c:v>0.33127295092865072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01A-41B9-A02D-0D6EF1569FD5}"/>
            </c:ext>
          </c:extLst>
        </c:ser>
        <c:ser>
          <c:idx val="7"/>
          <c:order val="7"/>
          <c:tx>
            <c:strRef>
              <c:f>'7 energy mix'!$A$87</c:f>
              <c:strCache>
                <c:ptCount val="1"/>
                <c:pt idx="0">
                  <c:v>Other fossil fuels trend (2011-2021 extrapolated)</c:v>
                </c:pt>
              </c:strCache>
            </c:strRef>
          </c:tx>
          <c:spPr>
            <a:ln w="28575" cap="rnd">
              <a:solidFill>
                <a:srgbClr val="2C2D2D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'7 energy mix'!$D$79:$AC$79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'7 energy mix'!$D$87:$AC$87</c:f>
              <c:numCache>
                <c:formatCode>0%</c:formatCode>
                <c:ptCount val="26"/>
                <c:pt idx="0">
                  <c:v>0.23222172680485456</c:v>
                </c:pt>
                <c:pt idx="1">
                  <c:v>0.22893856693359868</c:v>
                </c:pt>
                <c:pt idx="2">
                  <c:v>0.19595227908263857</c:v>
                </c:pt>
                <c:pt idx="3">
                  <c:v>0.20878328451263989</c:v>
                </c:pt>
                <c:pt idx="4">
                  <c:v>0.19588070177147643</c:v>
                </c:pt>
                <c:pt idx="5">
                  <c:v>0.18821974260154517</c:v>
                </c:pt>
                <c:pt idx="6">
                  <c:v>0.18299134681144003</c:v>
                </c:pt>
                <c:pt idx="7">
                  <c:v>0.17399754478260829</c:v>
                </c:pt>
                <c:pt idx="8">
                  <c:v>0.17142142436508501</c:v>
                </c:pt>
                <c:pt idx="9">
                  <c:v>0.17058623287812139</c:v>
                </c:pt>
                <c:pt idx="10">
                  <c:v>0.16633081048555287</c:v>
                </c:pt>
                <c:pt idx="11">
                  <c:v>0.15861989335806431</c:v>
                </c:pt>
                <c:pt idx="12">
                  <c:v>0.15548941031607241</c:v>
                </c:pt>
                <c:pt idx="13">
                  <c:v>0.1475608217712216</c:v>
                </c:pt>
                <c:pt idx="14">
                  <c:v>0.14443598817024866</c:v>
                </c:pt>
                <c:pt idx="15">
                  <c:v>0.15067061243951788</c:v>
                </c:pt>
                <c:pt idx="16">
                  <c:v>0.12080747360862294</c:v>
                </c:pt>
                <c:pt idx="17">
                  <c:v>0.12887874392491128</c:v>
                </c:pt>
                <c:pt idx="18">
                  <c:v>0.12395078368532708</c:v>
                </c:pt>
                <c:pt idx="19">
                  <c:v>0.11902282344574289</c:v>
                </c:pt>
                <c:pt idx="20">
                  <c:v>0.11409486320615869</c:v>
                </c:pt>
                <c:pt idx="21">
                  <c:v>0.1091669029665745</c:v>
                </c:pt>
                <c:pt idx="22">
                  <c:v>0.1042389427269903</c:v>
                </c:pt>
                <c:pt idx="23">
                  <c:v>9.9310982487406108E-2</c:v>
                </c:pt>
                <c:pt idx="24">
                  <c:v>9.4383022247823689E-2</c:v>
                </c:pt>
                <c:pt idx="25">
                  <c:v>8.9455062008239494E-2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01A-41B9-A02D-0D6EF1569FD5}"/>
            </c:ext>
          </c:extLst>
        </c:ser>
        <c:ser>
          <c:idx val="8"/>
          <c:order val="8"/>
          <c:tx>
            <c:strRef>
              <c:f>'7 energy mix'!$A$88</c:f>
              <c:strCache>
                <c:ptCount val="1"/>
                <c:pt idx="0">
                  <c:v>Electricity trend (2011-2021 extrapolated)</c:v>
                </c:pt>
              </c:strCache>
            </c:strRef>
          </c:tx>
          <c:spPr>
            <a:ln w="28575" cap="rnd">
              <a:solidFill>
                <a:srgbClr val="648ECA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'7 energy mix'!$D$79:$AC$79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'7 energy mix'!$D$88:$AC$88</c:f>
              <c:numCache>
                <c:formatCode>0%</c:formatCode>
                <c:ptCount val="26"/>
                <c:pt idx="0">
                  <c:v>0.21604349391664984</c:v>
                </c:pt>
                <c:pt idx="1">
                  <c:v>0.22206552741296767</c:v>
                </c:pt>
                <c:pt idx="2">
                  <c:v>0.23486467844958395</c:v>
                </c:pt>
                <c:pt idx="3">
                  <c:v>0.22649044112058775</c:v>
                </c:pt>
                <c:pt idx="4">
                  <c:v>0.22925666049156718</c:v>
                </c:pt>
                <c:pt idx="5">
                  <c:v>0.22506151922099912</c:v>
                </c:pt>
                <c:pt idx="6">
                  <c:v>0.24028410632184286</c:v>
                </c:pt>
                <c:pt idx="7">
                  <c:v>0.23501990866216568</c:v>
                </c:pt>
                <c:pt idx="8">
                  <c:v>0.23129176541065591</c:v>
                </c:pt>
                <c:pt idx="9">
                  <c:v>0.24982503729471275</c:v>
                </c:pt>
                <c:pt idx="10">
                  <c:v>0.24278049942823882</c:v>
                </c:pt>
                <c:pt idx="11">
                  <c:v>0.24121182638665542</c:v>
                </c:pt>
                <c:pt idx="12">
                  <c:v>0.24202950054038508</c:v>
                </c:pt>
                <c:pt idx="13">
                  <c:v>0.24304420321154849</c:v>
                </c:pt>
                <c:pt idx="14">
                  <c:v>0.24385681862748268</c:v>
                </c:pt>
                <c:pt idx="15">
                  <c:v>0.24693556324213164</c:v>
                </c:pt>
                <c:pt idx="16">
                  <c:v>0.24546312580803711</c:v>
                </c:pt>
                <c:pt idx="17">
                  <c:v>0.24726422544928517</c:v>
                </c:pt>
                <c:pt idx="18">
                  <c:v>0.24814550007062275</c:v>
                </c:pt>
                <c:pt idx="19">
                  <c:v>0.24902677469196033</c:v>
                </c:pt>
                <c:pt idx="20">
                  <c:v>0.24990804931329791</c:v>
                </c:pt>
                <c:pt idx="21">
                  <c:v>0.25078932393463549</c:v>
                </c:pt>
                <c:pt idx="22">
                  <c:v>0.25167059855597307</c:v>
                </c:pt>
                <c:pt idx="23">
                  <c:v>0.25255187317731065</c:v>
                </c:pt>
                <c:pt idx="24">
                  <c:v>0.25343314779864801</c:v>
                </c:pt>
                <c:pt idx="25">
                  <c:v>0.25431442241998559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01A-41B9-A02D-0D6EF1569FD5}"/>
            </c:ext>
          </c:extLst>
        </c:ser>
        <c:ser>
          <c:idx val="9"/>
          <c:order val="9"/>
          <c:tx>
            <c:strRef>
              <c:f>'7 energy mix'!$A$89</c:f>
              <c:strCache>
                <c:ptCount val="1"/>
                <c:pt idx="0">
                  <c:v>District heating trend (2011-2021 extrapolated)</c:v>
                </c:pt>
              </c:strCache>
            </c:strRef>
          </c:tx>
          <c:spPr>
            <a:ln w="28575" cap="rnd">
              <a:solidFill>
                <a:srgbClr val="F59E2D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'7 energy mix'!$D$79:$AC$79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'7 energy mix'!$D$89:$AC$89</c:f>
              <c:numCache>
                <c:formatCode>0%</c:formatCode>
                <c:ptCount val="26"/>
                <c:pt idx="0">
                  <c:v>8.3562772187501938E-2</c:v>
                </c:pt>
                <c:pt idx="1">
                  <c:v>8.0309272874469706E-2</c:v>
                </c:pt>
                <c:pt idx="2">
                  <c:v>8.690500644086456E-2</c:v>
                </c:pt>
                <c:pt idx="3">
                  <c:v>8.1030468935221797E-2</c:v>
                </c:pt>
                <c:pt idx="4">
                  <c:v>8.1409252050938699E-2</c:v>
                </c:pt>
                <c:pt idx="5">
                  <c:v>8.4885950621836542E-2</c:v>
                </c:pt>
                <c:pt idx="6">
                  <c:v>8.4430525121178754E-2</c:v>
                </c:pt>
                <c:pt idx="7">
                  <c:v>8.1819562950377497E-2</c:v>
                </c:pt>
                <c:pt idx="8">
                  <c:v>8.5019832779051147E-2</c:v>
                </c:pt>
                <c:pt idx="9">
                  <c:v>8.6032758487299535E-2</c:v>
                </c:pt>
                <c:pt idx="10">
                  <c:v>8.6048894127383285E-2</c:v>
                </c:pt>
                <c:pt idx="11">
                  <c:v>8.8077451775130558E-2</c:v>
                </c:pt>
                <c:pt idx="12">
                  <c:v>8.8001110820286152E-2</c:v>
                </c:pt>
                <c:pt idx="13">
                  <c:v>8.4498041769249591E-2</c:v>
                </c:pt>
                <c:pt idx="14">
                  <c:v>8.404016249606007E-2</c:v>
                </c:pt>
                <c:pt idx="15">
                  <c:v>8.2273726215363135E-2</c:v>
                </c:pt>
                <c:pt idx="16">
                  <c:v>8.6322220443299902E-2</c:v>
                </c:pt>
                <c:pt idx="17">
                  <c:v>8.5535966202882396E-2</c:v>
                </c:pt>
                <c:pt idx="18">
                  <c:v>8.5601592585413111E-2</c:v>
                </c:pt>
                <c:pt idx="19">
                  <c:v>8.5667218967943798E-2</c:v>
                </c:pt>
                <c:pt idx="20">
                  <c:v>8.5732845350474512E-2</c:v>
                </c:pt>
                <c:pt idx="21">
                  <c:v>8.5798471733005227E-2</c:v>
                </c:pt>
                <c:pt idx="22">
                  <c:v>8.5864098115535942E-2</c:v>
                </c:pt>
                <c:pt idx="23">
                  <c:v>8.5929724498066656E-2</c:v>
                </c:pt>
                <c:pt idx="24">
                  <c:v>8.5995350880597371E-2</c:v>
                </c:pt>
                <c:pt idx="25">
                  <c:v>8.6060977263128058E-2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01A-41B9-A02D-0D6EF1569FD5}"/>
            </c:ext>
          </c:extLst>
        </c:ser>
        <c:ser>
          <c:idx val="10"/>
          <c:order val="10"/>
          <c:tx>
            <c:strRef>
              <c:f>'7 energy mix'!$A$90</c:f>
              <c:strCache>
                <c:ptCount val="1"/>
                <c:pt idx="0">
                  <c:v>Biomass trend (2011-2021 extrapolated)</c:v>
                </c:pt>
              </c:strCache>
            </c:strRef>
          </c:tx>
          <c:spPr>
            <a:ln w="28575" cap="rnd">
              <a:solidFill>
                <a:srgbClr val="64786A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'7 energy mix'!$D$79:$AC$79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'7 energy mix'!$D$90:$AC$90</c:f>
              <c:numCache>
                <c:formatCode>0%</c:formatCode>
                <c:ptCount val="26"/>
                <c:pt idx="0">
                  <c:v>0.13012534308061577</c:v>
                </c:pt>
                <c:pt idx="1">
                  <c:v>0.1351294582709098</c:v>
                </c:pt>
                <c:pt idx="2">
                  <c:v>0.15386200803509667</c:v>
                </c:pt>
                <c:pt idx="3">
                  <c:v>0.15775224129645335</c:v>
                </c:pt>
                <c:pt idx="4">
                  <c:v>0.16011629827269977</c:v>
                </c:pt>
                <c:pt idx="5">
                  <c:v>0.15956979966668353</c:v>
                </c:pt>
                <c:pt idx="6">
                  <c:v>0.15867276223614787</c:v>
                </c:pt>
                <c:pt idx="7">
                  <c:v>0.17160029809725749</c:v>
                </c:pt>
                <c:pt idx="8">
                  <c:v>0.17161412138153989</c:v>
                </c:pt>
                <c:pt idx="9">
                  <c:v>0.17214650159379918</c:v>
                </c:pt>
                <c:pt idx="10">
                  <c:v>0.17079724298441901</c:v>
                </c:pt>
                <c:pt idx="11">
                  <c:v>0.1642218637185755</c:v>
                </c:pt>
                <c:pt idx="12">
                  <c:v>0.16502034514820849</c:v>
                </c:pt>
                <c:pt idx="13">
                  <c:v>0.17420949290207044</c:v>
                </c:pt>
                <c:pt idx="14">
                  <c:v>0.17556495498135302</c:v>
                </c:pt>
                <c:pt idx="15">
                  <c:v>0.16969261922653603</c:v>
                </c:pt>
                <c:pt idx="16">
                  <c:v>0.17484866938823321</c:v>
                </c:pt>
                <c:pt idx="17">
                  <c:v>0.1744053741065934</c:v>
                </c:pt>
                <c:pt idx="18">
                  <c:v>0.17516401415984162</c:v>
                </c:pt>
                <c:pt idx="19">
                  <c:v>0.17592265421309006</c:v>
                </c:pt>
                <c:pt idx="20">
                  <c:v>0.17668129426633827</c:v>
                </c:pt>
                <c:pt idx="21">
                  <c:v>0.17743993431958649</c:v>
                </c:pt>
                <c:pt idx="22">
                  <c:v>0.17819857437283493</c:v>
                </c:pt>
                <c:pt idx="23">
                  <c:v>0.17895721442608314</c:v>
                </c:pt>
                <c:pt idx="24">
                  <c:v>0.17971585447933136</c:v>
                </c:pt>
                <c:pt idx="25">
                  <c:v>0.1804744945325798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01A-41B9-A02D-0D6EF1569FD5}"/>
            </c:ext>
          </c:extLst>
        </c:ser>
        <c:ser>
          <c:idx val="11"/>
          <c:order val="11"/>
          <c:tx>
            <c:strRef>
              <c:f>'7 energy mix'!$A$91</c:f>
              <c:strCache>
                <c:ptCount val="1"/>
                <c:pt idx="0">
                  <c:v>Other renewables trend (2011-2021 extrapolated)</c:v>
                </c:pt>
              </c:strCache>
            </c:strRef>
          </c:tx>
          <c:spPr>
            <a:ln w="28575" cap="rnd">
              <a:solidFill>
                <a:srgbClr val="B497C7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'7 energy mix'!$D$79:$AC$79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'7 energy mix'!$D$91:$AC$91</c:f>
              <c:numCache>
                <c:formatCode>0%</c:formatCode>
                <c:ptCount val="26"/>
                <c:pt idx="0">
                  <c:v>4.1448853081591476E-3</c:v>
                </c:pt>
                <c:pt idx="1">
                  <c:v>5.2322895001038145E-3</c:v>
                </c:pt>
                <c:pt idx="2">
                  <c:v>6.9439483387512589E-3</c:v>
                </c:pt>
                <c:pt idx="3">
                  <c:v>8.3081116671626168E-3</c:v>
                </c:pt>
                <c:pt idx="4">
                  <c:v>1.0406835669706927E-2</c:v>
                </c:pt>
                <c:pt idx="5">
                  <c:v>1.1783906349293128E-2</c:v>
                </c:pt>
                <c:pt idx="6">
                  <c:v>1.2966189843896112E-2</c:v>
                </c:pt>
                <c:pt idx="7">
                  <c:v>1.4145156519538406E-2</c:v>
                </c:pt>
                <c:pt idx="8">
                  <c:v>1.5544991395472219E-2</c:v>
                </c:pt>
                <c:pt idx="9">
                  <c:v>1.9151762870693277E-2</c:v>
                </c:pt>
                <c:pt idx="10">
                  <c:v>2.0470632345499954E-2</c:v>
                </c:pt>
                <c:pt idx="11">
                  <c:v>2.2060858422623966E-2</c:v>
                </c:pt>
                <c:pt idx="12">
                  <c:v>2.6034995463326809E-2</c:v>
                </c:pt>
                <c:pt idx="13">
                  <c:v>2.8465993352275828E-2</c:v>
                </c:pt>
                <c:pt idx="14">
                  <c:v>3.1284392618668645E-2</c:v>
                </c:pt>
                <c:pt idx="15">
                  <c:v>3.3655501163158588E-2</c:v>
                </c:pt>
                <c:pt idx="16">
                  <c:v>3.7548981630161071E-2</c:v>
                </c:pt>
                <c:pt idx="17">
                  <c:v>3.8613570434468336E-2</c:v>
                </c:pt>
                <c:pt idx="18">
                  <c:v>4.1089628300435166E-2</c:v>
                </c:pt>
                <c:pt idx="19">
                  <c:v>4.3565686166401996E-2</c:v>
                </c:pt>
                <c:pt idx="20">
                  <c:v>4.6041744032369714E-2</c:v>
                </c:pt>
                <c:pt idx="21">
                  <c:v>4.8517801898336543E-2</c:v>
                </c:pt>
                <c:pt idx="22">
                  <c:v>5.0993859764303373E-2</c:v>
                </c:pt>
                <c:pt idx="23">
                  <c:v>5.3469917630271091E-2</c:v>
                </c:pt>
                <c:pt idx="24">
                  <c:v>5.5945975496237921E-2</c:v>
                </c:pt>
                <c:pt idx="25">
                  <c:v>5.8422033362204751E-2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01A-41B9-A02D-0D6EF1569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857056"/>
        <c:axId val="228857888"/>
      </c:lineChart>
      <c:catAx>
        <c:axId val="22885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28857888"/>
        <c:crosses val="autoZero"/>
        <c:auto val="1"/>
        <c:lblAlgn val="ctr"/>
        <c:lblOffset val="100"/>
        <c:noMultiLvlLbl val="0"/>
      </c:catAx>
      <c:valAx>
        <c:axId val="2288578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2885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75118796296296297"/>
          <c:y val="0.12019015918994264"/>
          <c:w val="0.23411296296296294"/>
          <c:h val="0.767568538549452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013888888888886E-2"/>
          <c:y val="8.3427177177177181E-2"/>
          <c:w val="0.8059722222222222"/>
          <c:h val="0.8324174174174173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'7 energy mix'!$AG$86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AFABA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 energy mix'!$AH$85:$AI$85</c:f>
              <c:strCache>
                <c:ptCount val="2"/>
                <c:pt idx="0">
                  <c:v>Trend</c:v>
                </c:pt>
                <c:pt idx="1">
                  <c:v>Benchmark</c:v>
                </c:pt>
              </c:strCache>
            </c:strRef>
          </c:cat>
          <c:val>
            <c:numRef>
              <c:f>'7 energy mix'!$AH$86:$AI$86</c:f>
              <c:numCache>
                <c:formatCode>0%</c:formatCode>
                <c:ptCount val="2"/>
                <c:pt idx="0">
                  <c:v>0.33127295092865072</c:v>
                </c:pt>
                <c:pt idx="1">
                  <c:v>0.20635718185921753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AE-4715-8197-B81E1F9762C0}"/>
            </c:ext>
          </c:extLst>
        </c:ser>
        <c:ser>
          <c:idx val="1"/>
          <c:order val="1"/>
          <c:tx>
            <c:strRef>
              <c:f>'7 energy mix'!$AG$87</c:f>
              <c:strCache>
                <c:ptCount val="1"/>
                <c:pt idx="0">
                  <c:v>Other fossils</c:v>
                </c:pt>
              </c:strCache>
            </c:strRef>
          </c:tx>
          <c:spPr>
            <a:solidFill>
              <a:srgbClr val="2C2D2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 energy mix'!$AH$85:$AI$85</c:f>
              <c:strCache>
                <c:ptCount val="2"/>
                <c:pt idx="0">
                  <c:v>Trend</c:v>
                </c:pt>
                <c:pt idx="1">
                  <c:v>Benchmark</c:v>
                </c:pt>
              </c:strCache>
            </c:strRef>
          </c:cat>
          <c:val>
            <c:numRef>
              <c:f>'7 energy mix'!$AH$87:$AI$87</c:f>
              <c:numCache>
                <c:formatCode>0%</c:formatCode>
                <c:ptCount val="2"/>
                <c:pt idx="0">
                  <c:v>8.9455062008239494E-2</c:v>
                </c:pt>
                <c:pt idx="1">
                  <c:v>2.912708708360244E-2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AE-4715-8197-B81E1F9762C0}"/>
            </c:ext>
          </c:extLst>
        </c:ser>
        <c:ser>
          <c:idx val="2"/>
          <c:order val="2"/>
          <c:tx>
            <c:strRef>
              <c:f>'7 energy mix'!$AG$88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648EC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 energy mix'!$AH$85:$AI$85</c:f>
              <c:strCache>
                <c:ptCount val="2"/>
                <c:pt idx="0">
                  <c:v>Trend</c:v>
                </c:pt>
                <c:pt idx="1">
                  <c:v>Benchmark</c:v>
                </c:pt>
              </c:strCache>
            </c:strRef>
          </c:cat>
          <c:val>
            <c:numRef>
              <c:f>'7 energy mix'!$AH$88:$AI$88</c:f>
              <c:numCache>
                <c:formatCode>0%</c:formatCode>
                <c:ptCount val="2"/>
                <c:pt idx="0">
                  <c:v>0.25431442241998559</c:v>
                </c:pt>
                <c:pt idx="1">
                  <c:v>0.37153767983083602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AE-4715-8197-B81E1F9762C0}"/>
            </c:ext>
          </c:extLst>
        </c:ser>
        <c:ser>
          <c:idx val="3"/>
          <c:order val="3"/>
          <c:tx>
            <c:strRef>
              <c:f>'7 energy mix'!$AG$89</c:f>
              <c:strCache>
                <c:ptCount val="1"/>
                <c:pt idx="0">
                  <c:v>District heating</c:v>
                </c:pt>
              </c:strCache>
            </c:strRef>
          </c:tx>
          <c:spPr>
            <a:solidFill>
              <a:srgbClr val="F59E2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 energy mix'!$AH$85:$AI$85</c:f>
              <c:strCache>
                <c:ptCount val="2"/>
                <c:pt idx="0">
                  <c:v>Trend</c:v>
                </c:pt>
                <c:pt idx="1">
                  <c:v>Benchmark</c:v>
                </c:pt>
              </c:strCache>
            </c:strRef>
          </c:cat>
          <c:val>
            <c:numRef>
              <c:f>'7 energy mix'!$AH$89:$AI$89</c:f>
              <c:numCache>
                <c:formatCode>0%</c:formatCode>
                <c:ptCount val="2"/>
                <c:pt idx="0">
                  <c:v>8.6060977263128058E-2</c:v>
                </c:pt>
                <c:pt idx="1">
                  <c:v>9.6117536108980148E-2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AE-4715-8197-B81E1F9762C0}"/>
            </c:ext>
          </c:extLst>
        </c:ser>
        <c:ser>
          <c:idx val="4"/>
          <c:order val="4"/>
          <c:tx>
            <c:strRef>
              <c:f>'7 energy mix'!$AG$90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64786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 energy mix'!$AH$85:$AI$85</c:f>
              <c:strCache>
                <c:ptCount val="2"/>
                <c:pt idx="0">
                  <c:v>Trend</c:v>
                </c:pt>
                <c:pt idx="1">
                  <c:v>Benchmark</c:v>
                </c:pt>
              </c:strCache>
            </c:strRef>
          </c:cat>
          <c:val>
            <c:numRef>
              <c:f>'7 energy mix'!$AH$90:$AI$90</c:f>
              <c:numCache>
                <c:formatCode>0%</c:formatCode>
                <c:ptCount val="2"/>
                <c:pt idx="0">
                  <c:v>0.1804744945325798</c:v>
                </c:pt>
                <c:pt idx="1">
                  <c:v>0.17125294491994233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AE-4715-8197-B81E1F9762C0}"/>
            </c:ext>
          </c:extLst>
        </c:ser>
        <c:ser>
          <c:idx val="5"/>
          <c:order val="5"/>
          <c:tx>
            <c:strRef>
              <c:f>'7 energy mix'!$AG$91</c:f>
              <c:strCache>
                <c:ptCount val="1"/>
                <c:pt idx="0">
                  <c:v>Other renewables</c:v>
                </c:pt>
              </c:strCache>
            </c:strRef>
          </c:tx>
          <c:spPr>
            <a:solidFill>
              <a:srgbClr val="B497C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 energy mix'!$AH$85:$AI$85</c:f>
              <c:strCache>
                <c:ptCount val="2"/>
                <c:pt idx="0">
                  <c:v>Trend</c:v>
                </c:pt>
                <c:pt idx="1">
                  <c:v>Benchmark</c:v>
                </c:pt>
              </c:strCache>
            </c:strRef>
          </c:cat>
          <c:val>
            <c:numRef>
              <c:f>'7 energy mix'!$AH$91:$AI$91</c:f>
              <c:numCache>
                <c:formatCode>0%</c:formatCode>
                <c:ptCount val="2"/>
                <c:pt idx="0">
                  <c:v>5.8422033362204751E-2</c:v>
                </c:pt>
                <c:pt idx="1">
                  <c:v>0.12656453466966194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6AE-4715-8197-B81E1F976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1667152"/>
        <c:axId val="531667984"/>
      </c:barChart>
      <c:catAx>
        <c:axId val="53166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31667984"/>
        <c:crosses val="autoZero"/>
        <c:auto val="1"/>
        <c:lblAlgn val="ctr"/>
        <c:lblOffset val="100"/>
        <c:noMultiLvlLbl val="0"/>
      </c:catAx>
      <c:valAx>
        <c:axId val="531667984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531667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878648816696652E-2"/>
          <c:y val="8.4898418672486584E-2"/>
          <c:w val="0.65465529345689411"/>
          <c:h val="0.8620011163753739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'7 energy mix'!$A$206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AFABAB"/>
            </a:solidFill>
            <a:ln>
              <a:noFill/>
            </a:ln>
            <a:effectLst/>
          </c:spPr>
          <c:invertIfNegative val="0"/>
          <c:dLbls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C28-43B1-BC75-84EF285F8AB8}"/>
                </c:ext>
              </c:extLst>
            </c:dLbl>
            <c:spPr>
              <a:solidFill>
                <a:srgbClr val="AFABAB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 energy mix'!$D$205:$AC$205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'7 energy mix'!$D$206:$AC$206</c:f>
              <c:numCache>
                <c:formatCode>0%</c:formatCode>
                <c:ptCount val="26"/>
                <c:pt idx="0">
                  <c:v>0.28674039037497423</c:v>
                </c:pt>
                <c:pt idx="1">
                  <c:v>0.29486290234120116</c:v>
                </c:pt>
                <c:pt idx="2">
                  <c:v>0.27916184055389059</c:v>
                </c:pt>
                <c:pt idx="3">
                  <c:v>0.27953515254323791</c:v>
                </c:pt>
                <c:pt idx="4">
                  <c:v>0.28366204649764776</c:v>
                </c:pt>
                <c:pt idx="5">
                  <c:v>0.28833418812747164</c:v>
                </c:pt>
                <c:pt idx="6">
                  <c:v>0.27263557743582195</c:v>
                </c:pt>
                <c:pt idx="7">
                  <c:v>0.27835656992315033</c:v>
                </c:pt>
                <c:pt idx="8">
                  <c:v>0.29089060435175823</c:v>
                </c:pt>
                <c:pt idx="9">
                  <c:v>0.27168807252326377</c:v>
                </c:pt>
                <c:pt idx="10">
                  <c:v>0.28008435178076657</c:v>
                </c:pt>
                <c:pt idx="11">
                  <c:v>0.28063693134663564</c:v>
                </c:pt>
                <c:pt idx="12">
                  <c:v>0.27195332894992275</c:v>
                </c:pt>
                <c:pt idx="13">
                  <c:v>0.28727600615236737</c:v>
                </c:pt>
                <c:pt idx="14">
                  <c:v>0.28133633645814488</c:v>
                </c:pt>
                <c:pt idx="15">
                  <c:v>0.28510519337908574</c:v>
                </c:pt>
                <c:pt idx="16">
                  <c:v>0.29523750247937836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28-43B1-BC75-84EF285F8AB8}"/>
            </c:ext>
          </c:extLst>
        </c:ser>
        <c:ser>
          <c:idx val="1"/>
          <c:order val="1"/>
          <c:tx>
            <c:strRef>
              <c:f>'7 energy mix'!$A$207</c:f>
              <c:strCache>
                <c:ptCount val="1"/>
                <c:pt idx="0">
                  <c:v>Other fossil fuels</c:v>
                </c:pt>
              </c:strCache>
            </c:strRef>
          </c:tx>
          <c:spPr>
            <a:solidFill>
              <a:srgbClr val="2C2D2D"/>
            </a:solidFill>
            <a:ln>
              <a:noFill/>
            </a:ln>
            <a:effectLst/>
          </c:spPr>
          <c:invertIfNegative val="0"/>
          <c:dLbls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C28-43B1-BC75-84EF285F8AB8}"/>
                </c:ext>
              </c:extLst>
            </c:dLbl>
            <c:spPr>
              <a:solidFill>
                <a:srgbClr val="2C2D2D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 energy mix'!$D$205:$AC$205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'7 energy mix'!$D$207:$AC$207</c:f>
              <c:numCache>
                <c:formatCode>0%</c:formatCode>
                <c:ptCount val="26"/>
                <c:pt idx="0">
                  <c:v>0.18303492859148743</c:v>
                </c:pt>
                <c:pt idx="1">
                  <c:v>0.17168610644333099</c:v>
                </c:pt>
                <c:pt idx="2">
                  <c:v>0.14938053678071175</c:v>
                </c:pt>
                <c:pt idx="3">
                  <c:v>0.15940341770210814</c:v>
                </c:pt>
                <c:pt idx="4">
                  <c:v>0.14889909505903409</c:v>
                </c:pt>
                <c:pt idx="5">
                  <c:v>0.14004175449219833</c:v>
                </c:pt>
                <c:pt idx="6">
                  <c:v>0.13533181280619094</c:v>
                </c:pt>
                <c:pt idx="7">
                  <c:v>0.13064461306752884</c:v>
                </c:pt>
                <c:pt idx="8">
                  <c:v>0.13331936715822404</c:v>
                </c:pt>
                <c:pt idx="9">
                  <c:v>0.1280795218746815</c:v>
                </c:pt>
                <c:pt idx="10">
                  <c:v>0.12356209545552101</c:v>
                </c:pt>
                <c:pt idx="11">
                  <c:v>0.12070586139234032</c:v>
                </c:pt>
                <c:pt idx="12">
                  <c:v>0.11771633797698035</c:v>
                </c:pt>
                <c:pt idx="13">
                  <c:v>8.9783081649018492E-2</c:v>
                </c:pt>
                <c:pt idx="14">
                  <c:v>8.9915869410007537E-2</c:v>
                </c:pt>
                <c:pt idx="15">
                  <c:v>8.7725543586284566E-2</c:v>
                </c:pt>
                <c:pt idx="16">
                  <c:v>9.2127550047558279E-2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28-43B1-BC75-84EF285F8AB8}"/>
            </c:ext>
          </c:extLst>
        </c:ser>
        <c:ser>
          <c:idx val="2"/>
          <c:order val="2"/>
          <c:tx>
            <c:strRef>
              <c:f>'7 energy mix'!$A$208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648ECA"/>
            </a:solidFill>
            <a:ln>
              <a:noFill/>
            </a:ln>
            <a:effectLst/>
          </c:spPr>
          <c:invertIfNegative val="0"/>
          <c:dLbls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C28-43B1-BC75-84EF285F8AB8}"/>
                </c:ext>
              </c:extLst>
            </c:dLbl>
            <c:spPr>
              <a:solidFill>
                <a:srgbClr val="648ECA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 energy mix'!$D$205:$AC$205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'7 energy mix'!$D$208:$AC$208</c:f>
              <c:numCache>
                <c:formatCode>0%</c:formatCode>
                <c:ptCount val="26"/>
                <c:pt idx="0">
                  <c:v>0.4358717270610048</c:v>
                </c:pt>
                <c:pt idx="1">
                  <c:v>0.44263953826605279</c:v>
                </c:pt>
                <c:pt idx="2">
                  <c:v>0.47337411728534018</c:v>
                </c:pt>
                <c:pt idx="3">
                  <c:v>0.46008125565358077</c:v>
                </c:pt>
                <c:pt idx="4">
                  <c:v>0.46433031368751032</c:v>
                </c:pt>
                <c:pt idx="5">
                  <c:v>0.4569074026705896</c:v>
                </c:pt>
                <c:pt idx="6">
                  <c:v>0.48565312964172158</c:v>
                </c:pt>
                <c:pt idx="7">
                  <c:v>0.48114770873911977</c:v>
                </c:pt>
                <c:pt idx="8">
                  <c:v>0.47215821895780563</c:v>
                </c:pt>
                <c:pt idx="9">
                  <c:v>0.49203882892340833</c:v>
                </c:pt>
                <c:pt idx="10">
                  <c:v>0.49050824600429771</c:v>
                </c:pt>
                <c:pt idx="11">
                  <c:v>0.48843922633937875</c:v>
                </c:pt>
                <c:pt idx="12">
                  <c:v>0.47587446242701398</c:v>
                </c:pt>
                <c:pt idx="13">
                  <c:v>0.4834062190636545</c:v>
                </c:pt>
                <c:pt idx="14">
                  <c:v>0.48537197021579132</c:v>
                </c:pt>
                <c:pt idx="15">
                  <c:v>0.48050100174958987</c:v>
                </c:pt>
                <c:pt idx="16">
                  <c:v>0.4630509370410521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C28-43B1-BC75-84EF285F8AB8}"/>
            </c:ext>
          </c:extLst>
        </c:ser>
        <c:ser>
          <c:idx val="3"/>
          <c:order val="3"/>
          <c:tx>
            <c:strRef>
              <c:f>'7 energy mix'!$A$209</c:f>
              <c:strCache>
                <c:ptCount val="1"/>
                <c:pt idx="0">
                  <c:v>District heating</c:v>
                </c:pt>
              </c:strCache>
            </c:strRef>
          </c:tx>
          <c:spPr>
            <a:solidFill>
              <a:srgbClr val="F59E2D"/>
            </a:solidFill>
            <a:ln>
              <a:noFill/>
            </a:ln>
            <a:effectLst/>
          </c:spPr>
          <c:invertIfNegative val="0"/>
          <c:dLbls>
            <c:dLbl>
              <c:idx val="16"/>
              <c:layout>
                <c:manualLayout>
                  <c:x val="2.9720116072264346E-3"/>
                  <c:y val="2.78090590590590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C28-43B1-BC75-84EF285F8AB8}"/>
                </c:ext>
              </c:extLst>
            </c:dLbl>
            <c:spPr>
              <a:solidFill>
                <a:srgbClr val="F59E2D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 energy mix'!$D$205:$AC$205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'7 energy mix'!$D$209:$AC$209</c:f>
              <c:numCache>
                <c:formatCode>0%</c:formatCode>
                <c:ptCount val="26"/>
                <c:pt idx="0">
                  <c:v>7.378560834326843E-2</c:v>
                </c:pt>
                <c:pt idx="1">
                  <c:v>6.9686819623166488E-2</c:v>
                </c:pt>
                <c:pt idx="2">
                  <c:v>7.3742026700063815E-2</c:v>
                </c:pt>
                <c:pt idx="3">
                  <c:v>7.4736693381736205E-2</c:v>
                </c:pt>
                <c:pt idx="4">
                  <c:v>7.4995721790034303E-2</c:v>
                </c:pt>
                <c:pt idx="5">
                  <c:v>8.4048792717162521E-2</c:v>
                </c:pt>
                <c:pt idx="6">
                  <c:v>7.5904284728475699E-2</c:v>
                </c:pt>
                <c:pt idx="7">
                  <c:v>7.6371954314830154E-2</c:v>
                </c:pt>
                <c:pt idx="8">
                  <c:v>6.835225667182783E-2</c:v>
                </c:pt>
                <c:pt idx="9">
                  <c:v>6.9000715456229059E-2</c:v>
                </c:pt>
                <c:pt idx="10">
                  <c:v>6.5831494680915759E-2</c:v>
                </c:pt>
                <c:pt idx="11">
                  <c:v>6.8021758575033134E-2</c:v>
                </c:pt>
                <c:pt idx="12">
                  <c:v>6.8986542953595117E-2</c:v>
                </c:pt>
                <c:pt idx="13">
                  <c:v>7.0235509523141393E-2</c:v>
                </c:pt>
                <c:pt idx="14">
                  <c:v>7.090936979965777E-2</c:v>
                </c:pt>
                <c:pt idx="15">
                  <c:v>6.9854629191958006E-2</c:v>
                </c:pt>
                <c:pt idx="16">
                  <c:v>7.2671761678258548E-2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C28-43B1-BC75-84EF285F8AB8}"/>
            </c:ext>
          </c:extLst>
        </c:ser>
        <c:ser>
          <c:idx val="4"/>
          <c:order val="4"/>
          <c:tx>
            <c:strRef>
              <c:f>'7 energy mix'!$A$210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64786A"/>
            </a:solidFill>
            <a:ln>
              <a:noFill/>
            </a:ln>
            <a:effectLst/>
          </c:spPr>
          <c:invertIfNegative val="0"/>
          <c:dLbls>
            <c:dLbl>
              <c:idx val="16"/>
              <c:layout>
                <c:manualLayout>
                  <c:x val="0"/>
                  <c:y val="3.972722722722722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C28-43B1-BC75-84EF285F8AB8}"/>
                </c:ext>
              </c:extLst>
            </c:dLbl>
            <c:spPr>
              <a:solidFill>
                <a:srgbClr val="64786A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 energy mix'!$D$205:$AC$205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'7 energy mix'!$D$210:$AC$210</c:f>
              <c:numCache>
                <c:formatCode>0%</c:formatCode>
                <c:ptCount val="26"/>
                <c:pt idx="0">
                  <c:v>1.6231475504010218E-2</c:v>
                </c:pt>
                <c:pt idx="1">
                  <c:v>1.6677183425327716E-2</c:v>
                </c:pt>
                <c:pt idx="2">
                  <c:v>1.9280893255358807E-2</c:v>
                </c:pt>
                <c:pt idx="3">
                  <c:v>2.0766669373469372E-2</c:v>
                </c:pt>
                <c:pt idx="4">
                  <c:v>2.2327052943434511E-2</c:v>
                </c:pt>
                <c:pt idx="5">
                  <c:v>2.4661362147189534E-2</c:v>
                </c:pt>
                <c:pt idx="6">
                  <c:v>2.2523938404310054E-2</c:v>
                </c:pt>
                <c:pt idx="7">
                  <c:v>2.4854539085757528E-2</c:v>
                </c:pt>
                <c:pt idx="8">
                  <c:v>2.5927110353791642E-2</c:v>
                </c:pt>
                <c:pt idx="9">
                  <c:v>2.5403763538107138E-2</c:v>
                </c:pt>
                <c:pt idx="10">
                  <c:v>2.5960112464579958E-2</c:v>
                </c:pt>
                <c:pt idx="11">
                  <c:v>2.7083884913821923E-2</c:v>
                </c:pt>
                <c:pt idx="12">
                  <c:v>2.8349169399127752E-2</c:v>
                </c:pt>
                <c:pt idx="13">
                  <c:v>3.0277621441593742E-2</c:v>
                </c:pt>
                <c:pt idx="14">
                  <c:v>3.1400164618123345E-2</c:v>
                </c:pt>
                <c:pt idx="15">
                  <c:v>3.2722989521408834E-2</c:v>
                </c:pt>
                <c:pt idx="16">
                  <c:v>3.3162295928449381E-2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C28-43B1-BC75-84EF285F8AB8}"/>
            </c:ext>
          </c:extLst>
        </c:ser>
        <c:ser>
          <c:idx val="5"/>
          <c:order val="5"/>
          <c:tx>
            <c:strRef>
              <c:f>'7 energy mix'!$A$211</c:f>
              <c:strCache>
                <c:ptCount val="1"/>
                <c:pt idx="0">
                  <c:v>Other renewables</c:v>
                </c:pt>
              </c:strCache>
            </c:strRef>
          </c:tx>
          <c:spPr>
            <a:solidFill>
              <a:srgbClr val="B497C7"/>
            </a:solidFill>
            <a:ln>
              <a:noFill/>
            </a:ln>
            <a:effectLst/>
          </c:spPr>
          <c:invertIfNegative val="0"/>
          <c:dLbls>
            <c:dLbl>
              <c:idx val="16"/>
              <c:layout>
                <c:manualLayout>
                  <c:x val="2.9720116072264346E-3"/>
                  <c:y val="-2.78090590590590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C28-43B1-BC75-84EF285F8AB8}"/>
                </c:ext>
              </c:extLst>
            </c:dLbl>
            <c:spPr>
              <a:solidFill>
                <a:srgbClr val="B497C7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 energy mix'!$D$205:$AC$205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'7 energy mix'!$D$211:$AC$211</c:f>
              <c:numCache>
                <c:formatCode>0%</c:formatCode>
                <c:ptCount val="26"/>
                <c:pt idx="0">
                  <c:v>4.3358310568153572E-3</c:v>
                </c:pt>
                <c:pt idx="1">
                  <c:v>4.4474649373922688E-3</c:v>
                </c:pt>
                <c:pt idx="2">
                  <c:v>5.0605616714821172E-3</c:v>
                </c:pt>
                <c:pt idx="3">
                  <c:v>5.4768337038195013E-3</c:v>
                </c:pt>
                <c:pt idx="4">
                  <c:v>5.7857700223389917E-3</c:v>
                </c:pt>
                <c:pt idx="5">
                  <c:v>6.0064998453883932E-3</c:v>
                </c:pt>
                <c:pt idx="6">
                  <c:v>7.9512491896349957E-3</c:v>
                </c:pt>
                <c:pt idx="7">
                  <c:v>8.6246529944459666E-3</c:v>
                </c:pt>
                <c:pt idx="8">
                  <c:v>9.3524349722417573E-3</c:v>
                </c:pt>
                <c:pt idx="9">
                  <c:v>1.3789073380202294E-2</c:v>
                </c:pt>
                <c:pt idx="10">
                  <c:v>1.4053637366505851E-2</c:v>
                </c:pt>
                <c:pt idx="11">
                  <c:v>1.5112406572405708E-2</c:v>
                </c:pt>
                <c:pt idx="12">
                  <c:v>3.7120173231881944E-2</c:v>
                </c:pt>
                <c:pt idx="13">
                  <c:v>3.9021577360579901E-2</c:v>
                </c:pt>
                <c:pt idx="14">
                  <c:v>4.106625060830716E-2</c:v>
                </c:pt>
                <c:pt idx="15">
                  <c:v>4.4090642571672882E-2</c:v>
                </c:pt>
                <c:pt idx="16">
                  <c:v>4.3749968292417042E-2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C28-43B1-BC75-84EF285F8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751333840"/>
        <c:axId val="1751335088"/>
        <c:extLst>
          <c:ext xmlns:c15="http://schemas.microsoft.com/office/drawing/2012/chart" uri="{02D57815-91ED-43cb-92C2-25804820EDAC}">
            <c15:filteredBarSeries>
              <c15:ser>
                <c:idx val="12"/>
                <c:order val="12"/>
                <c:tx>
                  <c:strRef>
                    <c:extLst>
                      <c:ext uri="{02D57815-91ED-43cb-92C2-25804820EDAC}">
                        <c15:formulaRef>
                          <c15:sqref>'7 energy mix'!$A$218</c15:sqref>
                        </c15:formulaRef>
                      </c:ext>
                    </c:extLst>
                    <c:strCache>
                      <c:ptCount val="1"/>
                      <c:pt idx="0">
                        <c:v>Natural gas - CTP</c:v>
                      </c:pt>
                    </c:strCache>
                  </c:strRef>
                </c:tx>
                <c:spPr>
                  <a:solidFill>
                    <a:schemeClr val="bg1">
                      <a:lumMod val="8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Lbl>
                    <c:idx val="25"/>
                    <c:layout>
                      <c:manualLayout>
                        <c:x val="3.3542976939203356E-2"/>
                        <c:y val="0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0-AC28-43B1-BC75-84EF285F8AB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DK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'7 energy mix'!$D$205:$AC$205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'7 energy mix'!$D$218:$AC$218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5" formatCode="0%">
                        <c:v>0.18826719786626087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1-AC28-43B1-BC75-84EF285F8AB8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mix'!$A$219</c15:sqref>
                        </c15:formulaRef>
                      </c:ext>
                    </c:extLst>
                    <c:strCache>
                      <c:ptCount val="1"/>
                      <c:pt idx="0">
                        <c:v>Other fossils - CTP</c:v>
                      </c:pt>
                    </c:strCache>
                  </c:strRef>
                </c:tx>
                <c:spPr>
                  <a:solidFill>
                    <a:schemeClr val="tx1">
                      <a:lumMod val="65000"/>
                      <a:lumOff val="3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Lbl>
                    <c:idx val="25"/>
                    <c:layout>
                      <c:manualLayout>
                        <c:x val="2.0964360587001993E-2"/>
                        <c:y val="-1.6785689174628008E-16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2-AC28-43B1-BC75-84EF285F8AB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DK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mix'!$D$205:$AC$205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mix'!$D$219:$AC$219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5" formatCode="0%">
                        <c:v>2.8455755729754634E-2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AC28-43B1-BC75-84EF285F8AB8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mix'!$A$220</c15:sqref>
                        </c15:formulaRef>
                      </c:ext>
                    </c:extLst>
                    <c:strCache>
                      <c:ptCount val="1"/>
                      <c:pt idx="0">
                        <c:v>Electricity - CTP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Lbl>
                    <c:idx val="25"/>
                    <c:layout>
                      <c:manualLayout>
                        <c:x val="3.3542976939203356E-2"/>
                        <c:y val="0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4-AC28-43B1-BC75-84EF285F8AB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DK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mix'!$D$205:$AC$205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mix'!$D$220:$AC$220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5" formatCode="0%">
                        <c:v>0.5307578304109567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AC28-43B1-BC75-84EF285F8AB8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mix'!$A$221</c15:sqref>
                        </c15:formulaRef>
                      </c:ext>
                    </c:extLst>
                    <c:strCache>
                      <c:ptCount val="1"/>
                      <c:pt idx="0">
                        <c:v>District heating - CTP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Lbl>
                    <c:idx val="25"/>
                    <c:layout>
                      <c:manualLayout>
                        <c:x val="2.6554856743535988E-2"/>
                        <c:y val="2.288984056955691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6-AC28-43B1-BC75-84EF285F8AB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DK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mix'!$D$205:$AC$205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mix'!$D$221:$AC$221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5" formatCode="0%">
                        <c:v>7.1317182635091125E-2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AC28-43B1-BC75-84EF285F8AB8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mix'!$A$222</c15:sqref>
                        </c15:formulaRef>
                      </c:ext>
                    </c:extLst>
                    <c:strCache>
                      <c:ptCount val="1"/>
                      <c:pt idx="0">
                        <c:v>Biomass - CTP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Lbl>
                    <c:idx val="25"/>
                    <c:layout>
                      <c:manualLayout>
                        <c:x val="2.7952480782669462E-2"/>
                        <c:y val="0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8-AC28-43B1-BC75-84EF285F8AB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DK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mix'!$D$205:$AC$205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mix'!$D$222:$AC$222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5" formatCode="0%">
                        <c:v>3.5392509821187267E-2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AC28-43B1-BC75-84EF285F8AB8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mix'!$A$223</c15:sqref>
                        </c15:formulaRef>
                      </c:ext>
                    </c:extLst>
                    <c:strCache>
                      <c:ptCount val="1"/>
                      <c:pt idx="0">
                        <c:v>Other renewables - CTP</c:v>
                      </c:pt>
                    </c:strCache>
                  </c:strRef>
                </c:tx>
                <c:spPr>
                  <a:solidFill>
                    <a:srgbClr val="FFFF99"/>
                  </a:solidFill>
                  <a:ln>
                    <a:noFill/>
                  </a:ln>
                  <a:effectLst/>
                </c:spPr>
                <c:invertIfNegative val="0"/>
                <c:dLbls>
                  <c:dLbl>
                    <c:idx val="25"/>
                    <c:layout>
                      <c:manualLayout>
                        <c:x val="2.6554856743535988E-2"/>
                        <c:y val="-2.2889840569557326E-3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A-AC28-43B1-BC75-84EF285F8AB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DK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mix'!$D$205:$AC$205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mix'!$D$223:$AC$223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5" formatCode="0%">
                        <c:v>0.14743242799100206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AC28-43B1-BC75-84EF285F8AB8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6"/>
          <c:order val="6"/>
          <c:tx>
            <c:strRef>
              <c:f>'7 energy mix'!$A$212</c:f>
              <c:strCache>
                <c:ptCount val="1"/>
                <c:pt idx="0">
                  <c:v>Natural gas trend (2011-2021 extrapolated)</c:v>
                </c:pt>
              </c:strCache>
            </c:strRef>
          </c:tx>
          <c:spPr>
            <a:ln w="19050" cap="rnd">
              <a:solidFill>
                <a:srgbClr val="AFABAB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'7 energy mix'!$D$205:$AC$205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'7 energy mix'!$D$212:$AC$212</c:f>
              <c:numCache>
                <c:formatCode>0%</c:formatCode>
                <c:ptCount val="26"/>
                <c:pt idx="0">
                  <c:v>0.28674039037497423</c:v>
                </c:pt>
                <c:pt idx="1">
                  <c:v>0.29486290234120116</c:v>
                </c:pt>
                <c:pt idx="2">
                  <c:v>0.27916184055389059</c:v>
                </c:pt>
                <c:pt idx="3">
                  <c:v>0.27953515254323791</c:v>
                </c:pt>
                <c:pt idx="4">
                  <c:v>0.28366204649764776</c:v>
                </c:pt>
                <c:pt idx="5">
                  <c:v>0.28833418812747164</c:v>
                </c:pt>
                <c:pt idx="6">
                  <c:v>0.27263557743582195</c:v>
                </c:pt>
                <c:pt idx="7">
                  <c:v>0.27835656992315033</c:v>
                </c:pt>
                <c:pt idx="8">
                  <c:v>0.29089060435175823</c:v>
                </c:pt>
                <c:pt idx="9">
                  <c:v>0.27168807252326377</c:v>
                </c:pt>
                <c:pt idx="10">
                  <c:v>0.28008435178076657</c:v>
                </c:pt>
                <c:pt idx="11">
                  <c:v>0.28063693134663564</c:v>
                </c:pt>
                <c:pt idx="12">
                  <c:v>0.27195332894992275</c:v>
                </c:pt>
                <c:pt idx="13">
                  <c:v>0.28727600615236737</c:v>
                </c:pt>
                <c:pt idx="14">
                  <c:v>0.28133633645814488</c:v>
                </c:pt>
                <c:pt idx="15">
                  <c:v>0.28510519337908574</c:v>
                </c:pt>
                <c:pt idx="16">
                  <c:v>0.29523750247937836</c:v>
                </c:pt>
                <c:pt idx="17">
                  <c:v>0.28871201551392023</c:v>
                </c:pt>
                <c:pt idx="18">
                  <c:v>0.28993370787562966</c:v>
                </c:pt>
                <c:pt idx="19">
                  <c:v>0.29115540023733955</c:v>
                </c:pt>
                <c:pt idx="20">
                  <c:v>0.29237709259904898</c:v>
                </c:pt>
                <c:pt idx="21">
                  <c:v>0.29359878496075842</c:v>
                </c:pt>
                <c:pt idx="22">
                  <c:v>0.29482047732246786</c:v>
                </c:pt>
                <c:pt idx="23">
                  <c:v>0.29604216968417729</c:v>
                </c:pt>
                <c:pt idx="24">
                  <c:v>0.29726386204588717</c:v>
                </c:pt>
                <c:pt idx="25">
                  <c:v>0.29848555440759661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C28-43B1-BC75-84EF285F8AB8}"/>
            </c:ext>
          </c:extLst>
        </c:ser>
        <c:ser>
          <c:idx val="7"/>
          <c:order val="7"/>
          <c:tx>
            <c:strRef>
              <c:f>'7 energy mix'!$A$213</c:f>
              <c:strCache>
                <c:ptCount val="1"/>
                <c:pt idx="0">
                  <c:v>Other fossil fuels trend (2011-2021 extrapolated)</c:v>
                </c:pt>
              </c:strCache>
            </c:strRef>
          </c:tx>
          <c:spPr>
            <a:ln w="19050" cap="rnd">
              <a:solidFill>
                <a:srgbClr val="2C2D2D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'7 energy mix'!$D$205:$AC$205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'7 energy mix'!$D$213:$AC$213</c:f>
              <c:numCache>
                <c:formatCode>0%</c:formatCode>
                <c:ptCount val="26"/>
                <c:pt idx="0">
                  <c:v>0.18303492859148743</c:v>
                </c:pt>
                <c:pt idx="1">
                  <c:v>0.17168610644333099</c:v>
                </c:pt>
                <c:pt idx="2">
                  <c:v>0.14938053678071175</c:v>
                </c:pt>
                <c:pt idx="3">
                  <c:v>0.15940341770210814</c:v>
                </c:pt>
                <c:pt idx="4">
                  <c:v>0.14889909505903409</c:v>
                </c:pt>
                <c:pt idx="5">
                  <c:v>0.14004175449219833</c:v>
                </c:pt>
                <c:pt idx="6">
                  <c:v>0.13533181280619094</c:v>
                </c:pt>
                <c:pt idx="7">
                  <c:v>0.13064461306752884</c:v>
                </c:pt>
                <c:pt idx="8">
                  <c:v>0.13331936715822404</c:v>
                </c:pt>
                <c:pt idx="9">
                  <c:v>0.1280795218746815</c:v>
                </c:pt>
                <c:pt idx="10">
                  <c:v>0.12356209545552101</c:v>
                </c:pt>
                <c:pt idx="11">
                  <c:v>0.12070586139234032</c:v>
                </c:pt>
                <c:pt idx="12">
                  <c:v>0.11771633797698035</c:v>
                </c:pt>
                <c:pt idx="13">
                  <c:v>8.9783081649018492E-2</c:v>
                </c:pt>
                <c:pt idx="14">
                  <c:v>8.9915869410007537E-2</c:v>
                </c:pt>
                <c:pt idx="15">
                  <c:v>8.7725543586284566E-2</c:v>
                </c:pt>
                <c:pt idx="16">
                  <c:v>9.2127550047558279E-2</c:v>
                </c:pt>
                <c:pt idx="17">
                  <c:v>8.0791238244430019E-2</c:v>
                </c:pt>
                <c:pt idx="18">
                  <c:v>7.5333540763587337E-2</c:v>
                </c:pt>
                <c:pt idx="19">
                  <c:v>6.9875843282744654E-2</c:v>
                </c:pt>
                <c:pt idx="20">
                  <c:v>6.4418145801901971E-2</c:v>
                </c:pt>
                <c:pt idx="21">
                  <c:v>5.8960448321061065E-2</c:v>
                </c:pt>
                <c:pt idx="22">
                  <c:v>5.3502750840218383E-2</c:v>
                </c:pt>
                <c:pt idx="23">
                  <c:v>4.80450533593757E-2</c:v>
                </c:pt>
                <c:pt idx="24">
                  <c:v>4.2587355878533018E-2</c:v>
                </c:pt>
                <c:pt idx="25">
                  <c:v>3.7129658397690335E-2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C28-43B1-BC75-84EF285F8AB8}"/>
            </c:ext>
          </c:extLst>
        </c:ser>
        <c:ser>
          <c:idx val="8"/>
          <c:order val="8"/>
          <c:tx>
            <c:strRef>
              <c:f>'7 energy mix'!$A$214</c:f>
              <c:strCache>
                <c:ptCount val="1"/>
                <c:pt idx="0">
                  <c:v>Electricity trend (2011-2021 extrapolated)</c:v>
                </c:pt>
              </c:strCache>
            </c:strRef>
          </c:tx>
          <c:spPr>
            <a:ln w="19050" cap="rnd">
              <a:solidFill>
                <a:srgbClr val="648ECA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'7 energy mix'!$D$205:$AC$205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'7 energy mix'!$D$214:$AC$214</c:f>
              <c:numCache>
                <c:formatCode>0%</c:formatCode>
                <c:ptCount val="26"/>
                <c:pt idx="0">
                  <c:v>0.4358717270610048</c:v>
                </c:pt>
                <c:pt idx="1">
                  <c:v>0.44263953826605279</c:v>
                </c:pt>
                <c:pt idx="2">
                  <c:v>0.47337411728534018</c:v>
                </c:pt>
                <c:pt idx="3">
                  <c:v>0.46008125565358077</c:v>
                </c:pt>
                <c:pt idx="4">
                  <c:v>0.46433031368751032</c:v>
                </c:pt>
                <c:pt idx="5">
                  <c:v>0.4569074026705896</c:v>
                </c:pt>
                <c:pt idx="6">
                  <c:v>0.48565312964172158</c:v>
                </c:pt>
                <c:pt idx="7">
                  <c:v>0.48114770873911977</c:v>
                </c:pt>
                <c:pt idx="8">
                  <c:v>0.47215821895780563</c:v>
                </c:pt>
                <c:pt idx="9">
                  <c:v>0.49203882892340833</c:v>
                </c:pt>
                <c:pt idx="10">
                  <c:v>0.49050824600429771</c:v>
                </c:pt>
                <c:pt idx="11">
                  <c:v>0.48843922633937875</c:v>
                </c:pt>
                <c:pt idx="12">
                  <c:v>0.47587446242701398</c:v>
                </c:pt>
                <c:pt idx="13">
                  <c:v>0.4834062190636545</c:v>
                </c:pt>
                <c:pt idx="14">
                  <c:v>0.48537197021579132</c:v>
                </c:pt>
                <c:pt idx="15">
                  <c:v>0.48050100174958987</c:v>
                </c:pt>
                <c:pt idx="16">
                  <c:v>0.4630509370410521</c:v>
                </c:pt>
                <c:pt idx="17">
                  <c:v>0.47576696589202294</c:v>
                </c:pt>
                <c:pt idx="18">
                  <c:v>0.47478646097852928</c:v>
                </c:pt>
                <c:pt idx="19">
                  <c:v>0.47380595606503562</c:v>
                </c:pt>
                <c:pt idx="20">
                  <c:v>0.47282545115154218</c:v>
                </c:pt>
                <c:pt idx="21">
                  <c:v>0.47184494623804851</c:v>
                </c:pt>
                <c:pt idx="22">
                  <c:v>0.47086444132455485</c:v>
                </c:pt>
                <c:pt idx="23">
                  <c:v>0.46988393641106119</c:v>
                </c:pt>
                <c:pt idx="24">
                  <c:v>0.46890343149756752</c:v>
                </c:pt>
                <c:pt idx="25">
                  <c:v>0.46792292658407386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C28-43B1-BC75-84EF285F8AB8}"/>
            </c:ext>
          </c:extLst>
        </c:ser>
        <c:ser>
          <c:idx val="9"/>
          <c:order val="9"/>
          <c:tx>
            <c:strRef>
              <c:f>'7 energy mix'!$A$215</c:f>
              <c:strCache>
                <c:ptCount val="1"/>
                <c:pt idx="0">
                  <c:v>District heating trend (2011-2021 extrapolated)</c:v>
                </c:pt>
              </c:strCache>
            </c:strRef>
          </c:tx>
          <c:spPr>
            <a:ln w="19050" cap="rnd">
              <a:solidFill>
                <a:srgbClr val="F59E2D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'7 energy mix'!$D$205:$AC$205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'7 energy mix'!$D$215:$AC$215</c:f>
              <c:numCache>
                <c:formatCode>0%</c:formatCode>
                <c:ptCount val="26"/>
                <c:pt idx="0">
                  <c:v>7.378560834326843E-2</c:v>
                </c:pt>
                <c:pt idx="1">
                  <c:v>6.9686819623166488E-2</c:v>
                </c:pt>
                <c:pt idx="2">
                  <c:v>7.3742026700063815E-2</c:v>
                </c:pt>
                <c:pt idx="3">
                  <c:v>7.4736693381736205E-2</c:v>
                </c:pt>
                <c:pt idx="4">
                  <c:v>7.4995721790034303E-2</c:v>
                </c:pt>
                <c:pt idx="5">
                  <c:v>8.4048792717162521E-2</c:v>
                </c:pt>
                <c:pt idx="6">
                  <c:v>7.5904284728475699E-2</c:v>
                </c:pt>
                <c:pt idx="7">
                  <c:v>7.6371954314830154E-2</c:v>
                </c:pt>
                <c:pt idx="8">
                  <c:v>6.835225667182783E-2</c:v>
                </c:pt>
                <c:pt idx="9">
                  <c:v>6.9000715456229059E-2</c:v>
                </c:pt>
                <c:pt idx="10">
                  <c:v>6.5831494680915759E-2</c:v>
                </c:pt>
                <c:pt idx="11">
                  <c:v>6.8021758575033134E-2</c:v>
                </c:pt>
                <c:pt idx="12">
                  <c:v>6.8986542953595117E-2</c:v>
                </c:pt>
                <c:pt idx="13">
                  <c:v>7.0235509523141393E-2</c:v>
                </c:pt>
                <c:pt idx="14">
                  <c:v>7.090936979965777E-2</c:v>
                </c:pt>
                <c:pt idx="15">
                  <c:v>6.9854629191958006E-2</c:v>
                </c:pt>
                <c:pt idx="16">
                  <c:v>7.2671761678258548E-2</c:v>
                </c:pt>
                <c:pt idx="17">
                  <c:v>6.8979883054761326E-2</c:v>
                </c:pt>
                <c:pt idx="18">
                  <c:v>6.8716829055192385E-2</c:v>
                </c:pt>
                <c:pt idx="19">
                  <c:v>6.8453775055623445E-2</c:v>
                </c:pt>
                <c:pt idx="20">
                  <c:v>6.8190721056054504E-2</c:v>
                </c:pt>
                <c:pt idx="21">
                  <c:v>6.7927667056485674E-2</c:v>
                </c:pt>
                <c:pt idx="22">
                  <c:v>6.7664613056916734E-2</c:v>
                </c:pt>
                <c:pt idx="23">
                  <c:v>6.7401559057347793E-2</c:v>
                </c:pt>
                <c:pt idx="24">
                  <c:v>6.7138505057778852E-2</c:v>
                </c:pt>
                <c:pt idx="25">
                  <c:v>6.6875451058210023E-2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AC28-43B1-BC75-84EF285F8AB8}"/>
            </c:ext>
          </c:extLst>
        </c:ser>
        <c:ser>
          <c:idx val="10"/>
          <c:order val="10"/>
          <c:tx>
            <c:strRef>
              <c:f>'7 energy mix'!$A$216</c:f>
              <c:strCache>
                <c:ptCount val="1"/>
                <c:pt idx="0">
                  <c:v>Biomass trend (2011-2021 extrapolated)</c:v>
                </c:pt>
              </c:strCache>
            </c:strRef>
          </c:tx>
          <c:spPr>
            <a:ln w="19050" cap="rnd">
              <a:solidFill>
                <a:srgbClr val="64786A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'7 energy mix'!$D$205:$AC$205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'7 energy mix'!$D$216:$AC$216</c:f>
              <c:numCache>
                <c:formatCode>0%</c:formatCode>
                <c:ptCount val="26"/>
                <c:pt idx="0">
                  <c:v>1.6231475504010218E-2</c:v>
                </c:pt>
                <c:pt idx="1">
                  <c:v>1.6677183425327716E-2</c:v>
                </c:pt>
                <c:pt idx="2">
                  <c:v>1.9280893255358807E-2</c:v>
                </c:pt>
                <c:pt idx="3">
                  <c:v>2.0766669373469372E-2</c:v>
                </c:pt>
                <c:pt idx="4">
                  <c:v>2.2327052943434511E-2</c:v>
                </c:pt>
                <c:pt idx="5">
                  <c:v>2.4661362147189534E-2</c:v>
                </c:pt>
                <c:pt idx="6">
                  <c:v>2.2523938404310054E-2</c:v>
                </c:pt>
                <c:pt idx="7">
                  <c:v>2.4854539085757528E-2</c:v>
                </c:pt>
                <c:pt idx="8">
                  <c:v>2.5927110353791642E-2</c:v>
                </c:pt>
                <c:pt idx="9">
                  <c:v>2.5403763538107138E-2</c:v>
                </c:pt>
                <c:pt idx="10">
                  <c:v>2.5960112464579958E-2</c:v>
                </c:pt>
                <c:pt idx="11">
                  <c:v>2.7083884913821923E-2</c:v>
                </c:pt>
                <c:pt idx="12">
                  <c:v>2.8349169399127752E-2</c:v>
                </c:pt>
                <c:pt idx="13">
                  <c:v>3.0277621441593742E-2</c:v>
                </c:pt>
                <c:pt idx="14">
                  <c:v>3.1400164618123345E-2</c:v>
                </c:pt>
                <c:pt idx="15">
                  <c:v>3.2722989521408834E-2</c:v>
                </c:pt>
                <c:pt idx="16">
                  <c:v>3.3162295928449381E-2</c:v>
                </c:pt>
                <c:pt idx="17">
                  <c:v>3.414531860070591E-2</c:v>
                </c:pt>
                <c:pt idx="18">
                  <c:v>3.5174605190686048E-2</c:v>
                </c:pt>
                <c:pt idx="19">
                  <c:v>3.6203891780666186E-2</c:v>
                </c:pt>
                <c:pt idx="20">
                  <c:v>3.7233178370646325E-2</c:v>
                </c:pt>
                <c:pt idx="21">
                  <c:v>3.8262464960626463E-2</c:v>
                </c:pt>
                <c:pt idx="22">
                  <c:v>3.9291751550606602E-2</c:v>
                </c:pt>
                <c:pt idx="23">
                  <c:v>4.032103814058674E-2</c:v>
                </c:pt>
                <c:pt idx="24">
                  <c:v>4.1350324730566879E-2</c:v>
                </c:pt>
                <c:pt idx="25">
                  <c:v>4.2379611320547017E-2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AC28-43B1-BC75-84EF285F8AB8}"/>
            </c:ext>
          </c:extLst>
        </c:ser>
        <c:ser>
          <c:idx val="11"/>
          <c:order val="11"/>
          <c:tx>
            <c:strRef>
              <c:f>'7 energy mix'!$A$217</c:f>
              <c:strCache>
                <c:ptCount val="1"/>
                <c:pt idx="0">
                  <c:v>Other renewables trend (2011-2021 extrapolated)</c:v>
                </c:pt>
              </c:strCache>
            </c:strRef>
          </c:tx>
          <c:spPr>
            <a:ln w="19050" cap="rnd">
              <a:solidFill>
                <a:srgbClr val="B497C7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'7 energy mix'!$D$205:$AC$205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'7 energy mix'!$D$217:$AC$217</c:f>
              <c:numCache>
                <c:formatCode>0%</c:formatCode>
                <c:ptCount val="26"/>
                <c:pt idx="0">
                  <c:v>4.3358310568153572E-3</c:v>
                </c:pt>
                <c:pt idx="1">
                  <c:v>4.4474649373922688E-3</c:v>
                </c:pt>
                <c:pt idx="2">
                  <c:v>5.0605616714821172E-3</c:v>
                </c:pt>
                <c:pt idx="3">
                  <c:v>5.4768337038195013E-3</c:v>
                </c:pt>
                <c:pt idx="4">
                  <c:v>5.7857700223389917E-3</c:v>
                </c:pt>
                <c:pt idx="5">
                  <c:v>6.0064998453883932E-3</c:v>
                </c:pt>
                <c:pt idx="6">
                  <c:v>7.9512491896349957E-3</c:v>
                </c:pt>
                <c:pt idx="7">
                  <c:v>8.6246529944459666E-3</c:v>
                </c:pt>
                <c:pt idx="8">
                  <c:v>9.3524349722417573E-3</c:v>
                </c:pt>
                <c:pt idx="9">
                  <c:v>1.3789073380202294E-2</c:v>
                </c:pt>
                <c:pt idx="10">
                  <c:v>1.4053637366505851E-2</c:v>
                </c:pt>
                <c:pt idx="11">
                  <c:v>1.5112406572405708E-2</c:v>
                </c:pt>
                <c:pt idx="12">
                  <c:v>3.7120173231881944E-2</c:v>
                </c:pt>
                <c:pt idx="13">
                  <c:v>3.9021577360579901E-2</c:v>
                </c:pt>
                <c:pt idx="14">
                  <c:v>4.106625060830716E-2</c:v>
                </c:pt>
                <c:pt idx="15">
                  <c:v>4.4090642571672882E-2</c:v>
                </c:pt>
                <c:pt idx="16">
                  <c:v>4.3749968292417042E-2</c:v>
                </c:pt>
                <c:pt idx="17">
                  <c:v>5.1604581206779798E-2</c:v>
                </c:pt>
                <c:pt idx="18">
                  <c:v>5.6054858884571956E-2</c:v>
                </c:pt>
                <c:pt idx="19">
                  <c:v>6.0505136562364115E-2</c:v>
                </c:pt>
                <c:pt idx="20">
                  <c:v>6.4955414240156273E-2</c:v>
                </c:pt>
                <c:pt idx="21">
                  <c:v>6.9405691917948431E-2</c:v>
                </c:pt>
                <c:pt idx="22">
                  <c:v>7.3855969595740589E-2</c:v>
                </c:pt>
                <c:pt idx="23">
                  <c:v>7.8306247273532747E-2</c:v>
                </c:pt>
                <c:pt idx="24">
                  <c:v>8.2756524951324906E-2</c:v>
                </c:pt>
                <c:pt idx="25">
                  <c:v>8.7206802629117064E-2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AC28-43B1-BC75-84EF285F8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1333840"/>
        <c:axId val="1751335088"/>
      </c:lineChart>
      <c:catAx>
        <c:axId val="175133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751335088"/>
        <c:crosses val="autoZero"/>
        <c:auto val="1"/>
        <c:lblAlgn val="ctr"/>
        <c:lblOffset val="100"/>
        <c:noMultiLvlLbl val="0"/>
      </c:catAx>
      <c:valAx>
        <c:axId val="17513350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75133384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73847818964710288"/>
          <c:y val="0.28448479729729731"/>
          <c:w val="0.25557778713844426"/>
          <c:h val="0.431030405405405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993827160493832E-2"/>
          <c:y val="6.356356356356356E-2"/>
          <c:w val="0.80401234567901236"/>
          <c:h val="0.864139764764764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'7 energy mix'!$AG$212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AFABA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 energy mix'!$AH$211:$AI$211</c:f>
              <c:strCache>
                <c:ptCount val="2"/>
                <c:pt idx="0">
                  <c:v>Trend</c:v>
                </c:pt>
                <c:pt idx="1">
                  <c:v>Benchmark</c:v>
                </c:pt>
              </c:strCache>
            </c:strRef>
          </c:cat>
          <c:val>
            <c:numRef>
              <c:f>'7 energy mix'!$AH$212:$AI$212</c:f>
              <c:numCache>
                <c:formatCode>0%</c:formatCode>
                <c:ptCount val="2"/>
                <c:pt idx="0">
                  <c:v>0.29848555440759661</c:v>
                </c:pt>
                <c:pt idx="1">
                  <c:v>0.18826719786626087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15-4B1B-A351-EA6737A2579A}"/>
            </c:ext>
          </c:extLst>
        </c:ser>
        <c:ser>
          <c:idx val="1"/>
          <c:order val="1"/>
          <c:tx>
            <c:strRef>
              <c:f>'7 energy mix'!$AG$213</c:f>
              <c:strCache>
                <c:ptCount val="1"/>
                <c:pt idx="0">
                  <c:v>Other fossils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2C2D2D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 energy mix'!$AH$211:$AI$211</c:f>
              <c:strCache>
                <c:ptCount val="2"/>
                <c:pt idx="0">
                  <c:v>Trend</c:v>
                </c:pt>
                <c:pt idx="1">
                  <c:v>Benchmark</c:v>
                </c:pt>
              </c:strCache>
            </c:strRef>
          </c:cat>
          <c:val>
            <c:numRef>
              <c:f>'7 energy mix'!$AH$213:$AI$213</c:f>
              <c:numCache>
                <c:formatCode>0%</c:formatCode>
                <c:ptCount val="2"/>
                <c:pt idx="0">
                  <c:v>3.7129658397690335E-2</c:v>
                </c:pt>
                <c:pt idx="1">
                  <c:v>2.8455755729754634E-2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15-4B1B-A351-EA6737A2579A}"/>
            </c:ext>
          </c:extLst>
        </c:ser>
        <c:ser>
          <c:idx val="2"/>
          <c:order val="2"/>
          <c:tx>
            <c:strRef>
              <c:f>'7 energy mix'!$AG$214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648EC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 energy mix'!$AH$211:$AI$211</c:f>
              <c:strCache>
                <c:ptCount val="2"/>
                <c:pt idx="0">
                  <c:v>Trend</c:v>
                </c:pt>
                <c:pt idx="1">
                  <c:v>Benchmark</c:v>
                </c:pt>
              </c:strCache>
            </c:strRef>
          </c:cat>
          <c:val>
            <c:numRef>
              <c:f>'7 energy mix'!$AH$214:$AI$214</c:f>
              <c:numCache>
                <c:formatCode>0%</c:formatCode>
                <c:ptCount val="2"/>
                <c:pt idx="0">
                  <c:v>0.46792292658407386</c:v>
                </c:pt>
                <c:pt idx="1">
                  <c:v>0.5307578304109567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15-4B1B-A351-EA6737A2579A}"/>
            </c:ext>
          </c:extLst>
        </c:ser>
        <c:ser>
          <c:idx val="3"/>
          <c:order val="3"/>
          <c:tx>
            <c:strRef>
              <c:f>'7 energy mix'!$AG$215</c:f>
              <c:strCache>
                <c:ptCount val="1"/>
                <c:pt idx="0">
                  <c:v>District heating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 energy mix'!$AH$211:$AI$211</c:f>
              <c:strCache>
                <c:ptCount val="2"/>
                <c:pt idx="0">
                  <c:v>Trend</c:v>
                </c:pt>
                <c:pt idx="1">
                  <c:v>Benchmark</c:v>
                </c:pt>
              </c:strCache>
            </c:strRef>
          </c:cat>
          <c:val>
            <c:numRef>
              <c:f>'7 energy mix'!$AH$215:$AI$215</c:f>
              <c:numCache>
                <c:formatCode>0%</c:formatCode>
                <c:ptCount val="2"/>
                <c:pt idx="0">
                  <c:v>6.6875451058210023E-2</c:v>
                </c:pt>
                <c:pt idx="1">
                  <c:v>7.1317182635091125E-2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15-4B1B-A351-EA6737A2579A}"/>
            </c:ext>
          </c:extLst>
        </c:ser>
        <c:ser>
          <c:idx val="4"/>
          <c:order val="4"/>
          <c:tx>
            <c:strRef>
              <c:f>'7 energy mix'!$AG$216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64786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 energy mix'!$AH$211:$AI$211</c:f>
              <c:strCache>
                <c:ptCount val="2"/>
                <c:pt idx="0">
                  <c:v>Trend</c:v>
                </c:pt>
                <c:pt idx="1">
                  <c:v>Benchmark</c:v>
                </c:pt>
              </c:strCache>
            </c:strRef>
          </c:cat>
          <c:val>
            <c:numRef>
              <c:f>'7 energy mix'!$AH$216:$AI$216</c:f>
              <c:numCache>
                <c:formatCode>0%</c:formatCode>
                <c:ptCount val="2"/>
                <c:pt idx="0">
                  <c:v>4.2379611320547017E-2</c:v>
                </c:pt>
                <c:pt idx="1">
                  <c:v>3.5392509821187267E-2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15-4B1B-A351-EA6737A2579A}"/>
            </c:ext>
          </c:extLst>
        </c:ser>
        <c:ser>
          <c:idx val="5"/>
          <c:order val="5"/>
          <c:tx>
            <c:strRef>
              <c:f>'7 energy mix'!$AG$217</c:f>
              <c:strCache>
                <c:ptCount val="1"/>
                <c:pt idx="0">
                  <c:v>Other renewables</c:v>
                </c:pt>
              </c:strCache>
            </c:strRef>
          </c:tx>
          <c:spPr>
            <a:solidFill>
              <a:srgbClr val="B497C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 energy mix'!$AH$211:$AI$211</c:f>
              <c:strCache>
                <c:ptCount val="2"/>
                <c:pt idx="0">
                  <c:v>Trend</c:v>
                </c:pt>
                <c:pt idx="1">
                  <c:v>Benchmark</c:v>
                </c:pt>
              </c:strCache>
            </c:strRef>
          </c:cat>
          <c:val>
            <c:numRef>
              <c:f>'7 energy mix'!$AH$217:$AI$217</c:f>
              <c:numCache>
                <c:formatCode>0%</c:formatCode>
                <c:ptCount val="2"/>
                <c:pt idx="0">
                  <c:v>8.7206802629117064E-2</c:v>
                </c:pt>
                <c:pt idx="1">
                  <c:v>0.14743242799100206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15-4B1B-A351-EA6737A25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3636928"/>
        <c:axId val="543646080"/>
      </c:barChart>
      <c:catAx>
        <c:axId val="54363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43646080"/>
        <c:crosses val="autoZero"/>
        <c:auto val="1"/>
        <c:lblAlgn val="ctr"/>
        <c:lblOffset val="100"/>
        <c:noMultiLvlLbl val="0"/>
      </c:catAx>
      <c:valAx>
        <c:axId val="543646080"/>
        <c:scaling>
          <c:orientation val="minMax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543636928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2"/>
          <c:order val="0"/>
          <c:tx>
            <c:strRef>
              <c:f>'7 energy mix'!$A$295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AFABAB"/>
            </a:solidFill>
            <a:ln>
              <a:noFill/>
            </a:ln>
            <a:effectLst/>
          </c:spPr>
          <c:invertIfNegative val="0"/>
          <c:dLbls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B0B-4F43-8FE0-EF7D4FA5EBDF}"/>
                </c:ext>
              </c:extLst>
            </c:dLbl>
            <c:spPr>
              <a:solidFill>
                <a:srgbClr val="AFABAB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'7 energy mix'!$D$292:$H$293</c:f>
              <c:multiLvlStrCache>
                <c:ptCount val="5"/>
                <c:lvl>
                  <c:pt idx="1">
                    <c:v>Benchmark (CTP)</c:v>
                  </c:pt>
                  <c:pt idx="2">
                    <c:v>ESBACC 2040 advice*</c:v>
                  </c:pt>
                  <c:pt idx="3">
                    <c:v>Benchmark (CTP)</c:v>
                  </c:pt>
                  <c:pt idx="4">
                    <c:v>ESABCC 2040 advice*</c:v>
                  </c:pt>
                </c:lvl>
                <c:lvl>
                  <c:pt idx="0">
                    <c:v>2021</c:v>
                  </c:pt>
                  <c:pt idx="1">
                    <c:v>2030</c:v>
                  </c:pt>
                  <c:pt idx="2">
                    <c:v>2040</c:v>
                  </c:pt>
                  <c:pt idx="3">
                    <c:v>2050</c:v>
                  </c:pt>
                  <c:pt idx="4">
                    <c:v>2050</c:v>
                  </c:pt>
                </c:lvl>
              </c:multiLvlStrCache>
            </c:multiLvlStrRef>
          </c:cat>
          <c:val>
            <c:numRef>
              <c:f>'7 energy mix'!$D$295:$H$295</c:f>
              <c:numCache>
                <c:formatCode>0%</c:formatCode>
                <c:ptCount val="5"/>
                <c:pt idx="0">
                  <c:v>0.32186063095873657</c:v>
                </c:pt>
                <c:pt idx="1">
                  <c:v>0.19958848191222248</c:v>
                </c:pt>
                <c:pt idx="2">
                  <c:v>9.3471824382474242E-2</c:v>
                </c:pt>
                <c:pt idx="3">
                  <c:v>1.1412117976744811E-2</c:v>
                </c:pt>
                <c:pt idx="4">
                  <c:v>6.8554334503604297E-3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0B-4F43-8FE0-EF7D4FA5EBDF}"/>
            </c:ext>
          </c:extLst>
        </c:ser>
        <c:ser>
          <c:idx val="1"/>
          <c:order val="1"/>
          <c:tx>
            <c:strRef>
              <c:f>'7 energy mix'!$A$294</c:f>
              <c:strCache>
                <c:ptCount val="1"/>
                <c:pt idx="0">
                  <c:v>Other fossil fuels</c:v>
                </c:pt>
              </c:strCache>
            </c:strRef>
          </c:tx>
          <c:spPr>
            <a:solidFill>
              <a:srgbClr val="2C2D2D"/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B0B-4F43-8FE0-EF7D4FA5EBDF}"/>
                </c:ext>
              </c:extLst>
            </c:dLbl>
            <c:spPr>
              <a:solidFill>
                <a:srgbClr val="2C2D2D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'7 energy mix'!$D$292:$H$293</c:f>
              <c:multiLvlStrCache>
                <c:ptCount val="5"/>
                <c:lvl>
                  <c:pt idx="1">
                    <c:v>Benchmark (CTP)</c:v>
                  </c:pt>
                  <c:pt idx="2">
                    <c:v>ESBACC 2040 advice*</c:v>
                  </c:pt>
                  <c:pt idx="3">
                    <c:v>Benchmark (CTP)</c:v>
                  </c:pt>
                  <c:pt idx="4">
                    <c:v>ESABCC 2040 advice*</c:v>
                  </c:pt>
                </c:lvl>
                <c:lvl>
                  <c:pt idx="0">
                    <c:v>2021</c:v>
                  </c:pt>
                  <c:pt idx="1">
                    <c:v>2030</c:v>
                  </c:pt>
                  <c:pt idx="2">
                    <c:v>2040</c:v>
                  </c:pt>
                  <c:pt idx="3">
                    <c:v>2050</c:v>
                  </c:pt>
                  <c:pt idx="4">
                    <c:v>2050</c:v>
                  </c:pt>
                </c:lvl>
              </c:multiLvlStrCache>
            </c:multiLvlStrRef>
          </c:cat>
          <c:val>
            <c:numRef>
              <c:f>'7 energy mix'!$D$294:$H$294</c:f>
              <c:numCache>
                <c:formatCode>0%</c:formatCode>
                <c:ptCount val="5"/>
                <c:pt idx="0">
                  <c:v>0.11132570264027955</c:v>
                </c:pt>
                <c:pt idx="1">
                  <c:v>2.8891129460493319E-2</c:v>
                </c:pt>
                <c:pt idx="2">
                  <c:v>5.1937354690370086E-2</c:v>
                </c:pt>
                <c:pt idx="3">
                  <c:v>3.4085899093741072E-4</c:v>
                </c:pt>
                <c:pt idx="4">
                  <c:v>5.3011574917800905E-3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0B-4F43-8FE0-EF7D4FA5EBDF}"/>
            </c:ext>
          </c:extLst>
        </c:ser>
        <c:ser>
          <c:idx val="3"/>
          <c:order val="2"/>
          <c:tx>
            <c:strRef>
              <c:f>'7 energy mix'!$A$296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648ECA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648ECA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'7 energy mix'!$D$292:$H$293</c:f>
              <c:multiLvlStrCache>
                <c:ptCount val="5"/>
                <c:lvl>
                  <c:pt idx="1">
                    <c:v>Benchmark (CTP)</c:v>
                  </c:pt>
                  <c:pt idx="2">
                    <c:v>ESBACC 2040 advice*</c:v>
                  </c:pt>
                  <c:pt idx="3">
                    <c:v>Benchmark (CTP)</c:v>
                  </c:pt>
                  <c:pt idx="4">
                    <c:v>ESABCC 2040 advice*</c:v>
                  </c:pt>
                </c:lvl>
                <c:lvl>
                  <c:pt idx="0">
                    <c:v>2021</c:v>
                  </c:pt>
                  <c:pt idx="1">
                    <c:v>2030</c:v>
                  </c:pt>
                  <c:pt idx="2">
                    <c:v>2040</c:v>
                  </c:pt>
                  <c:pt idx="3">
                    <c:v>2050</c:v>
                  </c:pt>
                  <c:pt idx="4">
                    <c:v>2050</c:v>
                  </c:pt>
                </c:lvl>
              </c:multiLvlStrCache>
            </c:multiLvlStrRef>
          </c:cat>
          <c:val>
            <c:numRef>
              <c:f>'7 energy mix'!$D$296:$H$296</c:f>
              <c:numCache>
                <c:formatCode>0%</c:formatCode>
                <c:ptCount val="5"/>
                <c:pt idx="0">
                  <c:v>0.31739908432695835</c:v>
                </c:pt>
                <c:pt idx="1">
                  <c:v>0.4293334227753125</c:v>
                </c:pt>
                <c:pt idx="2">
                  <c:v>0.65983256477116548</c:v>
                </c:pt>
                <c:pt idx="3">
                  <c:v>0.50160948245628278</c:v>
                </c:pt>
                <c:pt idx="4">
                  <c:v>0.81808927927298414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0B-4F43-8FE0-EF7D4FA5EBDF}"/>
            </c:ext>
          </c:extLst>
        </c:ser>
        <c:ser>
          <c:idx val="4"/>
          <c:order val="3"/>
          <c:tx>
            <c:strRef>
              <c:f>'7 energy mix'!$A$297</c:f>
              <c:strCache>
                <c:ptCount val="1"/>
                <c:pt idx="0">
                  <c:v>District heating</c:v>
                </c:pt>
              </c:strCache>
            </c:strRef>
          </c:tx>
          <c:spPr>
            <a:solidFill>
              <a:srgbClr val="F59E2D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59E2D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'7 energy mix'!$D$292:$H$293</c:f>
              <c:multiLvlStrCache>
                <c:ptCount val="5"/>
                <c:lvl>
                  <c:pt idx="1">
                    <c:v>Benchmark (CTP)</c:v>
                  </c:pt>
                  <c:pt idx="2">
                    <c:v>ESBACC 2040 advice*</c:v>
                  </c:pt>
                  <c:pt idx="3">
                    <c:v>Benchmark (CTP)</c:v>
                  </c:pt>
                  <c:pt idx="4">
                    <c:v>ESABCC 2040 advice*</c:v>
                  </c:pt>
                </c:lvl>
                <c:lvl>
                  <c:pt idx="0">
                    <c:v>2021</c:v>
                  </c:pt>
                  <c:pt idx="1">
                    <c:v>2030</c:v>
                  </c:pt>
                  <c:pt idx="2">
                    <c:v>2040</c:v>
                  </c:pt>
                  <c:pt idx="3">
                    <c:v>2050</c:v>
                  </c:pt>
                  <c:pt idx="4">
                    <c:v>2050</c:v>
                  </c:pt>
                </c:lvl>
              </c:multiLvlStrCache>
            </c:multiLvlStrRef>
          </c:cat>
          <c:val>
            <c:numRef>
              <c:f>'7 energy mix'!$D$297:$H$297</c:f>
              <c:numCache>
                <c:formatCode>0%</c:formatCode>
                <c:ptCount val="5"/>
                <c:pt idx="0">
                  <c:v>8.1809289181563563E-2</c:v>
                </c:pt>
                <c:pt idx="1">
                  <c:v>8.6998567149267292E-2</c:v>
                </c:pt>
                <c:pt idx="2">
                  <c:v>0.10806701262668432</c:v>
                </c:pt>
                <c:pt idx="3">
                  <c:v>7.9306438383145716E-2</c:v>
                </c:pt>
                <c:pt idx="4">
                  <c:v>0.12027603034520791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0B-4F43-8FE0-EF7D4FA5EBDF}"/>
            </c:ext>
          </c:extLst>
        </c:ser>
        <c:ser>
          <c:idx val="5"/>
          <c:order val="4"/>
          <c:tx>
            <c:strRef>
              <c:f>'7 energy mix'!$A$298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64786A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64786A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'7 energy mix'!$D$292:$H$293</c:f>
              <c:multiLvlStrCache>
                <c:ptCount val="5"/>
                <c:lvl>
                  <c:pt idx="1">
                    <c:v>Benchmark (CTP)</c:v>
                  </c:pt>
                  <c:pt idx="2">
                    <c:v>ESBACC 2040 advice*</c:v>
                  </c:pt>
                  <c:pt idx="3">
                    <c:v>Benchmark (CTP)</c:v>
                  </c:pt>
                  <c:pt idx="4">
                    <c:v>ESABCC 2040 advice*</c:v>
                  </c:pt>
                </c:lvl>
                <c:lvl>
                  <c:pt idx="0">
                    <c:v>2021</c:v>
                  </c:pt>
                  <c:pt idx="1">
                    <c:v>2030</c:v>
                  </c:pt>
                  <c:pt idx="2">
                    <c:v>2040</c:v>
                  </c:pt>
                  <c:pt idx="3">
                    <c:v>2050</c:v>
                  </c:pt>
                  <c:pt idx="4">
                    <c:v>2050</c:v>
                  </c:pt>
                </c:lvl>
              </c:multiLvlStrCache>
            </c:multiLvlStrRef>
          </c:cat>
          <c:val>
            <c:numRef>
              <c:f>'7 energy mix'!$D$298:$H$298</c:f>
              <c:numCache>
                <c:formatCode>0%</c:formatCode>
                <c:ptCount val="5"/>
                <c:pt idx="0">
                  <c:v>0.12800622437193401</c:v>
                </c:pt>
                <c:pt idx="1">
                  <c:v>0.12102429554129139</c:v>
                </c:pt>
                <c:pt idx="2">
                  <c:v>8.6691243529306003E-2</c:v>
                </c:pt>
                <c:pt idx="3">
                  <c:v>0.11977996912733313</c:v>
                </c:pt>
                <c:pt idx="4">
                  <c:v>4.9478099439667467E-2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B0B-4F43-8FE0-EF7D4FA5EBDF}"/>
            </c:ext>
          </c:extLst>
        </c:ser>
        <c:ser>
          <c:idx val="6"/>
          <c:order val="5"/>
          <c:tx>
            <c:strRef>
              <c:f>'7 energy mix'!$A$299</c:f>
              <c:strCache>
                <c:ptCount val="1"/>
                <c:pt idx="0">
                  <c:v>Other renewables</c:v>
                </c:pt>
              </c:strCache>
            </c:strRef>
          </c:tx>
          <c:spPr>
            <a:solidFill>
              <a:srgbClr val="B497C7"/>
            </a:solidFill>
            <a:ln>
              <a:noFill/>
            </a:ln>
            <a:effectLst/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B0B-4F43-8FE0-EF7D4FA5EBD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B0B-4F43-8FE0-EF7D4FA5EBDF}"/>
                </c:ext>
              </c:extLst>
            </c:dLbl>
            <c:spPr>
              <a:solidFill>
                <a:srgbClr val="B497C7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'7 energy mix'!$D$292:$H$293</c:f>
              <c:multiLvlStrCache>
                <c:ptCount val="5"/>
                <c:lvl>
                  <c:pt idx="1">
                    <c:v>Benchmark (CTP)</c:v>
                  </c:pt>
                  <c:pt idx="2">
                    <c:v>ESBACC 2040 advice*</c:v>
                  </c:pt>
                  <c:pt idx="3">
                    <c:v>Benchmark (CTP)</c:v>
                  </c:pt>
                  <c:pt idx="4">
                    <c:v>ESABCC 2040 advice*</c:v>
                  </c:pt>
                </c:lvl>
                <c:lvl>
                  <c:pt idx="0">
                    <c:v>2021</c:v>
                  </c:pt>
                  <c:pt idx="1">
                    <c:v>2030</c:v>
                  </c:pt>
                  <c:pt idx="2">
                    <c:v>2040</c:v>
                  </c:pt>
                  <c:pt idx="3">
                    <c:v>2050</c:v>
                  </c:pt>
                  <c:pt idx="4">
                    <c:v>2050</c:v>
                  </c:pt>
                </c:lvl>
              </c:multiLvlStrCache>
            </c:multiLvlStrRef>
          </c:cat>
          <c:val>
            <c:numRef>
              <c:f>'7 energy mix'!$D$299:$H$299</c:f>
              <c:numCache>
                <c:formatCode>0%</c:formatCode>
                <c:ptCount val="5"/>
                <c:pt idx="0">
                  <c:v>3.9599068520527955E-2</c:v>
                </c:pt>
                <c:pt idx="1">
                  <c:v>0.13416410316141295</c:v>
                </c:pt>
                <c:pt idx="2">
                  <c:v>0</c:v>
                </c:pt>
                <c:pt idx="3">
                  <c:v>0.2875511330655563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0B-4F43-8FE0-EF7D4FA5EBD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01148399"/>
        <c:axId val="592812879"/>
      </c:barChart>
      <c:catAx>
        <c:axId val="1501148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92812879"/>
        <c:crosses val="autoZero"/>
        <c:auto val="1"/>
        <c:lblAlgn val="ctr"/>
        <c:lblOffset val="100"/>
        <c:noMultiLvlLbl val="0"/>
      </c:catAx>
      <c:valAx>
        <c:axId val="59281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501148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'7 energy mix'!$A$327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AFABAB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'7 energy mix'!$D$324:$I$325</c:f>
              <c:multiLvlStrCache>
                <c:ptCount val="6"/>
                <c:lvl>
                  <c:pt idx="1">
                    <c:v>Benchmark (CTP)</c:v>
                  </c:pt>
                  <c:pt idx="2">
                    <c:v>ESBACC 2040 advice</c:v>
                  </c:pt>
                  <c:pt idx="3">
                    <c:v>ESBACC 2040 advice</c:v>
                  </c:pt>
                  <c:pt idx="4">
                    <c:v>Benchmark (CTP)</c:v>
                  </c:pt>
                  <c:pt idx="5">
                    <c:v>ESABCC 2040 advice</c:v>
                  </c:pt>
                </c:lvl>
                <c:lvl>
                  <c:pt idx="0">
                    <c:v>2021</c:v>
                  </c:pt>
                  <c:pt idx="1">
                    <c:v>2030</c:v>
                  </c:pt>
                  <c:pt idx="3">
                    <c:v>2040</c:v>
                  </c:pt>
                  <c:pt idx="4">
                    <c:v>2050</c:v>
                  </c:pt>
                </c:lvl>
              </c:multiLvlStrCache>
            </c:multiLvlStrRef>
          </c:cat>
          <c:val>
            <c:numRef>
              <c:f>'7 energy mix'!$D$327:$I$327</c:f>
              <c:numCache>
                <c:formatCode>0</c:formatCode>
                <c:ptCount val="6"/>
                <c:pt idx="0">
                  <c:v>1464.05307515</c:v>
                </c:pt>
                <c:pt idx="1">
                  <c:v>746.48210209696947</c:v>
                </c:pt>
                <c:pt idx="2">
                  <c:v>907.40277777778499</c:v>
                </c:pt>
                <c:pt idx="3">
                  <c:v>269.51388888889107</c:v>
                </c:pt>
                <c:pt idx="4">
                  <c:v>38.088489739222354</c:v>
                </c:pt>
                <c:pt idx="5">
                  <c:v>16.805555555555689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75-4B82-8B4A-119BCF99A131}"/>
            </c:ext>
          </c:extLst>
        </c:ser>
        <c:ser>
          <c:idx val="1"/>
          <c:order val="1"/>
          <c:tx>
            <c:strRef>
              <c:f>'7 energy mix'!$A$326</c:f>
              <c:strCache>
                <c:ptCount val="1"/>
                <c:pt idx="0">
                  <c:v>Other fossil fuels</c:v>
                </c:pt>
              </c:strCache>
            </c:strRef>
          </c:tx>
          <c:spPr>
            <a:solidFill>
              <a:srgbClr val="2C2D2D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4.3380072799959176E-3"/>
                  <c:y val="-2.383633633633633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F75-4B82-8B4A-119BCF99A131}"/>
                </c:ext>
              </c:extLst>
            </c:dLbl>
            <c:dLbl>
              <c:idx val="4"/>
              <c:layout>
                <c:manualLayout>
                  <c:x val="3.9042065519963892E-2"/>
                  <c:y val="-2.383633633633633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F75-4B82-8B4A-119BCF99A131}"/>
                </c:ext>
              </c:extLst>
            </c:dLbl>
            <c:dLbl>
              <c:idx val="5"/>
              <c:layout>
                <c:manualLayout>
                  <c:x val="3.4704058239967972E-2"/>
                  <c:y val="-5.164539539539539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CE-42A6-BBB0-7D71FF5169C5}"/>
                </c:ext>
              </c:extLst>
            </c:dLbl>
            <c:spPr>
              <a:solidFill>
                <a:srgbClr val="2C2D2D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'7 energy mix'!$D$324:$I$325</c:f>
              <c:multiLvlStrCache>
                <c:ptCount val="6"/>
                <c:lvl>
                  <c:pt idx="1">
                    <c:v>Benchmark (CTP)</c:v>
                  </c:pt>
                  <c:pt idx="2">
                    <c:v>ESBACC 2040 advice</c:v>
                  </c:pt>
                  <c:pt idx="3">
                    <c:v>ESBACC 2040 advice</c:v>
                  </c:pt>
                  <c:pt idx="4">
                    <c:v>Benchmark (CTP)</c:v>
                  </c:pt>
                  <c:pt idx="5">
                    <c:v>ESABCC 2040 advice</c:v>
                  </c:pt>
                </c:lvl>
                <c:lvl>
                  <c:pt idx="0">
                    <c:v>2021</c:v>
                  </c:pt>
                  <c:pt idx="1">
                    <c:v>2030</c:v>
                  </c:pt>
                  <c:pt idx="3">
                    <c:v>2040</c:v>
                  </c:pt>
                  <c:pt idx="4">
                    <c:v>2050</c:v>
                  </c:pt>
                </c:lvl>
              </c:multiLvlStrCache>
            </c:multiLvlStrRef>
          </c:cat>
          <c:val>
            <c:numRef>
              <c:f>'7 energy mix'!$D$326:$I$326</c:f>
              <c:numCache>
                <c:formatCode>0</c:formatCode>
                <c:ptCount val="6"/>
                <c:pt idx="0">
                  <c:v>506.38916852999995</c:v>
                </c:pt>
                <c:pt idx="1">
                  <c:v>108.05589002430318</c:v>
                </c:pt>
                <c:pt idx="2">
                  <c:v>367.93518518518812</c:v>
                </c:pt>
                <c:pt idx="3">
                  <c:v>149.75462962963084</c:v>
                </c:pt>
                <c:pt idx="4">
                  <c:v>1.1376331900263499</c:v>
                </c:pt>
                <c:pt idx="5">
                  <c:v>12.995370370370475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75-4B82-8B4A-119BCF99A131}"/>
            </c:ext>
          </c:extLst>
        </c:ser>
        <c:ser>
          <c:idx val="3"/>
          <c:order val="2"/>
          <c:tx>
            <c:strRef>
              <c:f>'7 energy mix'!$A$328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648ECA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648ECA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'7 energy mix'!$D$324:$I$325</c:f>
              <c:multiLvlStrCache>
                <c:ptCount val="6"/>
                <c:lvl>
                  <c:pt idx="1">
                    <c:v>Benchmark (CTP)</c:v>
                  </c:pt>
                  <c:pt idx="2">
                    <c:v>ESBACC 2040 advice</c:v>
                  </c:pt>
                  <c:pt idx="3">
                    <c:v>ESBACC 2040 advice</c:v>
                  </c:pt>
                  <c:pt idx="4">
                    <c:v>Benchmark (CTP)</c:v>
                  </c:pt>
                  <c:pt idx="5">
                    <c:v>ESABCC 2040 advice</c:v>
                  </c:pt>
                </c:lvl>
                <c:lvl>
                  <c:pt idx="0">
                    <c:v>2021</c:v>
                  </c:pt>
                  <c:pt idx="1">
                    <c:v>2030</c:v>
                  </c:pt>
                  <c:pt idx="3">
                    <c:v>2040</c:v>
                  </c:pt>
                  <c:pt idx="4">
                    <c:v>2050</c:v>
                  </c:pt>
                </c:lvl>
              </c:multiLvlStrCache>
            </c:multiLvlStrRef>
          </c:cat>
          <c:val>
            <c:numRef>
              <c:f>'7 energy mix'!$D$328:$I$328</c:f>
              <c:numCache>
                <c:formatCode>0</c:formatCode>
                <c:ptCount val="6"/>
                <c:pt idx="0">
                  <c:v>1443.7587600400002</c:v>
                </c:pt>
                <c:pt idx="1">
                  <c:v>1605.7525607853022</c:v>
                </c:pt>
                <c:pt idx="2">
                  <c:v>1734.5185185185319</c:v>
                </c:pt>
                <c:pt idx="3">
                  <c:v>1902.5416666666815</c:v>
                </c:pt>
                <c:pt idx="4">
                  <c:v>1674.1456462827789</c:v>
                </c:pt>
                <c:pt idx="5">
                  <c:v>2005.4814814814974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75-4B82-8B4A-119BCF99A131}"/>
            </c:ext>
          </c:extLst>
        </c:ser>
        <c:ser>
          <c:idx val="4"/>
          <c:order val="3"/>
          <c:tx>
            <c:strRef>
              <c:f>'7 energy mix'!$A$329</c:f>
              <c:strCache>
                <c:ptCount val="1"/>
                <c:pt idx="0">
                  <c:v>District heating</c:v>
                </c:pt>
              </c:strCache>
            </c:strRef>
          </c:tx>
          <c:spPr>
            <a:solidFill>
              <a:srgbClr val="F59E2D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59E2D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'7 energy mix'!$D$324:$I$325</c:f>
              <c:multiLvlStrCache>
                <c:ptCount val="6"/>
                <c:lvl>
                  <c:pt idx="1">
                    <c:v>Benchmark (CTP)</c:v>
                  </c:pt>
                  <c:pt idx="2">
                    <c:v>ESBACC 2040 advice</c:v>
                  </c:pt>
                  <c:pt idx="3">
                    <c:v>ESBACC 2040 advice</c:v>
                  </c:pt>
                  <c:pt idx="4">
                    <c:v>Benchmark (CTP)</c:v>
                  </c:pt>
                  <c:pt idx="5">
                    <c:v>ESABCC 2040 advice</c:v>
                  </c:pt>
                </c:lvl>
                <c:lvl>
                  <c:pt idx="0">
                    <c:v>2021</c:v>
                  </c:pt>
                  <c:pt idx="1">
                    <c:v>2030</c:v>
                  </c:pt>
                  <c:pt idx="3">
                    <c:v>2040</c:v>
                  </c:pt>
                  <c:pt idx="4">
                    <c:v>2050</c:v>
                  </c:pt>
                </c:lvl>
              </c:multiLvlStrCache>
            </c:multiLvlStrRef>
          </c:cat>
          <c:val>
            <c:numRef>
              <c:f>'7 energy mix'!$D$329:$I$329</c:f>
              <c:numCache>
                <c:formatCode>0</c:formatCode>
                <c:ptCount val="6"/>
                <c:pt idx="0">
                  <c:v>372.12734296000002</c:v>
                </c:pt>
                <c:pt idx="1">
                  <c:v>325.38387317145282</c:v>
                </c:pt>
                <c:pt idx="2">
                  <c:v>399.28703703704014</c:v>
                </c:pt>
                <c:pt idx="3">
                  <c:v>311.59722222222467</c:v>
                </c:pt>
                <c:pt idx="4">
                  <c:v>264.68903237471864</c:v>
                </c:pt>
                <c:pt idx="5">
                  <c:v>294.84722222222456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F75-4B82-8B4A-119BCF99A131}"/>
            </c:ext>
          </c:extLst>
        </c:ser>
        <c:ser>
          <c:idx val="5"/>
          <c:order val="4"/>
          <c:tx>
            <c:strRef>
              <c:f>'7 energy mix'!$A$330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64786A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4.5549076439957883E-2"/>
                  <c:y val="-1.191816816816824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CE-42A6-BBB0-7D71FF5169C5}"/>
                </c:ext>
              </c:extLst>
            </c:dLbl>
            <c:dLbl>
              <c:idx val="5"/>
              <c:layout>
                <c:manualLayout>
                  <c:x val="4.5549076439957807E-2"/>
                  <c:y val="-3.575450450450450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CE-42A6-BBB0-7D71FF5169C5}"/>
                </c:ext>
              </c:extLst>
            </c:dLbl>
            <c:spPr>
              <a:solidFill>
                <a:srgbClr val="64786A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'7 energy mix'!$D$324:$I$325</c:f>
              <c:multiLvlStrCache>
                <c:ptCount val="6"/>
                <c:lvl>
                  <c:pt idx="1">
                    <c:v>Benchmark (CTP)</c:v>
                  </c:pt>
                  <c:pt idx="2">
                    <c:v>ESBACC 2040 advice</c:v>
                  </c:pt>
                  <c:pt idx="3">
                    <c:v>ESBACC 2040 advice</c:v>
                  </c:pt>
                  <c:pt idx="4">
                    <c:v>Benchmark (CTP)</c:v>
                  </c:pt>
                  <c:pt idx="5">
                    <c:v>ESABCC 2040 advice</c:v>
                  </c:pt>
                </c:lvl>
                <c:lvl>
                  <c:pt idx="0">
                    <c:v>2021</c:v>
                  </c:pt>
                  <c:pt idx="1">
                    <c:v>2030</c:v>
                  </c:pt>
                  <c:pt idx="3">
                    <c:v>2040</c:v>
                  </c:pt>
                  <c:pt idx="4">
                    <c:v>2050</c:v>
                  </c:pt>
                </c:lvl>
              </c:multiLvlStrCache>
            </c:multiLvlStrRef>
          </c:cat>
          <c:val>
            <c:numRef>
              <c:f>'7 energy mix'!$D$330:$I$330</c:f>
              <c:numCache>
                <c:formatCode>0</c:formatCode>
                <c:ptCount val="6"/>
                <c:pt idx="0">
                  <c:v>582.26414914999998</c:v>
                </c:pt>
                <c:pt idx="1">
                  <c:v>452.64370806828435</c:v>
                </c:pt>
                <c:pt idx="2">
                  <c:v>423.2500000000033</c:v>
                </c:pt>
                <c:pt idx="3">
                  <c:v>249.96296296296495</c:v>
                </c:pt>
                <c:pt idx="4">
                  <c:v>399.77137761522943</c:v>
                </c:pt>
                <c:pt idx="5">
                  <c:v>121.29166666666764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75-4B82-8B4A-119BCF99A131}"/>
            </c:ext>
          </c:extLst>
        </c:ser>
        <c:ser>
          <c:idx val="6"/>
          <c:order val="5"/>
          <c:tx>
            <c:strRef>
              <c:f>'7 energy mix'!$A$331</c:f>
              <c:strCache>
                <c:ptCount val="1"/>
                <c:pt idx="0">
                  <c:v>Other renewables</c:v>
                </c:pt>
              </c:strCache>
            </c:strRef>
          </c:tx>
          <c:spPr>
            <a:solidFill>
              <a:srgbClr val="B497C7"/>
            </a:solidFill>
            <a:ln>
              <a:noFill/>
            </a:ln>
            <a:effectLst/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F75-4B82-8B4A-119BCF99A13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CE-42A6-BBB0-7D71FF5169C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CE-42A6-BBB0-7D71FF5169C5}"/>
                </c:ext>
              </c:extLst>
            </c:dLbl>
            <c:spPr>
              <a:solidFill>
                <a:srgbClr val="B497C7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'7 energy mix'!$D$324:$I$325</c:f>
              <c:multiLvlStrCache>
                <c:ptCount val="6"/>
                <c:lvl>
                  <c:pt idx="1">
                    <c:v>Benchmark (CTP)</c:v>
                  </c:pt>
                  <c:pt idx="2">
                    <c:v>ESBACC 2040 advice</c:v>
                  </c:pt>
                  <c:pt idx="3">
                    <c:v>ESBACC 2040 advice</c:v>
                  </c:pt>
                  <c:pt idx="4">
                    <c:v>Benchmark (CTP)</c:v>
                  </c:pt>
                  <c:pt idx="5">
                    <c:v>ESABCC 2040 advice</c:v>
                  </c:pt>
                </c:lvl>
                <c:lvl>
                  <c:pt idx="0">
                    <c:v>2021</c:v>
                  </c:pt>
                  <c:pt idx="1">
                    <c:v>2030</c:v>
                  </c:pt>
                  <c:pt idx="3">
                    <c:v>2040</c:v>
                  </c:pt>
                  <c:pt idx="4">
                    <c:v>2050</c:v>
                  </c:pt>
                </c:lvl>
              </c:multiLvlStrCache>
            </c:multiLvlStrRef>
          </c:cat>
          <c:val>
            <c:numRef>
              <c:f>'7 energy mix'!$D$331:$I$331</c:f>
              <c:numCache>
                <c:formatCode>0</c:formatCode>
                <c:ptCount val="6"/>
                <c:pt idx="0">
                  <c:v>180.12497479999999</c:v>
                </c:pt>
                <c:pt idx="1">
                  <c:v>501.78798292544712</c:v>
                </c:pt>
                <c:pt idx="2">
                  <c:v>0</c:v>
                </c:pt>
                <c:pt idx="3">
                  <c:v>0</c:v>
                </c:pt>
                <c:pt idx="4">
                  <c:v>959.7156639624277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F75-4B82-8B4A-119BCF99A13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01148399"/>
        <c:axId val="592812879"/>
      </c:barChart>
      <c:catAx>
        <c:axId val="1501148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92812879"/>
        <c:crosses val="autoZero"/>
        <c:auto val="1"/>
        <c:lblAlgn val="ctr"/>
        <c:lblOffset val="100"/>
        <c:noMultiLvlLbl val="0"/>
      </c:catAx>
      <c:valAx>
        <c:axId val="59281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501148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780831340019915E-2"/>
          <c:y val="8.9996958342281261E-2"/>
          <c:w val="0.60607106481481476"/>
          <c:h val="0.8190900902294386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'7 energy mix'!$A$80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AFABAB"/>
            </a:solidFill>
            <a:ln>
              <a:noFill/>
            </a:ln>
            <a:effectLst/>
          </c:spPr>
          <c:invertIfNegative val="0"/>
          <c:dLbls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78-4996-9897-0AE502CF0A6E}"/>
                </c:ext>
              </c:extLst>
            </c:dLbl>
            <c:spPr>
              <a:solidFill>
                <a:srgbClr val="AFABAB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 energy mix'!$D$79:$AC$79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'7 energy mix'!$D$80:$AC$80</c:f>
              <c:numCache>
                <c:formatCode>0%</c:formatCode>
                <c:ptCount val="26"/>
                <c:pt idx="0">
                  <c:v>0.33390175617262735</c:v>
                </c:pt>
                <c:pt idx="1">
                  <c:v>0.32832489631198175</c:v>
                </c:pt>
                <c:pt idx="2">
                  <c:v>0.32147210372693857</c:v>
                </c:pt>
                <c:pt idx="3">
                  <c:v>0.31763544489965623</c:v>
                </c:pt>
                <c:pt idx="4">
                  <c:v>0.32293027842235206</c:v>
                </c:pt>
                <c:pt idx="5">
                  <c:v>0.33047904927342375</c:v>
                </c:pt>
                <c:pt idx="6">
                  <c:v>0.32065507760532858</c:v>
                </c:pt>
                <c:pt idx="7">
                  <c:v>0.32341753279015845</c:v>
                </c:pt>
                <c:pt idx="8">
                  <c:v>0.32510787594252138</c:v>
                </c:pt>
                <c:pt idx="9">
                  <c:v>0.30225770687537384</c:v>
                </c:pt>
                <c:pt idx="10">
                  <c:v>0.31357190838540711</c:v>
                </c:pt>
                <c:pt idx="11">
                  <c:v>0.3258081023529289</c:v>
                </c:pt>
                <c:pt idx="12">
                  <c:v>0.32342460195672623</c:v>
                </c:pt>
                <c:pt idx="13">
                  <c:v>0.32222141896528339</c:v>
                </c:pt>
                <c:pt idx="14">
                  <c:v>0.32081765087270775</c:v>
                </c:pt>
                <c:pt idx="15">
                  <c:v>0.31677195756238791</c:v>
                </c:pt>
                <c:pt idx="16">
                  <c:v>0.33500952148259672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78-4996-9897-0AE502CF0A6E}"/>
            </c:ext>
          </c:extLst>
        </c:ser>
        <c:ser>
          <c:idx val="1"/>
          <c:order val="1"/>
          <c:tx>
            <c:strRef>
              <c:f>'7 energy mix'!$A$81</c:f>
              <c:strCache>
                <c:ptCount val="1"/>
                <c:pt idx="0">
                  <c:v>Other fossil fuels</c:v>
                </c:pt>
              </c:strCache>
            </c:strRef>
          </c:tx>
          <c:spPr>
            <a:solidFill>
              <a:srgbClr val="2C2D2D"/>
            </a:solidFill>
            <a:ln>
              <a:noFill/>
            </a:ln>
            <a:effectLst/>
          </c:spPr>
          <c:invertIfNegative val="0"/>
          <c:dLbls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F78-4996-9897-0AE502CF0A6E}"/>
                </c:ext>
              </c:extLst>
            </c:dLbl>
            <c:spPr>
              <a:solidFill>
                <a:schemeClr val="tx1">
                  <a:lumMod val="85000"/>
                  <a:lumOff val="1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 energy mix'!$D$79:$AC$79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'7 energy mix'!$D$81:$AC$81</c:f>
              <c:numCache>
                <c:formatCode>0%</c:formatCode>
                <c:ptCount val="26"/>
                <c:pt idx="0">
                  <c:v>0.23222172680485456</c:v>
                </c:pt>
                <c:pt idx="1">
                  <c:v>0.22893856693359868</c:v>
                </c:pt>
                <c:pt idx="2">
                  <c:v>0.19595227908263857</c:v>
                </c:pt>
                <c:pt idx="3">
                  <c:v>0.20878328451263989</c:v>
                </c:pt>
                <c:pt idx="4">
                  <c:v>0.19588070177147643</c:v>
                </c:pt>
                <c:pt idx="5">
                  <c:v>0.18821974260154517</c:v>
                </c:pt>
                <c:pt idx="6">
                  <c:v>0.18299134681144003</c:v>
                </c:pt>
                <c:pt idx="7">
                  <c:v>0.17399754478260829</c:v>
                </c:pt>
                <c:pt idx="8">
                  <c:v>0.17142142436508501</c:v>
                </c:pt>
                <c:pt idx="9">
                  <c:v>0.17058623287812139</c:v>
                </c:pt>
                <c:pt idx="10">
                  <c:v>0.16633081048555287</c:v>
                </c:pt>
                <c:pt idx="11">
                  <c:v>0.15861989335806431</c:v>
                </c:pt>
                <c:pt idx="12">
                  <c:v>0.15548941031607241</c:v>
                </c:pt>
                <c:pt idx="13">
                  <c:v>0.1475608217712216</c:v>
                </c:pt>
                <c:pt idx="14">
                  <c:v>0.14443598817024866</c:v>
                </c:pt>
                <c:pt idx="15">
                  <c:v>0.15067061243951788</c:v>
                </c:pt>
                <c:pt idx="16">
                  <c:v>0.12080747360862294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78-4996-9897-0AE502CF0A6E}"/>
            </c:ext>
          </c:extLst>
        </c:ser>
        <c:ser>
          <c:idx val="2"/>
          <c:order val="2"/>
          <c:tx>
            <c:strRef>
              <c:f>'7 energy mix'!$A$82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648ECA"/>
            </a:solidFill>
            <a:ln>
              <a:noFill/>
            </a:ln>
            <a:effectLst/>
          </c:spPr>
          <c:invertIfNegative val="0"/>
          <c:dLbls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F78-4996-9897-0AE502CF0A6E}"/>
                </c:ext>
              </c:extLst>
            </c:dLbl>
            <c:spPr>
              <a:solidFill>
                <a:srgbClr val="648ECA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 energy mix'!$D$79:$AC$79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'7 energy mix'!$D$82:$AC$82</c:f>
              <c:numCache>
                <c:formatCode>0%</c:formatCode>
                <c:ptCount val="26"/>
                <c:pt idx="0">
                  <c:v>0.21604349391664984</c:v>
                </c:pt>
                <c:pt idx="1">
                  <c:v>0.22206552741296767</c:v>
                </c:pt>
                <c:pt idx="2">
                  <c:v>0.23486467844958395</c:v>
                </c:pt>
                <c:pt idx="3">
                  <c:v>0.22649044112058775</c:v>
                </c:pt>
                <c:pt idx="4">
                  <c:v>0.22925666049156718</c:v>
                </c:pt>
                <c:pt idx="5">
                  <c:v>0.22506151922099912</c:v>
                </c:pt>
                <c:pt idx="6">
                  <c:v>0.24028410632184286</c:v>
                </c:pt>
                <c:pt idx="7">
                  <c:v>0.23501990866216568</c:v>
                </c:pt>
                <c:pt idx="8">
                  <c:v>0.23129176541065591</c:v>
                </c:pt>
                <c:pt idx="9">
                  <c:v>0.24982503729471275</c:v>
                </c:pt>
                <c:pt idx="10">
                  <c:v>0.24278049942823882</c:v>
                </c:pt>
                <c:pt idx="11">
                  <c:v>0.24121182638665542</c:v>
                </c:pt>
                <c:pt idx="12">
                  <c:v>0.24202950054038508</c:v>
                </c:pt>
                <c:pt idx="13">
                  <c:v>0.24304420321154849</c:v>
                </c:pt>
                <c:pt idx="14">
                  <c:v>0.24385681862748268</c:v>
                </c:pt>
                <c:pt idx="15">
                  <c:v>0.24693556324213164</c:v>
                </c:pt>
                <c:pt idx="16">
                  <c:v>0.24546312580803711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78-4996-9897-0AE502CF0A6E}"/>
            </c:ext>
          </c:extLst>
        </c:ser>
        <c:ser>
          <c:idx val="3"/>
          <c:order val="3"/>
          <c:tx>
            <c:strRef>
              <c:f>'7 energy mix'!$A$83</c:f>
              <c:strCache>
                <c:ptCount val="1"/>
                <c:pt idx="0">
                  <c:v>District heating</c:v>
                </c:pt>
              </c:strCache>
            </c:strRef>
          </c:tx>
          <c:spPr>
            <a:solidFill>
              <a:srgbClr val="F59E2D"/>
            </a:solidFill>
            <a:ln>
              <a:noFill/>
            </a:ln>
            <a:effectLst/>
          </c:spPr>
          <c:invertIfNegative val="0"/>
          <c:dLbls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F78-4996-9897-0AE502CF0A6E}"/>
                </c:ext>
              </c:extLst>
            </c:dLbl>
            <c:spPr>
              <a:solidFill>
                <a:srgbClr val="F59E2D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 energy mix'!$D$79:$AC$79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'7 energy mix'!$D$83:$AC$83</c:f>
              <c:numCache>
                <c:formatCode>0%</c:formatCode>
                <c:ptCount val="26"/>
                <c:pt idx="0">
                  <c:v>8.3562772187501938E-2</c:v>
                </c:pt>
                <c:pt idx="1">
                  <c:v>8.0309272874469706E-2</c:v>
                </c:pt>
                <c:pt idx="2">
                  <c:v>8.690500644086456E-2</c:v>
                </c:pt>
                <c:pt idx="3">
                  <c:v>8.1030468935221797E-2</c:v>
                </c:pt>
                <c:pt idx="4">
                  <c:v>8.1409252050938699E-2</c:v>
                </c:pt>
                <c:pt idx="5">
                  <c:v>8.4885950621836542E-2</c:v>
                </c:pt>
                <c:pt idx="6">
                  <c:v>8.4430525121178754E-2</c:v>
                </c:pt>
                <c:pt idx="7">
                  <c:v>8.1819562950377497E-2</c:v>
                </c:pt>
                <c:pt idx="8">
                  <c:v>8.5019832779051147E-2</c:v>
                </c:pt>
                <c:pt idx="9">
                  <c:v>8.6032758487299535E-2</c:v>
                </c:pt>
                <c:pt idx="10">
                  <c:v>8.6048894127383285E-2</c:v>
                </c:pt>
                <c:pt idx="11">
                  <c:v>8.8077451775130558E-2</c:v>
                </c:pt>
                <c:pt idx="12">
                  <c:v>8.8001110820286152E-2</c:v>
                </c:pt>
                <c:pt idx="13">
                  <c:v>8.4498041769249591E-2</c:v>
                </c:pt>
                <c:pt idx="14">
                  <c:v>8.404016249606007E-2</c:v>
                </c:pt>
                <c:pt idx="15">
                  <c:v>8.2273726215363135E-2</c:v>
                </c:pt>
                <c:pt idx="16">
                  <c:v>8.6322220443299902E-2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F78-4996-9897-0AE502CF0A6E}"/>
            </c:ext>
          </c:extLst>
        </c:ser>
        <c:ser>
          <c:idx val="4"/>
          <c:order val="4"/>
          <c:tx>
            <c:strRef>
              <c:f>'7 energy mix'!$A$84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64786A"/>
            </a:solidFill>
            <a:ln>
              <a:noFill/>
            </a:ln>
            <a:effectLst/>
          </c:spPr>
          <c:invertIfNegative val="0"/>
          <c:dLbls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F78-4996-9897-0AE502CF0A6E}"/>
                </c:ext>
              </c:extLst>
            </c:dLbl>
            <c:spPr>
              <a:solidFill>
                <a:srgbClr val="64786A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 energy mix'!$D$79:$AC$79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'7 energy mix'!$D$84:$AC$84</c:f>
              <c:numCache>
                <c:formatCode>0%</c:formatCode>
                <c:ptCount val="26"/>
                <c:pt idx="0">
                  <c:v>0.13012534308061577</c:v>
                </c:pt>
                <c:pt idx="1">
                  <c:v>0.1351294582709098</c:v>
                </c:pt>
                <c:pt idx="2">
                  <c:v>0.15386200803509667</c:v>
                </c:pt>
                <c:pt idx="3">
                  <c:v>0.15775224129645335</c:v>
                </c:pt>
                <c:pt idx="4">
                  <c:v>0.16011629827269977</c:v>
                </c:pt>
                <c:pt idx="5">
                  <c:v>0.15956979966668353</c:v>
                </c:pt>
                <c:pt idx="6">
                  <c:v>0.15867276223614787</c:v>
                </c:pt>
                <c:pt idx="7">
                  <c:v>0.17160029809725749</c:v>
                </c:pt>
                <c:pt idx="8">
                  <c:v>0.17161412138153989</c:v>
                </c:pt>
                <c:pt idx="9">
                  <c:v>0.17214650159379918</c:v>
                </c:pt>
                <c:pt idx="10">
                  <c:v>0.17079724298441901</c:v>
                </c:pt>
                <c:pt idx="11">
                  <c:v>0.1642218637185755</c:v>
                </c:pt>
                <c:pt idx="12">
                  <c:v>0.16502034514820849</c:v>
                </c:pt>
                <c:pt idx="13">
                  <c:v>0.17420949290207044</c:v>
                </c:pt>
                <c:pt idx="14">
                  <c:v>0.17556495498135302</c:v>
                </c:pt>
                <c:pt idx="15">
                  <c:v>0.16969261922653603</c:v>
                </c:pt>
                <c:pt idx="16">
                  <c:v>0.17484866938823321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F78-4996-9897-0AE502CF0A6E}"/>
            </c:ext>
          </c:extLst>
        </c:ser>
        <c:ser>
          <c:idx val="5"/>
          <c:order val="5"/>
          <c:tx>
            <c:strRef>
              <c:f>'7 energy mix'!$A$85</c:f>
              <c:strCache>
                <c:ptCount val="1"/>
                <c:pt idx="0">
                  <c:v>Other renewables</c:v>
                </c:pt>
              </c:strCache>
            </c:strRef>
          </c:tx>
          <c:spPr>
            <a:solidFill>
              <a:srgbClr val="B497C7"/>
            </a:solidFill>
            <a:ln>
              <a:noFill/>
            </a:ln>
            <a:effectLst/>
          </c:spPr>
          <c:invertIfNegative val="0"/>
          <c:dLbls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F78-4996-9897-0AE502CF0A6E}"/>
                </c:ext>
              </c:extLst>
            </c:dLbl>
            <c:spPr>
              <a:solidFill>
                <a:srgbClr val="B497C7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 energy mix'!$D$79:$AC$79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'7 energy mix'!$D$85:$AC$85</c:f>
              <c:numCache>
                <c:formatCode>0%</c:formatCode>
                <c:ptCount val="26"/>
                <c:pt idx="0">
                  <c:v>4.1448853081591476E-3</c:v>
                </c:pt>
                <c:pt idx="1">
                  <c:v>5.2322895001038145E-3</c:v>
                </c:pt>
                <c:pt idx="2">
                  <c:v>6.9439483387512589E-3</c:v>
                </c:pt>
                <c:pt idx="3">
                  <c:v>8.3081116671626168E-3</c:v>
                </c:pt>
                <c:pt idx="4">
                  <c:v>1.0406835669706927E-2</c:v>
                </c:pt>
                <c:pt idx="5">
                  <c:v>1.1783906349293128E-2</c:v>
                </c:pt>
                <c:pt idx="6">
                  <c:v>1.2966189843896112E-2</c:v>
                </c:pt>
                <c:pt idx="7">
                  <c:v>1.4145156519538406E-2</c:v>
                </c:pt>
                <c:pt idx="8">
                  <c:v>1.5544991395472219E-2</c:v>
                </c:pt>
                <c:pt idx="9">
                  <c:v>1.9151762870693277E-2</c:v>
                </c:pt>
                <c:pt idx="10">
                  <c:v>2.0470632345499954E-2</c:v>
                </c:pt>
                <c:pt idx="11">
                  <c:v>2.2060858422623966E-2</c:v>
                </c:pt>
                <c:pt idx="12">
                  <c:v>2.6034995463326809E-2</c:v>
                </c:pt>
                <c:pt idx="13">
                  <c:v>2.8465993352275828E-2</c:v>
                </c:pt>
                <c:pt idx="14">
                  <c:v>3.1284392618668645E-2</c:v>
                </c:pt>
                <c:pt idx="15">
                  <c:v>3.3655501163158588E-2</c:v>
                </c:pt>
                <c:pt idx="16">
                  <c:v>3.7548981630161071E-2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F78-4996-9897-0AE502CF0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28857056"/>
        <c:axId val="228857888"/>
        <c:extLst>
          <c:ext xmlns:c15="http://schemas.microsoft.com/office/drawing/2012/chart" uri="{02D57815-91ED-43cb-92C2-25804820EDAC}">
            <c15:filteredBarSeries>
              <c15:ser>
                <c:idx val="12"/>
                <c:order val="12"/>
                <c:tx>
                  <c:strRef>
                    <c:extLst>
                      <c:ext uri="{02D57815-91ED-43cb-92C2-25804820EDAC}">
                        <c15:formulaRef>
                          <c15:sqref>'7 energy mix'!$A$92</c15:sqref>
                        </c15:formulaRef>
                      </c:ext>
                    </c:extLst>
                    <c:strCache>
                      <c:ptCount val="1"/>
                      <c:pt idx="0">
                        <c:v>Natural gas - CTP</c:v>
                      </c:pt>
                    </c:strCache>
                  </c:strRef>
                </c:tx>
                <c:spPr>
                  <a:solidFill>
                    <a:srgbClr val="AFABAB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'7 energy mix'!$D$79:$AC$79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'7 energy mix'!$D$92:$AC$92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5" formatCode="0%">
                        <c:v>0.20635718185921753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2-3F78-4996-9897-0AE502CF0A6E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mix'!$A$93</c15:sqref>
                        </c15:formulaRef>
                      </c:ext>
                    </c:extLst>
                    <c:strCache>
                      <c:ptCount val="1"/>
                      <c:pt idx="0">
                        <c:v>Other fossils - CTP</c:v>
                      </c:pt>
                    </c:strCache>
                  </c:strRef>
                </c:tx>
                <c:spPr>
                  <a:solidFill>
                    <a:srgbClr val="2C2D2D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mix'!$D$79:$AC$79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mix'!$D$93:$AC$93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5" formatCode="0%">
                        <c:v>2.912708708360244E-2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3F78-4996-9897-0AE502CF0A6E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mix'!$A$94</c15:sqref>
                        </c15:formulaRef>
                      </c:ext>
                    </c:extLst>
                    <c:strCache>
                      <c:ptCount val="1"/>
                      <c:pt idx="0">
                        <c:v>Electricity - CTP</c:v>
                      </c:pt>
                    </c:strCache>
                  </c:strRef>
                </c:tx>
                <c:spPr>
                  <a:solidFill>
                    <a:srgbClr val="648ECA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mix'!$D$79:$AC$79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mix'!$D$94:$AC$94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5" formatCode="0%">
                        <c:v>0.37153767983083602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3F78-4996-9897-0AE502CF0A6E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mix'!$A$95</c15:sqref>
                        </c15:formulaRef>
                      </c:ext>
                    </c:extLst>
                    <c:strCache>
                      <c:ptCount val="1"/>
                      <c:pt idx="0">
                        <c:v>District heating - CTP</c:v>
                      </c:pt>
                    </c:strCache>
                  </c:strRef>
                </c:tx>
                <c:spPr>
                  <a:solidFill>
                    <a:srgbClr val="F59E2D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mix'!$D$79:$AC$79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mix'!$D$95:$AC$95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5" formatCode="0%">
                        <c:v>9.6117536108980148E-2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3F78-4996-9897-0AE502CF0A6E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mix'!$A$96</c15:sqref>
                        </c15:formulaRef>
                      </c:ext>
                    </c:extLst>
                    <c:strCache>
                      <c:ptCount val="1"/>
                      <c:pt idx="0">
                        <c:v>Biomass - CTP</c:v>
                      </c:pt>
                    </c:strCache>
                  </c:strRef>
                </c:tx>
                <c:spPr>
                  <a:solidFill>
                    <a:srgbClr val="2E422F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mix'!$D$79:$AC$79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mix'!$D$96:$AC$96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5" formatCode="0%">
                        <c:v>0.17125294491994233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3F78-4996-9897-0AE502CF0A6E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mix'!$A$97</c15:sqref>
                        </c15:formulaRef>
                      </c:ext>
                    </c:extLst>
                    <c:strCache>
                      <c:ptCount val="1"/>
                      <c:pt idx="0">
                        <c:v>Other renewables - CTP</c:v>
                      </c:pt>
                    </c:strCache>
                  </c:strRef>
                </c:tx>
                <c:spPr>
                  <a:solidFill>
                    <a:srgbClr val="B497C7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mix'!$D$79:$AC$79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 energy mix'!$D$97:$AC$97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5" formatCode="0%">
                        <c:v>0.12656453466966194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3F78-4996-9897-0AE502CF0A6E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6"/>
          <c:order val="6"/>
          <c:tx>
            <c:strRef>
              <c:f>'7 energy mix'!$A$86</c:f>
              <c:strCache>
                <c:ptCount val="1"/>
                <c:pt idx="0">
                  <c:v>Natural gas trend (2011-2021 extrapolated)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'7 energy mix'!$D$79:$AC$79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'7 energy mix'!$D$86:$AC$86</c:f>
              <c:numCache>
                <c:formatCode>0%</c:formatCode>
                <c:ptCount val="26"/>
                <c:pt idx="0">
                  <c:v>0.33390175617262735</c:v>
                </c:pt>
                <c:pt idx="1">
                  <c:v>0.32832489631198175</c:v>
                </c:pt>
                <c:pt idx="2">
                  <c:v>0.32147210372693857</c:v>
                </c:pt>
                <c:pt idx="3">
                  <c:v>0.31763544489965623</c:v>
                </c:pt>
                <c:pt idx="4">
                  <c:v>0.32293027842235206</c:v>
                </c:pt>
                <c:pt idx="5">
                  <c:v>0.33047904927342375</c:v>
                </c:pt>
                <c:pt idx="6">
                  <c:v>0.32065507760532858</c:v>
                </c:pt>
                <c:pt idx="7">
                  <c:v>0.32341753279015845</c:v>
                </c:pt>
                <c:pt idx="8">
                  <c:v>0.32510787594252138</c:v>
                </c:pt>
                <c:pt idx="9">
                  <c:v>0.30225770687537384</c:v>
                </c:pt>
                <c:pt idx="10">
                  <c:v>0.31357190838540711</c:v>
                </c:pt>
                <c:pt idx="11">
                  <c:v>0.3258081023529289</c:v>
                </c:pt>
                <c:pt idx="12">
                  <c:v>0.32342460195672623</c:v>
                </c:pt>
                <c:pt idx="13">
                  <c:v>0.32222141896528339</c:v>
                </c:pt>
                <c:pt idx="14">
                  <c:v>0.32081765087270775</c:v>
                </c:pt>
                <c:pt idx="15">
                  <c:v>0.31677195756238791</c:v>
                </c:pt>
                <c:pt idx="16">
                  <c:v>0.33500952148259672</c:v>
                </c:pt>
                <c:pt idx="17">
                  <c:v>0.32530208830923568</c:v>
                </c:pt>
                <c:pt idx="18">
                  <c:v>0.32604844613666262</c:v>
                </c:pt>
                <c:pt idx="19">
                  <c:v>0.32679480396408955</c:v>
                </c:pt>
                <c:pt idx="20">
                  <c:v>0.32754116179151649</c:v>
                </c:pt>
                <c:pt idx="21">
                  <c:v>0.3282875196189432</c:v>
                </c:pt>
                <c:pt idx="22">
                  <c:v>0.32903387744637014</c:v>
                </c:pt>
                <c:pt idx="23">
                  <c:v>0.32978023527379707</c:v>
                </c:pt>
                <c:pt idx="24">
                  <c:v>0.33052659310122379</c:v>
                </c:pt>
                <c:pt idx="25">
                  <c:v>0.33127295092865072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F78-4996-9897-0AE502CF0A6E}"/>
            </c:ext>
          </c:extLst>
        </c:ser>
        <c:ser>
          <c:idx val="7"/>
          <c:order val="7"/>
          <c:tx>
            <c:strRef>
              <c:f>'7 energy mix'!$A$87</c:f>
              <c:strCache>
                <c:ptCount val="1"/>
                <c:pt idx="0">
                  <c:v>Other fossil fuels trend (2011-2021 extrapolated)</c:v>
                </c:pt>
              </c:strCache>
            </c:strRef>
          </c:tx>
          <c:spPr>
            <a:ln w="28575" cap="rnd">
              <a:solidFill>
                <a:srgbClr val="2C2D2D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'7 energy mix'!$D$79:$AC$79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'7 energy mix'!$D$87:$AC$87</c:f>
              <c:numCache>
                <c:formatCode>0%</c:formatCode>
                <c:ptCount val="26"/>
                <c:pt idx="0">
                  <c:v>0.23222172680485456</c:v>
                </c:pt>
                <c:pt idx="1">
                  <c:v>0.22893856693359868</c:v>
                </c:pt>
                <c:pt idx="2">
                  <c:v>0.19595227908263857</c:v>
                </c:pt>
                <c:pt idx="3">
                  <c:v>0.20878328451263989</c:v>
                </c:pt>
                <c:pt idx="4">
                  <c:v>0.19588070177147643</c:v>
                </c:pt>
                <c:pt idx="5">
                  <c:v>0.18821974260154517</c:v>
                </c:pt>
                <c:pt idx="6">
                  <c:v>0.18299134681144003</c:v>
                </c:pt>
                <c:pt idx="7">
                  <c:v>0.17399754478260829</c:v>
                </c:pt>
                <c:pt idx="8">
                  <c:v>0.17142142436508501</c:v>
                </c:pt>
                <c:pt idx="9">
                  <c:v>0.17058623287812139</c:v>
                </c:pt>
                <c:pt idx="10">
                  <c:v>0.16633081048555287</c:v>
                </c:pt>
                <c:pt idx="11">
                  <c:v>0.15861989335806431</c:v>
                </c:pt>
                <c:pt idx="12">
                  <c:v>0.15548941031607241</c:v>
                </c:pt>
                <c:pt idx="13">
                  <c:v>0.1475608217712216</c:v>
                </c:pt>
                <c:pt idx="14">
                  <c:v>0.14443598817024866</c:v>
                </c:pt>
                <c:pt idx="15">
                  <c:v>0.15067061243951788</c:v>
                </c:pt>
                <c:pt idx="16">
                  <c:v>0.12080747360862294</c:v>
                </c:pt>
                <c:pt idx="17">
                  <c:v>0.12887874392491128</c:v>
                </c:pt>
                <c:pt idx="18">
                  <c:v>0.12395078368532708</c:v>
                </c:pt>
                <c:pt idx="19">
                  <c:v>0.11902282344574289</c:v>
                </c:pt>
                <c:pt idx="20">
                  <c:v>0.11409486320615869</c:v>
                </c:pt>
                <c:pt idx="21">
                  <c:v>0.1091669029665745</c:v>
                </c:pt>
                <c:pt idx="22">
                  <c:v>0.1042389427269903</c:v>
                </c:pt>
                <c:pt idx="23">
                  <c:v>9.9310982487406108E-2</c:v>
                </c:pt>
                <c:pt idx="24">
                  <c:v>9.4383022247823689E-2</c:v>
                </c:pt>
                <c:pt idx="25">
                  <c:v>8.9455062008239494E-2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F78-4996-9897-0AE502CF0A6E}"/>
            </c:ext>
          </c:extLst>
        </c:ser>
        <c:ser>
          <c:idx val="8"/>
          <c:order val="8"/>
          <c:tx>
            <c:strRef>
              <c:f>'7 energy mix'!$A$88</c:f>
              <c:strCache>
                <c:ptCount val="1"/>
                <c:pt idx="0">
                  <c:v>Electricity trend (2011-2021 extrapolated)</c:v>
                </c:pt>
              </c:strCache>
            </c:strRef>
          </c:tx>
          <c:spPr>
            <a:ln w="28575" cap="rnd">
              <a:solidFill>
                <a:srgbClr val="648ECA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'7 energy mix'!$D$79:$AC$79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'7 energy mix'!$D$88:$AC$88</c:f>
              <c:numCache>
                <c:formatCode>0%</c:formatCode>
                <c:ptCount val="26"/>
                <c:pt idx="0">
                  <c:v>0.21604349391664984</c:v>
                </c:pt>
                <c:pt idx="1">
                  <c:v>0.22206552741296767</c:v>
                </c:pt>
                <c:pt idx="2">
                  <c:v>0.23486467844958395</c:v>
                </c:pt>
                <c:pt idx="3">
                  <c:v>0.22649044112058775</c:v>
                </c:pt>
                <c:pt idx="4">
                  <c:v>0.22925666049156718</c:v>
                </c:pt>
                <c:pt idx="5">
                  <c:v>0.22506151922099912</c:v>
                </c:pt>
                <c:pt idx="6">
                  <c:v>0.24028410632184286</c:v>
                </c:pt>
                <c:pt idx="7">
                  <c:v>0.23501990866216568</c:v>
                </c:pt>
                <c:pt idx="8">
                  <c:v>0.23129176541065591</c:v>
                </c:pt>
                <c:pt idx="9">
                  <c:v>0.24982503729471275</c:v>
                </c:pt>
                <c:pt idx="10">
                  <c:v>0.24278049942823882</c:v>
                </c:pt>
                <c:pt idx="11">
                  <c:v>0.24121182638665542</c:v>
                </c:pt>
                <c:pt idx="12">
                  <c:v>0.24202950054038508</c:v>
                </c:pt>
                <c:pt idx="13">
                  <c:v>0.24304420321154849</c:v>
                </c:pt>
                <c:pt idx="14">
                  <c:v>0.24385681862748268</c:v>
                </c:pt>
                <c:pt idx="15">
                  <c:v>0.24693556324213164</c:v>
                </c:pt>
                <c:pt idx="16">
                  <c:v>0.24546312580803711</c:v>
                </c:pt>
                <c:pt idx="17">
                  <c:v>0.24726422544928517</c:v>
                </c:pt>
                <c:pt idx="18">
                  <c:v>0.24814550007062275</c:v>
                </c:pt>
                <c:pt idx="19">
                  <c:v>0.24902677469196033</c:v>
                </c:pt>
                <c:pt idx="20">
                  <c:v>0.24990804931329791</c:v>
                </c:pt>
                <c:pt idx="21">
                  <c:v>0.25078932393463549</c:v>
                </c:pt>
                <c:pt idx="22">
                  <c:v>0.25167059855597307</c:v>
                </c:pt>
                <c:pt idx="23">
                  <c:v>0.25255187317731065</c:v>
                </c:pt>
                <c:pt idx="24">
                  <c:v>0.25343314779864801</c:v>
                </c:pt>
                <c:pt idx="25">
                  <c:v>0.25431442241998559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F78-4996-9897-0AE502CF0A6E}"/>
            </c:ext>
          </c:extLst>
        </c:ser>
        <c:ser>
          <c:idx val="9"/>
          <c:order val="9"/>
          <c:tx>
            <c:strRef>
              <c:f>'7 energy mix'!$A$89</c:f>
              <c:strCache>
                <c:ptCount val="1"/>
                <c:pt idx="0">
                  <c:v>District heating trend (2011-2021 extrapolated)</c:v>
                </c:pt>
              </c:strCache>
            </c:strRef>
          </c:tx>
          <c:spPr>
            <a:ln w="28575" cap="rnd">
              <a:solidFill>
                <a:srgbClr val="F59E2D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'7 energy mix'!$D$79:$AC$79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'7 energy mix'!$D$89:$AC$89</c:f>
              <c:numCache>
                <c:formatCode>0%</c:formatCode>
                <c:ptCount val="26"/>
                <c:pt idx="0">
                  <c:v>8.3562772187501938E-2</c:v>
                </c:pt>
                <c:pt idx="1">
                  <c:v>8.0309272874469706E-2</c:v>
                </c:pt>
                <c:pt idx="2">
                  <c:v>8.690500644086456E-2</c:v>
                </c:pt>
                <c:pt idx="3">
                  <c:v>8.1030468935221797E-2</c:v>
                </c:pt>
                <c:pt idx="4">
                  <c:v>8.1409252050938699E-2</c:v>
                </c:pt>
                <c:pt idx="5">
                  <c:v>8.4885950621836542E-2</c:v>
                </c:pt>
                <c:pt idx="6">
                  <c:v>8.4430525121178754E-2</c:v>
                </c:pt>
                <c:pt idx="7">
                  <c:v>8.1819562950377497E-2</c:v>
                </c:pt>
                <c:pt idx="8">
                  <c:v>8.5019832779051147E-2</c:v>
                </c:pt>
                <c:pt idx="9">
                  <c:v>8.6032758487299535E-2</c:v>
                </c:pt>
                <c:pt idx="10">
                  <c:v>8.6048894127383285E-2</c:v>
                </c:pt>
                <c:pt idx="11">
                  <c:v>8.8077451775130558E-2</c:v>
                </c:pt>
                <c:pt idx="12">
                  <c:v>8.8001110820286152E-2</c:v>
                </c:pt>
                <c:pt idx="13">
                  <c:v>8.4498041769249591E-2</c:v>
                </c:pt>
                <c:pt idx="14">
                  <c:v>8.404016249606007E-2</c:v>
                </c:pt>
                <c:pt idx="15">
                  <c:v>8.2273726215363135E-2</c:v>
                </c:pt>
                <c:pt idx="16">
                  <c:v>8.6322220443299902E-2</c:v>
                </c:pt>
                <c:pt idx="17">
                  <c:v>8.5535966202882396E-2</c:v>
                </c:pt>
                <c:pt idx="18">
                  <c:v>8.5601592585413111E-2</c:v>
                </c:pt>
                <c:pt idx="19">
                  <c:v>8.5667218967943798E-2</c:v>
                </c:pt>
                <c:pt idx="20">
                  <c:v>8.5732845350474512E-2</c:v>
                </c:pt>
                <c:pt idx="21">
                  <c:v>8.5798471733005227E-2</c:v>
                </c:pt>
                <c:pt idx="22">
                  <c:v>8.5864098115535942E-2</c:v>
                </c:pt>
                <c:pt idx="23">
                  <c:v>8.5929724498066656E-2</c:v>
                </c:pt>
                <c:pt idx="24">
                  <c:v>8.5995350880597371E-2</c:v>
                </c:pt>
                <c:pt idx="25">
                  <c:v>8.6060977263128058E-2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F78-4996-9897-0AE502CF0A6E}"/>
            </c:ext>
          </c:extLst>
        </c:ser>
        <c:ser>
          <c:idx val="10"/>
          <c:order val="10"/>
          <c:tx>
            <c:strRef>
              <c:f>'7 energy mix'!$A$90</c:f>
              <c:strCache>
                <c:ptCount val="1"/>
                <c:pt idx="0">
                  <c:v>Biomass trend (2011-2021 extrapolated)</c:v>
                </c:pt>
              </c:strCache>
            </c:strRef>
          </c:tx>
          <c:spPr>
            <a:ln w="28575" cap="rnd">
              <a:solidFill>
                <a:srgbClr val="64786A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'7 energy mix'!$D$79:$AC$79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'7 energy mix'!$D$90:$AC$90</c:f>
              <c:numCache>
                <c:formatCode>0%</c:formatCode>
                <c:ptCount val="26"/>
                <c:pt idx="0">
                  <c:v>0.13012534308061577</c:v>
                </c:pt>
                <c:pt idx="1">
                  <c:v>0.1351294582709098</c:v>
                </c:pt>
                <c:pt idx="2">
                  <c:v>0.15386200803509667</c:v>
                </c:pt>
                <c:pt idx="3">
                  <c:v>0.15775224129645335</c:v>
                </c:pt>
                <c:pt idx="4">
                  <c:v>0.16011629827269977</c:v>
                </c:pt>
                <c:pt idx="5">
                  <c:v>0.15956979966668353</c:v>
                </c:pt>
                <c:pt idx="6">
                  <c:v>0.15867276223614787</c:v>
                </c:pt>
                <c:pt idx="7">
                  <c:v>0.17160029809725749</c:v>
                </c:pt>
                <c:pt idx="8">
                  <c:v>0.17161412138153989</c:v>
                </c:pt>
                <c:pt idx="9">
                  <c:v>0.17214650159379918</c:v>
                </c:pt>
                <c:pt idx="10">
                  <c:v>0.17079724298441901</c:v>
                </c:pt>
                <c:pt idx="11">
                  <c:v>0.1642218637185755</c:v>
                </c:pt>
                <c:pt idx="12">
                  <c:v>0.16502034514820849</c:v>
                </c:pt>
                <c:pt idx="13">
                  <c:v>0.17420949290207044</c:v>
                </c:pt>
                <c:pt idx="14">
                  <c:v>0.17556495498135302</c:v>
                </c:pt>
                <c:pt idx="15">
                  <c:v>0.16969261922653603</c:v>
                </c:pt>
                <c:pt idx="16">
                  <c:v>0.17484866938823321</c:v>
                </c:pt>
                <c:pt idx="17">
                  <c:v>0.1744053741065934</c:v>
                </c:pt>
                <c:pt idx="18">
                  <c:v>0.17516401415984162</c:v>
                </c:pt>
                <c:pt idx="19">
                  <c:v>0.17592265421309006</c:v>
                </c:pt>
                <c:pt idx="20">
                  <c:v>0.17668129426633827</c:v>
                </c:pt>
                <c:pt idx="21">
                  <c:v>0.17743993431958649</c:v>
                </c:pt>
                <c:pt idx="22">
                  <c:v>0.17819857437283493</c:v>
                </c:pt>
                <c:pt idx="23">
                  <c:v>0.17895721442608314</c:v>
                </c:pt>
                <c:pt idx="24">
                  <c:v>0.17971585447933136</c:v>
                </c:pt>
                <c:pt idx="25">
                  <c:v>0.1804744945325798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F78-4996-9897-0AE502CF0A6E}"/>
            </c:ext>
          </c:extLst>
        </c:ser>
        <c:ser>
          <c:idx val="11"/>
          <c:order val="11"/>
          <c:tx>
            <c:strRef>
              <c:f>'7 energy mix'!$A$91</c:f>
              <c:strCache>
                <c:ptCount val="1"/>
                <c:pt idx="0">
                  <c:v>Other renewables trend (2011-2021 extrapolated)</c:v>
                </c:pt>
              </c:strCache>
            </c:strRef>
          </c:tx>
          <c:spPr>
            <a:ln w="28575" cap="rnd">
              <a:solidFill>
                <a:srgbClr val="B497C7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'7 energy mix'!$D$79:$AC$79</c:f>
              <c:numCache>
                <c:formatCode>General</c:formatCode>
                <c:ptCount val="2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</c:numCache>
            </c:numRef>
          </c:cat>
          <c:val>
            <c:numRef>
              <c:f>'7 energy mix'!$D$91:$AC$91</c:f>
              <c:numCache>
                <c:formatCode>0%</c:formatCode>
                <c:ptCount val="26"/>
                <c:pt idx="0">
                  <c:v>4.1448853081591476E-3</c:v>
                </c:pt>
                <c:pt idx="1">
                  <c:v>5.2322895001038145E-3</c:v>
                </c:pt>
                <c:pt idx="2">
                  <c:v>6.9439483387512589E-3</c:v>
                </c:pt>
                <c:pt idx="3">
                  <c:v>8.3081116671626168E-3</c:v>
                </c:pt>
                <c:pt idx="4">
                  <c:v>1.0406835669706927E-2</c:v>
                </c:pt>
                <c:pt idx="5">
                  <c:v>1.1783906349293128E-2</c:v>
                </c:pt>
                <c:pt idx="6">
                  <c:v>1.2966189843896112E-2</c:v>
                </c:pt>
                <c:pt idx="7">
                  <c:v>1.4145156519538406E-2</c:v>
                </c:pt>
                <c:pt idx="8">
                  <c:v>1.5544991395472219E-2</c:v>
                </c:pt>
                <c:pt idx="9">
                  <c:v>1.9151762870693277E-2</c:v>
                </c:pt>
                <c:pt idx="10">
                  <c:v>2.0470632345499954E-2</c:v>
                </c:pt>
                <c:pt idx="11">
                  <c:v>2.2060858422623966E-2</c:v>
                </c:pt>
                <c:pt idx="12">
                  <c:v>2.6034995463326809E-2</c:v>
                </c:pt>
                <c:pt idx="13">
                  <c:v>2.8465993352275828E-2</c:v>
                </c:pt>
                <c:pt idx="14">
                  <c:v>3.1284392618668645E-2</c:v>
                </c:pt>
                <c:pt idx="15">
                  <c:v>3.3655501163158588E-2</c:v>
                </c:pt>
                <c:pt idx="16">
                  <c:v>3.7548981630161071E-2</c:v>
                </c:pt>
                <c:pt idx="17">
                  <c:v>3.8613570434468336E-2</c:v>
                </c:pt>
                <c:pt idx="18">
                  <c:v>4.1089628300435166E-2</c:v>
                </c:pt>
                <c:pt idx="19">
                  <c:v>4.3565686166401996E-2</c:v>
                </c:pt>
                <c:pt idx="20">
                  <c:v>4.6041744032369714E-2</c:v>
                </c:pt>
                <c:pt idx="21">
                  <c:v>4.8517801898336543E-2</c:v>
                </c:pt>
                <c:pt idx="22">
                  <c:v>5.0993859764303373E-2</c:v>
                </c:pt>
                <c:pt idx="23">
                  <c:v>5.3469917630271091E-2</c:v>
                </c:pt>
                <c:pt idx="24">
                  <c:v>5.5945975496237921E-2</c:v>
                </c:pt>
                <c:pt idx="25">
                  <c:v>5.8422033362204751E-2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F78-4996-9897-0AE502CF0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857056"/>
        <c:axId val="228857888"/>
      </c:lineChart>
      <c:catAx>
        <c:axId val="22885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28857888"/>
        <c:crosses val="autoZero"/>
        <c:auto val="1"/>
        <c:lblAlgn val="ctr"/>
        <c:lblOffset val="100"/>
        <c:noMultiLvlLbl val="0"/>
      </c:catAx>
      <c:valAx>
        <c:axId val="2288578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2885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75118796296296297"/>
          <c:y val="0.12019015918994264"/>
          <c:w val="0.23411296296296294"/>
          <c:h val="0.767568538549452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580370</xdr:colOff>
      <xdr:row>31</xdr:row>
      <xdr:rowOff>0</xdr:rowOff>
    </xdr:from>
    <xdr:to>
      <xdr:col>61</xdr:col>
      <xdr:colOff>280147</xdr:colOff>
      <xdr:row>31</xdr:row>
      <xdr:rowOff>49586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B3553C-4EA4-89BC-9582-CBABF94961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293392</xdr:colOff>
      <xdr:row>35</xdr:row>
      <xdr:rowOff>90454</xdr:rowOff>
    </xdr:from>
    <xdr:to>
      <xdr:col>16</xdr:col>
      <xdr:colOff>121981</xdr:colOff>
      <xdr:row>53</xdr:row>
      <xdr:rowOff>135621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61AC599-F18F-5E19-B518-72160757F7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1771650</xdr:colOff>
      <xdr:row>56</xdr:row>
      <xdr:rowOff>180974</xdr:rowOff>
    </xdr:from>
    <xdr:to>
      <xdr:col>7</xdr:col>
      <xdr:colOff>550069</xdr:colOff>
      <xdr:row>87</xdr:row>
      <xdr:rowOff>66673</xdr:rowOff>
    </xdr:to>
    <xdr:sp macro="" textlink="">
      <xdr:nvSpPr>
        <xdr:cNvPr id="5" name="TextBox 1">
          <a:extLst>
            <a:ext uri="{FF2B5EF4-FFF2-40B4-BE49-F238E27FC236}">
              <a16:creationId xmlns:a16="http://schemas.microsoft.com/office/drawing/2014/main" id="{278D989A-CA62-5275-C06D-6BE414FC315F}"/>
            </a:ext>
          </a:extLst>
        </xdr:cNvPr>
        <xdr:cNvSpPr txBox="1"/>
      </xdr:nvSpPr>
      <xdr:spPr>
        <a:xfrm>
          <a:off x="6667500" y="11287124"/>
          <a:ext cx="6931819" cy="63817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BE" sz="1100" b="1"/>
            <a:t>Note on</a:t>
          </a:r>
          <a:r>
            <a:rPr lang="fr-BE" sz="1100" b="1" baseline="0"/>
            <a:t> EC (PRIMES) modelling and heat pumps</a:t>
          </a:r>
        </a:p>
        <a:p>
          <a:endParaRPr lang="fr-BE" sz="1100" b="0" baseline="0"/>
        </a:p>
        <a:p>
          <a:r>
            <a:rPr lang="fr-BE" sz="1100" b="0" baseline="0"/>
            <a:t>Comparing energy in buildings is made complicated by two factors:</a:t>
          </a:r>
        </a:p>
        <a:p>
          <a:endParaRPr lang="fr-BE" sz="1100" b="0" baseline="0"/>
        </a:p>
        <a:p>
          <a:r>
            <a:rPr lang="fr-BE" sz="1100" b="0" baseline="0"/>
            <a:t>1) the treatment of </a:t>
          </a:r>
          <a:r>
            <a:rPr lang="fr-BE" sz="1100" b="1" baseline="0"/>
            <a:t>ambient energy</a:t>
          </a:r>
          <a:r>
            <a:rPr lang="fr-BE" sz="1100" b="0" baseline="0"/>
            <a:t> from heat pumps in final energy consumption statistics.</a:t>
          </a:r>
        </a:p>
        <a:p>
          <a:endParaRPr lang="fr-BE" sz="1100" b="0" baseline="0"/>
        </a:p>
        <a:p>
          <a:r>
            <a:rPr lang="fr-BE" sz="1100" b="1" i="1" baseline="0"/>
            <a:t>Eurostat final consumption from energy balances</a:t>
          </a:r>
          <a:r>
            <a:rPr lang="fr-BE" sz="1100" b="0" i="0" baseline="0"/>
            <a:t>: </a:t>
          </a:r>
          <a:r>
            <a:rPr lang="fr-BE" sz="1100" b="1" i="0" baseline="0"/>
            <a:t>include</a:t>
          </a:r>
          <a:r>
            <a:rPr lang="fr-BE" sz="1100" b="0" i="0" baseline="0"/>
            <a:t> ambient heat (see energy balances tab)</a:t>
          </a:r>
        </a:p>
        <a:p>
          <a:r>
            <a:rPr lang="fr-BE" sz="1100" b="1" i="1" baseline="0"/>
            <a:t>PRIMES CTP</a:t>
          </a:r>
          <a:r>
            <a:rPr lang="fr-BE" sz="1100" b="0" i="1" baseline="0"/>
            <a:t>: </a:t>
          </a:r>
          <a:r>
            <a:rPr lang="fr-BE" sz="1100" b="0" i="0" u="sng" baseline="0"/>
            <a:t>includes</a:t>
          </a:r>
          <a:r>
            <a:rPr lang="fr-BE" sz="1100" b="0" i="0" u="none" baseline="0"/>
            <a:t> ambient heat (e.g. figure 42)</a:t>
          </a:r>
          <a:endParaRPr lang="fr-BE" sz="1100" b="0" i="1" baseline="0"/>
        </a:p>
        <a:p>
          <a:r>
            <a:rPr lang="fr-BE" sz="1100" b="1" i="1" baseline="0"/>
            <a:t>PRIMES FF55</a:t>
          </a:r>
          <a:r>
            <a:rPr lang="fr-BE" sz="1100" b="0" i="0" baseline="0"/>
            <a:t>: </a:t>
          </a:r>
          <a:r>
            <a:rPr lang="fr-BE" sz="1100" b="0" i="0" u="sng" baseline="0"/>
            <a:t>includes</a:t>
          </a:r>
          <a:r>
            <a:rPr lang="fr-BE" sz="1100" b="0" i="0" u="none" baseline="0"/>
            <a:t> ambient energy in the 'other RES' category, which is about 30% of FEC by 2050.</a:t>
          </a:r>
        </a:p>
        <a:p>
          <a:r>
            <a:rPr lang="fr-BE" sz="1100" b="1" i="1" u="none" baseline="0"/>
            <a:t>PRIMES REPowerEU modelling</a:t>
          </a:r>
          <a:r>
            <a:rPr lang="fr-BE" sz="1100" b="0" i="1" u="none" baseline="0"/>
            <a:t>: </a:t>
          </a:r>
          <a:r>
            <a:rPr lang="fr-BE" sz="1100" b="0" i="0" u="none" baseline="0"/>
            <a:t>appears to </a:t>
          </a:r>
          <a:r>
            <a:rPr lang="fr-BE" sz="1100" b="0" i="0" u="sng" baseline="0"/>
            <a:t>exclude</a:t>
          </a:r>
          <a:r>
            <a:rPr lang="fr-BE" sz="1100" b="0" i="0" u="none" baseline="0"/>
            <a:t> ambitent energy (since its 'FF55 scenario' FEC values in residential &amp; commercial are lower than in CTP &amp; the FF55 IA - by an order of magnitude comparable to the 'other RES' share).</a:t>
          </a:r>
        </a:p>
        <a:p>
          <a:r>
            <a:rPr lang="fr-BE" sz="1100" b="1" i="1" u="none" baseline="0"/>
            <a:t>PRIMES 2050 vision:</a:t>
          </a:r>
          <a:r>
            <a:rPr lang="fr-BE" sz="1100" b="0" i="0" u="none" baseline="0"/>
            <a:t> appears to include but this is not stated explicitly (except for industry).</a:t>
          </a:r>
          <a:endParaRPr lang="fr-BE" sz="1100" b="1" i="1" u="none" baseline="0"/>
        </a:p>
        <a:p>
          <a:r>
            <a:rPr lang="fr-BE" sz="1100" b="1" i="1" u="none" baseline="0"/>
            <a:t>2040 advice (REMIND):</a:t>
          </a:r>
          <a:r>
            <a:rPr lang="fr-BE" sz="1100" b="0" i="0" u="none" baseline="0"/>
            <a:t> excludes ambient heat (confirmed with REMIND team)</a:t>
          </a:r>
        </a:p>
        <a:p>
          <a:endParaRPr lang="fr-BE" sz="1100" b="0" i="0" u="none" baseline="0"/>
        </a:p>
        <a:p>
          <a:r>
            <a:rPr lang="fr-BE" sz="1100" b="0" i="0" u="none" baseline="0"/>
            <a:t>Solutions:</a:t>
          </a:r>
        </a:p>
        <a:p>
          <a:r>
            <a:rPr lang="fr-BE" sz="1100" b="0" i="0" u="none" baseline="0"/>
            <a:t>- adjust 2040 advice number upwards for comparability</a:t>
          </a:r>
        </a:p>
        <a:p>
          <a:r>
            <a:rPr lang="fr-BE" sz="1100" b="0" i="0" u="none" baseline="0"/>
            <a:t>- check with EC why there is a REPower / FF55 difference</a:t>
          </a:r>
        </a:p>
        <a:p>
          <a:endParaRPr lang="fr-BE" sz="1100" b="0" i="0" u="none" baseline="0"/>
        </a:p>
        <a:p>
          <a:r>
            <a:rPr lang="fr-BE" sz="1100" b="0" i="0" u="none" baseline="0"/>
            <a:t>2) the treatment of </a:t>
          </a:r>
          <a:r>
            <a:rPr lang="fr-BE" sz="1100" b="1" i="0" u="none" baseline="0"/>
            <a:t>agriculture</a:t>
          </a:r>
        </a:p>
        <a:p>
          <a:endParaRPr lang="fr-BE" sz="1100" b="0" i="0" u="none" baseline="0"/>
        </a:p>
        <a:p>
          <a:r>
            <a:rPr lang="fr-BE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Eurostat final consumption from energy balances</a:t>
          </a:r>
          <a:r>
            <a:rPr lang="fr-BE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disaggregated. Can be included or not as needed</a:t>
          </a:r>
          <a:endParaRPr lang="en-DK">
            <a:effectLst/>
          </a:endParaRPr>
        </a:p>
        <a:p>
          <a:r>
            <a:rPr lang="fr-BE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PRIMES CTP</a:t>
          </a:r>
          <a:r>
            <a:rPr lang="fr-BE" sz="1100" b="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fr-BE" sz="1100" b="0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included &amp; aggregated with services/ tertiary (e.g. Fig 30, 38)</a:t>
          </a:r>
          <a:endParaRPr lang="en-DK">
            <a:effectLst/>
          </a:endParaRPr>
        </a:p>
        <a:p>
          <a:r>
            <a:rPr lang="fr-BE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PRIMES FF55</a:t>
          </a:r>
          <a:r>
            <a:rPr lang="fr-BE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fr-BE" sz="1100" b="0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included, aggregated</a:t>
          </a:r>
          <a:endParaRPr lang="en-DK">
            <a:effectLst/>
          </a:endParaRPr>
        </a:p>
        <a:p>
          <a:r>
            <a:rPr lang="fr-BE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PRIMES REPowerEU modelling</a:t>
          </a:r>
          <a:r>
            <a:rPr lang="fr-BE" sz="1100" b="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fr-BE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 stated, assumed included?</a:t>
          </a:r>
          <a:endParaRPr lang="en-DK">
            <a:effectLst/>
          </a:endParaRPr>
        </a:p>
        <a:p>
          <a:r>
            <a:rPr lang="fr-BE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PRIMES 2050 vision:</a:t>
          </a:r>
          <a:r>
            <a:rPr lang="fr-BE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not stated, assumed included?</a:t>
          </a:r>
          <a:endParaRPr lang="en-DK">
            <a:effectLst/>
          </a:endParaRPr>
        </a:p>
        <a:p>
          <a:r>
            <a:rPr lang="fr-BE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2040 advice (REMIND):</a:t>
          </a:r>
          <a:r>
            <a:rPr lang="fr-BE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excluded (energy use in agriculture is part of industry)</a:t>
          </a:r>
        </a:p>
        <a:p>
          <a:endParaRPr lang="fr-BE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BE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Solutions:</a:t>
          </a:r>
          <a:endParaRPr lang="en-DK">
            <a:effectLst/>
          </a:endParaRPr>
        </a:p>
        <a:p>
          <a:r>
            <a:rPr lang="fr-BE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adjust 2040 advice number upwards for comparability</a:t>
          </a:r>
          <a:endParaRPr lang="en-DK">
            <a:effectLst/>
          </a:endParaRPr>
        </a:p>
        <a:p>
          <a:r>
            <a:rPr lang="fr-BE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check with EC if agriculture is always include (email sent 08 Aug)</a:t>
          </a:r>
          <a:endParaRPr lang="en-DK">
            <a:effectLst/>
          </a:endParaRPr>
        </a:p>
        <a:p>
          <a:endParaRPr lang="en-DK">
            <a:effectLst/>
          </a:endParaRPr>
        </a:p>
        <a:p>
          <a:endParaRPr lang="fr-BE" sz="1100" b="0" i="0" u="none" baseline="0"/>
        </a:p>
      </xdr:txBody>
    </xdr:sp>
    <xdr:clientData/>
  </xdr:twoCellAnchor>
  <xdr:twoCellAnchor>
    <xdr:from>
      <xdr:col>4</xdr:col>
      <xdr:colOff>188067</xdr:colOff>
      <xdr:row>27</xdr:row>
      <xdr:rowOff>56997</xdr:rowOff>
    </xdr:from>
    <xdr:to>
      <xdr:col>15</xdr:col>
      <xdr:colOff>898648</xdr:colOff>
      <xdr:row>53</xdr:row>
      <xdr:rowOff>64798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105E3F2D-5851-4C71-9D90-C9468F1D6590}"/>
            </a:ext>
            <a:ext uri="{147F2762-F138-4A5C-976F-8EAC2B608ADB}">
              <a16:predDERef xmlns:a16="http://schemas.microsoft.com/office/drawing/2014/main" pred="{278D989A-CA62-5275-C06D-6BE414FC31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432754</xdr:colOff>
      <xdr:row>12</xdr:row>
      <xdr:rowOff>71232</xdr:rowOff>
    </xdr:from>
    <xdr:to>
      <xdr:col>21</xdr:col>
      <xdr:colOff>646701</xdr:colOff>
      <xdr:row>26</xdr:row>
      <xdr:rowOff>133146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C258BE7-1D6D-A813-513D-058005895AA4}"/>
            </a:ext>
          </a:extLst>
        </xdr:cNvPr>
        <xdr:cNvGrpSpPr/>
      </xdr:nvGrpSpPr>
      <xdr:grpSpPr>
        <a:xfrm>
          <a:off x="11596054" y="2662032"/>
          <a:ext cx="7757747" cy="3084514"/>
          <a:chOff x="11578540" y="2560022"/>
          <a:chExt cx="7734088" cy="2965503"/>
        </a:xfrm>
      </xdr:grpSpPr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E9DA6D32-EE90-A0BA-924C-8AACCE506382}"/>
              </a:ext>
            </a:extLst>
          </xdr:cNvPr>
          <xdr:cNvGraphicFramePr/>
        </xdr:nvGraphicFramePr>
        <xdr:xfrm>
          <a:off x="11578540" y="2561464"/>
          <a:ext cx="3818973" cy="29640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6C5FF7CE-79D2-415C-99C9-A3AC6A6CF1E4}"/>
              </a:ext>
            </a:extLst>
          </xdr:cNvPr>
          <xdr:cNvGraphicFramePr>
            <a:graphicFrameLocks/>
          </xdr:cNvGraphicFramePr>
        </xdr:nvGraphicFramePr>
        <xdr:xfrm>
          <a:off x="15493028" y="2560022"/>
          <a:ext cx="3819600" cy="29640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157162</xdr:rowOff>
    </xdr:from>
    <xdr:to>
      <xdr:col>7</xdr:col>
      <xdr:colOff>104925</xdr:colOff>
      <xdr:row>51</xdr:row>
      <xdr:rowOff>136162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72A7ADDD-7198-4B72-AA68-1D235DB0F2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400050</xdr:colOff>
      <xdr:row>38</xdr:row>
      <xdr:rowOff>47625</xdr:rowOff>
    </xdr:from>
    <xdr:to>
      <xdr:col>20</xdr:col>
      <xdr:colOff>47626</xdr:colOff>
      <xdr:row>52</xdr:row>
      <xdr:rowOff>26625</xdr:rowOff>
    </xdr:to>
    <xdr:graphicFrame macro="">
      <xdr:nvGraphicFramePr>
        <xdr:cNvPr id="11" name="Chart 2">
          <a:extLst>
            <a:ext uri="{FF2B5EF4-FFF2-40B4-BE49-F238E27FC236}">
              <a16:creationId xmlns:a16="http://schemas.microsoft.com/office/drawing/2014/main" id="{71FBCA7D-31B9-4B5A-B740-77969BD780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108647</xdr:colOff>
      <xdr:row>11</xdr:row>
      <xdr:rowOff>30839</xdr:rowOff>
    </xdr:from>
    <xdr:to>
      <xdr:col>17</xdr:col>
      <xdr:colOff>447261</xdr:colOff>
      <xdr:row>26</xdr:row>
      <xdr:rowOff>132523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7D0EC7F-4164-EC41-76DA-927382EC97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167019</xdr:colOff>
      <xdr:row>73</xdr:row>
      <xdr:rowOff>82703</xdr:rowOff>
    </xdr:from>
    <xdr:to>
      <xdr:col>18</xdr:col>
      <xdr:colOff>505239</xdr:colOff>
      <xdr:row>86</xdr:row>
      <xdr:rowOff>175316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D28FBE5-EA9D-4FCA-91F0-61AFD74FDD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290512</xdr:colOff>
      <xdr:row>47</xdr:row>
      <xdr:rowOff>109537</xdr:rowOff>
    </xdr:from>
    <xdr:to>
      <xdr:col>14</xdr:col>
      <xdr:colOff>233512</xdr:colOff>
      <xdr:row>64</xdr:row>
      <xdr:rowOff>67837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24EE11-E8AA-41E2-90FE-97753A8F8D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671512</xdr:colOff>
      <xdr:row>48</xdr:row>
      <xdr:rowOff>4762</xdr:rowOff>
    </xdr:from>
    <xdr:to>
      <xdr:col>25</xdr:col>
      <xdr:colOff>285750</xdr:colOff>
      <xdr:row>62</xdr:row>
      <xdr:rowOff>66676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774137-456D-48F5-BDE8-A3BEE59538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300037</xdr:colOff>
      <xdr:row>3</xdr:row>
      <xdr:rowOff>28575</xdr:rowOff>
    </xdr:from>
    <xdr:to>
      <xdr:col>38</xdr:col>
      <xdr:colOff>14437</xdr:colOff>
      <xdr:row>17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E38DF8-B825-EC4E-B0AF-30360AB65F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52387</xdr:colOff>
      <xdr:row>59</xdr:row>
      <xdr:rowOff>123825</xdr:rowOff>
    </xdr:from>
    <xdr:to>
      <xdr:col>15</xdr:col>
      <xdr:colOff>376387</xdr:colOff>
      <xdr:row>73</xdr:row>
      <xdr:rowOff>102825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EA9FFA-E145-4893-ED9B-1F52DCB50A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300037</xdr:colOff>
      <xdr:row>3</xdr:row>
      <xdr:rowOff>28575</xdr:rowOff>
    </xdr:from>
    <xdr:to>
      <xdr:col>38</xdr:col>
      <xdr:colOff>14437</xdr:colOff>
      <xdr:row>17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F74B95-C2C4-43CA-AD5B-8C3111E26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471487</xdr:colOff>
      <xdr:row>25</xdr:row>
      <xdr:rowOff>95250</xdr:rowOff>
    </xdr:from>
    <xdr:to>
      <xdr:col>15</xdr:col>
      <xdr:colOff>185887</xdr:colOff>
      <xdr:row>41</xdr:row>
      <xdr:rowOff>150450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1BF59D-9F01-48EA-A3DB-3A2727F8D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149678</xdr:colOff>
      <xdr:row>242</xdr:row>
      <xdr:rowOff>179613</xdr:rowOff>
    </xdr:from>
    <xdr:to>
      <xdr:col>57</xdr:col>
      <xdr:colOff>217714</xdr:colOff>
      <xdr:row>262</xdr:row>
      <xdr:rowOff>54428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8F58BB-AEA6-4FFD-AB1F-25A4E23378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1046449</xdr:colOff>
      <xdr:row>108</xdr:row>
      <xdr:rowOff>32067</xdr:rowOff>
    </xdr:from>
    <xdr:to>
      <xdr:col>4</xdr:col>
      <xdr:colOff>570331</xdr:colOff>
      <xdr:row>124</xdr:row>
      <xdr:rowOff>179495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FE6597-17FD-4450-B567-A19B9D5E6A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11022</xdr:colOff>
      <xdr:row>108</xdr:row>
      <xdr:rowOff>32067</xdr:rowOff>
    </xdr:from>
    <xdr:to>
      <xdr:col>7</xdr:col>
      <xdr:colOff>225196</xdr:colOff>
      <xdr:row>124</xdr:row>
      <xdr:rowOff>180867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007358-8C0D-4854-AE55-507AEA2300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419100</xdr:colOff>
      <xdr:row>223</xdr:row>
      <xdr:rowOff>119061</xdr:rowOff>
    </xdr:from>
    <xdr:to>
      <xdr:col>12</xdr:col>
      <xdr:colOff>456476</xdr:colOff>
      <xdr:row>240</xdr:row>
      <xdr:rowOff>77361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1CE963-48F1-4BAB-A85E-F66FF85162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489693</xdr:colOff>
      <xdr:row>223</xdr:row>
      <xdr:rowOff>119061</xdr:rowOff>
    </xdr:from>
    <xdr:to>
      <xdr:col>15</xdr:col>
      <xdr:colOff>99940</xdr:colOff>
      <xdr:row>240</xdr:row>
      <xdr:rowOff>77361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F80F7A-BF9B-488F-A155-0D1AE72E11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403419</xdr:colOff>
      <xdr:row>304</xdr:row>
      <xdr:rowOff>141194</xdr:rowOff>
    </xdr:from>
    <xdr:to>
      <xdr:col>15</xdr:col>
      <xdr:colOff>162642</xdr:colOff>
      <xdr:row>321</xdr:row>
      <xdr:rowOff>99494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DB60AF9-DFFF-D327-D4E7-DF4D774988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561975</xdr:colOff>
      <xdr:row>334</xdr:row>
      <xdr:rowOff>152400</xdr:rowOff>
    </xdr:from>
    <xdr:to>
      <xdr:col>15</xdr:col>
      <xdr:colOff>378348</xdr:colOff>
      <xdr:row>351</xdr:row>
      <xdr:rowOff>110700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5B37914-AE30-4508-AD97-96436EB4E5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28575</xdr:colOff>
      <xdr:row>303</xdr:row>
      <xdr:rowOff>76200</xdr:rowOff>
    </xdr:from>
    <xdr:to>
      <xdr:col>2</xdr:col>
      <xdr:colOff>142875</xdr:colOff>
      <xdr:row>310</xdr:row>
      <xdr:rowOff>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53CB088-E741-4FD0-438F-BF60DD3F0B85}"/>
            </a:ext>
          </a:extLst>
        </xdr:cNvPr>
        <xdr:cNvSpPr txBox="1"/>
      </xdr:nvSpPr>
      <xdr:spPr>
        <a:xfrm>
          <a:off x="28575" y="57197625"/>
          <a:ext cx="3638550" cy="1257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BE" sz="1100" b="1"/>
            <a:t>NB</a:t>
          </a:r>
          <a:r>
            <a:rPr lang="fr-BE" sz="1100" b="1" baseline="0"/>
            <a:t> - comparisons between 2040 advice and other sources are not like-for-like because 2040 does not include agriculture or ambient heat.</a:t>
          </a:r>
          <a:endParaRPr lang="en-DK" sz="1100" b="1"/>
        </a:p>
      </xdr:txBody>
    </xdr:sp>
    <xdr:clientData/>
  </xdr:twoCellAnchor>
  <xdr:twoCellAnchor>
    <xdr:from>
      <xdr:col>11</xdr:col>
      <xdr:colOff>0</xdr:colOff>
      <xdr:row>108</xdr:row>
      <xdr:rowOff>57150</xdr:rowOff>
    </xdr:from>
    <xdr:to>
      <xdr:col>18</xdr:col>
      <xdr:colOff>57282</xdr:colOff>
      <xdr:row>125</xdr:row>
      <xdr:rowOff>14078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79CA555-B5E6-431E-A17C-6EC790E819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a1.sharepoint.com/teams/EuropeanScientificAdvisoryBoardonClimateChange2/Shared%20Documents/General/Subgroups/1b.%20Consistency%20EU%20measures/Drafts/underlying%20excels%20and%20flowcharts/Final%20Figures%20and%20Graphs/2023CRFs/EUA_2023_2005.xlsx" TargetMode="External"/><Relationship Id="rId2" Type="http://schemas.microsoft.com/office/2019/04/relationships/externalLinkLongPath" Target="2023CRFs/EUA_2023_2005.xlsx?9CC8C099" TargetMode="External"/><Relationship Id="rId1" Type="http://schemas.openxmlformats.org/officeDocument/2006/relationships/externalLinkPath" Target="file:///\\9CC8C099\EUA_2023_200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a1.sharepoint.com/teams/EuropeanScientificAdvisoryBoardonClimateChange2/Shared%20Documents/General/Subgroups/1b.%20Consistency%20EU%20measures/Drafts/underlying%20excels%20and%20flowcharts/Final%20Figures%20and%20Graphs/2023CRFs/EUA_2023_2006.xlsx" TargetMode="External"/><Relationship Id="rId2" Type="http://schemas.microsoft.com/office/2019/04/relationships/externalLinkLongPath" Target="2023CRFs/EUA_2023_2006.xlsx?9CC8C099" TargetMode="External"/><Relationship Id="rId1" Type="http://schemas.openxmlformats.org/officeDocument/2006/relationships/externalLinkPath" Target="file:///\\9CC8C099\EUA_2023_200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a1.sharepoint.com/teams/EuropeanScientificAdvisoryBoardonClimateChange2/Shared%20Documents/General/Subgroups/1b.%20Consistency%20EU%20measures/Drafts/underlying%20excels%20and%20flowcharts/Final%20Figures%20and%20Graphs/2023CRFs/EUA_2023_2007.xlsx" TargetMode="External"/><Relationship Id="rId2" Type="http://schemas.microsoft.com/office/2019/04/relationships/externalLinkLongPath" Target="2023CRFs/EUA_2023_2007.xlsx?9CC8C099" TargetMode="External"/><Relationship Id="rId1" Type="http://schemas.openxmlformats.org/officeDocument/2006/relationships/externalLinkPath" Target="file:///\\9CC8C099\EUA_2023_2007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a1.sharepoint.com/teams/EuropeanScientificAdvisoryBoardonClimateChange2/Shared%20Documents/General/Subgroups/1b.%20Consistency%20EU%20measures/Drafts/underlying%20excels%20and%20flowcharts/Final%20Figures%20and%20Graphs/2023CRFs/EUA_2023_2008.xlsx" TargetMode="External"/><Relationship Id="rId2" Type="http://schemas.microsoft.com/office/2019/04/relationships/externalLinkLongPath" Target="2023CRFs/EUA_2023_2008.xlsx?9CC8C099" TargetMode="External"/><Relationship Id="rId1" Type="http://schemas.openxmlformats.org/officeDocument/2006/relationships/externalLinkPath" Target="file:///\\9CC8C099\EUA_2023_2008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a1.sharepoint.com/teams/EuropeanScientificAdvisoryBoardonClimateChange2/Shared%20Documents/General/Subgroups/1b.%20Consistency%20EU%20measures/Drafts/underlying%20excels%20and%20flowcharts/Final%20Figures%20and%20Graphs/2023CRFs/EUA_2023_2009.xlsx" TargetMode="External"/><Relationship Id="rId2" Type="http://schemas.microsoft.com/office/2019/04/relationships/externalLinkLongPath" Target="2023CRFs/EUA_2023_2009.xlsx?9CC8C099" TargetMode="External"/><Relationship Id="rId1" Type="http://schemas.openxmlformats.org/officeDocument/2006/relationships/externalLinkPath" Target="file:///\\9CC8C099\EUA_2023_2009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a1.sharepoint.com/teams/EuropeanScientificAdvisoryBoardonClimateChange2/Shared%20Documents/General/Subgroups/1b.%20Consistency%20EU%20measures/Drafts/underlying%20excels%20and%20flowcharts/Final%20Figures%20and%20Graphs/2023CRFs/EUA_2023_2010.xlsx" TargetMode="External"/><Relationship Id="rId2" Type="http://schemas.microsoft.com/office/2019/04/relationships/externalLinkLongPath" Target="2023CRFs/EUA_2023_2010.xlsx?9CC8C099" TargetMode="External"/><Relationship Id="rId1" Type="http://schemas.openxmlformats.org/officeDocument/2006/relationships/externalLinkPath" Target="file:///\\9CC8C099\EUA_2023_2010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a1.sharepoint.com/teams/EuropeanScientificAdvisoryBoardonClimateChange2/Shared%20Documents/General/Subgroups/1b.%20Consistency%20EU%20measures/Drafts/underlying%20excels%20and%20flowcharts/Final%20Figures%20and%20Graphs/2023CRFs/EUA_2023_2011.xlsx" TargetMode="External"/><Relationship Id="rId2" Type="http://schemas.microsoft.com/office/2019/04/relationships/externalLinkLongPath" Target="2023CRFs/EUA_2023_2011.xlsx?9CC8C099" TargetMode="External"/><Relationship Id="rId1" Type="http://schemas.openxmlformats.org/officeDocument/2006/relationships/externalLinkPath" Target="file:///\\9CC8C099\EUA_2023_2011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a1.sharepoint.com/teams/EuropeanScientificAdvisoryBoardonClimateChange2/Shared%20Documents/General/Subgroups/1b.%20Consistency%20EU%20measures/Drafts/underlying%20excels%20and%20flowcharts/Final%20Figures%20and%20Graphs/2023CRFs/EUA_2023_2012.xlsx" TargetMode="External"/><Relationship Id="rId2" Type="http://schemas.microsoft.com/office/2019/04/relationships/externalLinkLongPath" Target="2023CRFs/EUA_2023_2012.xlsx?9CC8C099" TargetMode="External"/><Relationship Id="rId1" Type="http://schemas.openxmlformats.org/officeDocument/2006/relationships/externalLinkPath" Target="file:///\\9CC8C099\EUA_2023_2012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a1.sharepoint.com/teams/EuropeanScientificAdvisoryBoardonClimateChange2/Shared%20Documents/General/Subgroups/1b.%20Consistency%20EU%20measures/Drafts/underlying%20excels%20and%20flowcharts/Final%20Figures%20and%20Graphs/2023CRFs/EUA_2023_2013.xlsx" TargetMode="External"/><Relationship Id="rId2" Type="http://schemas.microsoft.com/office/2019/04/relationships/externalLinkLongPath" Target="2023CRFs/EUA_2023_2013.xlsx?9CC8C099" TargetMode="External"/><Relationship Id="rId1" Type="http://schemas.openxmlformats.org/officeDocument/2006/relationships/externalLinkPath" Target="file:///\\9CC8C099\EUA_2023_2013.xlsx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a1.sharepoint.com/teams/EuropeanScientificAdvisoryBoardonClimateChange2/Shared%20Documents/General/Subgroups/1b.%20Consistency%20EU%20measures/Drafts/underlying%20excels%20and%20flowcharts/Final%20Figures%20and%20Graphs/2023CRFs/EUA_2023_2014.xlsx" TargetMode="External"/><Relationship Id="rId2" Type="http://schemas.microsoft.com/office/2019/04/relationships/externalLinkLongPath" Target="2023CRFs/EUA_2023_2014.xlsx?9CC8C099" TargetMode="External"/><Relationship Id="rId1" Type="http://schemas.openxmlformats.org/officeDocument/2006/relationships/externalLinkPath" Target="file:///\\9CC8C099\EUA_2023_2014.xlsx" TargetMode="External"/></Relationships>
</file>

<file path=xl/externalLinks/_rels/externalLink1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a1.sharepoint.com/teams/EuropeanScientificAdvisoryBoardonClimateChange2/Shared%20Documents/General/Subgroups/1b.%20Consistency%20EU%20measures/Drafts/underlying%20excels%20and%20flowcharts/Final%20Figures%20and%20Graphs/2023CRFs/EUA_2023_2015.xlsx" TargetMode="External"/><Relationship Id="rId2" Type="http://schemas.microsoft.com/office/2019/04/relationships/externalLinkLongPath" Target="2023CRFs/EUA_2023_2015.xlsx?9CC8C099" TargetMode="External"/><Relationship Id="rId1" Type="http://schemas.openxmlformats.org/officeDocument/2006/relationships/externalLinkPath" Target="file:///\\9CC8C099\EUA_2023_2015.xlsx" TargetMode="External"/></Relationships>
</file>

<file path=xl/externalLinks/_rels/externalLink1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a1.sharepoint.com/teams/EuropeanScientificAdvisoryBoardonClimateChange2/Shared%20Documents/General/Subgroups/1b.%20Consistency%20EU%20measures/Drafts/underlying%20excels%20and%20flowcharts/Final%20Figures%20and%20Graphs/2023CRFs/EUA_2023_2016.xlsx" TargetMode="External"/><Relationship Id="rId2" Type="http://schemas.microsoft.com/office/2019/04/relationships/externalLinkLongPath" Target="2023CRFs/EUA_2023_2016.xlsx?9CC8C099" TargetMode="External"/><Relationship Id="rId1" Type="http://schemas.openxmlformats.org/officeDocument/2006/relationships/externalLinkPath" Target="file:///\\9CC8C099\EUA_2023_2016.xlsx" TargetMode="External"/></Relationships>
</file>

<file path=xl/externalLinks/_rels/externalLink1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a1.sharepoint.com/teams/EuropeanScientificAdvisoryBoardonClimateChange2/Shared%20Documents/General/Subgroups/1b.%20Consistency%20EU%20measures/Drafts/underlying%20excels%20and%20flowcharts/Final%20Figures%20and%20Graphs/2023CRFs/EUA_2023_2017.xlsx" TargetMode="External"/><Relationship Id="rId2" Type="http://schemas.microsoft.com/office/2019/04/relationships/externalLinkLongPath" Target="2023CRFs/EUA_2023_2017.xlsx?9CC8C099" TargetMode="External"/><Relationship Id="rId1" Type="http://schemas.openxmlformats.org/officeDocument/2006/relationships/externalLinkPath" Target="file:///\\9CC8C099\EUA_2023_2017.xlsx" TargetMode="External"/></Relationships>
</file>

<file path=xl/externalLinks/_rels/externalLink14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a1.sharepoint.com/teams/EuropeanScientificAdvisoryBoardonClimateChange2/Shared%20Documents/General/Subgroups/1b.%20Consistency%20EU%20measures/Drafts/underlying%20excels%20and%20flowcharts/Final%20Figures%20and%20Graphs/2023CRFs/EUA_2023_2018.xlsx" TargetMode="External"/><Relationship Id="rId2" Type="http://schemas.microsoft.com/office/2019/04/relationships/externalLinkLongPath" Target="2023CRFs/EUA_2023_2018.xlsx?9CC8C099" TargetMode="External"/><Relationship Id="rId1" Type="http://schemas.openxmlformats.org/officeDocument/2006/relationships/externalLinkPath" Target="file:///\\9CC8C099\EUA_2023_2018.xlsx" TargetMode="External"/></Relationships>
</file>

<file path=xl/externalLinks/_rels/externalLink15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a1.sharepoint.com/teams/EuropeanScientificAdvisoryBoardonClimateChange2/Shared%20Documents/General/Subgroups/1b.%20Consistency%20EU%20measures/Drafts/underlying%20excels%20and%20flowcharts/Final%20Figures%20and%20Graphs/2023CRFs/EUA_2023_2019.xlsx" TargetMode="External"/><Relationship Id="rId2" Type="http://schemas.microsoft.com/office/2019/04/relationships/externalLinkLongPath" Target="2023CRFs/EUA_2023_2019.xlsx?9CC8C099" TargetMode="External"/><Relationship Id="rId1" Type="http://schemas.openxmlformats.org/officeDocument/2006/relationships/externalLinkPath" Target="file:///\\9CC8C099\EUA_2023_2019.xlsx" TargetMode="External"/></Relationships>
</file>

<file path=xl/externalLinks/_rels/externalLink16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a1.sharepoint.com/teams/EuropeanScientificAdvisoryBoardonClimateChange2/Shared%20Documents/General/Subgroups/1b.%20Consistency%20EU%20measures/Drafts/underlying%20excels%20and%20flowcharts/Final%20Figures%20and%20Graphs/2023CRFs/EUA_2023_2020.xlsx" TargetMode="External"/><Relationship Id="rId2" Type="http://schemas.microsoft.com/office/2019/04/relationships/externalLinkLongPath" Target="2023CRFs/EUA_2023_2020.xlsx?9CC8C099" TargetMode="External"/><Relationship Id="rId1" Type="http://schemas.openxmlformats.org/officeDocument/2006/relationships/externalLinkPath" Target="file:///\\9CC8C099\EUA_2023_2020.xlsx" TargetMode="External"/></Relationships>
</file>

<file path=xl/externalLinks/_rels/externalLink17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a1.sharepoint.com/teams/EuropeanScientificAdvisoryBoardonClimateChange2/Shared%20Documents/General/Subgroups/1b.%20Consistency%20EU%20measures/Drafts/underlying%20excels%20and%20flowcharts/Final%20Figures%20and%20Graphs/2023CRFs/EUA_2023_2021.xlsx" TargetMode="External"/><Relationship Id="rId2" Type="http://schemas.microsoft.com/office/2019/04/relationships/externalLinkLongPath" Target="2023CRFs/EUA_2023_2021.xlsx?9CC8C099" TargetMode="External"/><Relationship Id="rId1" Type="http://schemas.openxmlformats.org/officeDocument/2006/relationships/externalLinkPath" Target="file:///\\9CC8C099\EUA_2023_2021.xlsx" TargetMode="External"/></Relationships>
</file>

<file path=xl/externalLinks/_rels/externalLink18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a1.sharepoint.com/teams/EuropeanScientificAdvisoryBoardonClimateChange2/Shared%20Documents/General/Subgroups/1b.%20Consistency%20EU%20measures/Drafts/underlying%20excels%20and%20flowcharts/Final%20Figures%20and%20Graphs/2023CRFs/GBR_2023_2015.xlsx" TargetMode="External"/><Relationship Id="rId2" Type="http://schemas.microsoft.com/office/2019/04/relationships/externalLinkLongPath" Target="2023CRFs/GBR_2023_2015.xlsx?9CC8C099" TargetMode="External"/><Relationship Id="rId1" Type="http://schemas.openxmlformats.org/officeDocument/2006/relationships/externalLinkPath" Target="file:///\\9CC8C099\GBR_2023_2015.xlsx" TargetMode="External"/></Relationships>
</file>

<file path=xl/externalLinks/_rels/externalLink19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a1.sharepoint.com/teams/EuropeanScientificAdvisoryBoardonClimateChange2/Shared%20Documents/General/Subgroups/1b.%20Consistency%20EU%20measures/Drafts/underlying%20excels%20and%20flowcharts/background%20data/ESABCC_Energy_Snapshots.xlsx" TargetMode="External"/><Relationship Id="rId2" Type="http://schemas.microsoft.com/office/2019/04/relationships/externalLinkLongPath" Target="/teams/EuropeanScientificAdvisoryBoardonClimateChange2/Shared%20Documents/General/Subgroups/1b.%20Consistency%20EU%20measures/Drafts/underlying%20excels%20and%20flowcharts/background%20data/ESABCC_Energy_Snapshots.xlsx?AC963AB7" TargetMode="External"/><Relationship Id="rId1" Type="http://schemas.openxmlformats.org/officeDocument/2006/relationships/externalLinkPath" Target="file:///\\AC963AB7\ESABCC_Energy_Snapshots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ea1.sharepoint.com/teams/SecretariattotheAdvisoryBoard/Shared%20Documents/General/Modelling/EC%20Modelling%20for%20Impact%20Assessments/FF55/ff55_mix_energy-transport-ghg_0.xlsx" TargetMode="External"/><Relationship Id="rId1" Type="http://schemas.openxmlformats.org/officeDocument/2006/relationships/externalLinkPath" Target="/teams/SecretariattotheAdvisoryBoard/Shared%20Documents/General/Modelling/EC%20Modelling%20for%20Impact%20Assessments/FF55/ff55_mix_energy-transport-ghg_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</sheetNames>
    <sheetDataSet>
      <sheetData sheetId="0" refreshError="1"/>
      <sheetData sheetId="1">
        <row r="8">
          <cell r="C8">
            <v>917.82611493890727</v>
          </cell>
        </row>
      </sheetData>
      <sheetData sheetId="2">
        <row r="15">
          <cell r="C15">
            <v>1886.842336361575</v>
          </cell>
        </row>
      </sheetData>
      <sheetData sheetId="3">
        <row r="24">
          <cell r="G24">
            <v>1188922.4815743798</v>
          </cell>
        </row>
      </sheetData>
      <sheetData sheetId="4" refreshError="1"/>
      <sheetData sheetId="5" refreshError="1"/>
      <sheetData sheetId="6" refreshError="1">
        <row r="16">
          <cell r="G16">
            <v>153079.99401107492</v>
          </cell>
          <cell r="H16">
            <v>26.645851342326178</v>
          </cell>
          <cell r="I16">
            <v>2.0246266629760301</v>
          </cell>
        </row>
        <row r="23">
          <cell r="G23">
            <v>407489.93689913361</v>
          </cell>
          <cell r="H23">
            <v>588.0817441300652</v>
          </cell>
          <cell r="I23">
            <v>10.74952032901504</v>
          </cell>
        </row>
        <row r="30">
          <cell r="G30">
            <v>79270.482720026353</v>
          </cell>
          <cell r="H30">
            <v>41.097015438697888</v>
          </cell>
          <cell r="I30">
            <v>13.02109173212221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  <sheetName val="EUA_2023_20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6">
          <cell r="G16">
            <v>160666.39116121354</v>
          </cell>
          <cell r="H16">
            <v>28.080299654229851</v>
          </cell>
          <cell r="I16">
            <v>2.1275823329838599</v>
          </cell>
        </row>
        <row r="23">
          <cell r="G23">
            <v>400814.45822617318</v>
          </cell>
          <cell r="H23">
            <v>597.08108745963079</v>
          </cell>
          <cell r="I23">
            <v>11.117428963853341</v>
          </cell>
        </row>
        <row r="30">
          <cell r="G30">
            <v>76349.872080245026</v>
          </cell>
          <cell r="H30">
            <v>48.692015109858232</v>
          </cell>
          <cell r="I30">
            <v>12.223728135890569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3">
          <cell r="R13">
            <v>9144.2416577700878</v>
          </cell>
        </row>
      </sheetData>
      <sheetData sheetId="37">
        <row r="13">
          <cell r="R13">
            <v>10260.783145763067</v>
          </cell>
        </row>
      </sheetData>
      <sheetData sheetId="38" refreshError="1"/>
      <sheetData sheetId="39">
        <row r="13">
          <cell r="R13">
            <v>12227.448514783595</v>
          </cell>
        </row>
      </sheetData>
      <sheetData sheetId="40">
        <row r="13">
          <cell r="R13">
            <v>2156.2495787006087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  <sheetName val="EUA_2023_20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6">
          <cell r="G16">
            <v>141416.3331954327</v>
          </cell>
          <cell r="H16">
            <v>28.897660691094408</v>
          </cell>
          <cell r="I16">
            <v>2.10980159619228</v>
          </cell>
        </row>
        <row r="23">
          <cell r="G23">
            <v>348634.62252179196</v>
          </cell>
          <cell r="H23">
            <v>599.84271114648004</v>
          </cell>
          <cell r="I23">
            <v>11.816037437807591</v>
          </cell>
        </row>
        <row r="30">
          <cell r="G30">
            <v>73323.707894281324</v>
          </cell>
          <cell r="H30">
            <v>61.59370715819589</v>
          </cell>
          <cell r="I30">
            <v>11.699230516958909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3">
          <cell r="R13">
            <v>8370.0781253014611</v>
          </cell>
        </row>
      </sheetData>
      <sheetData sheetId="37">
        <row r="13">
          <cell r="R13">
            <v>12347.63890453863</v>
          </cell>
        </row>
      </sheetData>
      <sheetData sheetId="38" refreshError="1"/>
      <sheetData sheetId="39">
        <row r="13">
          <cell r="R13">
            <v>14143.32579357734</v>
          </cell>
        </row>
      </sheetData>
      <sheetData sheetId="40">
        <row r="13">
          <cell r="R13">
            <v>780.5164688189202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  <sheetName val="EUA_2023_20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6">
          <cell r="G16">
            <v>155515.43901411531</v>
          </cell>
          <cell r="H16">
            <v>31.52065971082725</v>
          </cell>
          <cell r="I16">
            <v>2.2795432176838499</v>
          </cell>
        </row>
        <row r="23">
          <cell r="G23">
            <v>377704.84820010536</v>
          </cell>
          <cell r="H23">
            <v>638.00629494729856</v>
          </cell>
          <cell r="I23">
            <v>12.966748109665319</v>
          </cell>
        </row>
        <row r="30">
          <cell r="G30">
            <v>73859.277034113402</v>
          </cell>
          <cell r="H30">
            <v>75.497702132970232</v>
          </cell>
          <cell r="I30">
            <v>11.65848841008812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3">
          <cell r="R13">
            <v>8217.8588962125796</v>
          </cell>
        </row>
      </sheetData>
      <sheetData sheetId="37">
        <row r="13">
          <cell r="R13">
            <v>10267.156032259065</v>
          </cell>
        </row>
      </sheetData>
      <sheetData sheetId="38" refreshError="1"/>
      <sheetData sheetId="39">
        <row r="13">
          <cell r="R13">
            <v>13998.932933583323</v>
          </cell>
        </row>
      </sheetData>
      <sheetData sheetId="40">
        <row r="13">
          <cell r="R13">
            <v>755.08622865158429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  <sheetName val="EUA_2023_20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6">
          <cell r="G16">
            <v>152802.87265600936</v>
          </cell>
          <cell r="H16">
            <v>32.494177443738117</v>
          </cell>
          <cell r="I16">
            <v>2.2391549302036098</v>
          </cell>
        </row>
        <row r="23">
          <cell r="G23">
            <v>368199.48895810201</v>
          </cell>
          <cell r="H23">
            <v>639.52485701617297</v>
          </cell>
          <cell r="I23">
            <v>12.84471969002445</v>
          </cell>
        </row>
        <row r="30">
          <cell r="G30">
            <v>72313.474246940255</v>
          </cell>
          <cell r="H30">
            <v>79.011047485602404</v>
          </cell>
          <cell r="I30">
            <v>11.49112313293441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3">
          <cell r="R13">
            <v>8614.6591313965928</v>
          </cell>
        </row>
      </sheetData>
      <sheetData sheetId="37">
        <row r="13">
          <cell r="R13">
            <v>10599.110575198609</v>
          </cell>
        </row>
      </sheetData>
      <sheetData sheetId="38" refreshError="1"/>
      <sheetData sheetId="39">
        <row r="13">
          <cell r="R13">
            <v>14209.884237683955</v>
          </cell>
        </row>
      </sheetData>
      <sheetData sheetId="40">
        <row r="13">
          <cell r="R13">
            <v>979.58898625735878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  <sheetName val="EUA_2023_20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6">
          <cell r="G16">
            <v>161683.80201330472</v>
          </cell>
          <cell r="H16">
            <v>35.47093829451569</v>
          </cell>
          <cell r="I16">
            <v>2.3410975408711998</v>
          </cell>
        </row>
        <row r="23">
          <cell r="G23">
            <v>390297.82954830135</v>
          </cell>
          <cell r="H23">
            <v>681.84450881995872</v>
          </cell>
          <cell r="I23">
            <v>13.445347022039151</v>
          </cell>
        </row>
        <row r="30">
          <cell r="G30">
            <v>74476.800849376014</v>
          </cell>
          <cell r="H30">
            <v>85.911461427831895</v>
          </cell>
          <cell r="I30">
            <v>11.16691722051336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3">
          <cell r="R13">
            <v>8534.2281766174747</v>
          </cell>
        </row>
      </sheetData>
      <sheetData sheetId="37">
        <row r="13">
          <cell r="R13">
            <v>11272.991597282158</v>
          </cell>
        </row>
      </sheetData>
      <sheetData sheetId="38" refreshError="1"/>
      <sheetData sheetId="39">
        <row r="13">
          <cell r="R13">
            <v>13648.031767117793</v>
          </cell>
        </row>
      </sheetData>
      <sheetData sheetId="40">
        <row r="13">
          <cell r="R13">
            <v>877.80968179668662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  <sheetName val="EUA_2023_20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6">
          <cell r="G16">
            <v>139040.46234574809</v>
          </cell>
          <cell r="H16">
            <v>34.054172191001932</v>
          </cell>
          <cell r="I16">
            <v>2.1740119589959699</v>
          </cell>
        </row>
        <row r="23">
          <cell r="G23">
            <v>342482.93347925466</v>
          </cell>
          <cell r="H23">
            <v>589.79679932023998</v>
          </cell>
          <cell r="I23">
            <v>11.357502435386911</v>
          </cell>
        </row>
        <row r="30">
          <cell r="G30">
            <v>73584.2584440434</v>
          </cell>
          <cell r="H30">
            <v>83.228634548334568</v>
          </cell>
          <cell r="I30">
            <v>11.318583417257109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3">
          <cell r="R13">
            <v>8864.5075899733529</v>
          </cell>
        </row>
      </sheetData>
      <sheetData sheetId="37">
        <row r="13">
          <cell r="R13">
            <v>10370.428557807581</v>
          </cell>
        </row>
      </sheetData>
      <sheetData sheetId="38" refreshError="1"/>
      <sheetData sheetId="39">
        <row r="13">
          <cell r="R13">
            <v>12793.83981916952</v>
          </cell>
        </row>
      </sheetData>
      <sheetData sheetId="40">
        <row r="13">
          <cell r="R13">
            <v>796.29745694355199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  <sheetName val="EUA_2023_20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6">
          <cell r="G16">
            <v>139169.09298681864</v>
          </cell>
          <cell r="H16">
            <v>35.37561799479959</v>
          </cell>
          <cell r="I16">
            <v>2.0976555183824601</v>
          </cell>
        </row>
        <row r="23">
          <cell r="G23">
            <v>351269.29650345771</v>
          </cell>
          <cell r="H23">
            <v>639.82378117488952</v>
          </cell>
          <cell r="I23">
            <v>12.69481932526411</v>
          </cell>
        </row>
        <row r="30">
          <cell r="G30">
            <v>71268.007331632456</v>
          </cell>
          <cell r="H30">
            <v>80.247899427643404</v>
          </cell>
          <cell r="I30">
            <v>10.5359826956985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3">
          <cell r="R13">
            <v>8368.9978378187989</v>
          </cell>
        </row>
      </sheetData>
      <sheetData sheetId="37">
        <row r="13">
          <cell r="R13">
            <v>9141.9368497588548</v>
          </cell>
        </row>
      </sheetData>
      <sheetData sheetId="38" refreshError="1"/>
      <sheetData sheetId="39">
        <row r="13">
          <cell r="R13">
            <v>12949.644269461307</v>
          </cell>
        </row>
      </sheetData>
      <sheetData sheetId="40">
        <row r="13">
          <cell r="R13">
            <v>849.60631936949108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  <sheetName val="EUA_2023_20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6">
          <cell r="G16">
            <v>141052.89573479744</v>
          </cell>
          <cell r="H16">
            <v>30.49512708003477</v>
          </cell>
          <cell r="I16">
            <v>2.1600379830634702</v>
          </cell>
        </row>
        <row r="23">
          <cell r="G23">
            <v>353956.65671491536</v>
          </cell>
          <cell r="H23">
            <v>635.31822795503717</v>
          </cell>
          <cell r="I23">
            <v>12.748335867754641</v>
          </cell>
        </row>
        <row r="30">
          <cell r="G30">
            <v>71202.693729378632</v>
          </cell>
          <cell r="H30">
            <v>80.747624894942902</v>
          </cell>
          <cell r="I30">
            <v>10.68632143241169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3">
          <cell r="R13">
            <v>10325.668217039816</v>
          </cell>
        </row>
      </sheetData>
      <sheetData sheetId="37">
        <row r="13">
          <cell r="R13">
            <v>15914.115158987241</v>
          </cell>
        </row>
      </sheetData>
      <sheetData sheetId="38" refreshError="1"/>
      <sheetData sheetId="39">
        <row r="13">
          <cell r="R13">
            <v>13394.986644876431</v>
          </cell>
        </row>
      </sheetData>
      <sheetData sheetId="40">
        <row r="13">
          <cell r="R13">
            <v>795.59329186891114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  <sheetName val="EUA_2023_20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6">
          <cell r="G16">
            <v>123583.90308290211</v>
          </cell>
          <cell r="H16">
            <v>26.391910192618742</v>
          </cell>
          <cell r="I16">
            <v>2.0670560350545801</v>
          </cell>
        </row>
        <row r="23">
          <cell r="G23">
            <v>298452.62673487206</v>
          </cell>
          <cell r="H23">
            <v>554.07830654100735</v>
          </cell>
          <cell r="I23">
            <v>11.12368527236019</v>
          </cell>
        </row>
        <row r="30">
          <cell r="G30">
            <v>71065.904513330039</v>
          </cell>
          <cell r="H30">
            <v>73.934810945658953</v>
          </cell>
          <cell r="I30">
            <v>10.767270217302579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3">
          <cell r="R13">
            <v>9250.1171159480036</v>
          </cell>
        </row>
      </sheetData>
      <sheetData sheetId="37">
        <row r="13">
          <cell r="R13">
            <v>10417.005835164304</v>
          </cell>
        </row>
      </sheetData>
      <sheetData sheetId="38" refreshError="1"/>
      <sheetData sheetId="39">
        <row r="13">
          <cell r="R13">
            <v>13547.058778768011</v>
          </cell>
        </row>
      </sheetData>
      <sheetData sheetId="40">
        <row r="13">
          <cell r="R13">
            <v>818.02726231028885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6">
          <cell r="G16">
            <v>129211.38197574005</v>
          </cell>
          <cell r="H16">
            <v>25.19234325241586</v>
          </cell>
          <cell r="I16">
            <v>2.1454308739688499</v>
          </cell>
        </row>
        <row r="23">
          <cell r="G23">
            <v>315947.01937976881</v>
          </cell>
          <cell r="H23">
            <v>573.31559881008263</v>
          </cell>
          <cell r="I23">
            <v>11.926034701391609</v>
          </cell>
        </row>
        <row r="30">
          <cell r="G30">
            <v>70359.750852511643</v>
          </cell>
          <cell r="H30">
            <v>76.105286802912076</v>
          </cell>
          <cell r="I30">
            <v>10.80965320232316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3">
          <cell r="R13">
            <v>9770.2220320965589</v>
          </cell>
        </row>
      </sheetData>
      <sheetData sheetId="37">
        <row r="13">
          <cell r="R13">
            <v>10144.876840142313</v>
          </cell>
        </row>
      </sheetData>
      <sheetData sheetId="38" refreshError="1"/>
      <sheetData sheetId="39">
        <row r="13">
          <cell r="R13">
            <v>14124.550457911761</v>
          </cell>
        </row>
      </sheetData>
      <sheetData sheetId="40">
        <row r="13">
          <cell r="R13">
            <v>821.14191211625416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  <sheetName val="EUA_2023_20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6">
          <cell r="G16">
            <v>129608.81116974118</v>
          </cell>
          <cell r="H16">
            <v>25.811765356513192</v>
          </cell>
          <cell r="I16">
            <v>2.1208699080613398</v>
          </cell>
        </row>
        <row r="23">
          <cell r="G23">
            <v>322256.15623198845</v>
          </cell>
          <cell r="H23">
            <v>569.81061980369702</v>
          </cell>
          <cell r="I23">
            <v>11.726892257431841</v>
          </cell>
        </row>
        <row r="30">
          <cell r="G30">
            <v>70553.557579436485</v>
          </cell>
          <cell r="H30">
            <v>75.668265718662184</v>
          </cell>
          <cell r="I30">
            <v>10.75585387070703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3">
          <cell r="R13">
            <v>9168.769007008179</v>
          </cell>
        </row>
      </sheetData>
      <sheetData sheetId="37">
        <row r="13">
          <cell r="R13">
            <v>9964.1096254624481</v>
          </cell>
        </row>
      </sheetData>
      <sheetData sheetId="38" refreshError="1"/>
      <sheetData sheetId="39">
        <row r="13">
          <cell r="R13">
            <v>17481.475269892235</v>
          </cell>
        </row>
      </sheetData>
      <sheetData sheetId="40">
        <row r="13">
          <cell r="R13">
            <v>852.31456579632095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  <sheetName val="EUA_2023_20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6">
          <cell r="G16">
            <v>129958.72550753549</v>
          </cell>
          <cell r="H16">
            <v>27.214328737561459</v>
          </cell>
          <cell r="I16">
            <v>2.12690263030444</v>
          </cell>
        </row>
        <row r="23">
          <cell r="G23">
            <v>319432.57019721996</v>
          </cell>
          <cell r="H23">
            <v>569.14675642090424</v>
          </cell>
          <cell r="I23">
            <v>11.970597743133331</v>
          </cell>
        </row>
        <row r="30">
          <cell r="G30">
            <v>70712.166061762837</v>
          </cell>
          <cell r="H30">
            <v>80.738864387617284</v>
          </cell>
          <cell r="I30">
            <v>11.05740197468508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3">
          <cell r="R13">
            <v>8692.2912845364554</v>
          </cell>
        </row>
      </sheetData>
      <sheetData sheetId="37">
        <row r="13">
          <cell r="R13">
            <v>9040.1052176293924</v>
          </cell>
        </row>
      </sheetData>
      <sheetData sheetId="38" refreshError="1"/>
      <sheetData sheetId="39">
        <row r="13">
          <cell r="R13">
            <v>13087.102261078277</v>
          </cell>
        </row>
      </sheetData>
      <sheetData sheetId="40">
        <row r="13">
          <cell r="R13">
            <v>861.31308465170127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  <sheetName val="EUA_2023_20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6">
          <cell r="G16">
            <v>126211.64316041513</v>
          </cell>
          <cell r="H16">
            <v>28.580009391475521</v>
          </cell>
          <cell r="I16">
            <v>2.1794421217236701</v>
          </cell>
        </row>
        <row r="23">
          <cell r="G23">
            <v>309024.75831971172</v>
          </cell>
          <cell r="H23">
            <v>578.95416449338825</v>
          </cell>
          <cell r="I23">
            <v>11.911272970940519</v>
          </cell>
        </row>
        <row r="30">
          <cell r="G30">
            <v>71648.821285399303</v>
          </cell>
          <cell r="H30">
            <v>81.140291376037482</v>
          </cell>
          <cell r="I30">
            <v>11.434522346366601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3">
          <cell r="R13">
            <v>8144.3454012508864</v>
          </cell>
        </row>
      </sheetData>
      <sheetData sheetId="37">
        <row r="13">
          <cell r="R13">
            <v>7857.9095971837223</v>
          </cell>
        </row>
      </sheetData>
      <sheetData sheetId="38" refreshError="1"/>
      <sheetData sheetId="39">
        <row r="13">
          <cell r="R13">
            <v>13222.873679024899</v>
          </cell>
        </row>
      </sheetData>
      <sheetData sheetId="40">
        <row r="13">
          <cell r="R13">
            <v>1388.6383622283261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  <sheetName val="EUA_2023_2019"/>
    </sheetNames>
    <sheetDataSet>
      <sheetData sheetId="0"/>
      <sheetData sheetId="1">
        <row r="8">
          <cell r="C8">
            <v>926.56366616948492</v>
          </cell>
        </row>
      </sheetData>
      <sheetData sheetId="2">
        <row r="15">
          <cell r="C15">
            <v>1000.6552538857817</v>
          </cell>
        </row>
      </sheetData>
      <sheetData sheetId="3">
        <row r="24">
          <cell r="G24">
            <v>757239.04523108038</v>
          </cell>
        </row>
      </sheetData>
      <sheetData sheetId="4"/>
      <sheetData sheetId="5"/>
      <sheetData sheetId="6">
        <row r="16">
          <cell r="G16">
            <v>123795.96477254963</v>
          </cell>
          <cell r="H16">
            <v>28.317954554682249</v>
          </cell>
          <cell r="I16">
            <v>2.1188150398876302</v>
          </cell>
        </row>
        <row r="23">
          <cell r="G23">
            <v>302680.81037901103</v>
          </cell>
          <cell r="H23">
            <v>550.01703460870908</v>
          </cell>
          <cell r="I23">
            <v>11.67507441147491</v>
          </cell>
        </row>
        <row r="30">
          <cell r="G30">
            <v>71161.399936794551</v>
          </cell>
          <cell r="H30">
            <v>83.574650250045735</v>
          </cell>
          <cell r="I30">
            <v>11.30585866313556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9">
          <cell r="B9">
            <v>-258635.32657184513</v>
          </cell>
        </row>
      </sheetData>
      <sheetData sheetId="34"/>
      <sheetData sheetId="35"/>
      <sheetData sheetId="36">
        <row r="13">
          <cell r="R13">
            <v>8106.2914886679309</v>
          </cell>
        </row>
      </sheetData>
      <sheetData sheetId="37">
        <row r="13">
          <cell r="R13">
            <v>7985.2195288189496</v>
          </cell>
        </row>
      </sheetData>
      <sheetData sheetId="38"/>
      <sheetData sheetId="39">
        <row r="13">
          <cell r="R13">
            <v>12667.466205970139</v>
          </cell>
        </row>
      </sheetData>
      <sheetData sheetId="40">
        <row r="13">
          <cell r="R13">
            <v>851.17280670369553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  <sheetName val="EUA_2023_20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6">
          <cell r="G16">
            <v>120788.39547438658</v>
          </cell>
          <cell r="H16">
            <v>27.28357528989272</v>
          </cell>
          <cell r="I16">
            <v>2.08886179102418</v>
          </cell>
        </row>
        <row r="23">
          <cell r="G23">
            <v>301475.50658944284</v>
          </cell>
          <cell r="H23">
            <v>532.11594200531147</v>
          </cell>
          <cell r="I23">
            <v>11.35645309197896</v>
          </cell>
        </row>
        <row r="30">
          <cell r="G30">
            <v>72724.258032207508</v>
          </cell>
          <cell r="H30">
            <v>83.999033639852854</v>
          </cell>
          <cell r="I30">
            <v>11.87677603786269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3">
          <cell r="R13">
            <v>7864.6216295835511</v>
          </cell>
        </row>
      </sheetData>
      <sheetData sheetId="37">
        <row r="13">
          <cell r="R13">
            <v>6821.0216035557196</v>
          </cell>
        </row>
      </sheetData>
      <sheetData sheetId="38" refreshError="1"/>
      <sheetData sheetId="39">
        <row r="13">
          <cell r="R13">
            <v>12684.518139508848</v>
          </cell>
        </row>
      </sheetData>
      <sheetData sheetId="40">
        <row r="13">
          <cell r="R13">
            <v>882.30681622479926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  <sheetName val="EUA_2023_20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6">
          <cell r="G16">
            <v>128500.07012645931</v>
          </cell>
          <cell r="H16">
            <v>29.450565599888861</v>
          </cell>
          <cell r="I16">
            <v>2.1815537112469499</v>
          </cell>
        </row>
        <row r="23">
          <cell r="G23">
            <v>305879.08081108658</v>
          </cell>
          <cell r="H23">
            <v>559.3277686249603</v>
          </cell>
          <cell r="I23">
            <v>12.06227574799018</v>
          </cell>
        </row>
        <row r="30">
          <cell r="G30">
            <v>72353.62052735404</v>
          </cell>
          <cell r="H30">
            <v>87.602500812224903</v>
          </cell>
          <cell r="I30">
            <v>11.6522167548786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7">
          <cell r="D7">
            <v>26.373281220622761</v>
          </cell>
        </row>
      </sheetData>
      <sheetData sheetId="35"/>
      <sheetData sheetId="36">
        <row r="13">
          <cell r="R13">
            <v>8110.8853940357858</v>
          </cell>
        </row>
      </sheetData>
      <sheetData sheetId="37">
        <row r="13">
          <cell r="R13">
            <v>7181.5953552176725</v>
          </cell>
        </row>
      </sheetData>
      <sheetData sheetId="38" refreshError="1"/>
      <sheetData sheetId="39">
        <row r="13">
          <cell r="R13">
            <v>12370.23558845727</v>
          </cell>
        </row>
      </sheetData>
      <sheetData sheetId="40">
        <row r="13">
          <cell r="R13">
            <v>833.30210496186521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 sheet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3s1"/>
      <sheetName val="Table3s2"/>
      <sheetName val="Table3.As1"/>
      <sheetName val="Table3.As2"/>
      <sheetName val="Table3.B(a)s1"/>
      <sheetName val="Table3.B(a)s2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"/>
      <sheetName val="Table4.Gs2"/>
      <sheetName val="Table5"/>
      <sheetName val="Table5.A"/>
      <sheetName val="Table5.B"/>
      <sheetName val="Table5.C"/>
      <sheetName val="Table5.D"/>
      <sheetName val="Summary1.As1"/>
      <sheetName val="Summary1.As2"/>
      <sheetName val="Summary1.As3"/>
      <sheetName val="Summary2"/>
      <sheetName val="Summary3s1"/>
      <sheetName val="Summary3s2"/>
      <sheetName val="Table6"/>
      <sheetName val="Table7"/>
      <sheetName val="Table8s1"/>
      <sheetName val="Table8s2"/>
      <sheetName val="Table8s3"/>
      <sheetName val="Table8s4"/>
      <sheetName val="Table9"/>
      <sheetName val="Table10s1"/>
      <sheetName val="Table10s2"/>
      <sheetName val="Table10s3"/>
      <sheetName val="Table10s4"/>
      <sheetName val="Table10s5"/>
      <sheetName val="Table10s6"/>
      <sheetName val="NIR-1"/>
      <sheetName val="NIR-2"/>
      <sheetName val="NIR-2.1"/>
      <sheetName val="NIR-3"/>
      <sheetName val="4(KP)Recalculations"/>
      <sheetName val="4(KP)"/>
      <sheetName val="4(KP-I)A.1"/>
      <sheetName val="4(KP-I)A.1.1"/>
      <sheetName val="4(KP-I)A.2"/>
      <sheetName val="4(KP-I)A.2.1"/>
      <sheetName val="4(KP-I)B.1"/>
      <sheetName val="4(KP-I)B.1.1"/>
      <sheetName val="4(KP-I)B.1.2"/>
      <sheetName val="4(KP-I)B.1.3"/>
      <sheetName val="4(KP-I)B.2"/>
      <sheetName val="4(KP-I)B.3"/>
      <sheetName val="4(KP-I)B.4"/>
      <sheetName val="4(KP-I)B.5"/>
      <sheetName val="4(KP-I)C"/>
      <sheetName val="4(KP-II)1"/>
      <sheetName val="4(KP-II)2"/>
      <sheetName val="4(KP-II)3"/>
      <sheetName val="4(KP-II)4"/>
      <sheetName val="accounting"/>
    </sheetNames>
    <sheetDataSet>
      <sheetData sheetId="0"/>
      <sheetData sheetId="1"/>
      <sheetData sheetId="2"/>
      <sheetData sheetId="3"/>
      <sheetData sheetId="4"/>
      <sheetData sheetId="5"/>
      <sheetData sheetId="6">
        <row r="16">
          <cell r="G16">
            <v>19441.39498779707</v>
          </cell>
          <cell r="H16">
            <v>1.727792865484</v>
          </cell>
          <cell r="I16">
            <v>4.0206783505550001E-2</v>
          </cell>
        </row>
        <row r="32">
          <cell r="G32">
            <v>64850.71200658608</v>
          </cell>
          <cell r="H32">
            <v>20.03856770673131</v>
          </cell>
          <cell r="I32">
            <v>0.34907552981836998</v>
          </cell>
        </row>
        <row r="48">
          <cell r="G48">
            <v>6018.3280608253635</v>
          </cell>
          <cell r="H48">
            <v>0.91714234051709997</v>
          </cell>
          <cell r="I48">
            <v>0.26481101486925002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EnerSupplyEmissions"/>
      <sheetName val="Final&amp;Elec"/>
      <sheetName val="Primary"/>
      <sheetName val="PrimaryComposition"/>
      <sheetName val="GridIntensity"/>
      <sheetName val="CDR &amp; Electricity"/>
      <sheetName val="CH4Ener"/>
      <sheetName val="RES%2030"/>
      <sheetName val="RES%2035"/>
      <sheetName val="RES%IP2only"/>
      <sheetName val="ElecMix"/>
      <sheetName val="FinalEnerShares"/>
      <sheetName val="Hydrogen"/>
      <sheetName val="RES_FF55vs2040"/>
      <sheetName val="CapacityWindSolar"/>
      <sheetName val="WindCapacityFactor"/>
      <sheetName val="ResComm&amp;Agri"/>
      <sheetName val="HeatPumps"/>
      <sheetName val="Industry"/>
      <sheetName val="Agriculture"/>
      <sheetName val="LULUCF"/>
      <sheetName val="Sheet2"/>
      <sheetName val="Trans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38">
          <cell r="AO138">
            <v>261.24919999999997</v>
          </cell>
          <cell r="AY138">
            <v>70.790400000000005</v>
          </cell>
          <cell r="BI138">
            <v>1.4932000000000001</v>
          </cell>
        </row>
        <row r="139">
          <cell r="AO139">
            <v>263.42829999999998</v>
          </cell>
          <cell r="AY139">
            <v>108.2959</v>
          </cell>
          <cell r="BI139">
            <v>12.3802</v>
          </cell>
        </row>
        <row r="152">
          <cell r="AY152">
            <v>2823.1587617999999</v>
          </cell>
          <cell r="BI152">
            <v>2386.9377609999997</v>
          </cell>
        </row>
        <row r="153">
          <cell r="AY153">
            <v>2954.4639497000003</v>
          </cell>
          <cell r="BI153">
            <v>2661.4925478</v>
          </cell>
        </row>
        <row r="268">
          <cell r="C268" t="str">
            <v>Natural gas</v>
          </cell>
          <cell r="U268">
            <v>1521.7777777777899</v>
          </cell>
          <cell r="Z268">
            <v>1344.7500000000107</v>
          </cell>
          <cell r="AE268">
            <v>1339.7777777777885</v>
          </cell>
          <cell r="AJ268">
            <v>1154.0879629629721</v>
          </cell>
          <cell r="AO268">
            <v>907.40277777778499</v>
          </cell>
          <cell r="AT268">
            <v>600.86574074074554</v>
          </cell>
          <cell r="AY268">
            <v>269.51388888889107</v>
          </cell>
          <cell r="BD268">
            <v>66.245370370370907</v>
          </cell>
          <cell r="BI268">
            <v>16.805555555555689</v>
          </cell>
        </row>
        <row r="269">
          <cell r="C269" t="str">
            <v>Other fossil fuels</v>
          </cell>
          <cell r="U269">
            <v>872.63888888889585</v>
          </cell>
          <cell r="Z269">
            <v>683.9444444444498</v>
          </cell>
          <cell r="AE269">
            <v>657.63888888889403</v>
          </cell>
          <cell r="AJ269">
            <v>493.5648148148187</v>
          </cell>
          <cell r="AO269">
            <v>367.93518518518812</v>
          </cell>
          <cell r="AT269">
            <v>268.31944444444656</v>
          </cell>
          <cell r="AY269">
            <v>149.75462962963084</v>
          </cell>
          <cell r="BD269">
            <v>62.226851851852345</v>
          </cell>
          <cell r="BI269">
            <v>12.995370370370475</v>
          </cell>
        </row>
        <row r="270">
          <cell r="C270" t="str">
            <v>Electricity</v>
          </cell>
          <cell r="U270">
            <v>1467.9444444444562</v>
          </cell>
          <cell r="Z270">
            <v>1407.8055555555668</v>
          </cell>
          <cell r="AE270">
            <v>1516.8333333333455</v>
          </cell>
          <cell r="AJ270">
            <v>1634.3333333333464</v>
          </cell>
          <cell r="AO270">
            <v>1734.5185185185319</v>
          </cell>
          <cell r="AT270">
            <v>1836.7222222222372</v>
          </cell>
          <cell r="AY270">
            <v>1902.5416666666815</v>
          </cell>
          <cell r="BD270">
            <v>1992.9814814814972</v>
          </cell>
          <cell r="BI270">
            <v>2005.4814814814974</v>
          </cell>
        </row>
        <row r="271">
          <cell r="C271" t="str">
            <v>District heating</v>
          </cell>
          <cell r="U271">
            <v>402.55555555555878</v>
          </cell>
          <cell r="Z271">
            <v>349.80555555555833</v>
          </cell>
          <cell r="AE271">
            <v>381.69444444444753</v>
          </cell>
          <cell r="AJ271">
            <v>409.12037037037362</v>
          </cell>
          <cell r="AO271">
            <v>399.28703703704014</v>
          </cell>
          <cell r="AT271">
            <v>346.28240740741023</v>
          </cell>
          <cell r="AY271">
            <v>311.59722222222467</v>
          </cell>
          <cell r="BD271">
            <v>300.54166666666896</v>
          </cell>
          <cell r="BI271">
            <v>294.84722222222456</v>
          </cell>
        </row>
        <row r="272">
          <cell r="C272" t="str">
            <v>Biomass</v>
          </cell>
          <cell r="U272">
            <v>519.00000000000409</v>
          </cell>
          <cell r="Z272">
            <v>519.05555555555975</v>
          </cell>
          <cell r="AE272">
            <v>532.02777777778203</v>
          </cell>
          <cell r="AJ272">
            <v>485.97222222222609</v>
          </cell>
          <cell r="AO272">
            <v>423.2500000000033</v>
          </cell>
          <cell r="AT272">
            <v>333.79629629629903</v>
          </cell>
          <cell r="AY272">
            <v>249.96296296296495</v>
          </cell>
          <cell r="BD272">
            <v>181.78703703703849</v>
          </cell>
          <cell r="BI272">
            <v>121.29166666666764</v>
          </cell>
        </row>
        <row r="273">
          <cell r="C273" t="str">
            <v>Other renewables</v>
          </cell>
          <cell r="U273">
            <v>0</v>
          </cell>
          <cell r="Z273">
            <v>0</v>
          </cell>
          <cell r="AE273">
            <v>0</v>
          </cell>
          <cell r="AJ273">
            <v>0</v>
          </cell>
          <cell r="AO273">
            <v>0</v>
          </cell>
          <cell r="AT273">
            <v>0</v>
          </cell>
          <cell r="AY273">
            <v>0</v>
          </cell>
          <cell r="BD273">
            <v>0</v>
          </cell>
          <cell r="BI273">
            <v>0</v>
          </cell>
        </row>
      </sheetData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EU_A"/>
      <sheetName val="EU_B"/>
      <sheetName val="AT_A"/>
      <sheetName val="AT_B"/>
      <sheetName val="BE_A"/>
      <sheetName val="BE_B"/>
      <sheetName val="BG_A"/>
      <sheetName val="BG_B"/>
      <sheetName val="CY_A"/>
      <sheetName val="CY_B"/>
      <sheetName val="CZ_A"/>
      <sheetName val="CZ_B"/>
      <sheetName val="DE_A"/>
      <sheetName val="DE_B"/>
      <sheetName val="DK_A"/>
      <sheetName val="DK_B"/>
      <sheetName val="EE_A"/>
      <sheetName val="EE_B"/>
      <sheetName val="EL_A"/>
      <sheetName val="EL_B"/>
      <sheetName val="ES_A"/>
      <sheetName val="ES_B"/>
      <sheetName val="FI_A"/>
      <sheetName val="FI_B"/>
      <sheetName val="FR_A"/>
      <sheetName val="FR_B"/>
      <sheetName val="HR_A"/>
      <sheetName val="HR_B"/>
      <sheetName val="HU_A"/>
      <sheetName val="HU_B"/>
      <sheetName val="IE_A"/>
      <sheetName val="IE_B"/>
      <sheetName val="IT_A"/>
      <sheetName val="IT_B"/>
      <sheetName val="LT_A"/>
      <sheetName val="LT_B"/>
      <sheetName val="LU_A"/>
      <sheetName val="LU_B"/>
      <sheetName val="LV_A"/>
      <sheetName val="LV_B"/>
      <sheetName val="MT_A"/>
      <sheetName val="MT_B"/>
      <sheetName val="NL_A"/>
      <sheetName val="NL_B"/>
      <sheetName val="PL_A"/>
      <sheetName val="PL_B"/>
      <sheetName val="PT_A"/>
      <sheetName val="PT_B"/>
      <sheetName val="RO_A"/>
      <sheetName val="RO_B"/>
      <sheetName val="SE_A"/>
      <sheetName val="SE_B"/>
      <sheetName val="SI_A"/>
      <sheetName val="SI_B"/>
      <sheetName val="SK_A"/>
      <sheetName val="SK_B"/>
    </sheetNames>
    <sheetDataSet>
      <sheetData sheetId="0"/>
      <sheetData sheetId="1"/>
      <sheetData sheetId="2">
        <row r="87">
          <cell r="G87">
            <v>142.20415728918073</v>
          </cell>
        </row>
        <row r="88">
          <cell r="G88">
            <v>108.14352746003047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ESABCC Excel Theme">
  <a:themeElements>
    <a:clrScheme name="ESABCC">
      <a:dk1>
        <a:sysClr val="windowText" lastClr="000000"/>
      </a:dk1>
      <a:lt1>
        <a:sysClr val="window" lastClr="FFFFFF"/>
      </a:lt1>
      <a:dk2>
        <a:srgbClr val="608C95"/>
      </a:dk2>
      <a:lt2>
        <a:srgbClr val="E7E6E6"/>
      </a:lt2>
      <a:accent1>
        <a:srgbClr val="648ECA"/>
      </a:accent1>
      <a:accent2>
        <a:srgbClr val="B04545"/>
      </a:accent2>
      <a:accent3>
        <a:srgbClr val="F59E2D"/>
      </a:accent3>
      <a:accent4>
        <a:srgbClr val="EFE973"/>
      </a:accent4>
      <a:accent5>
        <a:srgbClr val="B487C7"/>
      </a:accent5>
      <a:accent6>
        <a:srgbClr val="8EC26A"/>
      </a:accent6>
      <a:hlink>
        <a:srgbClr val="0563C1"/>
      </a:hlink>
      <a:folHlink>
        <a:srgbClr val="954F72"/>
      </a:folHlink>
    </a:clrScheme>
    <a:fontScheme name="ESABCC">
      <a:majorFont>
        <a:latin typeface="Segoe UI Light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392C5-181E-4BFA-A0F5-382D72239087}">
  <dimension ref="A3:A28"/>
  <sheetViews>
    <sheetView workbookViewId="0">
      <selection activeCell="Q45" sqref="Q45"/>
    </sheetView>
  </sheetViews>
  <sheetFormatPr defaultRowHeight="16.5" x14ac:dyDescent="0.3"/>
  <sheetData>
    <row r="3" spans="1:1" x14ac:dyDescent="0.3">
      <c r="A3" s="80" t="s">
        <v>0</v>
      </c>
    </row>
    <row r="4" spans="1:1" x14ac:dyDescent="0.3">
      <c r="A4" s="81"/>
    </row>
    <row r="5" spans="1:1" x14ac:dyDescent="0.3">
      <c r="A5" s="81" t="s">
        <v>1</v>
      </c>
    </row>
    <row r="6" spans="1:1" x14ac:dyDescent="0.3">
      <c r="A6" s="82" t="s">
        <v>2</v>
      </c>
    </row>
    <row r="7" spans="1:1" x14ac:dyDescent="0.3">
      <c r="A7" s="81"/>
    </row>
    <row r="8" spans="1:1" x14ac:dyDescent="0.3">
      <c r="A8" s="82" t="s">
        <v>2</v>
      </c>
    </row>
    <row r="9" spans="1:1" x14ac:dyDescent="0.3">
      <c r="A9" s="81" t="s">
        <v>3</v>
      </c>
    </row>
    <row r="10" spans="1:1" x14ac:dyDescent="0.3">
      <c r="A10" s="81"/>
    </row>
    <row r="11" spans="1:1" x14ac:dyDescent="0.3">
      <c r="A11" s="81" t="s">
        <v>4</v>
      </c>
    </row>
    <row r="12" spans="1:1" x14ac:dyDescent="0.3">
      <c r="A12" s="81" t="s">
        <v>5</v>
      </c>
    </row>
    <row r="13" spans="1:1" x14ac:dyDescent="0.3">
      <c r="A13" s="81"/>
    </row>
    <row r="14" spans="1:1" x14ac:dyDescent="0.3">
      <c r="A14" s="83" t="s">
        <v>6</v>
      </c>
    </row>
    <row r="15" spans="1:1" x14ac:dyDescent="0.3">
      <c r="A15" s="84"/>
    </row>
    <row r="16" spans="1:1" x14ac:dyDescent="0.3">
      <c r="A16" s="85"/>
    </row>
    <row r="17" spans="1:1" x14ac:dyDescent="0.3">
      <c r="A17" s="86"/>
    </row>
    <row r="18" spans="1:1" x14ac:dyDescent="0.3">
      <c r="A18" s="82" t="s">
        <v>6</v>
      </c>
    </row>
    <row r="19" spans="1:1" x14ac:dyDescent="0.3">
      <c r="A19" s="87"/>
    </row>
    <row r="20" spans="1:1" x14ac:dyDescent="0.3">
      <c r="A20" s="88" t="s">
        <v>6</v>
      </c>
    </row>
    <row r="21" spans="1:1" x14ac:dyDescent="0.3">
      <c r="A21" s="89"/>
    </row>
    <row r="22" spans="1:1" x14ac:dyDescent="0.3">
      <c r="A22" s="90"/>
    </row>
    <row r="23" spans="1:1" x14ac:dyDescent="0.3">
      <c r="A23" s="91" t="s">
        <v>6</v>
      </c>
    </row>
    <row r="24" spans="1:1" x14ac:dyDescent="0.3">
      <c r="A24" s="92"/>
    </row>
    <row r="25" spans="1:1" x14ac:dyDescent="0.3">
      <c r="A25" s="93"/>
    </row>
    <row r="26" spans="1:1" x14ac:dyDescent="0.3">
      <c r="A26" s="94"/>
    </row>
    <row r="27" spans="1:1" x14ac:dyDescent="0.3">
      <c r="A27" s="95"/>
    </row>
    <row r="28" spans="1:1" x14ac:dyDescent="0.3">
      <c r="A28" s="9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AD16B-6290-42B4-AF68-289CBAF4F4DB}">
  <sheetPr codeName="Sheet3"/>
  <dimension ref="B2:H21"/>
  <sheetViews>
    <sheetView workbookViewId="0">
      <selection activeCell="N32" sqref="N32"/>
    </sheetView>
  </sheetViews>
  <sheetFormatPr defaultRowHeight="16.5" x14ac:dyDescent="0.3"/>
  <cols>
    <col min="7" max="7" width="10.5" customWidth="1"/>
  </cols>
  <sheetData>
    <row r="2" spans="2:8" x14ac:dyDescent="0.3">
      <c r="B2" s="10" t="s">
        <v>7</v>
      </c>
      <c r="E2" t="s">
        <v>8</v>
      </c>
      <c r="H2" t="s">
        <v>9</v>
      </c>
    </row>
    <row r="3" spans="2:8" x14ac:dyDescent="0.3">
      <c r="B3" t="s">
        <v>10</v>
      </c>
      <c r="C3">
        <v>28</v>
      </c>
      <c r="E3" t="s">
        <v>11</v>
      </c>
      <c r="H3" t="s">
        <v>12</v>
      </c>
    </row>
    <row r="4" spans="2:8" x14ac:dyDescent="0.3">
      <c r="B4" t="s">
        <v>13</v>
      </c>
      <c r="C4">
        <v>265</v>
      </c>
      <c r="E4" t="s">
        <v>14</v>
      </c>
      <c r="H4" t="s">
        <v>12</v>
      </c>
    </row>
    <row r="5" spans="2:8" x14ac:dyDescent="0.3">
      <c r="B5" t="s">
        <v>15</v>
      </c>
      <c r="C5">
        <v>25</v>
      </c>
    </row>
    <row r="9" spans="2:8" x14ac:dyDescent="0.3">
      <c r="B9" s="10" t="s">
        <v>16</v>
      </c>
      <c r="E9" t="s">
        <v>17</v>
      </c>
    </row>
    <row r="10" spans="2:8" x14ac:dyDescent="0.3">
      <c r="B10" s="11" t="s">
        <v>18</v>
      </c>
    </row>
    <row r="11" spans="2:8" x14ac:dyDescent="0.3">
      <c r="B11" t="s">
        <v>19</v>
      </c>
      <c r="C11">
        <v>11.63</v>
      </c>
      <c r="D11" t="s">
        <v>20</v>
      </c>
    </row>
    <row r="12" spans="2:8" x14ac:dyDescent="0.3">
      <c r="B12" t="s">
        <v>21</v>
      </c>
      <c r="C12">
        <f>C11*1000</f>
        <v>11630</v>
      </c>
      <c r="D12" t="s">
        <v>20</v>
      </c>
    </row>
    <row r="13" spans="2:8" x14ac:dyDescent="0.3">
      <c r="B13" t="s">
        <v>21</v>
      </c>
      <c r="C13">
        <f>C12/1000000</f>
        <v>1.163E-2</v>
      </c>
      <c r="D13" t="s">
        <v>22</v>
      </c>
    </row>
    <row r="14" spans="2:8" x14ac:dyDescent="0.3">
      <c r="B14" t="s">
        <v>23</v>
      </c>
      <c r="C14">
        <f>ktoe2TWh*1000</f>
        <v>11.629999999999999</v>
      </c>
      <c r="D14" t="s">
        <v>22</v>
      </c>
    </row>
    <row r="16" spans="2:8" x14ac:dyDescent="0.3">
      <c r="B16" s="11" t="s">
        <v>24</v>
      </c>
    </row>
    <row r="17" spans="2:7" x14ac:dyDescent="0.3">
      <c r="B17" t="s">
        <v>25</v>
      </c>
      <c r="C17">
        <v>277.77999999999997</v>
      </c>
      <c r="D17" t="s">
        <v>22</v>
      </c>
    </row>
    <row r="19" spans="2:7" x14ac:dyDescent="0.3">
      <c r="B19" s="11"/>
    </row>
    <row r="21" spans="2:7" x14ac:dyDescent="0.3">
      <c r="G21" s="12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4A2BA-CC43-4D0B-A532-24EECDC35A91}">
  <sheetPr codeName="Sheet2">
    <tabColor rgb="FFFFFF00"/>
    <outlinePr summaryBelow="0"/>
  </sheetPr>
  <dimension ref="A1:BA120"/>
  <sheetViews>
    <sheetView showGridLines="0" zoomScale="73" zoomScaleNormal="73" workbookViewId="0">
      <pane xSplit="3" ySplit="2" topLeftCell="AA65" activePane="bottomRight" state="frozen"/>
      <selection pane="topRight" activeCell="M67" sqref="M67"/>
      <selection pane="bottomLeft" activeCell="M67" sqref="M67"/>
      <selection pane="bottomRight" activeCell="A87" sqref="A87"/>
    </sheetView>
  </sheetViews>
  <sheetFormatPr defaultRowHeight="16.5" x14ac:dyDescent="0.3"/>
  <cols>
    <col min="1" max="1" width="28.375" customWidth="1"/>
    <col min="2" max="2" width="38.375" style="8" customWidth="1"/>
    <col min="3" max="3" width="8.5" style="8" customWidth="1"/>
    <col min="4" max="4" width="9.75" customWidth="1"/>
    <col min="21" max="21" width="9.625" customWidth="1"/>
  </cols>
  <sheetData>
    <row r="1" spans="1:53" x14ac:dyDescent="0.3">
      <c r="A1" s="5" t="s">
        <v>26</v>
      </c>
      <c r="B1" s="7"/>
      <c r="C1" s="7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</row>
    <row r="2" spans="1:53" x14ac:dyDescent="0.3">
      <c r="B2" s="8" t="s">
        <v>27</v>
      </c>
      <c r="C2" s="8" t="s">
        <v>28</v>
      </c>
      <c r="D2" t="s">
        <v>29</v>
      </c>
      <c r="I2" t="s">
        <v>30</v>
      </c>
      <c r="N2" t="s">
        <v>31</v>
      </c>
      <c r="S2" t="s">
        <v>32</v>
      </c>
      <c r="X2">
        <v>2025</v>
      </c>
      <c r="AC2">
        <v>2030</v>
      </c>
      <c r="AH2">
        <v>2035</v>
      </c>
      <c r="AM2">
        <v>2040</v>
      </c>
      <c r="AR2">
        <v>2045</v>
      </c>
      <c r="AW2">
        <v>2050</v>
      </c>
      <c r="AZ2" t="s">
        <v>33</v>
      </c>
    </row>
    <row r="3" spans="1:53" x14ac:dyDescent="0.3">
      <c r="A3" t="s">
        <v>34</v>
      </c>
      <c r="B3" s="8" t="s">
        <v>35</v>
      </c>
      <c r="C3" s="8" t="s">
        <v>36</v>
      </c>
      <c r="D3" s="4">
        <f t="shared" ref="D3:T3" si="0">D4+D5+D6</f>
        <v>665.03924099763549</v>
      </c>
      <c r="E3" s="4">
        <f t="shared" si="0"/>
        <v>663.44783267956882</v>
      </c>
      <c r="F3" s="4">
        <f t="shared" si="0"/>
        <v>589.49466125439164</v>
      </c>
      <c r="G3" s="4">
        <f t="shared" si="0"/>
        <v>635.07002126890563</v>
      </c>
      <c r="H3" s="4">
        <f t="shared" si="0"/>
        <v>621.38705256011406</v>
      </c>
      <c r="I3" s="4">
        <f t="shared" si="0"/>
        <v>656.09142672277392</v>
      </c>
      <c r="J3" s="4">
        <f t="shared" si="0"/>
        <v>581.49115915879884</v>
      </c>
      <c r="K3" s="4">
        <f t="shared" si="0"/>
        <v>589.5709624305606</v>
      </c>
      <c r="L3" s="4">
        <f t="shared" si="0"/>
        <v>593.89854786718774</v>
      </c>
      <c r="M3" s="4">
        <f t="shared" si="0"/>
        <v>517.77464816017437</v>
      </c>
      <c r="N3" s="4">
        <f t="shared" si="0"/>
        <v>541.00081909233813</v>
      </c>
      <c r="O3" s="4">
        <f t="shared" si="0"/>
        <v>547.73462145536746</v>
      </c>
      <c r="P3" s="4">
        <f t="shared" si="0"/>
        <v>545.72830947606121</v>
      </c>
      <c r="Q3" s="4">
        <f t="shared" si="0"/>
        <v>532.93229571417453</v>
      </c>
      <c r="R3" s="4">
        <f t="shared" si="0"/>
        <v>522.82307824227337</v>
      </c>
      <c r="S3" s="4">
        <f t="shared" si="0"/>
        <v>519.71367361624789</v>
      </c>
      <c r="T3" s="4">
        <f t="shared" si="0"/>
        <v>532.5338870926787</v>
      </c>
      <c r="U3" s="4">
        <v>481.83207028999999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Z3" s="16">
        <f>T3-D3</f>
        <v>-132.50535390495679</v>
      </c>
      <c r="BA3" s="2">
        <f>AZ3/D3</f>
        <v>-0.19924441406823376</v>
      </c>
    </row>
    <row r="4" spans="1:53" x14ac:dyDescent="0.3">
      <c r="A4" t="str">
        <f>A62</f>
        <v>Residential</v>
      </c>
      <c r="B4" s="8" t="s">
        <v>37</v>
      </c>
      <c r="C4" s="8" t="s">
        <v>36</v>
      </c>
      <c r="D4" s="4">
        <f t="shared" ref="D4:T4" si="1">D62</f>
        <v>426.80484862196442</v>
      </c>
      <c r="E4" s="4">
        <f t="shared" si="1"/>
        <v>420.47884735046398</v>
      </c>
      <c r="F4" s="4">
        <f t="shared" si="1"/>
        <v>368.56146835491239</v>
      </c>
      <c r="G4" s="4">
        <f t="shared" si="1"/>
        <v>399.00521270769099</v>
      </c>
      <c r="H4" s="4">
        <f t="shared" si="1"/>
        <v>389.51003567241133</v>
      </c>
      <c r="I4" s="4">
        <f t="shared" si="1"/>
        <v>412.95249275610053</v>
      </c>
      <c r="J4" s="4">
        <f t="shared" si="1"/>
        <v>362.0069820055989</v>
      </c>
      <c r="K4" s="4">
        <f t="shared" si="1"/>
        <v>372.54848949754961</v>
      </c>
      <c r="L4" s="4">
        <f t="shared" si="1"/>
        <v>375.12387610261135</v>
      </c>
      <c r="M4" s="4">
        <f t="shared" si="1"/>
        <v>316.91459591519572</v>
      </c>
      <c r="N4" s="4">
        <f t="shared" si="1"/>
        <v>335.16025534231989</v>
      </c>
      <c r="O4" s="4">
        <f t="shared" si="1"/>
        <v>341.31848003471134</v>
      </c>
      <c r="P4" s="4">
        <f t="shared" si="1"/>
        <v>338.5408877789356</v>
      </c>
      <c r="Q4" s="4">
        <f t="shared" si="1"/>
        <v>328.39196226282581</v>
      </c>
      <c r="R4" s="4">
        <f t="shared" si="1"/>
        <v>321.1751820670957</v>
      </c>
      <c r="S4" s="4">
        <f t="shared" si="1"/>
        <v>319.38421303496597</v>
      </c>
      <c r="T4" s="4">
        <f t="shared" si="1"/>
        <v>324.73676140580284</v>
      </c>
      <c r="U4" s="2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Z4" s="16">
        <f>T4-D4</f>
        <v>-102.06808721616159</v>
      </c>
      <c r="BA4" s="2">
        <f>AZ4/D4</f>
        <v>-0.23914462908683298</v>
      </c>
    </row>
    <row r="5" spans="1:53" x14ac:dyDescent="0.3">
      <c r="A5" t="s">
        <v>38</v>
      </c>
      <c r="B5" s="8" t="s">
        <v>37</v>
      </c>
      <c r="C5" s="8" t="s">
        <v>36</v>
      </c>
      <c r="D5" s="4">
        <f t="shared" ref="D5:T5" si="2">D63+D64</f>
        <v>238.23439237567101</v>
      </c>
      <c r="E5" s="4">
        <f t="shared" si="2"/>
        <v>242.96898532910478</v>
      </c>
      <c r="F5" s="4">
        <f t="shared" si="2"/>
        <v>220.93319289947922</v>
      </c>
      <c r="G5" s="4">
        <f t="shared" si="2"/>
        <v>236.06480856121465</v>
      </c>
      <c r="H5" s="4">
        <f t="shared" si="2"/>
        <v>231.87701688770272</v>
      </c>
      <c r="I5" s="4">
        <f t="shared" si="2"/>
        <v>243.13893396667339</v>
      </c>
      <c r="J5" s="4">
        <f t="shared" si="2"/>
        <v>219.48417715319997</v>
      </c>
      <c r="K5" s="4">
        <f t="shared" si="2"/>
        <v>217.02247293301096</v>
      </c>
      <c r="L5" s="4">
        <f t="shared" si="2"/>
        <v>218.77467176457634</v>
      </c>
      <c r="M5" s="4">
        <f t="shared" si="2"/>
        <v>200.86005224497859</v>
      </c>
      <c r="N5" s="4">
        <f t="shared" si="2"/>
        <v>205.84056375001825</v>
      </c>
      <c r="O5" s="4">
        <f t="shared" si="2"/>
        <v>206.41614142065617</v>
      </c>
      <c r="P5" s="4">
        <f t="shared" si="2"/>
        <v>207.18742169712556</v>
      </c>
      <c r="Q5" s="4">
        <f t="shared" si="2"/>
        <v>204.54033345134872</v>
      </c>
      <c r="R5" s="4">
        <f t="shared" si="2"/>
        <v>201.64789617517772</v>
      </c>
      <c r="S5" s="4">
        <f t="shared" si="2"/>
        <v>200.32946058128198</v>
      </c>
      <c r="T5" s="4">
        <f t="shared" si="2"/>
        <v>207.7971256868758</v>
      </c>
      <c r="U5" s="2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Z5" s="16">
        <f>T5-D5</f>
        <v>-30.437266688795205</v>
      </c>
      <c r="BA5" s="2">
        <f>AZ5/D5</f>
        <v>-0.12776184993810122</v>
      </c>
    </row>
    <row r="6" spans="1:53" x14ac:dyDescent="0.3"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2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Z6" s="16">
        <f>T6-D6</f>
        <v>0</v>
      </c>
      <c r="BA6" s="2" t="e">
        <f>AZ6/D6</f>
        <v>#DIV/0!</v>
      </c>
    </row>
    <row r="7" spans="1:53" ht="17.25" x14ac:dyDescent="0.3">
      <c r="A7" t="s">
        <v>39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>
        <f>AM79</f>
        <v>82.919064401835485</v>
      </c>
      <c r="AN7" s="4"/>
      <c r="AO7" s="4"/>
      <c r="AP7" s="4"/>
      <c r="AQ7" s="4"/>
      <c r="AR7" s="4"/>
      <c r="AS7" s="4"/>
      <c r="AT7" s="4"/>
      <c r="AU7" s="4"/>
      <c r="AV7" s="4"/>
      <c r="AW7" s="4">
        <f>AW79</f>
        <v>1.7490330181044427</v>
      </c>
      <c r="AZ7" s="2"/>
    </row>
    <row r="8" spans="1:53" x14ac:dyDescent="0.3">
      <c r="A8" t="s">
        <v>40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>
        <f>AM80-AM7</f>
        <v>43.931394227508818</v>
      </c>
      <c r="AN8" s="4"/>
      <c r="AO8" s="4"/>
      <c r="AP8" s="4"/>
      <c r="AQ8" s="4"/>
      <c r="AR8" s="4"/>
      <c r="AS8" s="4"/>
      <c r="AT8" s="4"/>
      <c r="AU8" s="4"/>
      <c r="AV8" s="4"/>
      <c r="AW8" s="4">
        <f>AW80-AW7</f>
        <v>12.752292035965086</v>
      </c>
      <c r="AZ8" s="2"/>
    </row>
    <row r="9" spans="1:53" x14ac:dyDescent="0.3">
      <c r="A9" t="s">
        <v>41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>
        <f>AC83+AC84</f>
        <v>250.3476847492112</v>
      </c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Z9" s="2"/>
    </row>
    <row r="10" spans="1:53" x14ac:dyDescent="0.3">
      <c r="A10" t="s">
        <v>42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>
        <f>AW87+AW88</f>
        <v>26.413928752037123</v>
      </c>
      <c r="AZ10" s="2"/>
    </row>
    <row r="11" spans="1:53" x14ac:dyDescent="0.3">
      <c r="A11" s="3" t="s">
        <v>43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U11" s="4">
        <v>481.83207029000005</v>
      </c>
      <c r="V11" s="4">
        <v>452.89652209740143</v>
      </c>
      <c r="W11" s="4">
        <v>423.96097390480281</v>
      </c>
      <c r="X11" s="4">
        <v>395.0254257122042</v>
      </c>
      <c r="Y11" s="4">
        <v>366.08987751960558</v>
      </c>
      <c r="Z11" s="4">
        <v>337.15432932700702</v>
      </c>
      <c r="AA11" s="4">
        <v>308.2187811344084</v>
      </c>
      <c r="AB11" s="4">
        <v>279.28323294180979</v>
      </c>
      <c r="AC11" s="4">
        <v>250.34768474921117</v>
      </c>
      <c r="AD11" s="4">
        <f>($AW11-$AC11)/20+AC11</f>
        <v>239.15099694935247</v>
      </c>
      <c r="AE11" s="4">
        <f t="shared" ref="AE11:AV11" si="3">($AW11-$AC11)/20+AD11</f>
        <v>227.95430914949378</v>
      </c>
      <c r="AF11" s="4">
        <f t="shared" si="3"/>
        <v>216.75762134963509</v>
      </c>
      <c r="AG11" s="4">
        <f t="shared" si="3"/>
        <v>205.56093354977639</v>
      </c>
      <c r="AH11" s="4">
        <f t="shared" si="3"/>
        <v>194.3642457499177</v>
      </c>
      <c r="AI11" s="4">
        <f t="shared" si="3"/>
        <v>183.16755795005901</v>
      </c>
      <c r="AJ11" s="4">
        <f t="shared" si="3"/>
        <v>171.97087015020031</v>
      </c>
      <c r="AK11" s="4">
        <f t="shared" si="3"/>
        <v>160.77418235034162</v>
      </c>
      <c r="AL11" s="4">
        <f t="shared" si="3"/>
        <v>149.57749455048292</v>
      </c>
      <c r="AM11" s="4">
        <f t="shared" si="3"/>
        <v>138.38080675062423</v>
      </c>
      <c r="AN11" s="4">
        <f t="shared" si="3"/>
        <v>127.18411895076552</v>
      </c>
      <c r="AO11" s="4">
        <f t="shared" si="3"/>
        <v>115.98743115090681</v>
      </c>
      <c r="AP11" s="4">
        <f t="shared" si="3"/>
        <v>104.79074335104811</v>
      </c>
      <c r="AQ11" s="4">
        <f t="shared" si="3"/>
        <v>93.594055551189399</v>
      </c>
      <c r="AR11" s="4">
        <f t="shared" si="3"/>
        <v>82.397367751330691</v>
      </c>
      <c r="AS11" s="4">
        <f t="shared" si="3"/>
        <v>71.200679951471983</v>
      </c>
      <c r="AT11" s="4">
        <f t="shared" si="3"/>
        <v>60.003992151613282</v>
      </c>
      <c r="AU11" s="4">
        <f t="shared" si="3"/>
        <v>48.807304351754581</v>
      </c>
      <c r="AV11" s="4">
        <f t="shared" si="3"/>
        <v>37.61061655189588</v>
      </c>
      <c r="AW11" s="4">
        <f>AW10</f>
        <v>26.413928752037123</v>
      </c>
      <c r="AZ11" s="2"/>
    </row>
    <row r="12" spans="1:53" x14ac:dyDescent="0.3">
      <c r="A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Z12" s="2"/>
    </row>
    <row r="13" spans="1:53" x14ac:dyDescent="0.3"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Z13" s="2"/>
    </row>
    <row r="14" spans="1:53" x14ac:dyDescent="0.3">
      <c r="A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</row>
    <row r="15" spans="1:53" x14ac:dyDescent="0.3">
      <c r="A15" s="3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</row>
    <row r="16" spans="1:53" x14ac:dyDescent="0.3"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>
        <v>846.71316755999987</v>
      </c>
      <c r="U16" s="4">
        <v>837.42654233666656</v>
      </c>
      <c r="V16" s="4">
        <v>828.13991711333324</v>
      </c>
      <c r="W16" s="4">
        <v>818.85329188999992</v>
      </c>
      <c r="X16" s="4">
        <v>809.56666666666649</v>
      </c>
      <c r="Y16" s="4">
        <v>787.11333333333312</v>
      </c>
      <c r="Z16" s="4">
        <v>764.65999999999985</v>
      </c>
      <c r="AA16" s="4">
        <v>742.20666666666648</v>
      </c>
      <c r="AB16" s="4">
        <v>719.7533333333331</v>
      </c>
      <c r="AC16" s="4">
        <v>697.29999999999973</v>
      </c>
      <c r="AD16" s="4">
        <v>666.06786999999986</v>
      </c>
      <c r="AE16" s="4">
        <v>634.83573999999987</v>
      </c>
      <c r="AF16" s="4">
        <v>603.60360999999989</v>
      </c>
      <c r="AG16" s="4">
        <v>572.37147999999991</v>
      </c>
      <c r="AH16" s="4">
        <v>541.13934999999992</v>
      </c>
      <c r="AI16" s="4">
        <v>509.90721999999994</v>
      </c>
      <c r="AJ16" s="4">
        <v>478.67508999999995</v>
      </c>
      <c r="AK16" s="4">
        <v>447.44296000000003</v>
      </c>
      <c r="AL16" s="4">
        <v>416.21083000000004</v>
      </c>
      <c r="AM16" s="4">
        <v>384.97870000000006</v>
      </c>
      <c r="AN16" s="4">
        <v>353.74657000000008</v>
      </c>
      <c r="AO16" s="4">
        <v>322.51444000000009</v>
      </c>
      <c r="AP16" s="4">
        <v>291.28231000000011</v>
      </c>
      <c r="AQ16" s="4">
        <v>260.05018000000013</v>
      </c>
      <c r="AR16" s="4">
        <v>228.81805000000014</v>
      </c>
      <c r="AS16" s="4">
        <v>197.58592000000021</v>
      </c>
      <c r="AT16" s="4">
        <v>166.35379000000023</v>
      </c>
      <c r="AU16" s="4">
        <v>135.12166000000025</v>
      </c>
      <c r="AV16" s="4">
        <v>103.88953000000026</v>
      </c>
      <c r="AW16" s="4">
        <v>72.65740000000028</v>
      </c>
    </row>
    <row r="17" spans="1:52" x14ac:dyDescent="0.3">
      <c r="U17" s="4"/>
      <c r="V17" s="4"/>
      <c r="W17" s="4"/>
      <c r="X17" s="4">
        <f>X18+X19</f>
        <v>809.56666666666661</v>
      </c>
      <c r="Y17" s="4"/>
      <c r="Z17" s="4"/>
      <c r="AA17" s="4"/>
      <c r="AB17" s="4"/>
      <c r="AC17" s="4">
        <f>AC18+AC19</f>
        <v>697.3</v>
      </c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</row>
    <row r="18" spans="1:52" x14ac:dyDescent="0.3">
      <c r="A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>
        <v>691.6</v>
      </c>
      <c r="Z18" s="4"/>
      <c r="AA18" s="4"/>
      <c r="AB18" s="4"/>
      <c r="AC18" s="4">
        <v>583.5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</row>
    <row r="19" spans="1:52" x14ac:dyDescent="0.3">
      <c r="A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>
        <v>117.96666666666664</v>
      </c>
      <c r="AB19" s="4"/>
      <c r="AC19">
        <v>113.8</v>
      </c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</row>
    <row r="20" spans="1:52" x14ac:dyDescent="0.3">
      <c r="B20" s="9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 t="e">
        <f>10%*#REF!</f>
        <v>#REF!</v>
      </c>
    </row>
    <row r="21" spans="1:52" x14ac:dyDescent="0.3"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>
        <v>680</v>
      </c>
      <c r="AD21" s="4"/>
      <c r="AE21" s="4"/>
      <c r="AF21" s="4"/>
      <c r="AG21" s="4"/>
      <c r="AH21" s="4"/>
      <c r="AI21" s="4"/>
      <c r="AJ21" s="4"/>
      <c r="AK21" s="4"/>
      <c r="AL21" s="4"/>
      <c r="AM21" s="4">
        <v>200</v>
      </c>
      <c r="AN21" s="4"/>
      <c r="AO21" s="4"/>
      <c r="AP21" s="4"/>
      <c r="AQ21" s="4"/>
      <c r="AR21" s="4"/>
      <c r="AS21" s="4"/>
      <c r="AT21" s="4"/>
      <c r="AU21" s="4"/>
      <c r="AV21" s="4"/>
      <c r="AW21" s="4">
        <v>30</v>
      </c>
      <c r="AZ21" s="4"/>
    </row>
    <row r="22" spans="1:52" x14ac:dyDescent="0.3">
      <c r="A22" s="10" t="s">
        <v>44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>
        <v>600</v>
      </c>
      <c r="AD22" s="4"/>
      <c r="AE22" s="4"/>
      <c r="AF22" s="4"/>
      <c r="AG22" s="4"/>
      <c r="AH22" s="4"/>
      <c r="AI22" s="4"/>
      <c r="AJ22" s="4"/>
      <c r="AK22" s="4"/>
      <c r="AL22" s="4"/>
      <c r="AM22" s="4">
        <v>100</v>
      </c>
      <c r="AN22" s="4"/>
      <c r="AO22" s="4"/>
      <c r="AP22" s="4"/>
      <c r="AQ22" s="4"/>
      <c r="AR22" s="4"/>
      <c r="AS22" s="4"/>
      <c r="AT22" s="4"/>
      <c r="AU22" s="4"/>
      <c r="AV22" s="4"/>
      <c r="AW22" s="4">
        <v>20</v>
      </c>
      <c r="AZ22" s="4"/>
    </row>
    <row r="23" spans="1:52" x14ac:dyDescent="0.3"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Z23" s="4"/>
    </row>
    <row r="24" spans="1:52" x14ac:dyDescent="0.3">
      <c r="A24" t="s">
        <v>45</v>
      </c>
      <c r="D24" s="4"/>
      <c r="E24" s="4">
        <f t="shared" ref="E24:T24" si="4">E3-D3</f>
        <v>-1.5914083180666694</v>
      </c>
      <c r="F24" s="4">
        <f t="shared" si="4"/>
        <v>-73.953171425177175</v>
      </c>
      <c r="G24" s="4">
        <f t="shared" si="4"/>
        <v>45.57536001451399</v>
      </c>
      <c r="H24" s="4">
        <f t="shared" si="4"/>
        <v>-13.682968708791577</v>
      </c>
      <c r="I24" s="4">
        <f t="shared" si="4"/>
        <v>34.70437416265986</v>
      </c>
      <c r="J24" s="4">
        <f t="shared" si="4"/>
        <v>-74.600267563975081</v>
      </c>
      <c r="K24" s="4">
        <f t="shared" si="4"/>
        <v>8.0798032717617616</v>
      </c>
      <c r="L24" s="4">
        <f t="shared" si="4"/>
        <v>4.327585436627146</v>
      </c>
      <c r="M24" s="4">
        <f t="shared" si="4"/>
        <v>-76.123899707013379</v>
      </c>
      <c r="N24" s="4">
        <f t="shared" si="4"/>
        <v>23.226170932163768</v>
      </c>
      <c r="O24" s="4">
        <f t="shared" si="4"/>
        <v>6.7338023630293264</v>
      </c>
      <c r="P24" s="4">
        <f t="shared" si="4"/>
        <v>-2.0063119793062469</v>
      </c>
      <c r="Q24" s="4">
        <f t="shared" si="4"/>
        <v>-12.796013761886684</v>
      </c>
      <c r="R24" s="4">
        <f t="shared" si="4"/>
        <v>-10.109217471901161</v>
      </c>
      <c r="S24" s="4">
        <f t="shared" si="4"/>
        <v>-3.10940462602548</v>
      </c>
      <c r="T24" s="4">
        <f t="shared" si="4"/>
        <v>12.820213476430808</v>
      </c>
    </row>
    <row r="25" spans="1:52" x14ac:dyDescent="0.3">
      <c r="A25" t="s">
        <v>46</v>
      </c>
      <c r="B25" s="8" t="s">
        <v>47</v>
      </c>
      <c r="C25" s="8" t="s">
        <v>36</v>
      </c>
      <c r="D25" s="4">
        <f>(U3-D3)/17</f>
        <v>-10.776892394566794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spans="1:52" x14ac:dyDescent="0.3">
      <c r="A26" t="s">
        <v>48</v>
      </c>
      <c r="D26" s="4">
        <f>(T3-P3)/4</f>
        <v>-3.2986055958456291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spans="1:52" x14ac:dyDescent="0.3">
      <c r="A27" t="s">
        <v>49</v>
      </c>
      <c r="B27" s="8" t="s">
        <v>47</v>
      </c>
      <c r="C27" s="8" t="s">
        <v>36</v>
      </c>
      <c r="D27" s="52">
        <f>(U3-Q3)/4</f>
        <v>-12.775056356043635</v>
      </c>
      <c r="O27" s="4"/>
      <c r="P27" s="4"/>
      <c r="Q27" s="4"/>
      <c r="R27" s="4"/>
    </row>
    <row r="28" spans="1:52" x14ac:dyDescent="0.3">
      <c r="A28" t="s">
        <v>50</v>
      </c>
      <c r="D28" s="52">
        <f>(AC9-T3)/9</f>
        <v>-31.354022482607498</v>
      </c>
      <c r="O28" s="4"/>
      <c r="P28" s="4"/>
      <c r="Q28" s="4"/>
      <c r="R28" s="4"/>
    </row>
    <row r="29" spans="1:52" x14ac:dyDescent="0.3">
      <c r="A29" t="s">
        <v>51</v>
      </c>
      <c r="B29" s="8" t="s">
        <v>47</v>
      </c>
      <c r="C29" s="8" t="s">
        <v>36</v>
      </c>
      <c r="D29" s="51">
        <f>V11-U11</f>
        <v>-28.935548192598617</v>
      </c>
      <c r="E29">
        <f>D29/D27</f>
        <v>2.2650035652413982</v>
      </c>
      <c r="O29" s="4"/>
      <c r="P29" s="4"/>
      <c r="Q29" s="4"/>
      <c r="R29" s="4"/>
    </row>
    <row r="30" spans="1:52" x14ac:dyDescent="0.3">
      <c r="A30" t="s">
        <v>52</v>
      </c>
      <c r="B30" s="8" t="s">
        <v>47</v>
      </c>
      <c r="C30" s="8" t="s">
        <v>36</v>
      </c>
      <c r="D30" s="51">
        <f>AD11-AC11</f>
        <v>-11.196687799858694</v>
      </c>
      <c r="O30" s="4"/>
      <c r="P30" s="4"/>
      <c r="Q30" s="4"/>
      <c r="R30" s="4"/>
      <c r="AV30" s="4"/>
    </row>
    <row r="31" spans="1:52" x14ac:dyDescent="0.3">
      <c r="D31" s="2"/>
      <c r="O31" s="4"/>
      <c r="P31" s="4"/>
      <c r="Q31" s="4"/>
      <c r="R31" s="4"/>
    </row>
    <row r="35" spans="4:34" x14ac:dyDescent="0.3">
      <c r="D35" s="103" t="s">
        <v>53</v>
      </c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</row>
    <row r="36" spans="4:34" x14ac:dyDescent="0.3"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</row>
    <row r="37" spans="4:34" x14ac:dyDescent="0.3"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</row>
    <row r="38" spans="4:34" x14ac:dyDescent="0.3"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</row>
    <row r="39" spans="4:34" x14ac:dyDescent="0.3"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AC39" s="2"/>
    </row>
    <row r="40" spans="4:34" x14ac:dyDescent="0.3"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</row>
    <row r="41" spans="4:34" x14ac:dyDescent="0.3"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</row>
    <row r="42" spans="4:34" x14ac:dyDescent="0.3"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</row>
    <row r="43" spans="4:34" x14ac:dyDescent="0.3"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</row>
    <row r="44" spans="4:34" x14ac:dyDescent="0.3"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</row>
    <row r="45" spans="4:34" x14ac:dyDescent="0.3"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</row>
    <row r="46" spans="4:34" x14ac:dyDescent="0.3"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</row>
    <row r="47" spans="4:34" x14ac:dyDescent="0.3"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AH47">
        <v>0</v>
      </c>
    </row>
    <row r="48" spans="4:34" x14ac:dyDescent="0.3"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</row>
    <row r="49" spans="1:49" x14ac:dyDescent="0.3"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</row>
    <row r="50" spans="1:49" x14ac:dyDescent="0.3"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</row>
    <row r="51" spans="1:49" x14ac:dyDescent="0.3"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</row>
    <row r="52" spans="1:49" x14ac:dyDescent="0.3"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</row>
    <row r="53" spans="1:49" x14ac:dyDescent="0.3"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</row>
    <row r="54" spans="1:49" x14ac:dyDescent="0.3"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</row>
    <row r="55" spans="1:49" x14ac:dyDescent="0.3"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</row>
    <row r="58" spans="1:49" x14ac:dyDescent="0.3">
      <c r="A58" s="5" t="s">
        <v>54</v>
      </c>
      <c r="B58" s="7"/>
      <c r="C58" s="7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</row>
    <row r="60" spans="1:49" x14ac:dyDescent="0.3">
      <c r="A60" s="8" t="s">
        <v>55</v>
      </c>
    </row>
    <row r="61" spans="1:49" x14ac:dyDescent="0.3">
      <c r="A61" s="8"/>
      <c r="D61" t="s">
        <v>29</v>
      </c>
      <c r="E61" t="s">
        <v>56</v>
      </c>
      <c r="F61" t="s">
        <v>57</v>
      </c>
      <c r="G61" t="s">
        <v>58</v>
      </c>
      <c r="H61" t="s">
        <v>59</v>
      </c>
      <c r="I61" t="s">
        <v>30</v>
      </c>
      <c r="J61" t="s">
        <v>60</v>
      </c>
      <c r="K61" t="s">
        <v>61</v>
      </c>
      <c r="L61" t="s">
        <v>62</v>
      </c>
      <c r="M61" t="s">
        <v>63</v>
      </c>
      <c r="N61" t="s">
        <v>31</v>
      </c>
      <c r="O61" t="s">
        <v>64</v>
      </c>
      <c r="P61" t="s">
        <v>65</v>
      </c>
      <c r="Q61" t="s">
        <v>66</v>
      </c>
      <c r="R61" t="s">
        <v>67</v>
      </c>
      <c r="S61" t="s">
        <v>32</v>
      </c>
      <c r="T61">
        <v>2021</v>
      </c>
    </row>
    <row r="62" spans="1:49" x14ac:dyDescent="0.3">
      <c r="A62" s="8" t="s">
        <v>68</v>
      </c>
      <c r="B62" s="8" t="s">
        <v>69</v>
      </c>
      <c r="D62" s="14">
        <f>('[1]Table1.A(a)s4'!$G$23+'[1]Table1.A(a)s4'!$H$23*CH4fact+'[1]Table1.A(a)s4'!$I$23*N2Ofact)/1000</f>
        <v>426.80484862196442</v>
      </c>
      <c r="E62" s="14">
        <f>('[2]Table1.A(a)s4'!$G$23+'[2]Table1.A(a)s4'!$H$23*CH4fact+'[2]Table1.A(a)s4'!$I$23*N2Ofact)/1000</f>
        <v>420.47884735046398</v>
      </c>
      <c r="F62" s="14">
        <f>('[3]Table1.A(a)s4'!$G$23+'[3]Table1.A(a)s4'!$H$23*CH4fact+'[3]Table1.A(a)s4'!$I$23*N2Ofact)/1000</f>
        <v>368.56146835491239</v>
      </c>
      <c r="G62" s="14">
        <f>('[4]Table1.A(a)s4'!$G$23+'[4]Table1.A(a)s4'!$H$23*CH4fact+'[4]Table1.A(a)s4'!$I$23*N2Ofact)/1000</f>
        <v>399.00521270769099</v>
      </c>
      <c r="H62" s="14">
        <f>('[5]Table1.A(a)s4'!$G$23+'[5]Table1.A(a)s4'!$H$23*CH4fact+'[5]Table1.A(a)s4'!$I$23*N2Ofact)/1000</f>
        <v>389.51003567241133</v>
      </c>
      <c r="I62" s="14">
        <f>('[6]Table1.A(a)s4'!$G$23+'[6]Table1.A(a)s4'!$H$23*CH4fact+'[6]Table1.A(a)s4'!$I$23*N2Ofact)/1000</f>
        <v>412.95249275610053</v>
      </c>
      <c r="J62" s="14">
        <f>('[7]Table1.A(a)s4'!$G$23+'[7]Table1.A(a)s4'!$H$23*CH4fact+'[7]Table1.A(a)s4'!$I$23*N2Ofact)/1000</f>
        <v>362.0069820055989</v>
      </c>
      <c r="K62" s="14">
        <f>('[8]Table1.A(a)s4'!$G$23+'[8]Table1.A(a)s4'!$H$23*CH4fact+'[8]Table1.A(a)s4'!$I$23*N2Ofact)/1000</f>
        <v>372.54848949754961</v>
      </c>
      <c r="L62" s="14">
        <f>('[9]Table1.A(a)s4'!$G$23+'[9]Table1.A(a)s4'!$H$23*CH4fact+'[9]Table1.A(a)s4'!$I$23*N2Ofact)/1000</f>
        <v>375.12387610261135</v>
      </c>
      <c r="M62" s="14">
        <f>('[10]Table1.A(a)s4'!$G$23+'[10]Table1.A(a)s4'!$H$23*CH4fact+'[10]Table1.A(a)s4'!$I$23*N2Ofact)/1000</f>
        <v>316.91459591519572</v>
      </c>
      <c r="N62" s="14">
        <f>('[11]Table1.A(a)s4'!$G$23+'[11]Table1.A(a)s4'!$H$23*CH4fact+'[11]Table1.A(a)s4'!$I$23*N2Ofact)/1000</f>
        <v>335.16025534231989</v>
      </c>
      <c r="O62" s="14">
        <f>('[12]Table1.A(a)s4'!$G$23+'[12]Table1.A(a)s4'!$H$23*CH4fact+'[12]Table1.A(a)s4'!$I$23*N2Ofact)/1000</f>
        <v>341.31848003471134</v>
      </c>
      <c r="P62" s="14">
        <f>('[13]Table1.A(a)s4'!$G$23+'[13]Table1.A(a)s4'!$H$23*CH4fact+'[13]Table1.A(a)s4'!$I$23*N2Ofact)/1000</f>
        <v>338.5408877789356</v>
      </c>
      <c r="Q62" s="14">
        <f>('[14]Table1.A(a)s4'!$G$23+'[14]Table1.A(a)s4'!$H$23*CH4fact+'[14]Table1.A(a)s4'!$I$23*N2Ofact)/1000</f>
        <v>328.39196226282581</v>
      </c>
      <c r="R62" s="14">
        <f>('[15]Table1.A(a)s4'!$G$23+'[15]Table1.A(a)s4'!$H$23*CH4fact+'[15]Table1.A(a)s4'!$I$23*N2Ofact)/1000</f>
        <v>321.1751820670957</v>
      </c>
      <c r="S62" s="14">
        <f>('[16]Table1.A(a)s4'!$G$23+'[16]Table1.A(a)s4'!$H$23*CH4fact+'[16]Table1.A(a)s4'!$I$23*N2Ofact)/1000</f>
        <v>319.38421303496597</v>
      </c>
      <c r="T62" s="14">
        <f>('[17]Table1.A(a)s4'!$G$23+'[17]Table1.A(a)s4'!$H$23*CH4fact+'[17]Table1.A(a)s4'!$I$23*N2Ofact)/1000</f>
        <v>324.73676140580284</v>
      </c>
    </row>
    <row r="63" spans="1:49" x14ac:dyDescent="0.3">
      <c r="A63" s="8" t="s">
        <v>38</v>
      </c>
      <c r="B63" s="8" t="s">
        <v>69</v>
      </c>
      <c r="D63" s="14">
        <f>('[1]Table1.A(a)s4'!$G$16+'[1]Table1.A(a)s4'!$H$16*CH4fact+'[1]Table1.A(a)s4'!$I$16*N2Ofact)/1000</f>
        <v>154.36260391434871</v>
      </c>
      <c r="E63" s="14">
        <f>('[2]Table1.A(a)s4'!$G$16+'[2]Table1.A(a)s4'!$H$16*CH4fact+'[2]Table1.A(a)s4'!$I$16*N2Ofact)/1000</f>
        <v>162.01644886977272</v>
      </c>
      <c r="F63" s="14">
        <f>('[3]Table1.A(a)s4'!$G$16+'[3]Table1.A(a)s4'!$H$16*CH4fact+'[3]Table1.A(a)s4'!$I$16*N2Ofact)/1000</f>
        <v>142.78456511777429</v>
      </c>
      <c r="G63" s="14">
        <f>('[4]Table1.A(a)s4'!$G$16+'[4]Table1.A(a)s4'!$H$16*CH4fact+'[4]Table1.A(a)s4'!$I$16*N2Ofact)/1000</f>
        <v>157.00209643870471</v>
      </c>
      <c r="H63" s="14">
        <f>('[5]Table1.A(a)s4'!$G$16+'[5]Table1.A(a)s4'!$H$16*CH4fact+'[5]Table1.A(a)s4'!$I$16*N2Ofact)/1000</f>
        <v>154.306085680938</v>
      </c>
      <c r="I63" s="14">
        <f>('[6]Table1.A(a)s4'!$G$16+'[6]Table1.A(a)s4'!$H$16*CH4fact+'[6]Table1.A(a)s4'!$I$16*N2Ofact)/1000</f>
        <v>163.29737913388203</v>
      </c>
      <c r="J63" s="14">
        <f>('[7]Table1.A(a)s4'!$G$16+'[7]Table1.A(a)s4'!$H$16*CH4fact+'[7]Table1.A(a)s4'!$I$16*N2Ofact)/1000</f>
        <v>140.57009233623006</v>
      </c>
      <c r="K63" s="14">
        <f>('[8]Table1.A(a)s4'!$G$16+'[8]Table1.A(a)s4'!$H$16*CH4fact+'[8]Table1.A(a)s4'!$I$16*N2Ofact)/1000</f>
        <v>140.71548900304438</v>
      </c>
      <c r="L63" s="14">
        <f>('[9]Table1.A(a)s4'!$G$16+'[9]Table1.A(a)s4'!$H$16*CH4fact+'[9]Table1.A(a)s4'!$I$16*N2Ofact)/1000</f>
        <v>142.47916935855022</v>
      </c>
      <c r="M63" s="14">
        <f>('[10]Table1.A(a)s4'!$G$16+'[10]Table1.A(a)s4'!$H$16*CH4fact+'[10]Table1.A(a)s4'!$I$16*N2Ofact)/1000</f>
        <v>124.87064641758489</v>
      </c>
      <c r="N63" s="14">
        <f>('[11]Table1.A(a)s4'!$G$16+'[11]Table1.A(a)s4'!$H$16*CH4fact+'[11]Table1.A(a)s4'!$I$16*N2Ofact)/1000</f>
        <v>130.48530676840943</v>
      </c>
      <c r="O63" s="14">
        <f>('[12]Table1.A(a)s4'!$G$16+'[12]Table1.A(a)s4'!$H$16*CH4fact+'[12]Table1.A(a)s4'!$I$16*N2Ofact)/1000</f>
        <v>130.89357112535978</v>
      </c>
      <c r="P63" s="14">
        <f>('[13]Table1.A(a)s4'!$G$16+'[13]Table1.A(a)s4'!$H$16*CH4fact+'[13]Table1.A(a)s4'!$I$16*N2Ofact)/1000</f>
        <v>131.28435590921788</v>
      </c>
      <c r="Q63" s="14">
        <f>('[14]Table1.A(a)s4'!$G$16+'[14]Table1.A(a)s4'!$H$16*CH4fact+'[14]Table1.A(a)s4'!$I$16*N2Ofact)/1000</f>
        <v>127.58943558563323</v>
      </c>
      <c r="R63" s="14">
        <f>('[15]Table1.A(a)s4'!$G$16+'[15]Table1.A(a)s4'!$H$16*CH4fact+'[15]Table1.A(a)s4'!$I$16*N2Ofact)/1000</f>
        <v>125.15035348565097</v>
      </c>
      <c r="S63" s="14">
        <f>('[16]Table1.A(a)s4'!$G$16+'[16]Table1.A(a)s4'!$H$16*CH4fact+'[16]Table1.A(a)s4'!$I$16*N2Ofact)/1000</f>
        <v>122.10588395712497</v>
      </c>
      <c r="T63" s="14">
        <f>('[17]Table1.A(a)s4'!$G$16+'[17]Table1.A(a)s4'!$H$16*CH4fact+'[17]Table1.A(a)s4'!$I$16*N2Ofact)/1000</f>
        <v>129.90279769673663</v>
      </c>
    </row>
    <row r="64" spans="1:49" x14ac:dyDescent="0.3">
      <c r="A64" s="8" t="s">
        <v>70</v>
      </c>
      <c r="B64" s="8" t="s">
        <v>69</v>
      </c>
      <c r="D64" s="14">
        <f>('[1]Table1.A(a)s4'!$G$30+'[1]Table1.A(a)s4'!$H$30*CH4fact+'[1]Table1.A(a)s4'!$I$30*N2Ofact)/1000</f>
        <v>83.871788461322282</v>
      </c>
      <c r="E64" s="14">
        <f>('[2]Table1.A(a)s4'!$G$30+'[2]Table1.A(a)s4'!$H$30*CH4fact+'[2]Table1.A(a)s4'!$I$30*N2Ofact)/1000</f>
        <v>80.952536459332052</v>
      </c>
      <c r="F64" s="14">
        <f>('[3]Table1.A(a)s4'!$G$30+'[3]Table1.A(a)s4'!$H$30*CH4fact+'[3]Table1.A(a)s4'!$I$30*N2Ofact)/1000</f>
        <v>78.148627781704931</v>
      </c>
      <c r="G64" s="14">
        <f>('[4]Table1.A(a)s4'!$G$30+'[4]Table1.A(a)s4'!$H$30*CH4fact+'[4]Table1.A(a)s4'!$I$30*N2Ofact)/1000</f>
        <v>79.062712122509922</v>
      </c>
      <c r="H64" s="14">
        <f>('[5]Table1.A(a)s4'!$G$30+'[5]Table1.A(a)s4'!$H$30*CH4fact+'[5]Table1.A(a)s4'!$I$30*N2Ofact)/1000</f>
        <v>77.57093120676474</v>
      </c>
      <c r="I64" s="14">
        <f>('[6]Table1.A(a)s4'!$G$30+'[6]Table1.A(a)s4'!$H$30*CH4fact+'[6]Table1.A(a)s4'!$I$30*N2Ofact)/1000</f>
        <v>79.841554832791346</v>
      </c>
      <c r="J64" s="14">
        <f>('[7]Table1.A(a)s4'!$G$30+'[7]Table1.A(a)s4'!$H$30*CH4fact+'[7]Table1.A(a)s4'!$I$30*N2Ofact)/1000</f>
        <v>78.914084816969904</v>
      </c>
      <c r="K64" s="14">
        <f>('[8]Table1.A(a)s4'!$G$30+'[8]Table1.A(a)s4'!$H$30*CH4fact+'[8]Table1.A(a)s4'!$I$30*N2Ofact)/1000</f>
        <v>76.306983929966577</v>
      </c>
      <c r="L64" s="14">
        <f>('[9]Table1.A(a)s4'!$G$30+'[9]Table1.A(a)s4'!$H$30*CH4fact+'[9]Table1.A(a)s4'!$I$30*N2Ofact)/1000</f>
        <v>76.295502406026131</v>
      </c>
      <c r="M64" s="14">
        <f>('[10]Table1.A(a)s4'!$G$30+'[10]Table1.A(a)s4'!$H$30*CH4fact+'[10]Table1.A(a)s4'!$I$30*N2Ofact)/1000</f>
        <v>75.989405827393682</v>
      </c>
      <c r="N64" s="14">
        <f>('[11]Table1.A(a)s4'!$G$30+'[11]Table1.A(a)s4'!$H$30*CH4fact+'[11]Table1.A(a)s4'!$I$30*N2Ofact)/1000</f>
        <v>75.355256981608818</v>
      </c>
      <c r="O64" s="14">
        <f>('[12]Table1.A(a)s4'!$G$30+'[12]Table1.A(a)s4'!$H$30*CH4fact+'[12]Table1.A(a)s4'!$I$30*N2Ofact)/1000</f>
        <v>75.52257029529639</v>
      </c>
      <c r="P64" s="14">
        <f>('[13]Table1.A(a)s4'!$G$30+'[13]Table1.A(a)s4'!$H$30*CH4fact+'[13]Table1.A(a)s4'!$I$30*N2Ofact)/1000</f>
        <v>75.903065787907678</v>
      </c>
      <c r="Q64" s="14">
        <f>('[14]Table1.A(a)s4'!$G$30+'[14]Table1.A(a)s4'!$H$30*CH4fact+'[14]Table1.A(a)s4'!$I$30*N2Ofact)/1000</f>
        <v>76.95089786571549</v>
      </c>
      <c r="R64" s="14">
        <f>('[15]Table1.A(a)s4'!$G$30+'[15]Table1.A(a)s4'!$H$30*CH4fact+'[15]Table1.A(a)s4'!$I$30*N2Ofact)/1000</f>
        <v>76.497542689526753</v>
      </c>
      <c r="S64" s="14">
        <f>('[16]Table1.A(a)s4'!$G$30+'[16]Table1.A(a)s4'!$H$30*CH4fact+'[16]Table1.A(a)s4'!$I$30*N2Ofact)/1000</f>
        <v>78.223576624157005</v>
      </c>
      <c r="T64" s="14">
        <f>('[17]Table1.A(a)s4'!$G$30+'[17]Table1.A(a)s4'!$H$30*CH4fact+'[17]Table1.A(a)s4'!$I$30*N2Ofact)/1000</f>
        <v>77.894327990139161</v>
      </c>
    </row>
    <row r="65" spans="1:49" x14ac:dyDescent="0.3">
      <c r="A65" s="8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</row>
    <row r="66" spans="1:49" x14ac:dyDescent="0.3">
      <c r="A66" s="8" t="s">
        <v>68</v>
      </c>
      <c r="B66" s="8" t="s">
        <v>71</v>
      </c>
      <c r="D66" s="14">
        <f>D62-$D62</f>
        <v>0</v>
      </c>
      <c r="E66" s="14">
        <f t="shared" ref="E66:T67" si="5">E62-$D62</f>
        <v>-6.326001271500445</v>
      </c>
      <c r="F66" s="14">
        <f t="shared" si="5"/>
        <v>-58.243380267052032</v>
      </c>
      <c r="G66" s="14">
        <f t="shared" si="5"/>
        <v>-27.799635914273438</v>
      </c>
      <c r="H66" s="14">
        <f t="shared" si="5"/>
        <v>-37.294812949553091</v>
      </c>
      <c r="I66" s="14">
        <f t="shared" si="5"/>
        <v>-13.852355865863899</v>
      </c>
      <c r="J66" s="14">
        <f t="shared" si="5"/>
        <v>-64.797866616365525</v>
      </c>
      <c r="K66" s="14">
        <f t="shared" si="5"/>
        <v>-54.256359124414814</v>
      </c>
      <c r="L66" s="14">
        <f t="shared" si="5"/>
        <v>-51.680972519353077</v>
      </c>
      <c r="M66" s="14">
        <f t="shared" si="5"/>
        <v>-109.89025270676871</v>
      </c>
      <c r="N66" s="14">
        <f t="shared" si="5"/>
        <v>-91.644593279644539</v>
      </c>
      <c r="O66" s="14">
        <f t="shared" si="5"/>
        <v>-85.486368587253082</v>
      </c>
      <c r="P66" s="14">
        <f t="shared" si="5"/>
        <v>-88.263960843028826</v>
      </c>
      <c r="Q66" s="14">
        <f t="shared" si="5"/>
        <v>-98.412886359138611</v>
      </c>
      <c r="R66" s="14">
        <f t="shared" si="5"/>
        <v>-105.62966655486872</v>
      </c>
      <c r="S66" s="14">
        <f t="shared" si="5"/>
        <v>-107.42063558699846</v>
      </c>
      <c r="T66" s="14">
        <f t="shared" si="5"/>
        <v>-102.06808721616159</v>
      </c>
    </row>
    <row r="67" spans="1:49" x14ac:dyDescent="0.3">
      <c r="A67" s="8" t="s">
        <v>38</v>
      </c>
      <c r="B67" s="8" t="s">
        <v>71</v>
      </c>
      <c r="D67" s="14">
        <f>D63-$D63</f>
        <v>0</v>
      </c>
      <c r="E67" s="14">
        <f t="shared" si="5"/>
        <v>7.653844955424006</v>
      </c>
      <c r="F67" s="14">
        <f t="shared" si="5"/>
        <v>-11.578038796574418</v>
      </c>
      <c r="G67" s="14">
        <f t="shared" si="5"/>
        <v>2.639492524356001</v>
      </c>
      <c r="H67" s="14">
        <f t="shared" si="5"/>
        <v>-5.6518233410713492E-2</v>
      </c>
      <c r="I67" s="14">
        <f t="shared" si="5"/>
        <v>8.9347752195333214</v>
      </c>
      <c r="J67" s="14">
        <f t="shared" si="5"/>
        <v>-13.792511578118649</v>
      </c>
      <c r="K67" s="14">
        <f t="shared" si="5"/>
        <v>-13.647114911304328</v>
      </c>
      <c r="L67" s="14">
        <f t="shared" si="5"/>
        <v>-11.883434555798488</v>
      </c>
      <c r="M67" s="14">
        <f t="shared" si="5"/>
        <v>-29.491957496763817</v>
      </c>
      <c r="N67" s="14">
        <f t="shared" si="5"/>
        <v>-23.877297145939281</v>
      </c>
      <c r="O67" s="14">
        <f t="shared" si="5"/>
        <v>-23.469032788988926</v>
      </c>
      <c r="P67" s="14">
        <f t="shared" si="5"/>
        <v>-23.078248005130831</v>
      </c>
      <c r="Q67" s="14">
        <f t="shared" si="5"/>
        <v>-26.773168328715485</v>
      </c>
      <c r="R67" s="14">
        <f t="shared" si="5"/>
        <v>-29.212250428697743</v>
      </c>
      <c r="S67" s="14">
        <f t="shared" si="5"/>
        <v>-32.256719957223737</v>
      </c>
      <c r="T67" s="14">
        <f t="shared" si="5"/>
        <v>-24.459806217612083</v>
      </c>
    </row>
    <row r="68" spans="1:49" x14ac:dyDescent="0.3">
      <c r="A68" s="8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</row>
    <row r="69" spans="1:49" x14ac:dyDescent="0.3">
      <c r="A69" s="8" t="s">
        <v>68</v>
      </c>
      <c r="B69" s="8" t="s">
        <v>72</v>
      </c>
      <c r="D69" s="14"/>
      <c r="E69" s="2">
        <f>E66/$D62</f>
        <v>-1.4821765244526544E-2</v>
      </c>
      <c r="F69" s="2">
        <f t="shared" ref="F69:T69" si="6">F66/$D62</f>
        <v>-0.13646372681824936</v>
      </c>
      <c r="G69" s="2">
        <f t="shared" si="6"/>
        <v>-6.5134302021241847E-2</v>
      </c>
      <c r="H69" s="2">
        <f t="shared" si="6"/>
        <v>-8.7381418158598234E-2</v>
      </c>
      <c r="I69" s="2">
        <f t="shared" si="6"/>
        <v>-3.2455947748928696E-2</v>
      </c>
      <c r="J69" s="2">
        <f t="shared" si="6"/>
        <v>-0.15182083058704707</v>
      </c>
      <c r="K69" s="2">
        <f t="shared" si="6"/>
        <v>-0.12712217140829982</v>
      </c>
      <c r="L69" s="2">
        <f t="shared" si="6"/>
        <v>-0.12108806328282525</v>
      </c>
      <c r="M69" s="2">
        <f t="shared" si="6"/>
        <v>-0.25747189391492187</v>
      </c>
      <c r="N69" s="2">
        <f t="shared" si="6"/>
        <v>-0.21472247462872024</v>
      </c>
      <c r="O69" s="2">
        <f t="shared" si="6"/>
        <v>-0.20029380843086736</v>
      </c>
      <c r="P69" s="2">
        <f t="shared" si="6"/>
        <v>-0.20680168261445225</v>
      </c>
      <c r="Q69" s="2">
        <f t="shared" si="6"/>
        <v>-0.23058052568260828</v>
      </c>
      <c r="R69" s="2">
        <f t="shared" si="6"/>
        <v>-0.24748937809848667</v>
      </c>
      <c r="S69" s="2">
        <f t="shared" si="6"/>
        <v>-0.25168560276161384</v>
      </c>
      <c r="T69" s="2">
        <f t="shared" si="6"/>
        <v>-0.23914462908683298</v>
      </c>
    </row>
    <row r="70" spans="1:49" x14ac:dyDescent="0.3">
      <c r="A70" s="8" t="s">
        <v>38</v>
      </c>
      <c r="B70" s="8" t="s">
        <v>72</v>
      </c>
      <c r="D70" s="14"/>
      <c r="E70" s="2">
        <f>E67/$D63</f>
        <v>4.9583543950002945E-2</v>
      </c>
      <c r="F70" s="2">
        <f t="shared" ref="F70:T70" si="7">F67/$D63</f>
        <v>-7.5005464425818652E-2</v>
      </c>
      <c r="G70" s="2">
        <f t="shared" si="7"/>
        <v>1.7099300331967566E-2</v>
      </c>
      <c r="H70" s="2">
        <f t="shared" si="7"/>
        <v>-3.6613941445347607E-4</v>
      </c>
      <c r="I70" s="2">
        <f t="shared" si="7"/>
        <v>5.7881734260527028E-2</v>
      </c>
      <c r="J70" s="2">
        <f t="shared" si="7"/>
        <v>-8.93513793390769E-2</v>
      </c>
      <c r="K70" s="2">
        <f t="shared" si="7"/>
        <v>-8.840946294788285E-2</v>
      </c>
      <c r="L70" s="2">
        <f t="shared" si="7"/>
        <v>-7.698389541544827E-2</v>
      </c>
      <c r="M70" s="2">
        <f t="shared" si="7"/>
        <v>-0.19105636176705104</v>
      </c>
      <c r="N70" s="2">
        <f t="shared" si="7"/>
        <v>-0.15468317157430236</v>
      </c>
      <c r="O70" s="2">
        <f t="shared" si="7"/>
        <v>-0.15203833178411014</v>
      </c>
      <c r="P70" s="2">
        <f t="shared" si="7"/>
        <v>-0.14950672909052684</v>
      </c>
      <c r="Q70" s="2">
        <f t="shared" si="7"/>
        <v>-0.17344335771616765</v>
      </c>
      <c r="R70" s="2">
        <f t="shared" si="7"/>
        <v>-0.18924434861766626</v>
      </c>
      <c r="S70" s="2">
        <f t="shared" si="7"/>
        <v>-0.20896719243685502</v>
      </c>
      <c r="T70" s="2">
        <f t="shared" si="7"/>
        <v>-0.15845681270823933</v>
      </c>
    </row>
    <row r="71" spans="1:49" x14ac:dyDescent="0.3">
      <c r="A71" s="8"/>
    </row>
    <row r="72" spans="1:49" x14ac:dyDescent="0.3">
      <c r="A72" s="13" t="s">
        <v>73</v>
      </c>
    </row>
    <row r="73" spans="1:49" x14ac:dyDescent="0.3">
      <c r="A73" s="8"/>
      <c r="N73" t="s">
        <v>31</v>
      </c>
    </row>
    <row r="74" spans="1:49" x14ac:dyDescent="0.3">
      <c r="A74" s="8" t="s">
        <v>68</v>
      </c>
      <c r="B74" s="8" t="s">
        <v>69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4">
        <f>('[18]Table1.A(a)s4'!$G$32+'[18]Table1.A(a)s4'!$H$32*CH4fact+'[18]Table1.A(a)s4'!$I$32*N2Ofact)/1000</f>
        <v>65.504296917776429</v>
      </c>
      <c r="O74" s="1"/>
      <c r="P74" s="1"/>
      <c r="Q74" s="1"/>
      <c r="R74" s="1"/>
      <c r="S74" s="1"/>
    </row>
    <row r="75" spans="1:49" x14ac:dyDescent="0.3">
      <c r="A75" s="8" t="s">
        <v>38</v>
      </c>
      <c r="B75" s="8" t="s">
        <v>69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4">
        <f>('[18]Table1.A(a)s4'!$G$16+'[18]Table1.A(a)s4'!$H$16*CH4fact+'[18]Table1.A(a)s4'!$I$16*N2Ofact)/1000</f>
        <v>19.500427985659591</v>
      </c>
      <c r="O75" s="1"/>
      <c r="P75" s="1"/>
      <c r="Q75" s="1"/>
      <c r="R75" s="1"/>
      <c r="S75" s="1"/>
    </row>
    <row r="76" spans="1:49" x14ac:dyDescent="0.3">
      <c r="A76" s="8" t="s">
        <v>70</v>
      </c>
      <c r="B76" s="8" t="s">
        <v>69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4">
        <f>('[18]Table1.A(a)s4'!$G$48+'[18]Table1.A(a)s4'!$H$48*CH4fact+'[18]Table1.A(a)s4'!$I$48*N2Ofact)/1000</f>
        <v>6.1141829653001931</v>
      </c>
      <c r="O76" s="1"/>
      <c r="P76" s="1"/>
      <c r="Q76" s="1"/>
      <c r="R76" s="1"/>
      <c r="S76" s="1"/>
    </row>
    <row r="77" spans="1:49" x14ac:dyDescent="0.3">
      <c r="A77" s="8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49" x14ac:dyDescent="0.3">
      <c r="A78" s="5" t="s">
        <v>74</v>
      </c>
      <c r="B78" s="7"/>
      <c r="C78" s="7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</row>
    <row r="79" spans="1:49" x14ac:dyDescent="0.3">
      <c r="A79" s="8" t="s">
        <v>75</v>
      </c>
      <c r="B79" s="8" t="s">
        <v>76</v>
      </c>
      <c r="AC79">
        <f>'[19]ResComm&amp;Agri'!AO$138</f>
        <v>261.24919999999997</v>
      </c>
      <c r="AM79">
        <f>'[19]ResComm&amp;Agri'!AY$138*(SUM($T$62:$T$64)/($T$62+$T$63))</f>
        <v>82.919064401835485</v>
      </c>
      <c r="AW79">
        <f>'[19]ResComm&amp;Agri'!BI$138*(SUM($T$62:$T$64)/($T$62+$T$63))</f>
        <v>1.7490330181044427</v>
      </c>
    </row>
    <row r="80" spans="1:49" x14ac:dyDescent="0.3">
      <c r="A80" s="8" t="s">
        <v>77</v>
      </c>
      <c r="B80" s="8" t="s">
        <v>76</v>
      </c>
      <c r="AC80">
        <f>'[19]ResComm&amp;Agri'!AO$139</f>
        <v>263.42829999999998</v>
      </c>
      <c r="AM80">
        <f>'[19]ResComm&amp;Agri'!AY$139*(SUM($T$62:$T$64)/($T$62+$T$63))</f>
        <v>126.8504586293443</v>
      </c>
      <c r="AW80">
        <f>'[19]ResComm&amp;Agri'!BI$139*(SUM($T$62:$T$64)/($T$62+$T$63))</f>
        <v>14.501325054069529</v>
      </c>
    </row>
    <row r="82" spans="1:53" x14ac:dyDescent="0.3">
      <c r="A82" s="5" t="s">
        <v>78</v>
      </c>
      <c r="B82" s="7"/>
      <c r="C82" s="7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</row>
    <row r="83" spans="1:53" x14ac:dyDescent="0.3">
      <c r="A83" s="8" t="s">
        <v>68</v>
      </c>
      <c r="B83" s="8" t="s">
        <v>79</v>
      </c>
      <c r="AC83">
        <f>[20]EU_B!$G$87</f>
        <v>142.20415728918073</v>
      </c>
    </row>
    <row r="84" spans="1:53" x14ac:dyDescent="0.3">
      <c r="A84" s="8" t="s">
        <v>80</v>
      </c>
      <c r="B84" s="8" t="s">
        <v>79</v>
      </c>
      <c r="AC84">
        <f>[20]EU_B!$G$88</f>
        <v>108.14352746003047</v>
      </c>
    </row>
    <row r="86" spans="1:53" x14ac:dyDescent="0.3">
      <c r="A86" s="5" t="s">
        <v>81</v>
      </c>
      <c r="B86" s="7"/>
      <c r="C86" s="7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Y86" s="79" t="s">
        <v>82</v>
      </c>
      <c r="AZ86" s="41"/>
      <c r="BA86" s="79" t="s">
        <v>83</v>
      </c>
    </row>
    <row r="87" spans="1:53" x14ac:dyDescent="0.3">
      <c r="A87" s="8" t="s">
        <v>68</v>
      </c>
      <c r="B87" s="8" t="s">
        <v>84</v>
      </c>
      <c r="AW87">
        <f>11.4*($N$62/($N$62+$N$74))</f>
        <v>9.5362239792606101</v>
      </c>
      <c r="AY87" s="41">
        <v>484.2</v>
      </c>
      <c r="AZ87" s="41"/>
      <c r="BA87" s="41">
        <f>422.8*($N$62/($N$62+$N$74))</f>
        <v>353.67679810801633</v>
      </c>
    </row>
    <row r="88" spans="1:53" x14ac:dyDescent="0.3">
      <c r="A88" s="8" t="s">
        <v>38</v>
      </c>
      <c r="B88" s="8" t="s">
        <v>84</v>
      </c>
      <c r="AW88">
        <f>19.4*(N63/(N63+N75))</f>
        <v>16.877704772776511</v>
      </c>
      <c r="AY88" s="41">
        <v>271.60000000000002</v>
      </c>
      <c r="AZ88" s="41"/>
      <c r="BA88" s="41">
        <f>247.7*(N63/(N63+N75))</f>
        <v>215.49523052663619</v>
      </c>
    </row>
    <row r="89" spans="1:53" x14ac:dyDescent="0.3">
      <c r="B89" s="15" t="s">
        <v>85</v>
      </c>
    </row>
    <row r="93" spans="1:53" x14ac:dyDescent="0.3">
      <c r="A93" s="17" t="s">
        <v>86</v>
      </c>
    </row>
    <row r="94" spans="1:53" x14ac:dyDescent="0.3">
      <c r="A94" s="11" t="s">
        <v>87</v>
      </c>
      <c r="B94" s="8" t="s">
        <v>88</v>
      </c>
      <c r="D94">
        <v>674</v>
      </c>
      <c r="T94">
        <v>534</v>
      </c>
      <c r="AC94">
        <v>408</v>
      </c>
    </row>
    <row r="95" spans="1:53" x14ac:dyDescent="0.3">
      <c r="A95" t="s">
        <v>89</v>
      </c>
      <c r="B95" s="8" t="s">
        <v>88</v>
      </c>
      <c r="D95">
        <v>389</v>
      </c>
      <c r="T95">
        <v>381</v>
      </c>
      <c r="AC95">
        <v>367</v>
      </c>
    </row>
    <row r="96" spans="1:53" x14ac:dyDescent="0.3">
      <c r="A96" t="s">
        <v>90</v>
      </c>
      <c r="B96" s="8" t="s">
        <v>88</v>
      </c>
      <c r="D96">
        <v>151</v>
      </c>
      <c r="T96">
        <v>111</v>
      </c>
      <c r="AC96">
        <v>90</v>
      </c>
    </row>
    <row r="97" spans="1:29" x14ac:dyDescent="0.3">
      <c r="A97" t="s">
        <v>91</v>
      </c>
      <c r="B97" s="8" t="s">
        <v>88</v>
      </c>
      <c r="D97">
        <v>96</v>
      </c>
      <c r="T97">
        <v>68</v>
      </c>
      <c r="AC97">
        <v>140</v>
      </c>
    </row>
    <row r="98" spans="1:29" x14ac:dyDescent="0.3">
      <c r="A98" t="s">
        <v>92</v>
      </c>
      <c r="B98" s="8" t="s">
        <v>88</v>
      </c>
      <c r="D98">
        <v>1480</v>
      </c>
      <c r="T98">
        <v>900</v>
      </c>
      <c r="AC98">
        <v>688</v>
      </c>
    </row>
    <row r="99" spans="1:29" x14ac:dyDescent="0.3">
      <c r="A99" t="s">
        <v>93</v>
      </c>
      <c r="B99" s="8" t="s">
        <v>88</v>
      </c>
      <c r="D99">
        <v>993</v>
      </c>
      <c r="T99">
        <v>752</v>
      </c>
      <c r="AC99">
        <v>661</v>
      </c>
    </row>
    <row r="100" spans="1:29" x14ac:dyDescent="0.3">
      <c r="A100" t="s">
        <v>94</v>
      </c>
      <c r="B100" s="8" t="s">
        <v>88</v>
      </c>
      <c r="D100">
        <v>848</v>
      </c>
      <c r="T100">
        <v>776</v>
      </c>
      <c r="AC100">
        <v>631</v>
      </c>
    </row>
    <row r="102" spans="1:29" x14ac:dyDescent="0.3">
      <c r="A102" s="17" t="s">
        <v>95</v>
      </c>
    </row>
    <row r="103" spans="1:29" x14ac:dyDescent="0.3">
      <c r="A103" s="11" t="s">
        <v>87</v>
      </c>
      <c r="B103" s="8" t="s">
        <v>47</v>
      </c>
      <c r="T103">
        <f>T94-$D94</f>
        <v>-140</v>
      </c>
      <c r="AC103">
        <f>AC94-$D94</f>
        <v>-266</v>
      </c>
    </row>
    <row r="104" spans="1:29" x14ac:dyDescent="0.3">
      <c r="A104" t="s">
        <v>89</v>
      </c>
      <c r="B104" s="8" t="s">
        <v>47</v>
      </c>
      <c r="T104">
        <f t="shared" ref="T104:T109" si="8">T95-$D95</f>
        <v>-8</v>
      </c>
      <c r="AC104">
        <f t="shared" ref="AC104:AC109" si="9">AC95-$D95</f>
        <v>-22</v>
      </c>
    </row>
    <row r="105" spans="1:29" x14ac:dyDescent="0.3">
      <c r="A105" t="s">
        <v>90</v>
      </c>
      <c r="B105" s="8" t="s">
        <v>47</v>
      </c>
      <c r="T105">
        <f t="shared" si="8"/>
        <v>-40</v>
      </c>
      <c r="AC105">
        <f t="shared" si="9"/>
        <v>-61</v>
      </c>
    </row>
    <row r="106" spans="1:29" x14ac:dyDescent="0.3">
      <c r="A106" t="s">
        <v>91</v>
      </c>
      <c r="B106" s="8" t="s">
        <v>47</v>
      </c>
      <c r="T106">
        <f t="shared" si="8"/>
        <v>-28</v>
      </c>
      <c r="AC106">
        <f t="shared" si="9"/>
        <v>44</v>
      </c>
    </row>
    <row r="107" spans="1:29" x14ac:dyDescent="0.3">
      <c r="A107" t="s">
        <v>92</v>
      </c>
      <c r="B107" s="8" t="s">
        <v>47</v>
      </c>
      <c r="T107">
        <f t="shared" si="8"/>
        <v>-580</v>
      </c>
      <c r="AC107">
        <f t="shared" si="9"/>
        <v>-792</v>
      </c>
    </row>
    <row r="108" spans="1:29" x14ac:dyDescent="0.3">
      <c r="A108" t="s">
        <v>93</v>
      </c>
      <c r="B108" s="8" t="s">
        <v>47</v>
      </c>
      <c r="T108">
        <f t="shared" si="8"/>
        <v>-241</v>
      </c>
      <c r="AC108">
        <f t="shared" si="9"/>
        <v>-332</v>
      </c>
    </row>
    <row r="109" spans="1:29" x14ac:dyDescent="0.3">
      <c r="A109" t="s">
        <v>94</v>
      </c>
      <c r="B109" s="8" t="s">
        <v>47</v>
      </c>
      <c r="T109">
        <f t="shared" si="8"/>
        <v>-72</v>
      </c>
      <c r="AC109">
        <f t="shared" si="9"/>
        <v>-217</v>
      </c>
    </row>
    <row r="111" spans="1:29" x14ac:dyDescent="0.3">
      <c r="A111" s="17" t="s">
        <v>96</v>
      </c>
    </row>
    <row r="112" spans="1:29" x14ac:dyDescent="0.3">
      <c r="A112" s="11" t="s">
        <v>87</v>
      </c>
      <c r="B112" s="8" t="s">
        <v>47</v>
      </c>
      <c r="T112" s="2">
        <f>T103/$D94</f>
        <v>-0.20771513353115728</v>
      </c>
      <c r="AC112" s="2">
        <f>AC103/$D94</f>
        <v>-0.39465875370919884</v>
      </c>
    </row>
    <row r="113" spans="1:29" x14ac:dyDescent="0.3">
      <c r="A113" t="s">
        <v>89</v>
      </c>
      <c r="B113" s="8" t="s">
        <v>47</v>
      </c>
      <c r="T113" s="2">
        <f t="shared" ref="T113:T118" si="10">T104/$D95</f>
        <v>-2.056555269922879E-2</v>
      </c>
      <c r="AC113" s="2">
        <f t="shared" ref="AC113:AC118" si="11">AC104/$D95</f>
        <v>-5.6555269922879174E-2</v>
      </c>
    </row>
    <row r="114" spans="1:29" x14ac:dyDescent="0.3">
      <c r="A114" t="s">
        <v>90</v>
      </c>
      <c r="B114" s="8" t="s">
        <v>47</v>
      </c>
      <c r="T114" s="2">
        <f t="shared" si="10"/>
        <v>-0.26490066225165565</v>
      </c>
      <c r="AC114" s="2">
        <f t="shared" si="11"/>
        <v>-0.40397350993377484</v>
      </c>
    </row>
    <row r="115" spans="1:29" x14ac:dyDescent="0.3">
      <c r="A115" t="s">
        <v>91</v>
      </c>
      <c r="B115" s="8" t="s">
        <v>47</v>
      </c>
      <c r="T115" s="2">
        <f t="shared" si="10"/>
        <v>-0.29166666666666669</v>
      </c>
      <c r="AC115" s="2">
        <f t="shared" si="11"/>
        <v>0.45833333333333331</v>
      </c>
    </row>
    <row r="116" spans="1:29" x14ac:dyDescent="0.3">
      <c r="A116" t="s">
        <v>92</v>
      </c>
      <c r="B116" s="8" t="s">
        <v>47</v>
      </c>
      <c r="T116" s="2">
        <f t="shared" si="10"/>
        <v>-0.39189189189189189</v>
      </c>
      <c r="AC116" s="2">
        <f t="shared" si="11"/>
        <v>-0.53513513513513511</v>
      </c>
    </row>
    <row r="117" spans="1:29" x14ac:dyDescent="0.3">
      <c r="A117" t="s">
        <v>93</v>
      </c>
      <c r="B117" s="8" t="s">
        <v>47</v>
      </c>
      <c r="T117" s="2">
        <f t="shared" si="10"/>
        <v>-0.24269889224572003</v>
      </c>
      <c r="AC117" s="2">
        <f t="shared" si="11"/>
        <v>-0.33434038267875127</v>
      </c>
    </row>
    <row r="118" spans="1:29" x14ac:dyDescent="0.3">
      <c r="A118" t="s">
        <v>94</v>
      </c>
      <c r="B118" s="8" t="s">
        <v>47</v>
      </c>
      <c r="T118" s="2">
        <f t="shared" si="10"/>
        <v>-8.4905660377358486E-2</v>
      </c>
      <c r="AC118" s="2">
        <f t="shared" si="11"/>
        <v>-0.25589622641509435</v>
      </c>
    </row>
    <row r="119" spans="1:29" x14ac:dyDescent="0.3">
      <c r="T119" s="2"/>
    </row>
    <row r="120" spans="1:29" x14ac:dyDescent="0.3">
      <c r="A120" t="s">
        <v>97</v>
      </c>
      <c r="T120" s="2">
        <f>T103/SUM(T103:T109)</f>
        <v>0.12623985572587917</v>
      </c>
    </row>
  </sheetData>
  <phoneticPr fontId="50" type="noConversion"/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BCA1F-1AE3-4AB6-B9B7-6C42E06DFC6A}">
  <sheetPr>
    <tabColor rgb="FFFFFF00"/>
  </sheetPr>
  <dimension ref="A1:AX107"/>
  <sheetViews>
    <sheetView showGridLines="0" zoomScaleNormal="100" workbookViewId="0">
      <pane xSplit="1" topLeftCell="AN1" activePane="topRight" state="frozen"/>
      <selection activeCell="M67" sqref="M67"/>
      <selection pane="topRight" activeCell="D17" sqref="D17:AW24"/>
    </sheetView>
  </sheetViews>
  <sheetFormatPr defaultRowHeight="16.5" x14ac:dyDescent="0.3"/>
  <cols>
    <col min="1" max="1" width="64.25" customWidth="1"/>
    <col min="2" max="2" width="40" customWidth="1"/>
    <col min="3" max="3" width="9" customWidth="1"/>
    <col min="4" max="4" width="15.25" customWidth="1"/>
    <col min="5" max="12" width="14.25" customWidth="1"/>
    <col min="13" max="13" width="13.25" customWidth="1"/>
    <col min="14" max="20" width="14.25" customWidth="1"/>
    <col min="21" max="21" width="10.75" customWidth="1"/>
    <col min="23" max="23" width="10" customWidth="1"/>
    <col min="28" max="28" width="10.375" customWidth="1"/>
    <col min="30" max="30" width="11.5" customWidth="1"/>
    <col min="48" max="48" width="10.375" customWidth="1"/>
    <col min="49" max="49" width="12.875" customWidth="1"/>
  </cols>
  <sheetData>
    <row r="1" spans="1:49" x14ac:dyDescent="0.3">
      <c r="B1" t="s">
        <v>48</v>
      </c>
      <c r="C1" t="s">
        <v>98</v>
      </c>
      <c r="D1" t="s">
        <v>99</v>
      </c>
      <c r="E1" t="s">
        <v>100</v>
      </c>
      <c r="F1" t="s">
        <v>101</v>
      </c>
    </row>
    <row r="2" spans="1:49" x14ac:dyDescent="0.3">
      <c r="A2" t="s">
        <v>68</v>
      </c>
      <c r="B2" s="34">
        <f>(T15-P15)/4</f>
        <v>29.256831205554931</v>
      </c>
      <c r="C2" s="34">
        <f>(AC17-T15)/9</f>
        <v>-97.915687025575551</v>
      </c>
      <c r="D2" s="34">
        <f>(AC19-T15)/9</f>
        <v>-113.42235369224221</v>
      </c>
      <c r="E2" s="34">
        <f>(AW21-AC17)/20</f>
        <v>-5.5050808533249889</v>
      </c>
      <c r="F2" s="34">
        <f>(AW21-AC19)/20</f>
        <v>1.472919146675008</v>
      </c>
    </row>
    <row r="3" spans="1:49" x14ac:dyDescent="0.3">
      <c r="A3" t="s">
        <v>38</v>
      </c>
      <c r="B3" s="34">
        <f>(T15-P15)/5</f>
        <v>23.405464964443944</v>
      </c>
      <c r="C3" s="34">
        <f>(AC97-T14)/9</f>
        <v>-35.822546250042222</v>
      </c>
      <c r="D3" s="34">
        <f>(AC95-T14)/9</f>
        <v>-47.452546250042232</v>
      </c>
      <c r="E3" s="34" t="e">
        <f>((#REF!-#REF!)-AC97)/20</f>
        <v>#REF!</v>
      </c>
      <c r="F3" s="34" t="e">
        <f>((#REF!-#REF!)-AC95)/20</f>
        <v>#REF!</v>
      </c>
    </row>
    <row r="8" spans="1:49" x14ac:dyDescent="0.3">
      <c r="A8" s="11" t="s">
        <v>102</v>
      </c>
      <c r="B8" s="11"/>
    </row>
    <row r="9" spans="1:49" x14ac:dyDescent="0.3">
      <c r="A9" s="27" t="s">
        <v>103</v>
      </c>
      <c r="B9" s="36"/>
    </row>
    <row r="10" spans="1:49" x14ac:dyDescent="0.3">
      <c r="A10" s="29" t="s">
        <v>104</v>
      </c>
      <c r="B10" s="37"/>
      <c r="D10" s="28" t="s">
        <v>29</v>
      </c>
      <c r="E10" s="28"/>
      <c r="F10" s="28"/>
      <c r="G10" s="28"/>
      <c r="H10" s="28"/>
      <c r="I10" s="28" t="s">
        <v>30</v>
      </c>
      <c r="J10" s="28"/>
      <c r="K10" s="28"/>
      <c r="L10" s="28"/>
      <c r="M10" s="28"/>
      <c r="N10" s="28" t="s">
        <v>31</v>
      </c>
      <c r="O10" s="28"/>
      <c r="P10" s="28"/>
      <c r="Q10" s="28"/>
      <c r="R10" s="28"/>
      <c r="S10" s="28" t="s">
        <v>32</v>
      </c>
      <c r="T10" s="28"/>
      <c r="U10" s="28"/>
      <c r="V10" s="28"/>
      <c r="W10" s="28"/>
      <c r="X10" s="28" t="s">
        <v>105</v>
      </c>
      <c r="Y10" s="28"/>
      <c r="Z10" s="28"/>
      <c r="AA10" s="28"/>
      <c r="AB10" s="28"/>
      <c r="AC10" s="28" t="s">
        <v>106</v>
      </c>
      <c r="AD10" s="28"/>
      <c r="AE10" s="28"/>
      <c r="AF10" s="28"/>
      <c r="AG10" s="28"/>
      <c r="AH10" s="28" t="s">
        <v>107</v>
      </c>
      <c r="AI10" s="28"/>
      <c r="AJ10" s="28"/>
      <c r="AK10" s="28"/>
      <c r="AL10" s="28"/>
      <c r="AM10" s="28" t="s">
        <v>108</v>
      </c>
      <c r="AN10" s="28"/>
      <c r="AO10" s="28"/>
      <c r="AP10" s="28"/>
      <c r="AQ10" s="28"/>
      <c r="AR10" s="28" t="s">
        <v>109</v>
      </c>
      <c r="AS10" s="28"/>
      <c r="AT10" s="28"/>
      <c r="AU10" s="28"/>
      <c r="AV10" s="28"/>
      <c r="AW10" s="28" t="s">
        <v>110</v>
      </c>
    </row>
    <row r="11" spans="1:49" hidden="1" x14ac:dyDescent="0.3">
      <c r="A11" s="30" t="s">
        <v>111</v>
      </c>
      <c r="B11" s="38" t="s">
        <v>112</v>
      </c>
      <c r="C11" t="s">
        <v>113</v>
      </c>
      <c r="D11" s="12">
        <v>5358277.2340000002</v>
      </c>
      <c r="E11" s="12">
        <v>5568843.6890000002</v>
      </c>
      <c r="F11" s="12">
        <v>5287873.17</v>
      </c>
      <c r="G11" s="12">
        <v>5617879.9570000004</v>
      </c>
      <c r="H11" s="12">
        <v>5624745.4670000002</v>
      </c>
      <c r="I11" s="12">
        <v>5860782.6299999999</v>
      </c>
      <c r="J11" s="12">
        <v>5371888.051</v>
      </c>
      <c r="K11" s="12">
        <v>5490871.9280000003</v>
      </c>
      <c r="L11" s="12">
        <v>5556912.2120000003</v>
      </c>
      <c r="M11" s="12">
        <v>5167985.017</v>
      </c>
      <c r="N11" s="12">
        <v>5380841.6380000003</v>
      </c>
      <c r="O11" s="12">
        <v>5450012.051</v>
      </c>
      <c r="P11" s="12">
        <v>5605356.875</v>
      </c>
      <c r="Q11" s="12">
        <v>5512433.2230000002</v>
      </c>
      <c r="R11" s="12">
        <v>5382855.9000000004</v>
      </c>
      <c r="S11" s="12">
        <v>5074802.3820000002</v>
      </c>
      <c r="T11" s="12">
        <v>5416746.2139999997</v>
      </c>
    </row>
    <row r="12" spans="1:49" ht="25.5" hidden="1" customHeight="1" x14ac:dyDescent="0.3">
      <c r="A12" s="30" t="s">
        <v>114</v>
      </c>
      <c r="B12" s="38" t="s">
        <v>112</v>
      </c>
      <c r="C12" t="s">
        <v>113</v>
      </c>
      <c r="D12" s="12">
        <v>11150492.886</v>
      </c>
      <c r="E12" s="12">
        <v>11111542.839</v>
      </c>
      <c r="F12" s="12">
        <v>10435067.658</v>
      </c>
      <c r="G12" s="12">
        <v>11064263.457</v>
      </c>
      <c r="H12" s="12">
        <v>10985678.507999999</v>
      </c>
      <c r="I12" s="12">
        <v>11678549.972999999</v>
      </c>
      <c r="J12" s="12">
        <v>10546610.545</v>
      </c>
      <c r="K12" s="12">
        <v>11012084.043</v>
      </c>
      <c r="L12" s="12">
        <v>11141041.575999999</v>
      </c>
      <c r="M12" s="12">
        <v>9824051.5120000001</v>
      </c>
      <c r="N12" s="12">
        <v>10259138.645</v>
      </c>
      <c r="O12" s="12">
        <v>10503570.810000001</v>
      </c>
      <c r="P12" s="12">
        <v>10538533.582</v>
      </c>
      <c r="Q12" s="12">
        <v>10456263.458000001</v>
      </c>
      <c r="R12" s="12">
        <v>10390886.483999999</v>
      </c>
      <c r="S12" s="12">
        <v>10388387.812999999</v>
      </c>
      <c r="T12" s="12">
        <v>10959828.581</v>
      </c>
    </row>
    <row r="13" spans="1:49" ht="14.25" hidden="1" customHeight="1" x14ac:dyDescent="0.3">
      <c r="A13" s="35" t="s">
        <v>115</v>
      </c>
      <c r="B13" s="38" t="s">
        <v>112</v>
      </c>
      <c r="C13" t="s">
        <v>113</v>
      </c>
      <c r="D13" s="116">
        <v>1129993.5379999999</v>
      </c>
      <c r="E13" s="116">
        <v>1061267.68</v>
      </c>
      <c r="F13" s="116">
        <v>1040200.112</v>
      </c>
      <c r="G13" s="116">
        <v>1034996.4889999999</v>
      </c>
      <c r="H13" s="116">
        <v>1009232.24</v>
      </c>
      <c r="I13" s="116">
        <v>1067822.5209999999</v>
      </c>
      <c r="J13" s="116">
        <v>1044721.374</v>
      </c>
      <c r="K13" s="116">
        <v>1033812.946</v>
      </c>
      <c r="L13" s="116">
        <v>1049292.5959999999</v>
      </c>
      <c r="M13" s="116">
        <v>1026576.209</v>
      </c>
      <c r="N13" s="116">
        <v>1027088.1189999999</v>
      </c>
      <c r="O13" s="116">
        <v>1045031.442</v>
      </c>
      <c r="P13" s="116">
        <v>1057853.8940000001</v>
      </c>
      <c r="Q13" s="116">
        <v>1156192.7509999999</v>
      </c>
      <c r="R13" s="116">
        <v>1173620.8770000001</v>
      </c>
      <c r="S13" s="116">
        <v>1189811.129</v>
      </c>
      <c r="T13" s="116">
        <v>1186691.4569999999</v>
      </c>
    </row>
    <row r="14" spans="1:49" x14ac:dyDescent="0.3">
      <c r="A14" s="11" t="s">
        <v>38</v>
      </c>
      <c r="B14" t="s">
        <v>116</v>
      </c>
      <c r="C14" t="s">
        <v>22</v>
      </c>
      <c r="D14" s="34">
        <f>((D11+D13)*EJ2TWh/1000000)</f>
        <v>1802.3118550461597</v>
      </c>
      <c r="E14" s="34">
        <f t="shared" ref="E14:T14" si="0">((E11+E13)*EJ2TWh/1000000)</f>
        <v>1841.7123360808198</v>
      </c>
      <c r="F14" s="34">
        <f>((F11+F13)*EJ2TWh/1000000)</f>
        <v>1757.8121962739597</v>
      </c>
      <c r="G14" s="34">
        <f t="shared" si="0"/>
        <v>1848.0360191698799</v>
      </c>
      <c r="H14" s="34">
        <f t="shared" si="0"/>
        <v>1842.78632745046</v>
      </c>
      <c r="I14" s="34">
        <f t="shared" si="0"/>
        <v>1924.6279388447797</v>
      </c>
      <c r="J14" s="34">
        <f t="shared" si="0"/>
        <v>1782.4057660764997</v>
      </c>
      <c r="K14" s="34">
        <f t="shared" si="0"/>
        <v>1812.4269642997199</v>
      </c>
      <c r="L14" s="34">
        <f t="shared" si="0"/>
        <v>1835.0715715662398</v>
      </c>
      <c r="M14" s="34">
        <f t="shared" si="0"/>
        <v>1720.7252173582797</v>
      </c>
      <c r="N14" s="34">
        <f t="shared" si="0"/>
        <v>1779.9947278994598</v>
      </c>
      <c r="O14" s="34">
        <f t="shared" si="0"/>
        <v>1804.1931814855398</v>
      </c>
      <c r="P14" s="34">
        <f t="shared" si="0"/>
        <v>1850.9066874128198</v>
      </c>
      <c r="Q14" s="34">
        <f t="shared" si="0"/>
        <v>1852.4109230577199</v>
      </c>
      <c r="R14" s="34">
        <f t="shared" si="0"/>
        <v>1821.25811911506</v>
      </c>
      <c r="S14" s="34">
        <f>((S11+S13)*EJ2TWh/1000000)</f>
        <v>1740.1843410855799</v>
      </c>
      <c r="T14" s="34">
        <f t="shared" si="0"/>
        <v>1834.3029162503799</v>
      </c>
    </row>
    <row r="15" spans="1:49" x14ac:dyDescent="0.3">
      <c r="A15" s="11" t="s">
        <v>68</v>
      </c>
      <c r="B15" s="11"/>
      <c r="C15" t="s">
        <v>22</v>
      </c>
      <c r="D15" s="34">
        <f t="shared" ref="D15:T15" si="1">D12*EJ2TWh/1000000</f>
        <v>3097.3839138730796</v>
      </c>
      <c r="E15" s="34">
        <f t="shared" si="1"/>
        <v>3086.5643698174194</v>
      </c>
      <c r="F15" s="34">
        <f t="shared" si="1"/>
        <v>2898.6530940392399</v>
      </c>
      <c r="G15" s="34">
        <f t="shared" si="1"/>
        <v>3073.4311030854597</v>
      </c>
      <c r="H15" s="34">
        <f t="shared" si="1"/>
        <v>3051.6017759522397</v>
      </c>
      <c r="I15" s="34">
        <f t="shared" si="1"/>
        <v>3244.0676114999396</v>
      </c>
      <c r="J15" s="34">
        <f t="shared" si="1"/>
        <v>2929.6374771900996</v>
      </c>
      <c r="K15" s="34">
        <f t="shared" si="1"/>
        <v>3058.9367054645395</v>
      </c>
      <c r="L15" s="34">
        <f t="shared" si="1"/>
        <v>3094.7585289812796</v>
      </c>
      <c r="M15" s="34">
        <f t="shared" si="1"/>
        <v>2728.9250290033597</v>
      </c>
      <c r="N15" s="34">
        <f t="shared" si="1"/>
        <v>2849.7835328080996</v>
      </c>
      <c r="O15" s="34">
        <f t="shared" si="1"/>
        <v>2917.6818996018001</v>
      </c>
      <c r="P15" s="34">
        <f t="shared" si="1"/>
        <v>2927.3938584079601</v>
      </c>
      <c r="Q15" s="34">
        <f t="shared" si="1"/>
        <v>2904.5408633632396</v>
      </c>
      <c r="R15" s="34">
        <f t="shared" si="1"/>
        <v>2886.3804475255192</v>
      </c>
      <c r="S15" s="34">
        <f>S12*EJ2TWh/1000000</f>
        <v>2885.6863666951394</v>
      </c>
      <c r="T15" s="34">
        <f t="shared" si="1"/>
        <v>3044.4211832301798</v>
      </c>
    </row>
    <row r="16" spans="1:49" x14ac:dyDescent="0.3">
      <c r="A16" s="11" t="s">
        <v>117</v>
      </c>
      <c r="B16" s="11"/>
      <c r="C16" t="s">
        <v>22</v>
      </c>
      <c r="D16" s="34">
        <f>D15+D14</f>
        <v>4899.6957689192395</v>
      </c>
      <c r="E16" s="34">
        <f t="shared" ref="E16:T16" si="2">E15+E14</f>
        <v>4928.276705898239</v>
      </c>
      <c r="F16" s="34">
        <f t="shared" si="2"/>
        <v>4656.4652903131991</v>
      </c>
      <c r="G16" s="34">
        <f t="shared" si="2"/>
        <v>4921.4671222553397</v>
      </c>
      <c r="H16" s="34">
        <f t="shared" si="2"/>
        <v>4894.3881034026999</v>
      </c>
      <c r="I16" s="34">
        <f t="shared" si="2"/>
        <v>5168.6955503447189</v>
      </c>
      <c r="J16" s="34">
        <f t="shared" si="2"/>
        <v>4712.0432432665993</v>
      </c>
      <c r="K16" s="34">
        <f t="shared" si="2"/>
        <v>4871.3636697642596</v>
      </c>
      <c r="L16" s="34">
        <f t="shared" si="2"/>
        <v>4929.8301005475196</v>
      </c>
      <c r="M16" s="34">
        <f t="shared" si="2"/>
        <v>4449.6502463616398</v>
      </c>
      <c r="N16" s="34">
        <f t="shared" si="2"/>
        <v>4629.7782607075596</v>
      </c>
      <c r="O16" s="34">
        <f t="shared" si="2"/>
        <v>4721.8750810873398</v>
      </c>
      <c r="P16" s="34">
        <f t="shared" si="2"/>
        <v>4778.3005458207799</v>
      </c>
      <c r="Q16" s="34">
        <f t="shared" si="2"/>
        <v>4756.9517864209593</v>
      </c>
      <c r="R16" s="34">
        <f t="shared" si="2"/>
        <v>4707.6385666405795</v>
      </c>
      <c r="S16" s="34">
        <f t="shared" si="2"/>
        <v>4625.8707077807194</v>
      </c>
      <c r="T16" s="34">
        <f t="shared" si="2"/>
        <v>4878.7240994805597</v>
      </c>
    </row>
    <row r="17" spans="1:50" x14ac:dyDescent="0.3">
      <c r="A17" s="100" t="s">
        <v>118</v>
      </c>
      <c r="B17" s="39" t="s">
        <v>119</v>
      </c>
      <c r="C17" t="s">
        <v>22</v>
      </c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AC17" s="1">
        <f>AC96</f>
        <v>2163.1799999999998</v>
      </c>
      <c r="AX17" s="11"/>
    </row>
    <row r="18" spans="1:50" x14ac:dyDescent="0.3">
      <c r="A18" s="100" t="s">
        <v>120</v>
      </c>
      <c r="B18" s="39" t="s">
        <v>121</v>
      </c>
      <c r="C18" t="s">
        <v>22</v>
      </c>
      <c r="AC18" s="1">
        <f>AC97+AC17</f>
        <v>3675.08</v>
      </c>
      <c r="AX18" s="11"/>
    </row>
    <row r="19" spans="1:50" x14ac:dyDescent="0.3">
      <c r="A19" s="100" t="s">
        <v>122</v>
      </c>
      <c r="B19" s="39" t="s">
        <v>123</v>
      </c>
      <c r="C19" t="s">
        <v>22</v>
      </c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AC19" s="1">
        <f>AC94</f>
        <v>2023.62</v>
      </c>
      <c r="AX19" s="11"/>
    </row>
    <row r="20" spans="1:50" x14ac:dyDescent="0.3">
      <c r="A20" s="100" t="s">
        <v>124</v>
      </c>
      <c r="B20" s="39" t="s">
        <v>125</v>
      </c>
      <c r="C20" t="s">
        <v>22</v>
      </c>
      <c r="AC20" s="1">
        <f>AC19+AC95</f>
        <v>3430.8499999999995</v>
      </c>
      <c r="AX20" s="11"/>
    </row>
    <row r="21" spans="1:50" x14ac:dyDescent="0.3">
      <c r="A21" s="100" t="s">
        <v>126</v>
      </c>
      <c r="B21" s="39" t="s">
        <v>127</v>
      </c>
      <c r="C21" t="s">
        <v>22</v>
      </c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AC21" s="1"/>
      <c r="AW21" s="34">
        <v>2053.0783829335001</v>
      </c>
      <c r="AX21" s="11"/>
    </row>
    <row r="22" spans="1:50" x14ac:dyDescent="0.3">
      <c r="A22" s="11" t="s">
        <v>128</v>
      </c>
      <c r="B22" s="39" t="s">
        <v>129</v>
      </c>
      <c r="AW22" s="34">
        <f>1463.36483685046+AW21</f>
        <v>3516.4432197839601</v>
      </c>
      <c r="AX22" s="11"/>
    </row>
    <row r="23" spans="1:50" x14ac:dyDescent="0.3">
      <c r="A23" s="11" t="s">
        <v>130</v>
      </c>
      <c r="B23" s="39" t="s">
        <v>131</v>
      </c>
      <c r="AC23" s="33"/>
      <c r="AM23">
        <f>AM83</f>
        <v>3027.7325769182644</v>
      </c>
      <c r="AW23">
        <f>AW83</f>
        <v>2559.9018078063095</v>
      </c>
      <c r="AX23" s="11"/>
    </row>
    <row r="24" spans="1:50" x14ac:dyDescent="0.3">
      <c r="A24" s="11" t="s">
        <v>132</v>
      </c>
      <c r="B24" s="39" t="s">
        <v>131</v>
      </c>
      <c r="AM24">
        <f>AM84-AM23</f>
        <v>140.81992139532713</v>
      </c>
      <c r="AW24">
        <f>AW84-AW23</f>
        <v>294.44977852155898</v>
      </c>
      <c r="AX24" s="11"/>
    </row>
    <row r="25" spans="1:50" x14ac:dyDescent="0.3">
      <c r="A25" s="11"/>
      <c r="B25" s="11"/>
      <c r="D25">
        <f t="shared" ref="D25:T25" si="3">D13/SUM(D11:D13)</f>
        <v>6.406308060528354E-2</v>
      </c>
      <c r="E25">
        <f t="shared" si="3"/>
        <v>5.9817853936159855E-2</v>
      </c>
      <c r="F25">
        <f t="shared" si="3"/>
        <v>6.205281669605768E-2</v>
      </c>
      <c r="G25">
        <f t="shared" si="3"/>
        <v>5.8417808668133078E-2</v>
      </c>
      <c r="H25">
        <f t="shared" si="3"/>
        <v>5.7278770237345407E-2</v>
      </c>
      <c r="I25">
        <f t="shared" si="3"/>
        <v>5.7387736807906445E-2</v>
      </c>
      <c r="J25">
        <f t="shared" si="3"/>
        <v>6.1587444827551796E-2</v>
      </c>
      <c r="K25">
        <f t="shared" si="3"/>
        <v>5.8951164316126119E-2</v>
      </c>
      <c r="L25">
        <f t="shared" si="3"/>
        <v>5.9124247970433759E-2</v>
      </c>
      <c r="M25">
        <f t="shared" si="3"/>
        <v>6.4086461530137029E-2</v>
      </c>
      <c r="N25">
        <f t="shared" si="3"/>
        <v>6.1623801752487703E-2</v>
      </c>
      <c r="O25">
        <f t="shared" si="3"/>
        <v>6.1477448889205484E-2</v>
      </c>
      <c r="P25">
        <f t="shared" si="3"/>
        <v>6.1496896617842321E-2</v>
      </c>
      <c r="Q25">
        <f t="shared" si="3"/>
        <v>6.7515341082407754E-2</v>
      </c>
      <c r="R25">
        <f t="shared" si="3"/>
        <v>6.9250942398856041E-2</v>
      </c>
      <c r="S25">
        <f t="shared" si="3"/>
        <v>7.1447248808253316E-2</v>
      </c>
      <c r="T25">
        <f t="shared" si="3"/>
        <v>6.756667239300472E-2</v>
      </c>
      <c r="AW25" s="34"/>
      <c r="AX25" s="11"/>
    </row>
    <row r="26" spans="1:50" x14ac:dyDescent="0.3">
      <c r="A26" s="11"/>
      <c r="B26" s="11"/>
      <c r="AW26" s="34"/>
      <c r="AX26" s="11"/>
    </row>
    <row r="27" spans="1:50" x14ac:dyDescent="0.3">
      <c r="A27" s="11"/>
      <c r="B27" s="11"/>
      <c r="AW27" s="34"/>
      <c r="AX27" s="11"/>
    </row>
    <row r="28" spans="1:50" x14ac:dyDescent="0.3">
      <c r="A28" s="11"/>
      <c r="B28" s="11"/>
      <c r="D28" s="103" t="s">
        <v>133</v>
      </c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AW28" s="34"/>
      <c r="AX28" s="11"/>
    </row>
    <row r="29" spans="1:50" x14ac:dyDescent="0.3">
      <c r="A29" s="11"/>
      <c r="B29" s="11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AW29" s="34"/>
      <c r="AX29" s="11"/>
    </row>
    <row r="30" spans="1:50" x14ac:dyDescent="0.3">
      <c r="A30" s="11"/>
      <c r="B30" s="11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AW30" s="34"/>
      <c r="AX30" s="11"/>
    </row>
    <row r="31" spans="1:50" x14ac:dyDescent="0.3">
      <c r="A31" s="11"/>
      <c r="B31" s="11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AW31" s="34"/>
      <c r="AX31" s="11"/>
    </row>
    <row r="32" spans="1:50" x14ac:dyDescent="0.3">
      <c r="A32" s="11"/>
      <c r="B32" s="11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AW32" s="34"/>
      <c r="AX32" s="11"/>
    </row>
    <row r="33" spans="1:50" x14ac:dyDescent="0.3">
      <c r="A33" s="11"/>
      <c r="B33" s="11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AW33" s="34"/>
      <c r="AX33" s="11"/>
    </row>
    <row r="34" spans="1:50" x14ac:dyDescent="0.3">
      <c r="A34" s="11"/>
      <c r="B34" s="11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AW34" s="34"/>
      <c r="AX34" s="11"/>
    </row>
    <row r="35" spans="1:50" x14ac:dyDescent="0.3">
      <c r="A35" s="11"/>
      <c r="B35" s="11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AW35" s="34"/>
      <c r="AX35" s="11"/>
    </row>
    <row r="36" spans="1:50" x14ac:dyDescent="0.3">
      <c r="A36" s="11"/>
      <c r="B36" s="11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AW36" s="34"/>
      <c r="AX36" s="11"/>
    </row>
    <row r="37" spans="1:50" x14ac:dyDescent="0.3">
      <c r="A37" s="11"/>
      <c r="B37" s="11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AW37" s="34"/>
      <c r="AX37" s="11"/>
    </row>
    <row r="38" spans="1:50" x14ac:dyDescent="0.3">
      <c r="A38" s="11"/>
      <c r="B38" s="11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AW38" s="34"/>
      <c r="AX38" s="11"/>
    </row>
    <row r="39" spans="1:50" x14ac:dyDescent="0.3">
      <c r="A39" s="11"/>
      <c r="B39" s="11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AW39" s="34"/>
      <c r="AX39" s="11"/>
    </row>
    <row r="40" spans="1:50" x14ac:dyDescent="0.3">
      <c r="A40" s="11"/>
      <c r="B40" s="11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AW40" s="34"/>
      <c r="AX40" s="11"/>
    </row>
    <row r="41" spans="1:50" x14ac:dyDescent="0.3">
      <c r="A41" s="11"/>
      <c r="B41" s="11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AW41" s="34"/>
      <c r="AX41" s="11"/>
    </row>
    <row r="42" spans="1:50" x14ac:dyDescent="0.3">
      <c r="A42" s="11"/>
      <c r="B42" s="11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AW42" s="34"/>
      <c r="AX42" s="11"/>
    </row>
    <row r="43" spans="1:50" x14ac:dyDescent="0.3">
      <c r="A43" s="11"/>
      <c r="B43" s="11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AW43" s="34"/>
      <c r="AX43" s="11"/>
    </row>
    <row r="44" spans="1:50" x14ac:dyDescent="0.3">
      <c r="A44" s="11"/>
      <c r="B44" s="11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AW44" s="34"/>
      <c r="AX44" s="11"/>
    </row>
    <row r="45" spans="1:50" x14ac:dyDescent="0.3">
      <c r="A45" s="11"/>
      <c r="B45" s="11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AW45" s="34"/>
      <c r="AX45" s="11"/>
    </row>
    <row r="46" spans="1:50" x14ac:dyDescent="0.3">
      <c r="A46" s="11"/>
      <c r="B46" s="11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AW46" s="34"/>
      <c r="AX46" s="11"/>
    </row>
    <row r="47" spans="1:50" x14ac:dyDescent="0.3">
      <c r="A47" s="11"/>
      <c r="B47" s="11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AW47" s="34"/>
      <c r="AX47" s="11"/>
    </row>
    <row r="48" spans="1:50" x14ac:dyDescent="0.3">
      <c r="A48" s="11"/>
      <c r="B48" s="11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AW48" s="34"/>
      <c r="AX48" s="11"/>
    </row>
    <row r="49" spans="1:50" x14ac:dyDescent="0.3">
      <c r="A49" s="11"/>
      <c r="B49" s="11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AW49" s="34"/>
      <c r="AX49" s="11"/>
    </row>
    <row r="50" spans="1:50" x14ac:dyDescent="0.3">
      <c r="A50" s="11"/>
      <c r="B50" s="11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AW50" s="34"/>
      <c r="AX50" s="11"/>
    </row>
    <row r="51" spans="1:50" x14ac:dyDescent="0.3">
      <c r="A51" s="11"/>
      <c r="B51" s="11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AW51" s="34"/>
      <c r="AX51" s="11"/>
    </row>
    <row r="52" spans="1:50" x14ac:dyDescent="0.3">
      <c r="A52" s="11"/>
      <c r="B52" s="11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AW52" s="34"/>
      <c r="AX52" s="11"/>
    </row>
    <row r="53" spans="1:50" x14ac:dyDescent="0.3">
      <c r="A53" s="11"/>
      <c r="B53" s="11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AW53" s="34"/>
      <c r="AX53" s="11"/>
    </row>
    <row r="54" spans="1:50" x14ac:dyDescent="0.3">
      <c r="A54" s="11"/>
      <c r="B54" s="11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AW54" s="34"/>
      <c r="AX54" s="11"/>
    </row>
    <row r="55" spans="1:50" x14ac:dyDescent="0.3">
      <c r="A55" s="11"/>
      <c r="B55" s="11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AW55" s="34"/>
      <c r="AX55" s="11"/>
    </row>
    <row r="56" spans="1:50" s="41" customFormat="1" x14ac:dyDescent="0.3">
      <c r="A56" s="40" t="s">
        <v>134</v>
      </c>
      <c r="D56" s="41" t="str">
        <f>D10</f>
        <v>2005</v>
      </c>
      <c r="I56" s="41" t="str">
        <f>I10</f>
        <v>2010</v>
      </c>
      <c r="N56" s="41" t="str">
        <f>N10</f>
        <v>2015</v>
      </c>
      <c r="S56" s="41" t="str">
        <f>S10</f>
        <v>2020</v>
      </c>
      <c r="X56" s="41" t="str">
        <f>X10</f>
        <v>2025</v>
      </c>
      <c r="AC56" s="41" t="str">
        <f>AC10</f>
        <v>2030</v>
      </c>
      <c r="AH56" s="41" t="str">
        <f>AH10</f>
        <v>2035</v>
      </c>
      <c r="AM56" s="41" t="str">
        <f>AM10</f>
        <v>2040</v>
      </c>
      <c r="AR56" s="41" t="str">
        <f>AR10</f>
        <v>2045</v>
      </c>
      <c r="AW56" s="41" t="str">
        <f>AW10</f>
        <v>2050</v>
      </c>
    </row>
    <row r="57" spans="1:50" x14ac:dyDescent="0.3">
      <c r="A57" t="s">
        <v>135</v>
      </c>
      <c r="D57" s="31">
        <f t="shared" ref="D57:T57" si="4">D11/$D11-1</f>
        <v>0</v>
      </c>
      <c r="E57" s="31">
        <f t="shared" si="4"/>
        <v>3.9297417024988457E-2</v>
      </c>
      <c r="F57" s="31">
        <f t="shared" si="4"/>
        <v>-1.3139309693284251E-2</v>
      </c>
      <c r="G57" s="31">
        <f t="shared" si="4"/>
        <v>4.8448915885265675E-2</v>
      </c>
      <c r="H57" s="31">
        <f t="shared" si="4"/>
        <v>4.9730206438213465E-2</v>
      </c>
      <c r="I57" s="31">
        <f t="shared" si="4"/>
        <v>9.3781149062508451E-2</v>
      </c>
      <c r="J57" s="31">
        <f t="shared" si="4"/>
        <v>2.5401479627882306E-3</v>
      </c>
      <c r="K57" s="31">
        <f t="shared" si="4"/>
        <v>2.4745769621370872E-2</v>
      </c>
      <c r="L57" s="31">
        <f t="shared" si="4"/>
        <v>3.7070679497432035E-2</v>
      </c>
      <c r="M57" s="31">
        <f t="shared" si="4"/>
        <v>-3.5513693803025825E-2</v>
      </c>
      <c r="N57" s="31">
        <f t="shared" si="4"/>
        <v>4.2111303716838577E-3</v>
      </c>
      <c r="O57" s="31">
        <f t="shared" si="4"/>
        <v>1.7120207296836609E-2</v>
      </c>
      <c r="P57" s="31">
        <f t="shared" si="4"/>
        <v>4.6111768803636988E-2</v>
      </c>
      <c r="Q57" s="31">
        <f t="shared" si="4"/>
        <v>2.8769692620947307E-2</v>
      </c>
      <c r="R57" s="31">
        <f t="shared" si="4"/>
        <v>4.5870463446797682E-3</v>
      </c>
      <c r="S57" s="31">
        <f t="shared" si="4"/>
        <v>-5.2904103244464595E-2</v>
      </c>
      <c r="T57" s="31">
        <f t="shared" si="4"/>
        <v>1.0911899001603498E-2</v>
      </c>
    </row>
    <row r="59" spans="1:50" x14ac:dyDescent="0.3">
      <c r="A59" t="s">
        <v>136</v>
      </c>
      <c r="H59" s="32">
        <f t="shared" ref="H59:T59" si="5">AVERAGE(D14:H14)</f>
        <v>1818.5317468042558</v>
      </c>
      <c r="I59" s="32">
        <f t="shared" si="5"/>
        <v>1842.9949635639798</v>
      </c>
      <c r="J59" s="32">
        <f t="shared" si="5"/>
        <v>1831.1336495631156</v>
      </c>
      <c r="K59" s="32">
        <f t="shared" si="5"/>
        <v>1842.0566031682679</v>
      </c>
      <c r="L59" s="32">
        <f t="shared" si="5"/>
        <v>1839.4637136475399</v>
      </c>
      <c r="M59" s="32">
        <f t="shared" si="5"/>
        <v>1815.0514916291038</v>
      </c>
      <c r="N59" s="32">
        <f t="shared" si="5"/>
        <v>1786.12484944004</v>
      </c>
      <c r="O59" s="32">
        <f t="shared" si="5"/>
        <v>1790.4823325218481</v>
      </c>
      <c r="P59" s="32">
        <f t="shared" si="5"/>
        <v>1798.1782771444675</v>
      </c>
      <c r="Q59" s="32">
        <f t="shared" si="5"/>
        <v>1801.6461474427638</v>
      </c>
      <c r="R59" s="32">
        <f t="shared" si="5"/>
        <v>1821.7527277941197</v>
      </c>
      <c r="S59" s="32">
        <f t="shared" si="5"/>
        <v>1813.7906504313439</v>
      </c>
      <c r="T59" s="32">
        <f t="shared" si="5"/>
        <v>1819.8125973843119</v>
      </c>
    </row>
    <row r="60" spans="1:50" x14ac:dyDescent="0.3">
      <c r="A60" t="s">
        <v>137</v>
      </c>
      <c r="H60" s="31">
        <f t="shared" ref="H60:T60" si="6">H59/$D14-1</f>
        <v>8.9994923534921778E-3</v>
      </c>
      <c r="I60" s="31">
        <f t="shared" si="6"/>
        <v>2.2572735347611728E-2</v>
      </c>
      <c r="J60" s="31">
        <f t="shared" si="6"/>
        <v>1.5991569070724188E-2</v>
      </c>
      <c r="K60" s="31">
        <f t="shared" si="6"/>
        <v>2.2052092711275062E-2</v>
      </c>
      <c r="L60" s="31">
        <f t="shared" si="6"/>
        <v>2.0613446278656689E-2</v>
      </c>
      <c r="M60" s="31">
        <f t="shared" si="6"/>
        <v>7.0684973564787423E-3</v>
      </c>
      <c r="N60" s="31">
        <f t="shared" si="6"/>
        <v>-8.9812457043985106E-3</v>
      </c>
      <c r="O60" s="31">
        <f t="shared" si="6"/>
        <v>-6.5635270007191604E-3</v>
      </c>
      <c r="P60" s="31">
        <f t="shared" si="6"/>
        <v>-2.2934864963124468E-3</v>
      </c>
      <c r="Q60" s="31">
        <f t="shared" si="6"/>
        <v>-3.6936316072722075E-4</v>
      </c>
      <c r="R60" s="31">
        <f t="shared" si="6"/>
        <v>1.0786630900489813E-2</v>
      </c>
      <c r="S60" s="31">
        <f t="shared" si="6"/>
        <v>6.3689285253523131E-3</v>
      </c>
      <c r="T60" s="31">
        <f t="shared" si="6"/>
        <v>9.7101632490255163E-3</v>
      </c>
    </row>
    <row r="62" spans="1:50" x14ac:dyDescent="0.3">
      <c r="A62" t="s">
        <v>138</v>
      </c>
      <c r="D62" s="31">
        <f t="shared" ref="D62:T62" si="7">D15/$D15-1</f>
        <v>0</v>
      </c>
      <c r="E62" s="31">
        <f t="shared" si="7"/>
        <v>-3.4931233442517806E-3</v>
      </c>
      <c r="F62" s="31">
        <f t="shared" si="7"/>
        <v>-6.4160861346160836E-2</v>
      </c>
      <c r="G62" s="31">
        <f t="shared" si="7"/>
        <v>-7.7332392282196682E-3</v>
      </c>
      <c r="H62" s="31">
        <f t="shared" si="7"/>
        <v>-1.4780905174777703E-2</v>
      </c>
      <c r="I62" s="31">
        <f t="shared" si="7"/>
        <v>4.7357286570085311E-2</v>
      </c>
      <c r="J62" s="31">
        <f t="shared" si="7"/>
        <v>-5.4157457179153434E-2</v>
      </c>
      <c r="K62" s="31">
        <f t="shared" si="7"/>
        <v>-1.2412800439860372E-2</v>
      </c>
      <c r="L62" s="31">
        <f t="shared" si="7"/>
        <v>-8.4761365229568675E-4</v>
      </c>
      <c r="M62" s="31">
        <f t="shared" si="7"/>
        <v>-0.11895809338306584</v>
      </c>
      <c r="N62" s="31">
        <f t="shared" si="7"/>
        <v>-7.9938550709192424E-2</v>
      </c>
      <c r="O62" s="31">
        <f t="shared" si="7"/>
        <v>-5.801735247167783E-2</v>
      </c>
      <c r="P62" s="31">
        <f t="shared" si="7"/>
        <v>-5.4881816459283472E-2</v>
      </c>
      <c r="Q62" s="31">
        <f t="shared" si="7"/>
        <v>-6.2259976764940994E-2</v>
      </c>
      <c r="R62" s="31">
        <f t="shared" si="7"/>
        <v>-6.8123123324326351E-2</v>
      </c>
      <c r="S62" s="31">
        <f t="shared" si="7"/>
        <v>-6.8347209472404691E-2</v>
      </c>
      <c r="T62" s="31">
        <f t="shared" si="7"/>
        <v>-1.7099181798446605E-2</v>
      </c>
    </row>
    <row r="64" spans="1:50" x14ac:dyDescent="0.3">
      <c r="A64" t="s">
        <v>136</v>
      </c>
      <c r="H64" s="32">
        <f t="shared" ref="H64:T64" si="8">AVERAGE(D15:H15)</f>
        <v>3041.5268513534879</v>
      </c>
      <c r="I64" s="32">
        <f t="shared" si="8"/>
        <v>3070.8635908788601</v>
      </c>
      <c r="J64" s="32">
        <f t="shared" si="8"/>
        <v>3039.478212353396</v>
      </c>
      <c r="K64" s="32">
        <f t="shared" si="8"/>
        <v>3071.5349346384555</v>
      </c>
      <c r="L64" s="32">
        <f t="shared" si="8"/>
        <v>3075.8004198176195</v>
      </c>
      <c r="M64" s="32">
        <f t="shared" si="8"/>
        <v>3011.2650704278435</v>
      </c>
      <c r="N64" s="32">
        <f t="shared" si="8"/>
        <v>2932.4082546894756</v>
      </c>
      <c r="O64" s="32">
        <f t="shared" si="8"/>
        <v>2930.0171391718154</v>
      </c>
      <c r="P64" s="32">
        <f t="shared" si="8"/>
        <v>2903.7085697605003</v>
      </c>
      <c r="Q64" s="32">
        <f t="shared" si="8"/>
        <v>2865.6650366368917</v>
      </c>
      <c r="R64" s="32">
        <f t="shared" si="8"/>
        <v>2897.1561203413235</v>
      </c>
      <c r="S64" s="32">
        <f t="shared" si="8"/>
        <v>2904.3366871187318</v>
      </c>
      <c r="T64" s="32">
        <f t="shared" si="8"/>
        <v>2929.6845438444079</v>
      </c>
    </row>
    <row r="65" spans="1:29" x14ac:dyDescent="0.3">
      <c r="A65" t="s">
        <v>137</v>
      </c>
      <c r="H65" s="31">
        <f t="shared" ref="H65:T65" si="9">H64/$D15-1</f>
        <v>-1.8033625818681953E-2</v>
      </c>
      <c r="I65" s="31">
        <f t="shared" si="9"/>
        <v>-8.5621685046647356E-3</v>
      </c>
      <c r="J65" s="31">
        <f t="shared" si="9"/>
        <v>-1.8695035271645177E-2</v>
      </c>
      <c r="K65" s="31">
        <f t="shared" si="9"/>
        <v>-8.3454230903852178E-3</v>
      </c>
      <c r="L65" s="31">
        <f t="shared" si="9"/>
        <v>-6.9682979752003771E-3</v>
      </c>
      <c r="M65" s="31">
        <f t="shared" si="9"/>
        <v>-2.7803735616858005E-2</v>
      </c>
      <c r="N65" s="31">
        <f t="shared" si="9"/>
        <v>-5.326290307271353E-2</v>
      </c>
      <c r="O65" s="31">
        <f t="shared" si="9"/>
        <v>-5.4034882131218542E-2</v>
      </c>
      <c r="P65" s="31">
        <f t="shared" si="9"/>
        <v>-6.2528685335102918E-2</v>
      </c>
      <c r="Q65" s="31">
        <f t="shared" si="9"/>
        <v>-7.4811157957632157E-2</v>
      </c>
      <c r="R65" s="31">
        <f t="shared" si="9"/>
        <v>-6.4644163945884237E-2</v>
      </c>
      <c r="S65" s="31">
        <f t="shared" si="9"/>
        <v>-6.2325895698526645E-2</v>
      </c>
      <c r="T65" s="31">
        <f t="shared" si="9"/>
        <v>-5.4142261563880356E-2</v>
      </c>
    </row>
    <row r="66" spans="1:29" x14ac:dyDescent="0.3"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</row>
    <row r="67" spans="1:29" x14ac:dyDescent="0.3">
      <c r="A67" t="s">
        <v>139</v>
      </c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AC67" s="2">
        <f>AC18/T16-1</f>
        <v>-0.24671288536457969</v>
      </c>
    </row>
    <row r="68" spans="1:29" x14ac:dyDescent="0.3">
      <c r="A68" t="s">
        <v>140</v>
      </c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AC68" s="2">
        <f>AC17/T15-1</f>
        <v>-0.28946099445253792</v>
      </c>
    </row>
    <row r="69" spans="1:29" x14ac:dyDescent="0.3">
      <c r="A69" t="s">
        <v>141</v>
      </c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AC69" s="2">
        <f>(AC18-AC17)/T14-1</f>
        <v>-0.17576318142121528</v>
      </c>
    </row>
    <row r="70" spans="1:29" x14ac:dyDescent="0.3"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AC70" s="2"/>
    </row>
    <row r="71" spans="1:29" s="70" customFormat="1" x14ac:dyDescent="0.3">
      <c r="A71" s="69" t="s">
        <v>44</v>
      </c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AC71" s="72"/>
    </row>
    <row r="72" spans="1:29" s="70" customFormat="1" x14ac:dyDescent="0.3">
      <c r="A72" s="73" t="s">
        <v>68</v>
      </c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AC72" s="72"/>
    </row>
    <row r="73" spans="1:29" s="70" customFormat="1" x14ac:dyDescent="0.3">
      <c r="A73" s="70" t="s">
        <v>142</v>
      </c>
      <c r="B73" s="70" t="s">
        <v>143</v>
      </c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AC73" s="72"/>
    </row>
    <row r="74" spans="1:29" s="70" customFormat="1" x14ac:dyDescent="0.3">
      <c r="A74" s="70" t="s">
        <v>144</v>
      </c>
      <c r="B74" s="74">
        <f>(AC17-T15)/8</f>
        <v>-110.1551479037725</v>
      </c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AC74" s="72"/>
    </row>
    <row r="75" spans="1:29" s="70" customFormat="1" x14ac:dyDescent="0.3">
      <c r="A75" s="70" t="s">
        <v>145</v>
      </c>
      <c r="B75" s="74">
        <f>(AC19-T15)/8</f>
        <v>-127.60014790377249</v>
      </c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AC75" s="72"/>
    </row>
    <row r="76" spans="1:29" s="70" customFormat="1" x14ac:dyDescent="0.3">
      <c r="B76" s="74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AC76" s="72"/>
    </row>
    <row r="77" spans="1:29" s="70" customFormat="1" x14ac:dyDescent="0.3">
      <c r="A77" s="73" t="s">
        <v>146</v>
      </c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AC77" s="72"/>
    </row>
    <row r="78" spans="1:29" s="70" customFormat="1" x14ac:dyDescent="0.3">
      <c r="A78" s="70" t="s">
        <v>142</v>
      </c>
      <c r="B78" s="70" t="s">
        <v>143</v>
      </c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AC78" s="72"/>
    </row>
    <row r="79" spans="1:29" s="70" customFormat="1" x14ac:dyDescent="0.3">
      <c r="A79" s="70" t="s">
        <v>144</v>
      </c>
      <c r="B79" s="74">
        <f>((AC18-AC17)-T14)/8</f>
        <v>-40.300364531297475</v>
      </c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AC79" s="72"/>
    </row>
    <row r="80" spans="1:29" s="70" customFormat="1" x14ac:dyDescent="0.3">
      <c r="A80" s="70" t="s">
        <v>145</v>
      </c>
      <c r="B80" s="74">
        <f>((AC20-AC19)-T14)/8</f>
        <v>-53.384114531297541</v>
      </c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AC80" s="72"/>
    </row>
    <row r="82" spans="1:49" s="41" customFormat="1" x14ac:dyDescent="0.3">
      <c r="A82" s="40" t="s">
        <v>147</v>
      </c>
    </row>
    <row r="83" spans="1:49" x14ac:dyDescent="0.3">
      <c r="A83" t="s">
        <v>148</v>
      </c>
      <c r="C83" t="s">
        <v>22</v>
      </c>
      <c r="AM83">
        <f>'[19]ResComm&amp;Agri'!AY152*(SUM($T$11:$T$13)/($T$11+$T$12))</f>
        <v>3027.7325769182644</v>
      </c>
      <c r="AW83">
        <f>'[19]ResComm&amp;Agri'!BI152*(SUM($T$11:$T$13)/($T$11+$T$12))</f>
        <v>2559.9018078063095</v>
      </c>
    </row>
    <row r="84" spans="1:49" x14ac:dyDescent="0.3">
      <c r="A84" t="s">
        <v>149</v>
      </c>
      <c r="C84" t="s">
        <v>22</v>
      </c>
      <c r="AM84">
        <f>'[19]ResComm&amp;Agri'!AY153*(SUM($T$11:$T$13)/($T$11+$T$12))</f>
        <v>3168.5524983135915</v>
      </c>
      <c r="AW84">
        <f>'[19]ResComm&amp;Agri'!BI153*(SUM($T$11:$T$13)/($T$11+$T$12))</f>
        <v>2854.3515863278685</v>
      </c>
    </row>
    <row r="86" spans="1:49" x14ac:dyDescent="0.3">
      <c r="A86" t="s">
        <v>150</v>
      </c>
      <c r="C86" t="s">
        <v>22</v>
      </c>
      <c r="AM86">
        <f>'[19]ResComm&amp;Agri'!AY152</f>
        <v>2823.1587617999999</v>
      </c>
      <c r="AW86">
        <f>'[19]ResComm&amp;Agri'!BI152</f>
        <v>2386.9377609999997</v>
      </c>
    </row>
    <row r="87" spans="1:49" x14ac:dyDescent="0.3">
      <c r="A87" t="s">
        <v>151</v>
      </c>
      <c r="C87" t="s">
        <v>22</v>
      </c>
      <c r="AM87">
        <f>'[19]ResComm&amp;Agri'!AY153</f>
        <v>2954.4639497000003</v>
      </c>
      <c r="AW87">
        <f>'[19]ResComm&amp;Agri'!BI153</f>
        <v>2661.4925478</v>
      </c>
    </row>
    <row r="89" spans="1:49" s="41" customFormat="1" x14ac:dyDescent="0.3">
      <c r="A89" s="40" t="s">
        <v>152</v>
      </c>
    </row>
    <row r="90" spans="1:49" x14ac:dyDescent="0.3">
      <c r="A90" t="s">
        <v>153</v>
      </c>
      <c r="B90" t="s">
        <v>154</v>
      </c>
      <c r="C90" t="s">
        <v>155</v>
      </c>
      <c r="AC90">
        <v>174</v>
      </c>
    </row>
    <row r="91" spans="1:49" x14ac:dyDescent="0.3">
      <c r="A91" t="s">
        <v>156</v>
      </c>
      <c r="B91" t="s">
        <v>154</v>
      </c>
      <c r="C91" t="s">
        <v>155</v>
      </c>
      <c r="AC91">
        <v>121</v>
      </c>
    </row>
    <row r="92" spans="1:49" x14ac:dyDescent="0.3">
      <c r="A92" t="s">
        <v>157</v>
      </c>
      <c r="B92" t="s">
        <v>154</v>
      </c>
      <c r="C92" t="s">
        <v>155</v>
      </c>
      <c r="AC92">
        <v>186</v>
      </c>
    </row>
    <row r="93" spans="1:49" x14ac:dyDescent="0.3">
      <c r="A93" t="s">
        <v>158</v>
      </c>
      <c r="B93" t="s">
        <v>154</v>
      </c>
      <c r="C93" t="s">
        <v>155</v>
      </c>
      <c r="AC93">
        <v>130</v>
      </c>
    </row>
    <row r="94" spans="1:49" x14ac:dyDescent="0.3">
      <c r="A94" t="s">
        <v>153</v>
      </c>
      <c r="B94" t="s">
        <v>154</v>
      </c>
      <c r="C94" t="s">
        <v>22</v>
      </c>
      <c r="AC94">
        <f>AC90*Mtoe2TWh</f>
        <v>2023.62</v>
      </c>
    </row>
    <row r="95" spans="1:49" x14ac:dyDescent="0.3">
      <c r="A95" t="s">
        <v>156</v>
      </c>
      <c r="B95" t="s">
        <v>154</v>
      </c>
      <c r="C95" t="s">
        <v>22</v>
      </c>
      <c r="AC95">
        <f>AC91*Mtoe2TWh</f>
        <v>1407.2299999999998</v>
      </c>
    </row>
    <row r="96" spans="1:49" x14ac:dyDescent="0.3">
      <c r="A96" t="s">
        <v>157</v>
      </c>
      <c r="B96" t="s">
        <v>154</v>
      </c>
      <c r="C96" t="s">
        <v>22</v>
      </c>
      <c r="AC96">
        <f>AC92*Mtoe2TWh</f>
        <v>2163.1799999999998</v>
      </c>
    </row>
    <row r="97" spans="1:29" x14ac:dyDescent="0.3">
      <c r="A97" t="s">
        <v>158</v>
      </c>
      <c r="B97" t="s">
        <v>154</v>
      </c>
      <c r="C97" t="s">
        <v>22</v>
      </c>
      <c r="AC97">
        <f>AC93*Mtoe2TWh</f>
        <v>1511.8999999999999</v>
      </c>
    </row>
    <row r="99" spans="1:29" x14ac:dyDescent="0.3">
      <c r="A99" t="s">
        <v>159</v>
      </c>
      <c r="AC99" s="2">
        <f>AC94/T15-1</f>
        <v>-0.3353022206168903</v>
      </c>
    </row>
    <row r="100" spans="1:29" x14ac:dyDescent="0.3">
      <c r="A100" t="s">
        <v>160</v>
      </c>
      <c r="AC100" s="2">
        <f>AC95/T14-1</f>
        <v>-0.23282573039974674</v>
      </c>
    </row>
    <row r="102" spans="1:29" s="41" customFormat="1" x14ac:dyDescent="0.3">
      <c r="A102" s="40" t="s">
        <v>161</v>
      </c>
    </row>
    <row r="103" spans="1:29" x14ac:dyDescent="0.3">
      <c r="A103" t="s">
        <v>162</v>
      </c>
      <c r="B103" t="s">
        <v>163</v>
      </c>
      <c r="C103" t="s">
        <v>164</v>
      </c>
      <c r="AC103" s="1">
        <f>200084/1000</f>
        <v>200.084</v>
      </c>
    </row>
    <row r="104" spans="1:29" x14ac:dyDescent="0.3">
      <c r="A104" t="s">
        <v>165</v>
      </c>
      <c r="B104" t="s">
        <v>163</v>
      </c>
      <c r="C104" t="s">
        <v>164</v>
      </c>
      <c r="AC104" s="1">
        <f>141726/1000</f>
        <v>141.726</v>
      </c>
    </row>
    <row r="106" spans="1:29" x14ac:dyDescent="0.3">
      <c r="A106" t="s">
        <v>166</v>
      </c>
      <c r="B106" t="s">
        <v>167</v>
      </c>
      <c r="C106" t="s">
        <v>168</v>
      </c>
      <c r="AC106" s="2">
        <f>AC92/AC103-1</f>
        <v>-7.0390436016872893E-2</v>
      </c>
    </row>
    <row r="107" spans="1:29" x14ac:dyDescent="0.3">
      <c r="A107" t="s">
        <v>169</v>
      </c>
      <c r="B107" t="s">
        <v>167</v>
      </c>
      <c r="C107" t="s">
        <v>168</v>
      </c>
      <c r="AC107" s="2">
        <f>AC93/AC104-1</f>
        <v>-8.2737112456430006E-2</v>
      </c>
    </row>
  </sheetData>
  <phoneticPr fontId="50" type="noConversion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60060-A238-4343-99E9-3966F772C151}">
  <sheetPr>
    <tabColor rgb="FFFFFF00"/>
  </sheetPr>
  <dimension ref="A2:W28"/>
  <sheetViews>
    <sheetView zoomScale="75" zoomScaleNormal="75" workbookViewId="0">
      <selection activeCell="I20" sqref="I20"/>
    </sheetView>
  </sheetViews>
  <sheetFormatPr defaultRowHeight="16.5" x14ac:dyDescent="0.3"/>
  <cols>
    <col min="1" max="2" width="36.75" customWidth="1"/>
    <col min="3" max="3" width="9.875" customWidth="1"/>
  </cols>
  <sheetData>
    <row r="2" spans="1:23" x14ac:dyDescent="0.3">
      <c r="A2" s="112"/>
      <c r="B2" s="112"/>
      <c r="C2" s="112"/>
    </row>
    <row r="4" spans="1:23" x14ac:dyDescent="0.3">
      <c r="A4" s="11" t="s">
        <v>170</v>
      </c>
      <c r="B4" s="11"/>
      <c r="C4" s="11"/>
      <c r="D4" t="s">
        <v>68</v>
      </c>
      <c r="E4" t="s">
        <v>171</v>
      </c>
    </row>
    <row r="5" spans="1:23" x14ac:dyDescent="0.3">
      <c r="A5" t="s">
        <v>34</v>
      </c>
      <c r="D5" s="108">
        <v>0.123</v>
      </c>
      <c r="E5" s="108">
        <v>9.5000000000000001E-2</v>
      </c>
    </row>
    <row r="6" spans="1:23" x14ac:dyDescent="0.3">
      <c r="A6" t="s">
        <v>172</v>
      </c>
      <c r="D6" s="108">
        <v>7.0999999999999994E-2</v>
      </c>
      <c r="E6" s="108">
        <v>4.1000000000000002E-2</v>
      </c>
    </row>
    <row r="7" spans="1:23" x14ac:dyDescent="0.3">
      <c r="A7" t="s">
        <v>173</v>
      </c>
      <c r="D7" s="108">
        <v>3.9E-2</v>
      </c>
      <c r="E7" s="108">
        <v>0.03</v>
      </c>
    </row>
    <row r="8" spans="1:23" x14ac:dyDescent="0.3">
      <c r="A8" t="s">
        <v>174</v>
      </c>
      <c r="D8" s="108">
        <v>1.0999999999999999E-2</v>
      </c>
      <c r="E8" s="108">
        <v>2.1000000000000001E-2</v>
      </c>
    </row>
    <row r="9" spans="1:23" x14ac:dyDescent="0.3">
      <c r="A9" t="s">
        <v>175</v>
      </c>
      <c r="D9" s="108">
        <v>2E-3</v>
      </c>
      <c r="E9" s="108">
        <v>3.0000000000000001E-3</v>
      </c>
    </row>
    <row r="10" spans="1:23" x14ac:dyDescent="0.3">
      <c r="A10" s="11" t="s">
        <v>176</v>
      </c>
      <c r="B10" t="s">
        <v>177</v>
      </c>
      <c r="C10" t="s">
        <v>178</v>
      </c>
      <c r="D10" s="108">
        <v>0.01</v>
      </c>
      <c r="E10" s="108">
        <v>6.0000000000000001E-3</v>
      </c>
    </row>
    <row r="11" spans="1:23" x14ac:dyDescent="0.3">
      <c r="A11" s="11" t="s">
        <v>179</v>
      </c>
      <c r="B11" s="11" t="s">
        <v>180</v>
      </c>
      <c r="C11" s="11" t="s">
        <v>181</v>
      </c>
      <c r="D11" s="110">
        <v>1.7999999999999999E-2</v>
      </c>
      <c r="E11" s="110">
        <v>1.0999999999999999E-2</v>
      </c>
    </row>
    <row r="12" spans="1:23" x14ac:dyDescent="0.3">
      <c r="A12" s="107" t="s">
        <v>173</v>
      </c>
      <c r="D12" s="109">
        <v>2E-3</v>
      </c>
      <c r="E12" s="109">
        <v>2E-3</v>
      </c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</row>
    <row r="13" spans="1:23" x14ac:dyDescent="0.3">
      <c r="A13" s="107" t="s">
        <v>174</v>
      </c>
      <c r="D13" s="109">
        <v>7.0000000000000001E-3</v>
      </c>
      <c r="E13" s="109">
        <v>7.0000000000000001E-3</v>
      </c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</row>
    <row r="14" spans="1:23" x14ac:dyDescent="0.3">
      <c r="A14" s="107" t="s">
        <v>175</v>
      </c>
      <c r="D14" s="109">
        <v>8.9999999999999993E-3</v>
      </c>
      <c r="E14" s="109">
        <v>1E-3</v>
      </c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</row>
    <row r="15" spans="1:23" x14ac:dyDescent="0.3"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</row>
    <row r="16" spans="1:23" x14ac:dyDescent="0.3">
      <c r="C16" s="11" t="s">
        <v>68</v>
      </c>
      <c r="D16" t="s">
        <v>178</v>
      </c>
      <c r="E16" t="s">
        <v>181</v>
      </c>
      <c r="G16" s="11" t="s">
        <v>146</v>
      </c>
      <c r="H16" t="s">
        <v>178</v>
      </c>
      <c r="I16" t="s">
        <v>181</v>
      </c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</row>
    <row r="17" spans="3:23" x14ac:dyDescent="0.3">
      <c r="C17" s="107" t="s">
        <v>173</v>
      </c>
      <c r="D17" s="113">
        <v>0</v>
      </c>
      <c r="E17" s="114">
        <v>1.6022757564806115E-3</v>
      </c>
      <c r="G17" s="107" t="s">
        <v>173</v>
      </c>
      <c r="H17" s="19">
        <v>0</v>
      </c>
      <c r="I17" s="115">
        <v>2.3603941859067471E-3</v>
      </c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</row>
    <row r="18" spans="3:23" x14ac:dyDescent="0.3">
      <c r="C18" s="107" t="s">
        <v>174</v>
      </c>
      <c r="D18" s="113">
        <v>0</v>
      </c>
      <c r="E18" s="114">
        <v>6.5007481884481501E-3</v>
      </c>
      <c r="G18" s="107" t="s">
        <v>174</v>
      </c>
      <c r="H18" s="19">
        <v>0</v>
      </c>
      <c r="I18" s="115">
        <v>7.9493822568558956E-3</v>
      </c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</row>
    <row r="19" spans="3:23" x14ac:dyDescent="0.3">
      <c r="C19" s="107" t="s">
        <v>175</v>
      </c>
      <c r="D19" s="113">
        <v>0</v>
      </c>
      <c r="E19" s="114">
        <v>1.2805705465844374E-2</v>
      </c>
      <c r="G19" s="107" t="s">
        <v>175</v>
      </c>
      <c r="H19" s="19">
        <v>0</v>
      </c>
      <c r="I19" s="115">
        <v>7.9093972300149661E-4</v>
      </c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</row>
    <row r="20" spans="3:23" x14ac:dyDescent="0.3">
      <c r="C20" s="111" t="s">
        <v>182</v>
      </c>
      <c r="D20" s="113">
        <v>0.01</v>
      </c>
      <c r="E20" s="113">
        <f>SUM(E17:E19)</f>
        <v>2.0908729410773135E-2</v>
      </c>
      <c r="G20" s="111" t="s">
        <v>182</v>
      </c>
      <c r="H20" s="19">
        <v>6.0000000000000001E-3</v>
      </c>
      <c r="I20" s="19">
        <f>SUM(I17:I19)</f>
        <v>1.1100716165764139E-2</v>
      </c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</row>
    <row r="21" spans="3:23" x14ac:dyDescent="0.3"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</row>
    <row r="22" spans="3:23" x14ac:dyDescent="0.3"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</row>
    <row r="23" spans="3:23" x14ac:dyDescent="0.3"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</row>
    <row r="24" spans="3:23" x14ac:dyDescent="0.3"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</row>
    <row r="25" spans="3:23" x14ac:dyDescent="0.3"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</row>
    <row r="26" spans="3:23" x14ac:dyDescent="0.3"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</row>
    <row r="27" spans="3:23" x14ac:dyDescent="0.3"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</row>
    <row r="28" spans="3:23" x14ac:dyDescent="0.3"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36F4A-4269-4945-B01B-01C576361333}">
  <sheetPr>
    <tabColor rgb="FFFFFF00"/>
  </sheetPr>
  <dimension ref="A1:AB58"/>
  <sheetViews>
    <sheetView showGridLines="0" zoomScale="93" zoomScaleNormal="93" workbookViewId="0">
      <selection activeCell="E28" sqref="E28"/>
    </sheetView>
  </sheetViews>
  <sheetFormatPr defaultRowHeight="16.5" x14ac:dyDescent="0.3"/>
  <cols>
    <col min="3" max="3" width="30.625" customWidth="1"/>
  </cols>
  <sheetData>
    <row r="1" spans="1:23" s="6" customFormat="1" x14ac:dyDescent="0.3">
      <c r="A1" s="5" t="s">
        <v>183</v>
      </c>
      <c r="B1" s="5"/>
      <c r="C1" s="5"/>
      <c r="D1" s="5"/>
    </row>
    <row r="2" spans="1:23" s="18" customFormat="1" x14ac:dyDescent="0.3">
      <c r="A2" s="18" t="s">
        <v>184</v>
      </c>
    </row>
    <row r="3" spans="1:23" x14ac:dyDescent="0.3">
      <c r="B3" t="s">
        <v>27</v>
      </c>
      <c r="D3" t="s">
        <v>28</v>
      </c>
      <c r="E3">
        <v>2005</v>
      </c>
      <c r="F3">
        <v>2006</v>
      </c>
      <c r="G3">
        <v>2007</v>
      </c>
      <c r="H3">
        <v>2008</v>
      </c>
      <c r="I3">
        <v>2009</v>
      </c>
      <c r="J3">
        <v>2010</v>
      </c>
      <c r="K3">
        <v>2011</v>
      </c>
      <c r="L3">
        <v>2012</v>
      </c>
      <c r="M3">
        <v>2013</v>
      </c>
      <c r="N3">
        <v>2014</v>
      </c>
      <c r="O3">
        <v>2015</v>
      </c>
      <c r="P3">
        <v>2016</v>
      </c>
      <c r="Q3">
        <v>2017</v>
      </c>
      <c r="R3">
        <v>2018</v>
      </c>
      <c r="S3">
        <v>2019</v>
      </c>
    </row>
    <row r="4" spans="1:23" x14ac:dyDescent="0.3">
      <c r="A4" t="s">
        <v>185</v>
      </c>
      <c r="D4" t="s">
        <v>186</v>
      </c>
      <c r="E4" s="1"/>
      <c r="F4" s="1"/>
      <c r="G4" s="1"/>
      <c r="H4" s="1"/>
      <c r="I4" s="1"/>
      <c r="J4" s="1"/>
      <c r="K4" s="1"/>
      <c r="L4" s="1">
        <v>116152.89881559236</v>
      </c>
      <c r="M4" s="1">
        <v>116951.99292366787</v>
      </c>
      <c r="N4" s="1">
        <v>117706.83890798358</v>
      </c>
      <c r="O4" s="1">
        <v>118439.07178654235</v>
      </c>
      <c r="P4" s="1">
        <v>119171.80553375199</v>
      </c>
    </row>
    <row r="5" spans="1:23" x14ac:dyDescent="0.3">
      <c r="A5" t="s">
        <v>187</v>
      </c>
      <c r="D5" t="s">
        <v>186</v>
      </c>
      <c r="E5" s="1">
        <v>198349.50349999999</v>
      </c>
      <c r="F5" s="1">
        <v>200768.07430000001</v>
      </c>
      <c r="G5" s="1">
        <v>202554.125</v>
      </c>
      <c r="H5" s="1">
        <v>204615.94649999999</v>
      </c>
      <c r="I5" s="1">
        <v>206444.44510000001</v>
      </c>
      <c r="J5" s="1">
        <v>208798.62729999999</v>
      </c>
      <c r="K5" s="1">
        <v>208957.11040000001</v>
      </c>
      <c r="L5" s="1">
        <v>210929.6698</v>
      </c>
      <c r="M5" s="1">
        <v>212071.93489999999</v>
      </c>
      <c r="N5" s="1">
        <v>213234.65590000001</v>
      </c>
      <c r="O5" s="1">
        <v>214597.51869999999</v>
      </c>
      <c r="P5" s="1">
        <v>215330.54199999999</v>
      </c>
    </row>
    <row r="6" spans="1:23" x14ac:dyDescent="0.3">
      <c r="A6" t="s">
        <v>188</v>
      </c>
      <c r="D6" t="s">
        <v>189</v>
      </c>
      <c r="E6" s="1"/>
      <c r="F6" s="1"/>
      <c r="G6" s="1"/>
      <c r="H6" s="1"/>
      <c r="I6" s="1"/>
      <c r="J6" s="1"/>
      <c r="K6" s="1"/>
      <c r="L6" s="1">
        <f>L5/L4</f>
        <v>1.8159656104224995</v>
      </c>
      <c r="M6" s="1">
        <f>M5/M4</f>
        <v>1.8133246779164758</v>
      </c>
      <c r="N6" s="1">
        <f>N5/N4</f>
        <v>1.811574058723084</v>
      </c>
      <c r="O6" s="1">
        <f>O5/O4</f>
        <v>1.8118811255694394</v>
      </c>
      <c r="P6" s="1">
        <f>P5/P4</f>
        <v>1.8068916639767936</v>
      </c>
    </row>
    <row r="7" spans="1:23" x14ac:dyDescent="0.3">
      <c r="A7" t="s">
        <v>190</v>
      </c>
      <c r="D7" t="s">
        <v>186</v>
      </c>
      <c r="E7" s="1">
        <v>95217.440499999997</v>
      </c>
      <c r="F7" s="1">
        <v>96446.109100000001</v>
      </c>
      <c r="G7" s="1">
        <v>98310.714600000007</v>
      </c>
      <c r="H7" s="1">
        <v>99434.544099999999</v>
      </c>
      <c r="I7" s="1">
        <v>100331.1149</v>
      </c>
      <c r="J7" s="1">
        <v>101059.9243</v>
      </c>
      <c r="K7" s="1">
        <v>101250.52</v>
      </c>
      <c r="L7" s="1">
        <v>101530.7359</v>
      </c>
      <c r="M7" s="1">
        <v>101281.387</v>
      </c>
      <c r="N7" s="1">
        <v>99265.131999999998</v>
      </c>
      <c r="O7" s="1">
        <v>99734.4274</v>
      </c>
      <c r="P7" s="1">
        <v>100075.1008</v>
      </c>
      <c r="Q7" s="1">
        <v>101075.4425</v>
      </c>
    </row>
    <row r="8" spans="1:23" x14ac:dyDescent="0.3">
      <c r="A8" t="s">
        <v>191</v>
      </c>
      <c r="D8" t="s">
        <v>186</v>
      </c>
      <c r="E8" s="1"/>
      <c r="F8" s="1"/>
      <c r="G8" s="1"/>
      <c r="H8" s="1"/>
      <c r="I8" s="1"/>
      <c r="J8" s="1">
        <v>72244.325045799997</v>
      </c>
      <c r="K8" s="1">
        <v>72090.203087999995</v>
      </c>
      <c r="L8" s="1">
        <v>71505.158062199989</v>
      </c>
      <c r="M8" s="1">
        <v>71892.385931099998</v>
      </c>
      <c r="N8" s="1">
        <v>71646.844382400013</v>
      </c>
      <c r="O8" s="1">
        <v>71460.97372709999</v>
      </c>
      <c r="P8" s="1">
        <v>72351.062112</v>
      </c>
    </row>
    <row r="9" spans="1:23" x14ac:dyDescent="0.3">
      <c r="A9" t="s">
        <v>192</v>
      </c>
      <c r="D9" t="s">
        <v>186</v>
      </c>
      <c r="E9" s="1"/>
      <c r="F9" s="1"/>
      <c r="G9" s="1"/>
      <c r="H9" s="1"/>
      <c r="I9" s="1"/>
      <c r="J9" s="1">
        <v>47814.885651699995</v>
      </c>
      <c r="K9" s="1">
        <v>49731.792275200001</v>
      </c>
      <c r="L9" s="1">
        <v>50623.120752000003</v>
      </c>
      <c r="M9" s="1">
        <v>51533.480180699997</v>
      </c>
      <c r="N9" s="1">
        <v>51389.552071900005</v>
      </c>
      <c r="O9" s="1">
        <v>51718.0020067</v>
      </c>
      <c r="P9" s="1">
        <v>51463.999537999996</v>
      </c>
    </row>
    <row r="10" spans="1:23" x14ac:dyDescent="0.3">
      <c r="A10" t="s">
        <v>193</v>
      </c>
      <c r="D10" t="s">
        <v>186</v>
      </c>
      <c r="E10" s="1"/>
      <c r="F10" s="1"/>
      <c r="G10" s="1"/>
      <c r="H10" s="1"/>
      <c r="I10" s="1"/>
      <c r="J10" s="1">
        <v>86860.228956799998</v>
      </c>
      <c r="K10" s="1">
        <v>85881.372374400002</v>
      </c>
      <c r="L10" s="1">
        <v>87113.953627399998</v>
      </c>
      <c r="M10" s="1">
        <v>87373.637178800011</v>
      </c>
      <c r="N10" s="1">
        <v>88918.85151030001</v>
      </c>
      <c r="O10" s="1">
        <v>90345.555372700008</v>
      </c>
      <c r="P10" s="1">
        <v>90008.166555999996</v>
      </c>
    </row>
    <row r="12" spans="1:23" s="18" customFormat="1" x14ac:dyDescent="0.3">
      <c r="A12" s="18" t="s">
        <v>194</v>
      </c>
    </row>
    <row r="13" spans="1:23" x14ac:dyDescent="0.3">
      <c r="B13" t="s">
        <v>27</v>
      </c>
      <c r="D13" t="s">
        <v>28</v>
      </c>
      <c r="E13">
        <v>2005</v>
      </c>
      <c r="F13">
        <v>2006</v>
      </c>
      <c r="G13">
        <v>2007</v>
      </c>
      <c r="H13">
        <v>2008</v>
      </c>
      <c r="I13">
        <v>2009</v>
      </c>
      <c r="J13">
        <v>2010</v>
      </c>
      <c r="K13">
        <v>2011</v>
      </c>
      <c r="L13">
        <v>2012</v>
      </c>
      <c r="M13">
        <v>2013</v>
      </c>
      <c r="N13">
        <v>2014</v>
      </c>
      <c r="O13">
        <v>2015</v>
      </c>
      <c r="P13">
        <v>2016</v>
      </c>
      <c r="Q13">
        <v>2017</v>
      </c>
      <c r="R13">
        <v>2018</v>
      </c>
      <c r="S13">
        <v>2019</v>
      </c>
    </row>
    <row r="14" spans="1:23" x14ac:dyDescent="0.3">
      <c r="A14" t="s">
        <v>195</v>
      </c>
      <c r="D14" t="s">
        <v>196</v>
      </c>
      <c r="E14" s="1"/>
      <c r="F14" s="1"/>
      <c r="G14" s="1"/>
      <c r="H14" s="1"/>
      <c r="I14" s="1"/>
      <c r="J14" s="1"/>
      <c r="K14" s="1"/>
      <c r="L14" s="1">
        <v>20309.179210025217</v>
      </c>
      <c r="M14" s="1">
        <v>20438.441511632871</v>
      </c>
      <c r="N14" s="1">
        <v>20565.048566775782</v>
      </c>
      <c r="O14" s="1">
        <v>20692.264302517182</v>
      </c>
      <c r="P14" s="1">
        <v>20820.976275299599</v>
      </c>
      <c r="Q14" s="1"/>
      <c r="R14" s="1"/>
      <c r="S14" s="1"/>
      <c r="W14" s="19"/>
    </row>
    <row r="15" spans="1:23" x14ac:dyDescent="0.3">
      <c r="A15" t="s">
        <v>197</v>
      </c>
      <c r="D15" t="s">
        <v>196</v>
      </c>
      <c r="E15" s="1">
        <f t="shared" ref="E15:P15" si="0">E5*E18/1000</f>
        <v>17416.177329569247</v>
      </c>
      <c r="F15" s="1">
        <f t="shared" si="0"/>
        <v>17739.164356887952</v>
      </c>
      <c r="G15" s="1">
        <f t="shared" si="0"/>
        <v>17932.845881100002</v>
      </c>
      <c r="H15" s="1">
        <f t="shared" si="0"/>
        <v>18167.522504220597</v>
      </c>
      <c r="I15" s="1">
        <f t="shared" si="0"/>
        <v>18360.570258303211</v>
      </c>
      <c r="J15" s="1">
        <f t="shared" si="0"/>
        <v>18863.348227124789</v>
      </c>
      <c r="K15" s="1">
        <f t="shared" si="0"/>
        <v>18939.036658214398</v>
      </c>
      <c r="L15" s="1">
        <f t="shared" si="0"/>
        <v>19171.376595155019</v>
      </c>
      <c r="M15" s="1">
        <f t="shared" si="0"/>
        <v>19383.077949151138</v>
      </c>
      <c r="N15" s="1">
        <f t="shared" si="0"/>
        <v>19458.429995636245</v>
      </c>
      <c r="O15" s="1">
        <f t="shared" si="0"/>
        <v>19617.217574441798</v>
      </c>
      <c r="P15" s="1">
        <f t="shared" si="0"/>
        <v>19702.658460783197</v>
      </c>
      <c r="Q15" s="1"/>
      <c r="R15" s="1"/>
      <c r="S15" s="1"/>
      <c r="W15" s="20"/>
    </row>
    <row r="16" spans="1:23" x14ac:dyDescent="0.3">
      <c r="A16" t="s">
        <v>198</v>
      </c>
      <c r="D16" t="s">
        <v>196</v>
      </c>
      <c r="E16" s="1"/>
      <c r="F16" s="1"/>
      <c r="G16" s="1"/>
      <c r="H16" s="1"/>
      <c r="I16" s="1"/>
      <c r="J16" s="1"/>
      <c r="K16" s="1"/>
      <c r="L16" s="1">
        <v>13334.327226730775</v>
      </c>
      <c r="M16" s="1">
        <v>13417.553806625798</v>
      </c>
      <c r="N16" s="1">
        <v>13497.362952023659</v>
      </c>
      <c r="O16" s="1">
        <v>13577.41370869459</v>
      </c>
      <c r="P16" s="1">
        <v>13657.344787727405</v>
      </c>
      <c r="Q16" s="1">
        <v>9569.9576694716634</v>
      </c>
      <c r="R16" s="1"/>
      <c r="S16" s="1"/>
    </row>
    <row r="17" spans="1:28" x14ac:dyDescent="0.3">
      <c r="A17" t="s">
        <v>199</v>
      </c>
      <c r="D17" t="s">
        <v>196</v>
      </c>
      <c r="E17" s="1"/>
      <c r="F17" s="1"/>
      <c r="G17" s="1"/>
      <c r="H17" s="1"/>
      <c r="I17" s="1"/>
      <c r="J17" s="1"/>
      <c r="K17" s="1"/>
      <c r="L17" s="1">
        <v>6974.8519832944394</v>
      </c>
      <c r="M17" s="1">
        <v>7020.8877050070714</v>
      </c>
      <c r="N17" s="1">
        <v>7067.6856147521212</v>
      </c>
      <c r="O17" s="1">
        <v>7114.850593822589</v>
      </c>
      <c r="P17" s="1">
        <v>7163.6314875721919</v>
      </c>
      <c r="Q17" s="1">
        <v>9181.9837637017408</v>
      </c>
      <c r="R17" s="1"/>
      <c r="S17" s="1"/>
    </row>
    <row r="18" spans="1:28" x14ac:dyDescent="0.3">
      <c r="A18" t="s">
        <v>200</v>
      </c>
      <c r="D18" t="s">
        <v>201</v>
      </c>
      <c r="E18" s="1">
        <v>87.805499999999995</v>
      </c>
      <c r="F18" s="1">
        <v>88.356499999999997</v>
      </c>
      <c r="G18" s="1">
        <v>88.533600000000007</v>
      </c>
      <c r="H18" s="1">
        <v>88.788399999999996</v>
      </c>
      <c r="I18" s="1">
        <v>88.937100000000001</v>
      </c>
      <c r="J18" s="1">
        <v>90.342299999999994</v>
      </c>
      <c r="K18" s="1">
        <v>90.635999999999996</v>
      </c>
      <c r="L18" s="1">
        <v>90.889899999999997</v>
      </c>
      <c r="M18" s="1">
        <v>91.398600000000002</v>
      </c>
      <c r="N18" s="1">
        <v>91.253600000000006</v>
      </c>
      <c r="O18" s="1">
        <v>91.414000000000001</v>
      </c>
      <c r="P18" s="1">
        <v>91.499600000000001</v>
      </c>
      <c r="Q18" s="1">
        <v>91.393100000000004</v>
      </c>
      <c r="R18" s="1"/>
      <c r="S18" s="1"/>
      <c r="U18" s="21"/>
      <c r="V18" s="21"/>
      <c r="W18" s="21"/>
      <c r="X18" s="21"/>
      <c r="Y18" s="21"/>
    </row>
    <row r="19" spans="1:28" x14ac:dyDescent="0.3">
      <c r="A19" t="s">
        <v>202</v>
      </c>
      <c r="D19" t="s">
        <v>201</v>
      </c>
      <c r="E19" s="1">
        <v>129.4</v>
      </c>
      <c r="F19" s="1">
        <v>131.69999999999999</v>
      </c>
      <c r="G19" s="1">
        <v>132.4</v>
      </c>
      <c r="H19" s="1">
        <v>133.69999999999999</v>
      </c>
      <c r="I19" s="1">
        <v>134.69999999999999</v>
      </c>
      <c r="J19" s="1">
        <v>135.4</v>
      </c>
      <c r="K19" s="1">
        <v>136.1</v>
      </c>
      <c r="L19" s="1">
        <v>136.6</v>
      </c>
      <c r="M19" s="1">
        <v>137.6</v>
      </c>
      <c r="N19" s="1">
        <v>138</v>
      </c>
      <c r="O19" s="1"/>
      <c r="P19" s="1"/>
      <c r="Q19" s="1"/>
      <c r="R19" s="1"/>
      <c r="S19" s="1"/>
    </row>
    <row r="20" spans="1:28" x14ac:dyDescent="0.3">
      <c r="A20" t="s">
        <v>203</v>
      </c>
      <c r="D20" t="s">
        <v>201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28" x14ac:dyDescent="0.3"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28" x14ac:dyDescent="0.3">
      <c r="L22" s="1"/>
      <c r="M22" s="1"/>
      <c r="N22" s="1"/>
      <c r="O22" s="1"/>
      <c r="P22" s="1"/>
      <c r="Q22" s="1"/>
    </row>
    <row r="23" spans="1:28" s="18" customFormat="1" x14ac:dyDescent="0.3">
      <c r="A23" s="18" t="s">
        <v>204</v>
      </c>
    </row>
    <row r="24" spans="1:28" x14ac:dyDescent="0.3">
      <c r="E24">
        <v>2005</v>
      </c>
      <c r="J24">
        <v>2010</v>
      </c>
      <c r="O24">
        <v>2015</v>
      </c>
      <c r="T24">
        <v>2020</v>
      </c>
    </row>
    <row r="25" spans="1:28" x14ac:dyDescent="0.3">
      <c r="A25" t="s">
        <v>205</v>
      </c>
      <c r="C25" t="s">
        <v>206</v>
      </c>
      <c r="D25" t="s">
        <v>207</v>
      </c>
      <c r="E25" s="2">
        <f>E5/$E5</f>
        <v>1</v>
      </c>
      <c r="F25" s="2">
        <f t="shared" ref="F25:P25" si="1">F5/$E5</f>
        <v>1.0121934804843109</v>
      </c>
      <c r="G25" s="2">
        <f t="shared" si="1"/>
        <v>1.0211980439870374</v>
      </c>
      <c r="H25" s="2">
        <f t="shared" si="1"/>
        <v>1.0315929351444029</v>
      </c>
      <c r="I25" s="2">
        <f t="shared" si="1"/>
        <v>1.0408115042244108</v>
      </c>
      <c r="J25" s="2">
        <f t="shared" si="1"/>
        <v>1.0526803627718686</v>
      </c>
      <c r="K25" s="2">
        <f t="shared" si="1"/>
        <v>1.0534793720822195</v>
      </c>
      <c r="L25" s="2">
        <f t="shared" si="1"/>
        <v>1.0634242389217778</v>
      </c>
      <c r="M25" s="2">
        <f t="shared" si="1"/>
        <v>1.0691830892331928</v>
      </c>
      <c r="N25" s="2">
        <f t="shared" si="1"/>
        <v>1.0750450701279421</v>
      </c>
      <c r="O25" s="2">
        <f t="shared" si="1"/>
        <v>1.0819160870750553</v>
      </c>
      <c r="P25" s="2">
        <f t="shared" si="1"/>
        <v>1.0856117015689932</v>
      </c>
      <c r="R25" s="2"/>
      <c r="S25" s="2"/>
      <c r="T25" s="2"/>
      <c r="U25" s="2"/>
      <c r="V25" s="2"/>
      <c r="W25" s="2"/>
    </row>
    <row r="26" spans="1:28" x14ac:dyDescent="0.3">
      <c r="A26" t="s">
        <v>208</v>
      </c>
      <c r="C26" t="s">
        <v>209</v>
      </c>
      <c r="D26" s="45" t="s">
        <v>210</v>
      </c>
      <c r="E26" s="2">
        <f>'4 energy drivers'!E7/'4 energy drivers'!$E7</f>
        <v>1</v>
      </c>
      <c r="F26" s="2">
        <f>'4 energy drivers'!F7/'4 energy drivers'!$E7</f>
        <v>1.0040531184658685</v>
      </c>
      <c r="G26" s="2">
        <f>'4 energy drivers'!G7/'4 energy drivers'!$E7</f>
        <v>1.0071309371807227</v>
      </c>
      <c r="H26" s="2">
        <f>'4 energy drivers'!H7/'4 energy drivers'!$E7</f>
        <v>1.0101948396089986</v>
      </c>
      <c r="I26" s="2">
        <f>'4 energy drivers'!I7/'4 energy drivers'!$E7</f>
        <v>1.0136344817748832</v>
      </c>
      <c r="J26" s="2">
        <f>'4 energy drivers'!J7/'4 energy drivers'!$E7</f>
        <v>1.0306587390220794</v>
      </c>
      <c r="K26" s="2">
        <f>'4 energy drivers'!K7/'4 energy drivers'!$E7</f>
        <v>1.0365917158665381</v>
      </c>
      <c r="L26" s="2">
        <f>'4 energy drivers'!L7/'4 energy drivers'!$E7</f>
        <v>1.0377189350793634</v>
      </c>
      <c r="M26" s="2">
        <f>'4 energy drivers'!M7/'4 energy drivers'!$E7</f>
        <v>1.0399896091726883</v>
      </c>
      <c r="N26" s="2">
        <f>'4 energy drivers'!N7/'4 energy drivers'!$E7</f>
        <v>1.0414021122603645</v>
      </c>
      <c r="O26" s="2">
        <f>'4 energy drivers'!O7/'4 energy drivers'!$E7</f>
        <v>1.0432263054926423</v>
      </c>
      <c r="P26" s="2">
        <f>'4 energy drivers'!P7/'4 energy drivers'!$E7</f>
        <v>1.0442642285332582</v>
      </c>
      <c r="Q26" s="2">
        <f>'4 energy drivers'!Q7/'4 energy drivers'!$E7</f>
        <v>1.0444578968548033</v>
      </c>
      <c r="R26" s="2">
        <f>'4 energy drivers'!R7/'4 energy drivers'!$E7</f>
        <v>1.0440867958793876</v>
      </c>
      <c r="S26" s="2">
        <f>'4 energy drivers'!S7/'4 energy drivers'!$E7</f>
        <v>1.0438212267438556</v>
      </c>
      <c r="T26" s="2">
        <f>'4 energy drivers'!T7/'4 energy drivers'!$E7</f>
        <v>1.0443059773929924</v>
      </c>
      <c r="U26" s="2"/>
      <c r="V26" s="2"/>
      <c r="W26" s="2"/>
      <c r="X26" s="2"/>
      <c r="Y26" s="2"/>
      <c r="Z26" s="2"/>
      <c r="AA26" s="2"/>
      <c r="AB26" s="2"/>
    </row>
    <row r="27" spans="1:28" x14ac:dyDescent="0.3">
      <c r="A27" t="s">
        <v>211</v>
      </c>
      <c r="C27" t="s">
        <v>206</v>
      </c>
      <c r="D27" t="s">
        <v>207</v>
      </c>
      <c r="E27" s="2">
        <f t="shared" ref="E27:O27" si="2">E15/$E15</f>
        <v>1</v>
      </c>
      <c r="F27" s="2">
        <f t="shared" si="2"/>
        <v>1.0185452307476415</v>
      </c>
      <c r="G27" s="2">
        <f t="shared" si="2"/>
        <v>1.0296660134858384</v>
      </c>
      <c r="H27" s="2">
        <f t="shared" si="2"/>
        <v>1.0431406479409069</v>
      </c>
      <c r="I27" s="2">
        <f t="shared" si="2"/>
        <v>1.0542250409411351</v>
      </c>
      <c r="J27" s="2">
        <f t="shared" si="2"/>
        <v>1.0830934865998711</v>
      </c>
      <c r="K27" s="2">
        <f t="shared" si="2"/>
        <v>1.0874393559406192</v>
      </c>
      <c r="L27" s="2">
        <f t="shared" si="2"/>
        <v>1.1007798228263208</v>
      </c>
      <c r="M27" s="2">
        <f t="shared" si="2"/>
        <v>1.1129352660094061</v>
      </c>
      <c r="N27" s="2">
        <f t="shared" si="2"/>
        <v>1.1172618208589122</v>
      </c>
      <c r="O27" s="2">
        <f t="shared" si="2"/>
        <v>1.1263790671868974</v>
      </c>
      <c r="P27" s="2">
        <f>P15/$E15</f>
        <v>1.1312849018442155</v>
      </c>
      <c r="Q27" s="2"/>
      <c r="R27" s="2"/>
      <c r="S27" s="2"/>
      <c r="T27" s="2"/>
      <c r="U27" s="22"/>
      <c r="V27" s="22"/>
      <c r="W27" s="22"/>
      <c r="X27" s="22"/>
      <c r="Y27" s="22"/>
      <c r="Z27" s="2"/>
      <c r="AA27" s="2"/>
      <c r="AB27" s="2"/>
    </row>
    <row r="28" spans="1:28" x14ac:dyDescent="0.3">
      <c r="A28" t="s">
        <v>212</v>
      </c>
      <c r="C28" t="s">
        <v>213</v>
      </c>
      <c r="E28" s="2">
        <f>'4 energy drivers'!E32/'4 energy drivers'!$E32</f>
        <v>1</v>
      </c>
      <c r="F28" s="2">
        <f>'4 energy drivers'!F32/'4 energy drivers'!$E32</f>
        <v>1.0032304286201177</v>
      </c>
      <c r="G28" s="2">
        <f>'4 energy drivers'!G32/'4 energy drivers'!$E32</f>
        <v>1.0065913097330534</v>
      </c>
      <c r="H28" s="2">
        <f>'4 energy drivers'!H32/'4 energy drivers'!$E32</f>
        <v>1.0098143541197153</v>
      </c>
      <c r="I28" s="2">
        <f>'4 energy drivers'!I32/'4 energy drivers'!$E32</f>
        <v>1.0122039407886609</v>
      </c>
      <c r="J28" s="2">
        <f>'4 energy drivers'!J32/'4 energy drivers'!$E32</f>
        <v>1.0136174917519858</v>
      </c>
      <c r="K28" s="2">
        <f>'4 energy drivers'!K32/'4 energy drivers'!$E32</f>
        <v>1.0118224312530508</v>
      </c>
      <c r="L28" s="2">
        <f>'4 energy drivers'!L32/'4 energy drivers'!$E32</f>
        <v>1.0133043340642476</v>
      </c>
      <c r="M28" s="2">
        <f>'4 energy drivers'!M32/'4 energy drivers'!$E32</f>
        <v>1.0157261167264968</v>
      </c>
      <c r="N28" s="2">
        <f>'4 energy drivers'!N32/'4 energy drivers'!$E32</f>
        <v>1.018749694880394</v>
      </c>
      <c r="O28" s="2">
        <f>'4 energy drivers'!O32/'4 energy drivers'!$E32</f>
        <v>1.0209566223191469</v>
      </c>
      <c r="P28" s="2">
        <f>'4 energy drivers'!P32/'4 energy drivers'!$E32</f>
        <v>1.0230994174720027</v>
      </c>
      <c r="Q28" s="2">
        <f>'4 energy drivers'!Q32/'4 energy drivers'!$E32</f>
        <v>1.0247180837330889</v>
      </c>
      <c r="R28" s="2">
        <f>'4 energy drivers'!R32/'4 energy drivers'!$E32</f>
        <v>1.0265195815920956</v>
      </c>
      <c r="S28" s="2">
        <f>'4 energy drivers'!S32/'4 energy drivers'!$E32</f>
        <v>1.0273628045161467</v>
      </c>
      <c r="T28" s="2">
        <f>'4 energy drivers'!T32/'4 energy drivers'!$E32</f>
        <v>1.0281076744147555</v>
      </c>
      <c r="U28" s="2"/>
      <c r="V28" s="2"/>
      <c r="W28" s="2"/>
      <c r="X28" s="2"/>
      <c r="Y28" s="2"/>
      <c r="Z28" s="2"/>
      <c r="AA28" s="2"/>
      <c r="AB28" s="2"/>
    </row>
    <row r="29" spans="1:28" x14ac:dyDescent="0.3">
      <c r="A29" t="s">
        <v>214</v>
      </c>
      <c r="C29" t="s">
        <v>209</v>
      </c>
      <c r="D29" s="45" t="s">
        <v>210</v>
      </c>
      <c r="E29" s="2">
        <f>'4 energy drivers'!E18/'4 energy drivers'!$E18</f>
        <v>1</v>
      </c>
      <c r="F29" s="2">
        <f>'4 energy drivers'!F18/'4 energy drivers'!$E18</f>
        <v>0.99643472534631927</v>
      </c>
      <c r="G29" s="2">
        <f>'4 energy drivers'!G18/'4 energy drivers'!$E18</f>
        <v>1.0124635348172535</v>
      </c>
      <c r="H29" s="2">
        <f>'4 energy drivers'!H18/'4 energy drivers'!$E18</f>
        <v>1.0385601270173519</v>
      </c>
      <c r="I29" s="2">
        <f>'4 energy drivers'!I18/'4 energy drivers'!$E18</f>
        <v>1.0469481998306425</v>
      </c>
      <c r="J29" s="2">
        <f>'4 energy drivers'!J18/'4 energy drivers'!$E18</f>
        <v>1.0559829500563602</v>
      </c>
      <c r="K29" s="2">
        <f>'4 energy drivers'!K18/'4 energy drivers'!$E18</f>
        <v>1.0597429211918961</v>
      </c>
      <c r="L29" s="2">
        <f>'4 energy drivers'!L18/'4 energy drivers'!$E18</f>
        <v>1.0714230548520629</v>
      </c>
      <c r="M29" s="2">
        <f>'4 energy drivers'!M18/'4 energy drivers'!$E18</f>
        <v>1.0853558295335908</v>
      </c>
      <c r="N29" s="2">
        <f>'4 energy drivers'!N18/'4 energy drivers'!$E18</f>
        <v>1.0940722847007043</v>
      </c>
      <c r="O29" s="2">
        <f>'4 energy drivers'!O18/'4 energy drivers'!$E18</f>
        <v>1.1017370906573654</v>
      </c>
      <c r="P29" s="2">
        <f>'4 energy drivers'!P18/'4 energy drivers'!$E18</f>
        <v>1.1133487358671734</v>
      </c>
      <c r="Q29" s="2">
        <f>'4 energy drivers'!Q18/'4 energy drivers'!$E18</f>
        <v>1.1114190440811684</v>
      </c>
      <c r="R29" s="2">
        <f>'4 energy drivers'!R18/'4 energy drivers'!$E18</f>
        <v>1.1203537587170393</v>
      </c>
      <c r="S29" s="2">
        <f>'4 energy drivers'!S18/'4 energy drivers'!$E18</f>
        <v>1.119677481519413</v>
      </c>
      <c r="T29" s="2"/>
      <c r="U29" s="2"/>
      <c r="V29" s="2"/>
      <c r="W29" s="2"/>
      <c r="X29" s="2"/>
      <c r="Y29" s="2"/>
      <c r="Z29" s="2"/>
      <c r="AA29" s="2"/>
      <c r="AB29" s="2"/>
    </row>
    <row r="30" spans="1:28" x14ac:dyDescent="0.3">
      <c r="A30" t="s">
        <v>215</v>
      </c>
      <c r="D30" t="s">
        <v>216</v>
      </c>
      <c r="I30" s="23"/>
      <c r="J30" s="2">
        <f>'4 energy drivers'!J42/'4 energy drivers'!$J42</f>
        <v>1</v>
      </c>
      <c r="K30" s="2">
        <f>'4 energy drivers'!K42/'4 energy drivers'!$J42</f>
        <v>1</v>
      </c>
      <c r="L30" s="2">
        <f>'4 energy drivers'!L42/'4 energy drivers'!$J42</f>
        <v>1</v>
      </c>
      <c r="M30" s="2">
        <f>'4 energy drivers'!M42/'4 energy drivers'!$J42</f>
        <v>1</v>
      </c>
      <c r="N30" s="2">
        <f>'4 energy drivers'!N42/'4 energy drivers'!$J42</f>
        <v>0.95833333333333326</v>
      </c>
      <c r="O30" s="2">
        <f>'4 energy drivers'!O42/'4 energy drivers'!$J42</f>
        <v>0.95833333333333326</v>
      </c>
      <c r="P30" s="2">
        <f>'4 energy drivers'!P42/'4 energy drivers'!$J42</f>
        <v>0.95833333333333326</v>
      </c>
      <c r="Q30" s="2">
        <f>'4 energy drivers'!Q42/'4 energy drivers'!$J42</f>
        <v>0.95833333333333326</v>
      </c>
      <c r="R30" s="2">
        <f>'4 energy drivers'!R42/'4 energy drivers'!$J42</f>
        <v>0.95833333333333326</v>
      </c>
      <c r="S30" s="2">
        <f>'4 energy drivers'!S42/'4 energy drivers'!$J42</f>
        <v>0.95833333333333326</v>
      </c>
      <c r="T30" s="2">
        <f>'4 energy drivers'!T42/'4 energy drivers'!$J42</f>
        <v>0.95833333333333326</v>
      </c>
      <c r="U30" s="25"/>
    </row>
    <row r="31" spans="1:28" x14ac:dyDescent="0.3">
      <c r="E31" s="25"/>
      <c r="F31" s="25"/>
      <c r="G31" s="25"/>
      <c r="H31" s="25"/>
      <c r="I31" s="25"/>
      <c r="J31" s="25"/>
      <c r="K31" s="25"/>
      <c r="L31" s="25"/>
      <c r="M31" s="25"/>
      <c r="N31" s="25"/>
    </row>
    <row r="32" spans="1:28" s="6" customFormat="1" x14ac:dyDescent="0.3">
      <c r="A32" s="5" t="s">
        <v>217</v>
      </c>
      <c r="B32" s="5"/>
      <c r="C32" s="5"/>
      <c r="D32" s="5"/>
    </row>
    <row r="33" spans="1:26" s="18" customFormat="1" x14ac:dyDescent="0.3">
      <c r="A33" s="18" t="s">
        <v>184</v>
      </c>
    </row>
    <row r="34" spans="1:26" x14ac:dyDescent="0.3">
      <c r="B34" t="s">
        <v>27</v>
      </c>
      <c r="D34" t="s">
        <v>28</v>
      </c>
      <c r="E34">
        <v>2005</v>
      </c>
      <c r="F34">
        <v>2006</v>
      </c>
      <c r="G34">
        <v>2007</v>
      </c>
      <c r="H34">
        <v>2008</v>
      </c>
      <c r="I34">
        <v>2009</v>
      </c>
      <c r="J34">
        <v>2010</v>
      </c>
      <c r="K34">
        <v>2011</v>
      </c>
      <c r="L34">
        <v>2012</v>
      </c>
      <c r="M34">
        <v>2013</v>
      </c>
      <c r="N34">
        <v>2014</v>
      </c>
      <c r="O34">
        <v>2015</v>
      </c>
      <c r="P34">
        <v>2016</v>
      </c>
      <c r="Q34">
        <v>2017</v>
      </c>
      <c r="R34">
        <v>2018</v>
      </c>
      <c r="S34">
        <v>2019</v>
      </c>
    </row>
    <row r="35" spans="1:26" x14ac:dyDescent="0.3">
      <c r="A35" t="s">
        <v>185</v>
      </c>
      <c r="D35" t="s">
        <v>186</v>
      </c>
      <c r="L35" s="1">
        <v>11432.089516597176</v>
      </c>
      <c r="M35" s="1">
        <v>11558.358280680473</v>
      </c>
      <c r="N35" s="1">
        <v>11639.808764629954</v>
      </c>
      <c r="O35" s="1">
        <v>11775.748237483718</v>
      </c>
      <c r="P35" s="1">
        <v>11896.636747564977</v>
      </c>
      <c r="Q35" s="1">
        <v>46300</v>
      </c>
    </row>
    <row r="38" spans="1:26" x14ac:dyDescent="0.3">
      <c r="I38" s="103" t="s">
        <v>218</v>
      </c>
      <c r="J38" s="102"/>
      <c r="K38" s="102"/>
      <c r="L38" s="102"/>
      <c r="M38" s="102"/>
      <c r="N38" s="102"/>
      <c r="O38" s="102"/>
      <c r="P38" s="102"/>
      <c r="Q38" s="102"/>
      <c r="R38" s="102">
        <f>0.1982/0.0711</f>
        <v>2.7876230661040786</v>
      </c>
      <c r="S38" s="102"/>
      <c r="T38" s="102"/>
      <c r="U38" s="102"/>
    </row>
    <row r="39" spans="1:26" x14ac:dyDescent="0.3">
      <c r="I39" s="102"/>
      <c r="J39" s="102"/>
      <c r="K39" s="102"/>
      <c r="L39" s="102"/>
      <c r="M39" s="102"/>
      <c r="N39" s="102"/>
      <c r="O39" s="102"/>
      <c r="P39" s="102"/>
      <c r="Q39" s="102"/>
      <c r="R39" s="102">
        <f>0.2169/0.0782</f>
        <v>2.7736572890025575</v>
      </c>
      <c r="S39" s="102"/>
      <c r="T39" s="102"/>
      <c r="U39" s="102"/>
    </row>
    <row r="40" spans="1:26" x14ac:dyDescent="0.3"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</row>
    <row r="41" spans="1:26" x14ac:dyDescent="0.3"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</row>
    <row r="42" spans="1:26" x14ac:dyDescent="0.3"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</row>
    <row r="43" spans="1:26" x14ac:dyDescent="0.3"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4"/>
      <c r="U43" s="105"/>
      <c r="V43" s="24"/>
      <c r="W43" s="26"/>
      <c r="X43" s="23"/>
      <c r="Y43" s="26"/>
      <c r="Z43" s="23"/>
    </row>
    <row r="44" spans="1:26" x14ac:dyDescent="0.3"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</row>
    <row r="45" spans="1:26" x14ac:dyDescent="0.3"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</row>
    <row r="46" spans="1:26" x14ac:dyDescent="0.3"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</row>
    <row r="47" spans="1:26" x14ac:dyDescent="0.3"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</row>
    <row r="48" spans="1:26" x14ac:dyDescent="0.3"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</row>
    <row r="49" spans="1:21" x14ac:dyDescent="0.3"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</row>
    <row r="50" spans="1:21" x14ac:dyDescent="0.3"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</row>
    <row r="51" spans="1:21" x14ac:dyDescent="0.3"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</row>
    <row r="52" spans="1:21" x14ac:dyDescent="0.3"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</row>
    <row r="53" spans="1:21" x14ac:dyDescent="0.3"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</row>
    <row r="55" spans="1:21" s="70" customFormat="1" x14ac:dyDescent="0.3">
      <c r="A55" s="69" t="s">
        <v>44</v>
      </c>
    </row>
    <row r="56" spans="1:21" s="70" customFormat="1" x14ac:dyDescent="0.3">
      <c r="A56" s="70" t="s">
        <v>219</v>
      </c>
      <c r="L56" s="75">
        <f>L27-K27</f>
        <v>1.3340466885701563E-2</v>
      </c>
      <c r="M56" s="75">
        <f t="shared" ref="M56:O56" si="3">M27-L27</f>
        <v>1.2155443183085257E-2</v>
      </c>
      <c r="N56" s="75">
        <f t="shared" si="3"/>
        <v>4.3265548495061701E-3</v>
      </c>
      <c r="O56" s="75">
        <f t="shared" si="3"/>
        <v>9.1172463279851623E-3</v>
      </c>
      <c r="P56" s="75">
        <f>P27-O27</f>
        <v>4.9058346573180867E-3</v>
      </c>
    </row>
    <row r="57" spans="1:21" s="70" customFormat="1" x14ac:dyDescent="0.3">
      <c r="A57" s="70" t="s">
        <v>219</v>
      </c>
      <c r="B57" s="74"/>
      <c r="D57" s="71">
        <f>AVERAGE(L56:P56)</f>
        <v>8.7691091807192475E-3</v>
      </c>
    </row>
    <row r="58" spans="1:21" x14ac:dyDescent="0.3">
      <c r="B58" s="34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96FAE-4BB0-4F71-9D93-94B5EA7DB8E5}">
  <sheetPr>
    <tabColor rgb="FFFFFF00"/>
    <outlinePr summaryBelow="0"/>
  </sheetPr>
  <dimension ref="A1:BD113"/>
  <sheetViews>
    <sheetView showGridLines="0" topLeftCell="A10" zoomScale="95" zoomScaleNormal="95" workbookViewId="0">
      <pane xSplit="3" topLeftCell="N1" activePane="topRight" state="frozen"/>
      <selection activeCell="M67" sqref="M67"/>
      <selection pane="topRight" activeCell="A107" sqref="A107"/>
    </sheetView>
  </sheetViews>
  <sheetFormatPr defaultRowHeight="16.5" outlineLevelRow="1" x14ac:dyDescent="0.3"/>
  <cols>
    <col min="1" max="1" width="30" customWidth="1"/>
    <col min="2" max="2" width="22.625" customWidth="1"/>
    <col min="3" max="3" width="9.875" customWidth="1"/>
    <col min="22" max="22" width="10.5" customWidth="1"/>
  </cols>
  <sheetData>
    <row r="1" spans="1:49" s="5" customFormat="1" x14ac:dyDescent="0.3">
      <c r="A1" s="5" t="s">
        <v>68</v>
      </c>
      <c r="B1" s="5" t="s">
        <v>27</v>
      </c>
      <c r="C1" s="5" t="s">
        <v>28</v>
      </c>
    </row>
    <row r="2" spans="1:49" s="18" customFormat="1" outlineLevel="1" x14ac:dyDescent="0.3">
      <c r="A2" s="18" t="s">
        <v>204</v>
      </c>
    </row>
    <row r="3" spans="1:49" outlineLevel="1" x14ac:dyDescent="0.3">
      <c r="D3">
        <v>2005</v>
      </c>
      <c r="I3">
        <v>2010</v>
      </c>
      <c r="N3">
        <v>2015</v>
      </c>
      <c r="S3">
        <v>2020</v>
      </c>
      <c r="X3">
        <v>2025</v>
      </c>
      <c r="AC3">
        <v>2030</v>
      </c>
      <c r="AH3">
        <v>2035</v>
      </c>
      <c r="AM3">
        <v>2040</v>
      </c>
      <c r="AR3">
        <v>2045</v>
      </c>
      <c r="AW3">
        <v>2050</v>
      </c>
    </row>
    <row r="4" spans="1:49" outlineLevel="1" x14ac:dyDescent="0.3">
      <c r="A4" t="s">
        <v>220</v>
      </c>
      <c r="B4" t="s">
        <v>47</v>
      </c>
      <c r="C4" t="s">
        <v>168</v>
      </c>
      <c r="D4" s="45">
        <f>SUM(D39:D41)/D$38</f>
        <v>0.56612349573201293</v>
      </c>
      <c r="E4" s="45">
        <f t="shared" ref="E4:T4" si="0">SUM(E39:E41)/E$38</f>
        <v>0.55726345694625667</v>
      </c>
      <c r="F4" s="45">
        <f t="shared" si="0"/>
        <v>0.51742437035316835</v>
      </c>
      <c r="G4" s="45">
        <f t="shared" si="0"/>
        <v>0.52641873339637957</v>
      </c>
      <c r="H4" s="45">
        <f t="shared" si="0"/>
        <v>0.51881096635260504</v>
      </c>
      <c r="I4" s="45">
        <f t="shared" si="0"/>
        <v>0.51869880861141815</v>
      </c>
      <c r="J4" s="45">
        <f t="shared" si="0"/>
        <v>0.50364642041789953</v>
      </c>
      <c r="K4" s="45">
        <f t="shared" si="0"/>
        <v>0.49741507568154203</v>
      </c>
      <c r="L4" s="45">
        <f t="shared" si="0"/>
        <v>0.49652929470957347</v>
      </c>
      <c r="M4" s="45">
        <f t="shared" si="0"/>
        <v>0.47284393975349526</v>
      </c>
      <c r="N4" s="45">
        <f t="shared" si="0"/>
        <v>0.47990272474664852</v>
      </c>
      <c r="O4" s="45">
        <f t="shared" si="0"/>
        <v>0.48442799764193356</v>
      </c>
      <c r="P4" s="45">
        <f t="shared" si="0"/>
        <v>0.47891402939636735</v>
      </c>
      <c r="Q4" s="45">
        <f t="shared" si="0"/>
        <v>0.46978225390372674</v>
      </c>
      <c r="R4" s="45">
        <f t="shared" si="0"/>
        <v>0.46525365403970043</v>
      </c>
      <c r="S4" s="45">
        <f t="shared" si="0"/>
        <v>0.46744257942129669</v>
      </c>
      <c r="T4" s="45">
        <f t="shared" si="0"/>
        <v>0.4558169985732281</v>
      </c>
      <c r="AI4" s="123"/>
      <c r="AJ4" s="123"/>
      <c r="AK4" s="123"/>
      <c r="AL4" s="123"/>
      <c r="AM4" s="123"/>
      <c r="AN4" s="123"/>
    </row>
    <row r="5" spans="1:49" outlineLevel="1" x14ac:dyDescent="0.3">
      <c r="A5" t="s">
        <v>221</v>
      </c>
      <c r="B5" t="s">
        <v>47</v>
      </c>
      <c r="C5" t="s">
        <v>168</v>
      </c>
      <c r="D5" s="45">
        <f>D42/D38</f>
        <v>0.21604349878402157</v>
      </c>
      <c r="E5" s="45">
        <f t="shared" ref="E5:T5" si="1">E42/E38</f>
        <v>0.22206552490273199</v>
      </c>
      <c r="F5" s="45">
        <f t="shared" si="1"/>
        <v>0.23486467279548151</v>
      </c>
      <c r="G5" s="45">
        <f t="shared" si="1"/>
        <v>0.22649044283473047</v>
      </c>
      <c r="H5" s="45">
        <f t="shared" si="1"/>
        <v>0.2292566543752883</v>
      </c>
      <c r="I5" s="45">
        <f t="shared" si="1"/>
        <v>0.22506152648288355</v>
      </c>
      <c r="J5" s="45">
        <f t="shared" si="1"/>
        <v>0.24028410441402692</v>
      </c>
      <c r="K5" s="45">
        <f t="shared" si="1"/>
        <v>0.23501990776859516</v>
      </c>
      <c r="L5" s="45">
        <f t="shared" si="1"/>
        <v>0.23129176280299726</v>
      </c>
      <c r="M5" s="45">
        <f t="shared" si="1"/>
        <v>0.24982503729471278</v>
      </c>
      <c r="N5" s="45">
        <f t="shared" si="1"/>
        <v>0.24278050240072163</v>
      </c>
      <c r="O5" s="45">
        <f t="shared" si="1"/>
        <v>0.2412118273481309</v>
      </c>
      <c r="P5" s="45">
        <f t="shared" si="1"/>
        <v>0.24202950919414898</v>
      </c>
      <c r="Q5" s="45">
        <f t="shared" si="1"/>
        <v>0.24304421002367682</v>
      </c>
      <c r="R5" s="45">
        <f t="shared" si="1"/>
        <v>0.24385682648783663</v>
      </c>
      <c r="S5" s="45">
        <f t="shared" si="1"/>
        <v>0.24693556821810678</v>
      </c>
      <c r="T5" s="45">
        <f t="shared" si="1"/>
        <v>0.24546312768314202</v>
      </c>
      <c r="AI5" s="50"/>
      <c r="AJ5" s="50"/>
      <c r="AK5" s="50"/>
      <c r="AL5" s="50"/>
      <c r="AM5" s="50"/>
    </row>
    <row r="6" spans="1:49" outlineLevel="1" x14ac:dyDescent="0.3">
      <c r="A6" t="s">
        <v>222</v>
      </c>
      <c r="B6" t="s">
        <v>47</v>
      </c>
      <c r="C6" t="s">
        <v>168</v>
      </c>
      <c r="D6" s="45">
        <f>D44/D38</f>
        <v>0.13012534601228662</v>
      </c>
      <c r="E6" s="45">
        <f t="shared" ref="E6:T6" si="2">E44/E38</f>
        <v>0.13512945674340218</v>
      </c>
      <c r="F6" s="45">
        <f t="shared" si="2"/>
        <v>0.15386200433104222</v>
      </c>
      <c r="G6" s="45">
        <f t="shared" si="2"/>
        <v>0.15775224249036623</v>
      </c>
      <c r="H6" s="45">
        <f t="shared" si="2"/>
        <v>0.16011629400099864</v>
      </c>
      <c r="I6" s="45">
        <f t="shared" si="2"/>
        <v>0.15956980481539776</v>
      </c>
      <c r="J6" s="45">
        <f t="shared" si="2"/>
        <v>0.15867276097631247</v>
      </c>
      <c r="K6" s="45">
        <f t="shared" si="2"/>
        <v>0.17160029744481503</v>
      </c>
      <c r="L6" s="45">
        <f t="shared" si="2"/>
        <v>0.17161411944670643</v>
      </c>
      <c r="M6" s="45">
        <f t="shared" si="2"/>
        <v>0.17214650159379921</v>
      </c>
      <c r="N6" s="45">
        <f t="shared" si="2"/>
        <v>0.17079724507557489</v>
      </c>
      <c r="O6" s="45">
        <f t="shared" si="2"/>
        <v>0.16422186437316735</v>
      </c>
      <c r="P6" s="45">
        <f t="shared" si="2"/>
        <v>0.16502035104851032</v>
      </c>
      <c r="Q6" s="45">
        <f t="shared" si="2"/>
        <v>0.17420949778487532</v>
      </c>
      <c r="R6" s="45">
        <f t="shared" si="2"/>
        <v>0.17556496064042254</v>
      </c>
      <c r="S6" s="45">
        <f t="shared" si="2"/>
        <v>0.16969262264599594</v>
      </c>
      <c r="T6" s="45">
        <f t="shared" si="2"/>
        <v>0.17484867072391078</v>
      </c>
      <c r="AI6" s="50"/>
      <c r="AJ6" s="50"/>
      <c r="AK6" s="50"/>
      <c r="AL6" s="50"/>
      <c r="AM6" s="50"/>
    </row>
    <row r="7" spans="1:49" outlineLevel="1" x14ac:dyDescent="0.3">
      <c r="A7" t="s">
        <v>223</v>
      </c>
      <c r="D7" s="45">
        <f>D43/D38</f>
        <v>8.3562774070137083E-2</v>
      </c>
      <c r="E7" s="45">
        <f t="shared" ref="E7:T7" si="3">E43/E38</f>
        <v>8.0309271966651163E-2</v>
      </c>
      <c r="F7" s="45">
        <f t="shared" si="3"/>
        <v>8.6905004348724474E-2</v>
      </c>
      <c r="G7" s="45">
        <f t="shared" si="3"/>
        <v>8.1030469548482933E-2</v>
      </c>
      <c r="H7" s="45">
        <f t="shared" si="3"/>
        <v>8.1409249879042411E-2</v>
      </c>
      <c r="I7" s="45">
        <f t="shared" si="3"/>
        <v>8.4885953360785277E-2</v>
      </c>
      <c r="J7" s="45">
        <f t="shared" si="3"/>
        <v>8.4430524450814379E-2</v>
      </c>
      <c r="K7" s="45">
        <f t="shared" si="3"/>
        <v>8.1819562639290869E-2</v>
      </c>
      <c r="L7" s="45">
        <f t="shared" si="3"/>
        <v>8.5019831820509886E-2</v>
      </c>
      <c r="M7" s="45">
        <f t="shared" si="3"/>
        <v>8.6032758487299549E-2</v>
      </c>
      <c r="N7" s="45">
        <f t="shared" si="3"/>
        <v>8.6048895180922833E-2</v>
      </c>
      <c r="O7" s="45">
        <f t="shared" si="3"/>
        <v>8.8077452126209169E-2</v>
      </c>
      <c r="P7" s="45">
        <f t="shared" si="3"/>
        <v>8.8001113966765548E-2</v>
      </c>
      <c r="Q7" s="45">
        <f t="shared" si="3"/>
        <v>8.4498044137590406E-2</v>
      </c>
      <c r="R7" s="45">
        <f t="shared" si="3"/>
        <v>8.4040165204966988E-2</v>
      </c>
      <c r="S7" s="45">
        <f t="shared" si="3"/>
        <v>8.2273727873253197E-2</v>
      </c>
      <c r="T7" s="45">
        <f t="shared" si="3"/>
        <v>8.6322221102719587E-2</v>
      </c>
      <c r="AI7" s="50"/>
      <c r="AJ7" s="50"/>
      <c r="AK7" s="50"/>
      <c r="AL7" s="50"/>
      <c r="AM7" s="50"/>
    </row>
    <row r="8" spans="1:49" outlineLevel="1" x14ac:dyDescent="0.3">
      <c r="A8" t="s">
        <v>224</v>
      </c>
      <c r="B8" t="s">
        <v>47</v>
      </c>
      <c r="C8" t="s">
        <v>168</v>
      </c>
      <c r="D8" s="45">
        <f>(D45)/D38</f>
        <v>4.1448854015417218E-3</v>
      </c>
      <c r="E8" s="45">
        <f t="shared" ref="E8:T8" si="4">(E45)/E38</f>
        <v>5.2322894409578503E-3</v>
      </c>
      <c r="F8" s="45">
        <f t="shared" si="4"/>
        <v>6.9439481715835288E-3</v>
      </c>
      <c r="G8" s="45">
        <f t="shared" si="4"/>
        <v>8.3081117300407188E-3</v>
      </c>
      <c r="H8" s="45">
        <f t="shared" si="4"/>
        <v>1.0406835392065661E-2</v>
      </c>
      <c r="I8" s="45">
        <f t="shared" si="4"/>
        <v>1.1783906729515238E-2</v>
      </c>
      <c r="J8" s="45">
        <f t="shared" si="4"/>
        <v>1.2966189740946715E-2</v>
      </c>
      <c r="K8" s="45">
        <f t="shared" si="4"/>
        <v>1.4145156465757026E-2</v>
      </c>
      <c r="L8" s="45">
        <f t="shared" si="4"/>
        <v>1.5544991220212925E-2</v>
      </c>
      <c r="M8" s="45">
        <f t="shared" si="4"/>
        <v>1.9151762870693277E-2</v>
      </c>
      <c r="N8" s="45">
        <f t="shared" si="4"/>
        <v>2.0470632596132122E-2</v>
      </c>
      <c r="O8" s="45">
        <f t="shared" si="4"/>
        <v>2.2060858510559021E-2</v>
      </c>
      <c r="P8" s="45">
        <f t="shared" si="4"/>
        <v>2.6034996394207973E-2</v>
      </c>
      <c r="Q8" s="45">
        <f t="shared" si="4"/>
        <v>2.8465994150130691E-2</v>
      </c>
      <c r="R8" s="45">
        <f t="shared" si="4"/>
        <v>3.1284393627073498E-2</v>
      </c>
      <c r="S8" s="45">
        <f t="shared" si="4"/>
        <v>3.3655501841347406E-2</v>
      </c>
      <c r="T8" s="45">
        <f t="shared" si="4"/>
        <v>3.7548981916999589E-2</v>
      </c>
      <c r="AN8" s="31"/>
    </row>
    <row r="9" spans="1:49" outlineLevel="1" x14ac:dyDescent="0.3">
      <c r="A9" t="s">
        <v>225</v>
      </c>
      <c r="B9" t="s">
        <v>47</v>
      </c>
      <c r="C9" t="s">
        <v>168</v>
      </c>
      <c r="AC9" s="45">
        <f>SUM(AC50:AC52)/AC49</f>
        <v>0.23816373474482383</v>
      </c>
      <c r="AW9" s="45">
        <f>SUM(AW50:AW52)/AW49</f>
        <v>1.1530964515210735E-2</v>
      </c>
    </row>
    <row r="10" spans="1:49" outlineLevel="1" x14ac:dyDescent="0.3">
      <c r="A10" t="s">
        <v>226</v>
      </c>
      <c r="B10" t="s">
        <v>47</v>
      </c>
      <c r="C10" t="s">
        <v>168</v>
      </c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AC10" s="45">
        <f>AC58/AC49</f>
        <v>0.36687024834909693</v>
      </c>
      <c r="AW10" s="45">
        <f>AW58/AW49</f>
        <v>0.43717562907525653</v>
      </c>
    </row>
    <row r="11" spans="1:49" outlineLevel="1" x14ac:dyDescent="0.3">
      <c r="A11" t="s">
        <v>227</v>
      </c>
      <c r="B11" t="s">
        <v>47</v>
      </c>
      <c r="C11" t="s">
        <v>168</v>
      </c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AC11" s="45">
        <f>AC56/AC49</f>
        <v>0.17838153985953312</v>
      </c>
      <c r="AW11" s="45">
        <f>AW56/AW49</f>
        <v>0.17709178865807024</v>
      </c>
    </row>
    <row r="12" spans="1:49" outlineLevel="1" x14ac:dyDescent="0.3">
      <c r="A12" t="s">
        <v>228</v>
      </c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AC12" s="45">
        <f>AC55/AC49</f>
        <v>9.7565946121225905E-2</v>
      </c>
      <c r="AW12" s="45">
        <f>AW55/AW49</f>
        <v>9.4382827261566521E-2</v>
      </c>
    </row>
    <row r="13" spans="1:49" outlineLevel="1" x14ac:dyDescent="0.3">
      <c r="A13" t="s">
        <v>229</v>
      </c>
      <c r="B13" t="s">
        <v>47</v>
      </c>
      <c r="C13" t="s">
        <v>168</v>
      </c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AC13" s="45">
        <f>(AC57+AC54+AC53)/AC49</f>
        <v>0.11901853092532021</v>
      </c>
      <c r="AH13" s="2"/>
      <c r="AI13" s="2"/>
      <c r="AJ13" s="2"/>
      <c r="AK13" s="2"/>
      <c r="AL13" s="2"/>
      <c r="AM13" s="2"/>
      <c r="AW13" s="45">
        <f>(AW57+AW54+AW53)/AW49</f>
        <v>0.279818790489896</v>
      </c>
    </row>
    <row r="14" spans="1:49" outlineLevel="1" x14ac:dyDescent="0.3">
      <c r="A14" t="s">
        <v>230</v>
      </c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45">
        <v>0.4558169985732281</v>
      </c>
      <c r="U14" s="45">
        <v>0.43163330259229427</v>
      </c>
      <c r="V14" s="45">
        <v>0.40744960661136048</v>
      </c>
      <c r="W14" s="45">
        <v>0.38326591063042664</v>
      </c>
      <c r="X14" s="45">
        <v>0.35908221464949286</v>
      </c>
      <c r="Y14" s="45">
        <v>0.33489851866855902</v>
      </c>
      <c r="Z14" s="45">
        <v>0.31071482268762524</v>
      </c>
      <c r="AA14" s="45">
        <v>0.28653112670669145</v>
      </c>
      <c r="AB14" s="45">
        <v>0.26234743072575761</v>
      </c>
      <c r="AC14" s="45">
        <v>0.2381637347448238</v>
      </c>
      <c r="AD14" s="45">
        <v>0.22683209623334313</v>
      </c>
      <c r="AE14" s="45">
        <v>0.21550045772186249</v>
      </c>
      <c r="AF14" s="45">
        <v>0.20416881921038182</v>
      </c>
      <c r="AG14" s="45">
        <v>0.19283718069890118</v>
      </c>
      <c r="AH14" s="45">
        <v>0.18150554218742054</v>
      </c>
      <c r="AI14" s="45">
        <v>0.17017390367593987</v>
      </c>
      <c r="AJ14" s="45">
        <v>0.15884226516445923</v>
      </c>
      <c r="AK14" s="45">
        <v>0.14751062665297859</v>
      </c>
      <c r="AL14" s="45">
        <v>0.13617898814149793</v>
      </c>
      <c r="AM14" s="45">
        <v>0.12484734963001728</v>
      </c>
      <c r="AN14" s="45">
        <v>0.11351571111853664</v>
      </c>
      <c r="AO14" s="45">
        <v>0.10218407260705598</v>
      </c>
      <c r="AP14" s="45">
        <v>9.0852434095575335E-2</v>
      </c>
      <c r="AQ14" s="45">
        <v>7.9520795584094667E-2</v>
      </c>
      <c r="AR14" s="45">
        <v>6.8189157072614026E-2</v>
      </c>
      <c r="AS14" s="45">
        <v>5.6857518561133386E-2</v>
      </c>
      <c r="AT14" s="45">
        <v>4.5525880049652717E-2</v>
      </c>
      <c r="AU14" s="45">
        <v>3.4194241538172077E-2</v>
      </c>
      <c r="AV14" s="45">
        <v>2.2862603026691408E-2</v>
      </c>
      <c r="AW14" s="45">
        <v>1.1530964515210768E-2</v>
      </c>
    </row>
    <row r="15" spans="1:49" outlineLevel="1" x14ac:dyDescent="0.3">
      <c r="A15" t="s">
        <v>231</v>
      </c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45">
        <v>0.24546312768314199</v>
      </c>
      <c r="U15" s="45">
        <v>0.25895280775713697</v>
      </c>
      <c r="V15" s="45">
        <v>0.27244248783113201</v>
      </c>
      <c r="W15" s="45">
        <v>0.28593216790512699</v>
      </c>
      <c r="X15" s="45">
        <v>0.29942184797912197</v>
      </c>
      <c r="Y15" s="45">
        <v>0.31291152805311695</v>
      </c>
      <c r="Z15" s="45">
        <v>0.32640120812711193</v>
      </c>
      <c r="AA15" s="45">
        <v>0.33989088820110691</v>
      </c>
      <c r="AB15" s="45">
        <v>0.35338056827510189</v>
      </c>
      <c r="AC15" s="45">
        <v>0.36687024834909693</v>
      </c>
      <c r="AD15" s="45">
        <v>0.37038551738540487</v>
      </c>
      <c r="AE15" s="45">
        <v>0.37390078642171287</v>
      </c>
      <c r="AF15" s="45">
        <v>0.37741605545802087</v>
      </c>
      <c r="AG15" s="45">
        <v>0.38093132449432882</v>
      </c>
      <c r="AH15" s="45">
        <v>0.38444659353063682</v>
      </c>
      <c r="AI15" s="45">
        <v>0.38796186256694482</v>
      </c>
      <c r="AJ15" s="45">
        <v>0.39147713160325276</v>
      </c>
      <c r="AK15" s="45">
        <v>0.39499240063956076</v>
      </c>
      <c r="AL15" s="45">
        <v>0.39850766967586876</v>
      </c>
      <c r="AM15" s="45">
        <v>0.40202293871217676</v>
      </c>
      <c r="AN15" s="45">
        <v>0.4055382077484847</v>
      </c>
      <c r="AO15" s="45">
        <v>0.4090534767847927</v>
      </c>
      <c r="AP15" s="45">
        <v>0.4125687458211007</v>
      </c>
      <c r="AQ15" s="45">
        <v>0.41608401485740865</v>
      </c>
      <c r="AR15" s="45">
        <v>0.41959928389371665</v>
      </c>
      <c r="AS15" s="45">
        <v>0.42311455293002465</v>
      </c>
      <c r="AT15" s="45">
        <v>0.42662982196633259</v>
      </c>
      <c r="AU15" s="45">
        <v>0.43014509100264059</v>
      </c>
      <c r="AV15" s="45">
        <v>0.43366036003894859</v>
      </c>
      <c r="AW15" s="45">
        <v>0.43717562907525653</v>
      </c>
    </row>
    <row r="16" spans="1:49" outlineLevel="1" x14ac:dyDescent="0.3">
      <c r="A16" t="s">
        <v>231</v>
      </c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45">
        <v>0.17484867072391078</v>
      </c>
      <c r="U16" s="45">
        <v>0.17524121173897994</v>
      </c>
      <c r="V16" s="45">
        <v>0.17563375275404908</v>
      </c>
      <c r="W16" s="45">
        <v>0.17602629376911824</v>
      </c>
      <c r="X16" s="45">
        <v>0.17641883478418738</v>
      </c>
      <c r="Y16" s="45">
        <v>0.17681137579925654</v>
      </c>
      <c r="Z16" s="45">
        <v>0.17720391681432568</v>
      </c>
      <c r="AA16" s="45">
        <v>0.17759645782939484</v>
      </c>
      <c r="AB16" s="45">
        <v>0.17798899884446398</v>
      </c>
      <c r="AC16" s="45">
        <v>0.17838153985953314</v>
      </c>
      <c r="AD16" s="45">
        <v>0.17831705229946002</v>
      </c>
      <c r="AE16" s="45">
        <v>0.17825256473938686</v>
      </c>
      <c r="AF16" s="45">
        <v>0.17818807717931373</v>
      </c>
      <c r="AG16" s="45">
        <v>0.17812358961924057</v>
      </c>
      <c r="AH16" s="45">
        <v>0.17805910205916742</v>
      </c>
      <c r="AI16" s="45">
        <v>0.17799461449909429</v>
      </c>
      <c r="AJ16" s="45">
        <v>0.17793012693902113</v>
      </c>
      <c r="AK16" s="45">
        <v>0.177865639378948</v>
      </c>
      <c r="AL16" s="45">
        <v>0.17780115181887485</v>
      </c>
      <c r="AM16" s="45">
        <v>0.17773666425880169</v>
      </c>
      <c r="AN16" s="45">
        <v>0.17767217669872856</v>
      </c>
      <c r="AO16" s="45">
        <v>0.17760768913865541</v>
      </c>
      <c r="AP16" s="45">
        <v>0.17754320157858228</v>
      </c>
      <c r="AQ16" s="45">
        <v>0.17747871401850912</v>
      </c>
      <c r="AR16" s="45">
        <v>0.17741422645843596</v>
      </c>
      <c r="AS16" s="45">
        <v>0.17734973889836284</v>
      </c>
      <c r="AT16" s="45">
        <v>0.17728525133828968</v>
      </c>
      <c r="AU16" s="45">
        <v>0.17722076377821655</v>
      </c>
      <c r="AV16" s="45">
        <v>0.17715627621814339</v>
      </c>
      <c r="AW16" s="45">
        <v>0.17709178865807024</v>
      </c>
    </row>
    <row r="17" spans="1:49" outlineLevel="1" x14ac:dyDescent="0.3">
      <c r="A17" t="s">
        <v>231</v>
      </c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45">
        <v>8.6322221102719587E-2</v>
      </c>
      <c r="U17" s="45">
        <v>8.7571523882553626E-2</v>
      </c>
      <c r="V17" s="45">
        <v>8.882082666238765E-2</v>
      </c>
      <c r="W17" s="45">
        <v>9.0070129442221689E-2</v>
      </c>
      <c r="X17" s="45">
        <v>9.1319432222055727E-2</v>
      </c>
      <c r="Y17" s="45">
        <v>9.2568735001889765E-2</v>
      </c>
      <c r="Z17" s="45">
        <v>9.381803778172379E-2</v>
      </c>
      <c r="AA17" s="45">
        <v>9.5067340561557828E-2</v>
      </c>
      <c r="AB17" s="45">
        <v>9.6316643341391867E-2</v>
      </c>
      <c r="AC17" s="45">
        <v>9.7565946121225905E-2</v>
      </c>
      <c r="AD17" s="45">
        <v>9.7406790178242927E-2</v>
      </c>
      <c r="AE17" s="45">
        <v>9.7247634235259964E-2</v>
      </c>
      <c r="AF17" s="45">
        <v>9.7088478292276986E-2</v>
      </c>
      <c r="AG17" s="45">
        <v>9.6929322349294023E-2</v>
      </c>
      <c r="AH17" s="45">
        <v>9.6770166406311059E-2</v>
      </c>
      <c r="AI17" s="45">
        <v>9.6611010463328081E-2</v>
      </c>
      <c r="AJ17" s="45">
        <v>9.6451854520345118E-2</v>
      </c>
      <c r="AK17" s="45">
        <v>9.629269857736214E-2</v>
      </c>
      <c r="AL17" s="45">
        <v>9.6133542634379177E-2</v>
      </c>
      <c r="AM17" s="45">
        <v>9.5974386691396213E-2</v>
      </c>
      <c r="AN17" s="45">
        <v>9.5815230748413235E-2</v>
      </c>
      <c r="AO17" s="45">
        <v>9.5656074805430272E-2</v>
      </c>
      <c r="AP17" s="45">
        <v>9.5496918862447294E-2</v>
      </c>
      <c r="AQ17" s="45">
        <v>9.5337762919464331E-2</v>
      </c>
      <c r="AR17" s="45">
        <v>9.5178606976481367E-2</v>
      </c>
      <c r="AS17" s="45">
        <v>9.5019451033498389E-2</v>
      </c>
      <c r="AT17" s="45">
        <v>9.4860295090515426E-2</v>
      </c>
      <c r="AU17" s="45">
        <v>9.4701139147532448E-2</v>
      </c>
      <c r="AV17" s="45">
        <v>9.4541983204549485E-2</v>
      </c>
      <c r="AW17" s="45">
        <v>9.4382827261566521E-2</v>
      </c>
    </row>
    <row r="18" spans="1:49" outlineLevel="1" x14ac:dyDescent="0.3"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45">
        <v>3.7548981916999589E-2</v>
      </c>
      <c r="U18" s="45">
        <v>4.6601154029035211E-2</v>
      </c>
      <c r="V18" s="45">
        <v>5.5653326141070839E-2</v>
      </c>
      <c r="W18" s="45">
        <v>6.4705498253106453E-2</v>
      </c>
      <c r="X18" s="45">
        <v>7.3757670365142081E-2</v>
      </c>
      <c r="Y18" s="45">
        <v>8.2809842477177709E-2</v>
      </c>
      <c r="Z18" s="45">
        <v>9.1862014589213323E-2</v>
      </c>
      <c r="AA18" s="45">
        <v>0.10091418670124895</v>
      </c>
      <c r="AB18" s="45">
        <v>0.10996635881328458</v>
      </c>
      <c r="AC18" s="45">
        <v>0.11901853092532023</v>
      </c>
      <c r="AD18" s="45">
        <v>0.12705854390354901</v>
      </c>
      <c r="AE18" s="45">
        <v>0.1350985568817778</v>
      </c>
      <c r="AF18" s="45">
        <v>0.14313856986000659</v>
      </c>
      <c r="AG18" s="45">
        <v>0.15117858283823538</v>
      </c>
      <c r="AH18" s="45">
        <v>0.15921859581646416</v>
      </c>
      <c r="AI18" s="45">
        <v>0.16725860879469295</v>
      </c>
      <c r="AJ18" s="45">
        <v>0.17529862177292174</v>
      </c>
      <c r="AK18" s="45">
        <v>0.18333863475115053</v>
      </c>
      <c r="AL18" s="45">
        <v>0.19137864772937932</v>
      </c>
      <c r="AM18" s="45">
        <v>0.19941866070760811</v>
      </c>
      <c r="AN18" s="45">
        <v>0.20745867368583687</v>
      </c>
      <c r="AO18" s="45">
        <v>0.21549868666406569</v>
      </c>
      <c r="AP18" s="45">
        <v>0.22353869964229445</v>
      </c>
      <c r="AQ18" s="45">
        <v>0.23157871262052326</v>
      </c>
      <c r="AR18" s="45">
        <v>0.23961872559875202</v>
      </c>
      <c r="AS18" s="45">
        <v>0.24765873857698084</v>
      </c>
      <c r="AT18" s="45">
        <v>0.2556987515552096</v>
      </c>
      <c r="AU18" s="45">
        <v>0.26373876453343842</v>
      </c>
      <c r="AV18" s="45">
        <v>0.27177877751166718</v>
      </c>
      <c r="AW18" s="45">
        <v>0.279818790489896</v>
      </c>
    </row>
    <row r="19" spans="1:49" outlineLevel="1" x14ac:dyDescent="0.3"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AC19" s="45"/>
      <c r="AH19" s="2"/>
      <c r="AI19" s="2"/>
      <c r="AJ19" s="2"/>
      <c r="AK19" s="2"/>
      <c r="AL19" s="2"/>
      <c r="AM19" s="2"/>
      <c r="AW19" s="45"/>
    </row>
    <row r="20" spans="1:49" outlineLevel="1" x14ac:dyDescent="0.3"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AC20" s="45"/>
      <c r="AH20" s="2"/>
      <c r="AI20" s="2"/>
      <c r="AJ20" s="2"/>
      <c r="AK20" s="2"/>
      <c r="AL20" s="2"/>
      <c r="AM20" s="2"/>
      <c r="AW20" s="45"/>
    </row>
    <row r="21" spans="1:49" outlineLevel="1" x14ac:dyDescent="0.3"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AC21" s="45"/>
      <c r="AH21" s="2"/>
      <c r="AI21" s="2"/>
      <c r="AJ21" s="2"/>
      <c r="AK21" s="2"/>
      <c r="AL21" s="2"/>
      <c r="AM21" s="2"/>
      <c r="AW21" s="45"/>
    </row>
    <row r="22" spans="1:49" outlineLevel="1" x14ac:dyDescent="0.3"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AC22" s="45"/>
      <c r="AH22" s="2"/>
      <c r="AI22" s="2"/>
      <c r="AJ22" s="2"/>
      <c r="AK22" s="2"/>
      <c r="AL22" s="2"/>
      <c r="AM22" s="2"/>
      <c r="AW22" s="45"/>
    </row>
    <row r="23" spans="1:49" outlineLevel="1" x14ac:dyDescent="0.3"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AC23" s="45"/>
      <c r="AH23" s="2"/>
      <c r="AI23" s="2"/>
      <c r="AJ23" s="2"/>
      <c r="AK23" s="2"/>
      <c r="AL23" s="2"/>
      <c r="AM23" s="2"/>
      <c r="AW23" s="45"/>
    </row>
    <row r="24" spans="1:49" outlineLevel="1" x14ac:dyDescent="0.3"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AC24" s="45"/>
      <c r="AH24" s="2"/>
      <c r="AI24" s="2"/>
      <c r="AJ24" s="2"/>
      <c r="AK24" s="2"/>
      <c r="AL24" s="2"/>
      <c r="AM24" s="2"/>
      <c r="AW24" s="45"/>
    </row>
    <row r="25" spans="1:49" outlineLevel="1" x14ac:dyDescent="0.3"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AC25" s="45"/>
      <c r="AH25" s="2"/>
      <c r="AI25" s="2"/>
      <c r="AJ25" s="2"/>
      <c r="AK25" s="2"/>
      <c r="AL25" s="2"/>
      <c r="AM25" s="2"/>
      <c r="AW25" s="45"/>
    </row>
    <row r="26" spans="1:49" outlineLevel="1" x14ac:dyDescent="0.3"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AC26" s="45"/>
      <c r="AH26" s="2"/>
      <c r="AI26" s="2"/>
      <c r="AJ26" s="2"/>
      <c r="AK26" s="2"/>
      <c r="AL26" s="2"/>
      <c r="AM26" s="2"/>
      <c r="AW26" s="45"/>
    </row>
    <row r="27" spans="1:49" outlineLevel="1" x14ac:dyDescent="0.3"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AC27" s="45"/>
      <c r="AH27" s="2"/>
      <c r="AI27" s="2"/>
      <c r="AJ27" s="2"/>
      <c r="AK27" s="2"/>
      <c r="AL27" s="2"/>
      <c r="AM27" s="2"/>
      <c r="AW27" s="45"/>
    </row>
    <row r="28" spans="1:49" outlineLevel="1" x14ac:dyDescent="0.3">
      <c r="E28" s="103" t="s">
        <v>232</v>
      </c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AC28" s="45"/>
      <c r="AH28" s="2"/>
      <c r="AI28" s="2"/>
      <c r="AJ28" s="2"/>
      <c r="AK28" s="2"/>
      <c r="AL28" s="2"/>
      <c r="AM28" s="2"/>
      <c r="AW28" s="45"/>
    </row>
    <row r="29" spans="1:49" outlineLevel="1" x14ac:dyDescent="0.3"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AC29" s="45"/>
      <c r="AH29" s="2"/>
      <c r="AI29" s="2"/>
      <c r="AJ29" s="2"/>
      <c r="AK29" s="2"/>
      <c r="AL29" s="2"/>
      <c r="AM29" s="2"/>
      <c r="AW29" s="45"/>
    </row>
    <row r="30" spans="1:49" outlineLevel="1" x14ac:dyDescent="0.3">
      <c r="D30" t="s">
        <v>48</v>
      </c>
      <c r="E30" t="s">
        <v>50</v>
      </c>
      <c r="F30" t="s">
        <v>52</v>
      </c>
      <c r="AC30" s="45"/>
      <c r="AH30" s="2"/>
      <c r="AI30" s="2"/>
      <c r="AJ30" s="2"/>
      <c r="AK30" s="2"/>
      <c r="AL30" s="2"/>
      <c r="AM30" s="2"/>
      <c r="AW30" s="45"/>
    </row>
    <row r="31" spans="1:49" outlineLevel="1" x14ac:dyDescent="0.3">
      <c r="A31" t="s">
        <v>220</v>
      </c>
      <c r="D31" s="31">
        <f>(T4-P4)/4</f>
        <v>-5.7742577057848105E-3</v>
      </c>
      <c r="E31" s="31">
        <f>(AC9-T4)/9</f>
        <v>-2.4183695980933808E-2</v>
      </c>
      <c r="F31" s="50">
        <f>AD14-AC14</f>
        <v>-1.1331638511480668E-2</v>
      </c>
      <c r="AC31" s="45"/>
      <c r="AH31" s="2"/>
      <c r="AI31" s="2"/>
      <c r="AJ31" s="2"/>
      <c r="AK31" s="2"/>
      <c r="AL31" s="2"/>
      <c r="AM31" s="2"/>
      <c r="AW31" s="45"/>
    </row>
    <row r="32" spans="1:49" outlineLevel="1" x14ac:dyDescent="0.3">
      <c r="A32" t="s">
        <v>221</v>
      </c>
      <c r="D32" s="31">
        <f>(T5-P5)/4</f>
        <v>8.5840462224825997E-4</v>
      </c>
      <c r="E32" s="31">
        <f>(AC10-T5)/9</f>
        <v>1.3489680073994989E-2</v>
      </c>
      <c r="F32" s="50">
        <f>AE15-AD15</f>
        <v>3.5152690363079997E-3</v>
      </c>
      <c r="AC32" s="45"/>
      <c r="AH32" s="2"/>
      <c r="AI32" s="2"/>
      <c r="AJ32" s="2"/>
      <c r="AK32" s="2"/>
      <c r="AL32" s="2"/>
      <c r="AM32" s="2"/>
      <c r="AW32" s="45"/>
    </row>
    <row r="33" spans="1:56" outlineLevel="1" x14ac:dyDescent="0.3">
      <c r="A33" t="s">
        <v>233</v>
      </c>
      <c r="D33" s="31">
        <f>(T8-P8)/4</f>
        <v>2.8784963806979041E-3</v>
      </c>
      <c r="E33" s="31">
        <f>(AC13-T8)/9</f>
        <v>9.0521721120356245E-3</v>
      </c>
      <c r="F33" s="50">
        <f>AE18-AD18</f>
        <v>8.0400129782287888E-3</v>
      </c>
      <c r="AC33" s="45"/>
      <c r="AH33" s="2"/>
      <c r="AI33" s="2"/>
      <c r="AJ33" s="2"/>
      <c r="AK33" s="2"/>
      <c r="AL33" s="2"/>
      <c r="AM33" s="2"/>
      <c r="AW33" s="45"/>
    </row>
    <row r="34" spans="1:56" outlineLevel="1" x14ac:dyDescent="0.3">
      <c r="AC34" s="45"/>
      <c r="AH34" s="2"/>
      <c r="AI34" s="2"/>
      <c r="AJ34" s="2"/>
      <c r="AK34" s="2"/>
      <c r="AL34" s="2"/>
      <c r="AM34" s="2"/>
      <c r="AW34" s="45"/>
    </row>
    <row r="35" spans="1:56" outlineLevel="1" x14ac:dyDescent="0.3">
      <c r="AC35" s="45"/>
      <c r="AH35" s="2"/>
      <c r="AI35" s="2"/>
      <c r="AJ35" s="2"/>
      <c r="AK35" s="2"/>
      <c r="AL35" s="2"/>
      <c r="AM35" s="2"/>
      <c r="AW35" s="45"/>
    </row>
    <row r="36" spans="1:56" s="18" customFormat="1" outlineLevel="1" x14ac:dyDescent="0.3">
      <c r="A36" s="18" t="s">
        <v>234</v>
      </c>
    </row>
    <row r="37" spans="1:56" outlineLevel="1" x14ac:dyDescent="0.3">
      <c r="D37">
        <v>2005</v>
      </c>
      <c r="I37">
        <v>2010</v>
      </c>
      <c r="N37">
        <v>2015</v>
      </c>
      <c r="S37">
        <v>2020</v>
      </c>
      <c r="X37">
        <v>2025</v>
      </c>
      <c r="AC37">
        <v>2030</v>
      </c>
      <c r="AH37">
        <v>2035</v>
      </c>
      <c r="AM37">
        <v>2040</v>
      </c>
      <c r="AR37">
        <v>2045</v>
      </c>
      <c r="AW37">
        <v>2050</v>
      </c>
    </row>
    <row r="38" spans="1:56" outlineLevel="1" x14ac:dyDescent="0.3">
      <c r="A38" t="s">
        <v>34</v>
      </c>
      <c r="B38" t="s">
        <v>47</v>
      </c>
      <c r="C38" t="s">
        <v>164</v>
      </c>
      <c r="D38" s="4">
        <f>SUM(D39:D45)</f>
        <v>266316.41000000003</v>
      </c>
      <c r="E38" s="4">
        <f t="shared" ref="E38:T38" si="5">SUM(E39:E45)</f>
        <v>265392.04600000003</v>
      </c>
      <c r="F38" s="4">
        <f t="shared" si="5"/>
        <v>249232.851</v>
      </c>
      <c r="G38" s="4">
        <f t="shared" si="5"/>
        <v>264260.89</v>
      </c>
      <c r="H38" s="4">
        <f t="shared" si="5"/>
        <v>262381.20399999997</v>
      </c>
      <c r="I38" s="4">
        <f t="shared" si="5"/>
        <v>278929.48200000002</v>
      </c>
      <c r="J38" s="4">
        <f t="shared" si="5"/>
        <v>251894.432</v>
      </c>
      <c r="K38" s="4">
        <f t="shared" si="5"/>
        <v>263012.14899999998</v>
      </c>
      <c r="L38" s="4">
        <f t="shared" si="5"/>
        <v>266091.30499999999</v>
      </c>
      <c r="M38" s="4">
        <f t="shared" si="5"/>
        <v>234637.14699999997</v>
      </c>
      <c r="N38" s="4">
        <f t="shared" si="5"/>
        <v>245027.992</v>
      </c>
      <c r="O38" s="4">
        <f t="shared" si="5"/>
        <v>250876.728</v>
      </c>
      <c r="P38" s="4">
        <f t="shared" si="5"/>
        <v>251713.07499999995</v>
      </c>
      <c r="Q38" s="4">
        <f t="shared" si="5"/>
        <v>249747.11800000002</v>
      </c>
      <c r="R38" s="4">
        <f t="shared" si="5"/>
        <v>248189.14799999999</v>
      </c>
      <c r="S38" s="4">
        <f t="shared" si="5"/>
        <v>248127.81099999999</v>
      </c>
      <c r="T38" s="4">
        <f t="shared" si="5"/>
        <v>261812.69099999996</v>
      </c>
    </row>
    <row r="39" spans="1:56" outlineLevel="1" x14ac:dyDescent="0.3">
      <c r="A39" t="s">
        <v>235</v>
      </c>
      <c r="B39" t="s">
        <v>236</v>
      </c>
      <c r="C39" t="s">
        <v>164</v>
      </c>
      <c r="D39" s="101">
        <v>9237.9060000000009</v>
      </c>
      <c r="E39" s="101">
        <v>10214.344999999999</v>
      </c>
      <c r="F39" s="101">
        <v>9163.5049999999992</v>
      </c>
      <c r="G39" s="101">
        <v>9724.2029999999995</v>
      </c>
      <c r="H39" s="101">
        <v>9878.5389999999989</v>
      </c>
      <c r="I39" s="101">
        <v>11416.98</v>
      </c>
      <c r="J39" s="101">
        <v>9900.8380000000016</v>
      </c>
      <c r="K39" s="101">
        <v>10161.539000000001</v>
      </c>
      <c r="L39" s="101">
        <v>9821.4359999999997</v>
      </c>
      <c r="M39" s="101">
        <v>8804.607</v>
      </c>
      <c r="N39" s="101">
        <v>8701.244999999999</v>
      </c>
      <c r="O39" s="101">
        <v>9006.8279999999995</v>
      </c>
      <c r="P39" s="101">
        <v>8917.4670000000006</v>
      </c>
      <c r="Q39" s="101">
        <v>8344.0159999999996</v>
      </c>
      <c r="R39" s="101">
        <v>6776.0259999999998</v>
      </c>
      <c r="S39" s="101">
        <v>6925.5469999999996</v>
      </c>
      <c r="T39" s="101">
        <v>6630.5879999999997</v>
      </c>
      <c r="U39" s="2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</row>
    <row r="40" spans="1:56" outlineLevel="1" x14ac:dyDescent="0.3">
      <c r="A40" t="s">
        <v>237</v>
      </c>
      <c r="B40" t="s">
        <v>236</v>
      </c>
      <c r="C40" t="s">
        <v>164</v>
      </c>
      <c r="D40" s="101">
        <v>52606.552000000003</v>
      </c>
      <c r="E40" s="101">
        <v>50544.129000000001</v>
      </c>
      <c r="F40" s="101">
        <v>39674.239000000001</v>
      </c>
      <c r="G40" s="101">
        <v>45449.053999999996</v>
      </c>
      <c r="H40" s="101">
        <v>41516.874000000003</v>
      </c>
      <c r="I40" s="101">
        <v>41083.057000000001</v>
      </c>
      <c r="J40" s="101">
        <v>36193.663</v>
      </c>
      <c r="K40" s="101">
        <v>35601.928999999996</v>
      </c>
      <c r="L40" s="101">
        <v>35792.313999999998</v>
      </c>
      <c r="M40" s="101">
        <v>31221.26</v>
      </c>
      <c r="N40" s="101">
        <v>32054.46</v>
      </c>
      <c r="O40" s="101">
        <v>30787.212</v>
      </c>
      <c r="P40" s="101">
        <v>30221.252</v>
      </c>
      <c r="Q40" s="101">
        <v>28508.875</v>
      </c>
      <c r="R40" s="101">
        <v>29071.42</v>
      </c>
      <c r="S40" s="101">
        <v>30460.023000000001</v>
      </c>
      <c r="T40" s="101">
        <v>24998.342000000001</v>
      </c>
      <c r="U40" s="2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</row>
    <row r="41" spans="1:56" outlineLevel="1" x14ac:dyDescent="0.3">
      <c r="A41" t="s">
        <v>238</v>
      </c>
      <c r="B41" t="s">
        <v>236</v>
      </c>
      <c r="C41" t="s">
        <v>164</v>
      </c>
      <c r="D41" s="101">
        <v>88923.519</v>
      </c>
      <c r="E41" s="101">
        <v>87134.815000000002</v>
      </c>
      <c r="F41" s="101">
        <v>80121.407000000007</v>
      </c>
      <c r="G41" s="101">
        <v>83938.626000000004</v>
      </c>
      <c r="H41" s="101">
        <v>84730.832999999999</v>
      </c>
      <c r="I41" s="101">
        <v>92180.353000000003</v>
      </c>
      <c r="J41" s="101">
        <v>80771.228000000003</v>
      </c>
      <c r="K41" s="101">
        <v>85062.74</v>
      </c>
      <c r="L41" s="101">
        <v>86508.377999999997</v>
      </c>
      <c r="M41" s="101">
        <v>70920.885999999999</v>
      </c>
      <c r="N41" s="101">
        <v>76833.895999999993</v>
      </c>
      <c r="O41" s="101">
        <v>81737.671000000002</v>
      </c>
      <c r="P41" s="101">
        <v>81410.203999999998</v>
      </c>
      <c r="Q41" s="101">
        <v>80473.873000000007</v>
      </c>
      <c r="R41" s="101">
        <v>79623.462</v>
      </c>
      <c r="S41" s="101">
        <v>78599.933999999994</v>
      </c>
      <c r="T41" s="101">
        <v>87709.744999999995</v>
      </c>
      <c r="U41" s="2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</row>
    <row r="42" spans="1:56" outlineLevel="1" x14ac:dyDescent="0.3">
      <c r="A42" t="s">
        <v>221</v>
      </c>
      <c r="B42" t="s">
        <v>236</v>
      </c>
      <c r="C42" t="s">
        <v>164</v>
      </c>
      <c r="D42" s="101">
        <v>57535.928999999996</v>
      </c>
      <c r="E42" s="101">
        <v>58934.423999999999</v>
      </c>
      <c r="F42" s="101">
        <v>58535.991999999998</v>
      </c>
      <c r="G42" s="101">
        <v>59852.565999999999</v>
      </c>
      <c r="H42" s="101">
        <v>60152.637000000002</v>
      </c>
      <c r="I42" s="101">
        <v>62776.294999999998</v>
      </c>
      <c r="J42" s="101">
        <v>60526.228000000003</v>
      </c>
      <c r="K42" s="101">
        <v>61813.091</v>
      </c>
      <c r="L42" s="101">
        <v>61544.726999999999</v>
      </c>
      <c r="M42" s="101">
        <v>58618.233999999997</v>
      </c>
      <c r="N42" s="101">
        <v>59488.019</v>
      </c>
      <c r="O42" s="101">
        <v>60514.434000000001</v>
      </c>
      <c r="P42" s="101">
        <v>60921.991999999998</v>
      </c>
      <c r="Q42" s="101">
        <v>60699.591</v>
      </c>
      <c r="R42" s="101">
        <v>60522.618000000002</v>
      </c>
      <c r="S42" s="101">
        <v>61271.582000000002</v>
      </c>
      <c r="T42" s="101">
        <v>64265.362000000001</v>
      </c>
      <c r="U42" s="2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</row>
    <row r="43" spans="1:56" outlineLevel="1" x14ac:dyDescent="0.3">
      <c r="A43" t="s">
        <v>223</v>
      </c>
      <c r="B43" t="s">
        <v>236</v>
      </c>
      <c r="C43" t="s">
        <v>164</v>
      </c>
      <c r="D43" s="101">
        <v>22254.137999999999</v>
      </c>
      <c r="E43" s="101">
        <v>21313.441999999999</v>
      </c>
      <c r="F43" s="101">
        <v>21659.581999999999</v>
      </c>
      <c r="G43" s="101">
        <v>21413.184000000001</v>
      </c>
      <c r="H43" s="101">
        <v>21360.257000000001</v>
      </c>
      <c r="I43" s="101">
        <v>23677.195</v>
      </c>
      <c r="J43" s="101">
        <v>21267.579000000002</v>
      </c>
      <c r="K43" s="101">
        <v>21519.539000000001</v>
      </c>
      <c r="L43" s="101">
        <v>22623.038</v>
      </c>
      <c r="M43" s="101">
        <v>20186.481</v>
      </c>
      <c r="N43" s="101">
        <v>21084.387999999999</v>
      </c>
      <c r="O43" s="101">
        <v>22096.582999999999</v>
      </c>
      <c r="P43" s="101">
        <v>22151.030999999999</v>
      </c>
      <c r="Q43" s="101">
        <v>21103.143</v>
      </c>
      <c r="R43" s="101">
        <v>20857.857</v>
      </c>
      <c r="S43" s="101">
        <v>20414.400000000001</v>
      </c>
      <c r="T43" s="101">
        <v>22600.253000000001</v>
      </c>
      <c r="U43" s="2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</row>
    <row r="44" spans="1:56" outlineLevel="1" x14ac:dyDescent="0.3">
      <c r="A44" t="s">
        <v>239</v>
      </c>
      <c r="B44" t="s">
        <v>236</v>
      </c>
      <c r="C44" t="s">
        <v>164</v>
      </c>
      <c r="D44" s="101">
        <v>34654.514999999992</v>
      </c>
      <c r="E44" s="101">
        <v>35862.283000000003</v>
      </c>
      <c r="F44" s="101">
        <v>38347.466</v>
      </c>
      <c r="G44" s="101">
        <v>41687.748</v>
      </c>
      <c r="H44" s="101">
        <v>42011.505999999994</v>
      </c>
      <c r="I44" s="101">
        <v>44508.723000000005</v>
      </c>
      <c r="J44" s="101">
        <v>39968.784999999996</v>
      </c>
      <c r="K44" s="101">
        <v>45132.963000000003</v>
      </c>
      <c r="L44" s="101">
        <v>45665.024999999994</v>
      </c>
      <c r="M44" s="101">
        <v>40391.963999999993</v>
      </c>
      <c r="N44" s="101">
        <v>41850.106000000007</v>
      </c>
      <c r="O44" s="101">
        <v>41199.443999999996</v>
      </c>
      <c r="P44" s="101">
        <v>41537.78</v>
      </c>
      <c r="Q44" s="101">
        <v>43508.32</v>
      </c>
      <c r="R44" s="101">
        <v>43573.317999999999</v>
      </c>
      <c r="S44" s="101">
        <v>42105.458999999995</v>
      </c>
      <c r="T44" s="101">
        <v>45777.600999999995</v>
      </c>
      <c r="U44" s="2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</row>
    <row r="45" spans="1:56" ht="17.25" customHeight="1" outlineLevel="1" x14ac:dyDescent="0.3">
      <c r="A45" t="s">
        <v>240</v>
      </c>
      <c r="B45" t="s">
        <v>236</v>
      </c>
      <c r="C45" t="s">
        <v>164</v>
      </c>
      <c r="D45" s="101">
        <v>1103.8509999999999</v>
      </c>
      <c r="E45" s="101">
        <v>1388.6080000000002</v>
      </c>
      <c r="F45" s="101">
        <v>1730.66</v>
      </c>
      <c r="G45" s="101">
        <v>2195.509</v>
      </c>
      <c r="H45" s="101">
        <v>2730.558</v>
      </c>
      <c r="I45" s="101">
        <v>3286.8789999999999</v>
      </c>
      <c r="J45" s="101">
        <v>3266.1109999999999</v>
      </c>
      <c r="K45" s="101">
        <v>3720.348</v>
      </c>
      <c r="L45" s="101">
        <v>4136.3869999999997</v>
      </c>
      <c r="M45" s="101">
        <v>4493.7150000000001</v>
      </c>
      <c r="N45" s="101">
        <v>5015.8780000000006</v>
      </c>
      <c r="O45" s="101">
        <v>5534.5560000000005</v>
      </c>
      <c r="P45" s="101">
        <v>6553.3490000000002</v>
      </c>
      <c r="Q45" s="101">
        <v>7109.3</v>
      </c>
      <c r="R45" s="101">
        <v>7764.4470000000001</v>
      </c>
      <c r="S45" s="101">
        <v>8350.866</v>
      </c>
      <c r="T45" s="101">
        <v>9830.7999999999993</v>
      </c>
      <c r="U45" s="2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</row>
    <row r="46" spans="1:56" outlineLevel="1" x14ac:dyDescent="0.3"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</row>
    <row r="47" spans="1:56" s="18" customFormat="1" outlineLevel="1" x14ac:dyDescent="0.3">
      <c r="A47" s="18" t="s">
        <v>241</v>
      </c>
    </row>
    <row r="48" spans="1:56" outlineLevel="1" x14ac:dyDescent="0.3">
      <c r="D48">
        <v>2005</v>
      </c>
      <c r="I48">
        <v>2010</v>
      </c>
      <c r="N48">
        <v>2015</v>
      </c>
      <c r="S48">
        <v>2020</v>
      </c>
      <c r="X48">
        <v>2025</v>
      </c>
      <c r="AC48">
        <v>2030</v>
      </c>
      <c r="AH48">
        <v>2035</v>
      </c>
      <c r="AM48">
        <v>2040</v>
      </c>
      <c r="AR48">
        <v>2045</v>
      </c>
      <c r="AW48">
        <v>2050</v>
      </c>
    </row>
    <row r="49" spans="1:49" outlineLevel="1" x14ac:dyDescent="0.3">
      <c r="A49" t="s">
        <v>34</v>
      </c>
      <c r="B49" t="s">
        <v>47</v>
      </c>
      <c r="C49" t="s">
        <v>164</v>
      </c>
      <c r="N49" s="21">
        <f>SUM(N50:N58)</f>
        <v>243.85928200000001</v>
      </c>
      <c r="AC49" s="21">
        <f>SUM(AC50:AC58)</f>
        <v>202.03036685928757</v>
      </c>
      <c r="AW49" s="21">
        <f>SUM(AW50:AW58)</f>
        <v>176.53296499858124</v>
      </c>
    </row>
    <row r="50" spans="1:49" outlineLevel="1" x14ac:dyDescent="0.3">
      <c r="A50" t="s">
        <v>242</v>
      </c>
      <c r="B50" t="s">
        <v>243</v>
      </c>
      <c r="C50" t="s">
        <v>164</v>
      </c>
      <c r="N50" s="21">
        <v>8.4511659999999988</v>
      </c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>
        <v>0.24901518725719585</v>
      </c>
      <c r="AM50" s="60"/>
      <c r="AO50" s="60"/>
      <c r="AW50" s="60">
        <v>0</v>
      </c>
    </row>
    <row r="51" spans="1:49" outlineLevel="1" x14ac:dyDescent="0.3">
      <c r="A51" t="s">
        <v>244</v>
      </c>
      <c r="B51" t="s">
        <v>243</v>
      </c>
      <c r="C51" t="s">
        <v>164</v>
      </c>
      <c r="N51" s="21">
        <v>31.966491999999999</v>
      </c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>
        <v>5.8139191163989477</v>
      </c>
      <c r="AM51" s="60"/>
      <c r="AO51" s="60"/>
      <c r="AW51" s="60">
        <v>4.8092688991948025E-2</v>
      </c>
    </row>
    <row r="52" spans="1:49" outlineLevel="1" x14ac:dyDescent="0.3">
      <c r="A52" t="s">
        <v>238</v>
      </c>
      <c r="B52" t="s">
        <v>243</v>
      </c>
      <c r="C52" t="s">
        <v>164</v>
      </c>
      <c r="N52" s="21">
        <v>75.694299999999998</v>
      </c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>
        <v>42.05337239941867</v>
      </c>
      <c r="AM52" s="60"/>
      <c r="AO52" s="60"/>
      <c r="AW52" s="60">
        <v>1.9875026661716308</v>
      </c>
    </row>
    <row r="53" spans="1:49" outlineLevel="1" x14ac:dyDescent="0.3">
      <c r="A53" t="s">
        <v>245</v>
      </c>
      <c r="B53" t="s">
        <v>243</v>
      </c>
      <c r="C53" t="s">
        <v>164</v>
      </c>
      <c r="N53" s="21">
        <v>0</v>
      </c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>
        <v>0</v>
      </c>
      <c r="AM53" s="60"/>
      <c r="AO53" s="60"/>
      <c r="AW53" s="60">
        <v>13.099553706694225</v>
      </c>
    </row>
    <row r="54" spans="1:49" outlineLevel="1" x14ac:dyDescent="0.3">
      <c r="A54" t="s">
        <v>246</v>
      </c>
      <c r="B54" t="s">
        <v>243</v>
      </c>
      <c r="C54" t="s">
        <v>164</v>
      </c>
      <c r="N54" s="21">
        <v>0</v>
      </c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>
        <v>0</v>
      </c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W54" s="60">
        <v>3.5004625588575333</v>
      </c>
    </row>
    <row r="55" spans="1:49" outlineLevel="1" x14ac:dyDescent="0.3">
      <c r="A55" t="s">
        <v>247</v>
      </c>
      <c r="B55" t="s">
        <v>243</v>
      </c>
      <c r="C55" t="s">
        <v>164</v>
      </c>
      <c r="N55" s="21">
        <v>21.131826</v>
      </c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>
        <v>19.711283887844754</v>
      </c>
      <c r="AM55" s="60"/>
      <c r="AO55" s="60"/>
      <c r="AW55" s="60">
        <v>16.661680341433261</v>
      </c>
    </row>
    <row r="56" spans="1:49" outlineLevel="1" x14ac:dyDescent="0.3">
      <c r="A56" t="s">
        <v>248</v>
      </c>
      <c r="B56" t="s">
        <v>243</v>
      </c>
      <c r="C56" t="s">
        <v>164</v>
      </c>
      <c r="N56" s="21">
        <v>42.015706000000023</v>
      </c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>
        <v>36.038487938746101</v>
      </c>
      <c r="AM56" s="60"/>
      <c r="AO56" s="60"/>
      <c r="AW56" s="60">
        <v>31.262538528711257</v>
      </c>
    </row>
    <row r="57" spans="1:49" outlineLevel="1" x14ac:dyDescent="0.3">
      <c r="A57" t="s">
        <v>249</v>
      </c>
      <c r="B57" t="s">
        <v>243</v>
      </c>
      <c r="C57" t="s">
        <v>164</v>
      </c>
      <c r="N57" s="21">
        <v>5.219214</v>
      </c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>
        <v>24.045357465895904</v>
      </c>
      <c r="AM57" s="60"/>
      <c r="AO57" s="60"/>
      <c r="AW57" s="60">
        <v>32.797224481946387</v>
      </c>
    </row>
    <row r="58" spans="1:49" outlineLevel="1" x14ac:dyDescent="0.3">
      <c r="A58" t="s">
        <v>221</v>
      </c>
      <c r="B58" t="s">
        <v>243</v>
      </c>
      <c r="C58" t="s">
        <v>164</v>
      </c>
      <c r="N58" s="21">
        <v>59.380578</v>
      </c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>
        <v>74.118930863725993</v>
      </c>
      <c r="AM58" s="60"/>
      <c r="AO58" s="60"/>
      <c r="AW58" s="60">
        <v>77.175910025774996</v>
      </c>
    </row>
    <row r="60" spans="1:49" s="5" customFormat="1" x14ac:dyDescent="0.3">
      <c r="A60" s="5" t="s">
        <v>38</v>
      </c>
      <c r="B60" s="5" t="s">
        <v>27</v>
      </c>
      <c r="C60" s="5" t="s">
        <v>28</v>
      </c>
    </row>
    <row r="61" spans="1:49" s="18" customFormat="1" outlineLevel="1" x14ac:dyDescent="0.3">
      <c r="A61" s="18" t="s">
        <v>204</v>
      </c>
    </row>
    <row r="62" spans="1:49" outlineLevel="1" x14ac:dyDescent="0.3">
      <c r="D62">
        <v>2005</v>
      </c>
      <c r="I62">
        <v>2010</v>
      </c>
      <c r="N62">
        <v>2015</v>
      </c>
      <c r="S62">
        <v>2020</v>
      </c>
      <c r="X62">
        <v>2025</v>
      </c>
      <c r="AC62">
        <v>2030</v>
      </c>
      <c r="AH62">
        <v>2035</v>
      </c>
      <c r="AM62">
        <v>2040</v>
      </c>
      <c r="AR62">
        <v>2045</v>
      </c>
      <c r="AW62">
        <v>2050</v>
      </c>
    </row>
    <row r="63" spans="1:49" outlineLevel="1" x14ac:dyDescent="0.3">
      <c r="A63" t="s">
        <v>220</v>
      </c>
      <c r="B63" t="s">
        <v>47</v>
      </c>
      <c r="C63" t="s">
        <v>168</v>
      </c>
      <c r="D63" s="45">
        <f>SUM(D94:D96)/D93</f>
        <v>0.46977532630781721</v>
      </c>
      <c r="E63" s="45">
        <f t="shared" ref="E63:T63" si="6">SUM(E94:E96)/E93</f>
        <v>0.46654900527690674</v>
      </c>
      <c r="F63" s="45">
        <f t="shared" si="6"/>
        <v>0.42854238751383511</v>
      </c>
      <c r="G63" s="45">
        <f t="shared" si="6"/>
        <v>0.43893855716032321</v>
      </c>
      <c r="H63" s="45">
        <f t="shared" si="6"/>
        <v>0.4325611479963074</v>
      </c>
      <c r="I63" s="45">
        <f t="shared" si="6"/>
        <v>0.42837593343907232</v>
      </c>
      <c r="J63" s="45">
        <f t="shared" si="6"/>
        <v>0.40796739342164745</v>
      </c>
      <c r="K63" s="45">
        <f t="shared" si="6"/>
        <v>0.40900116427895811</v>
      </c>
      <c r="L63" s="45">
        <f t="shared" si="6"/>
        <v>0.42420996831383556</v>
      </c>
      <c r="M63" s="45">
        <f t="shared" si="6"/>
        <v>0.39976759439794529</v>
      </c>
      <c r="N63" s="45">
        <f t="shared" si="6"/>
        <v>0.40364645037703101</v>
      </c>
      <c r="O63" s="45">
        <f t="shared" si="6"/>
        <v>0.4013427834894141</v>
      </c>
      <c r="P63" s="45">
        <f t="shared" si="6"/>
        <v>0.3896696785690813</v>
      </c>
      <c r="Q63" s="45">
        <f t="shared" si="6"/>
        <v>0.37705907920989373</v>
      </c>
      <c r="R63" s="45">
        <f t="shared" si="6"/>
        <v>0.37125220298055517</v>
      </c>
      <c r="S63" s="45">
        <f t="shared" si="6"/>
        <v>0.37283073696537039</v>
      </c>
      <c r="T63" s="45">
        <f t="shared" si="6"/>
        <v>0.38736503455267957</v>
      </c>
      <c r="AI63" s="123"/>
      <c r="AJ63" s="123"/>
      <c r="AK63" s="123"/>
      <c r="AL63" s="123"/>
      <c r="AM63" s="123"/>
      <c r="AN63" s="123"/>
    </row>
    <row r="64" spans="1:49" outlineLevel="1" x14ac:dyDescent="0.3">
      <c r="A64" t="s">
        <v>221</v>
      </c>
      <c r="B64" t="s">
        <v>47</v>
      </c>
      <c r="C64" t="s">
        <v>168</v>
      </c>
      <c r="D64" s="45">
        <f>D97/D93</f>
        <v>0.43587173387253614</v>
      </c>
      <c r="E64" s="45">
        <f t="shared" ref="E64:T64" si="7">E97/E93</f>
        <v>0.44263953493818436</v>
      </c>
      <c r="F64" s="45">
        <f t="shared" si="7"/>
        <v>0.4733741285294682</v>
      </c>
      <c r="G64" s="45">
        <f t="shared" si="7"/>
        <v>0.46008124193828176</v>
      </c>
      <c r="H64" s="45">
        <f t="shared" si="7"/>
        <v>0.46433032060009</v>
      </c>
      <c r="I64" s="45">
        <f t="shared" si="7"/>
        <v>0.45690739287852944</v>
      </c>
      <c r="J64" s="45">
        <f t="shared" si="7"/>
        <v>0.4856531334268267</v>
      </c>
      <c r="K64" s="45">
        <f t="shared" si="7"/>
        <v>0.48114768672670982</v>
      </c>
      <c r="L64" s="45">
        <f t="shared" si="7"/>
        <v>0.47215821540039998</v>
      </c>
      <c r="M64" s="45">
        <f t="shared" si="7"/>
        <v>0.49203882892340839</v>
      </c>
      <c r="N64" s="45">
        <f t="shared" si="7"/>
        <v>0.49050824982090641</v>
      </c>
      <c r="O64" s="45">
        <f t="shared" si="7"/>
        <v>0.48843921508254562</v>
      </c>
      <c r="P64" s="45">
        <f t="shared" si="7"/>
        <v>0.47587447664473675</v>
      </c>
      <c r="Q64" s="45">
        <f t="shared" si="7"/>
        <v>0.48340620804898637</v>
      </c>
      <c r="R64" s="45">
        <f t="shared" si="7"/>
        <v>0.48537196644057135</v>
      </c>
      <c r="S64" s="45">
        <f t="shared" si="7"/>
        <v>0.48050100174958998</v>
      </c>
      <c r="T64" s="45">
        <f t="shared" si="7"/>
        <v>0.46305091555486866</v>
      </c>
      <c r="AI64" s="50"/>
      <c r="AJ64" s="50"/>
      <c r="AK64" s="50"/>
      <c r="AL64" s="50"/>
      <c r="AM64" s="50"/>
    </row>
    <row r="65" spans="1:49" outlineLevel="1" x14ac:dyDescent="0.3">
      <c r="A65" t="s">
        <v>222</v>
      </c>
      <c r="B65" t="s">
        <v>47</v>
      </c>
      <c r="C65" t="s">
        <v>168</v>
      </c>
      <c r="D65" s="45">
        <f>D99/D93</f>
        <v>1.6231475757665589E-2</v>
      </c>
      <c r="E65" s="45">
        <f t="shared" ref="E65:T65" si="8">E99/E93</f>
        <v>1.667718329994472E-2</v>
      </c>
      <c r="F65" s="45">
        <f t="shared" si="8"/>
        <v>1.9280893713340821E-2</v>
      </c>
      <c r="G65" s="45">
        <f t="shared" si="8"/>
        <v>2.0766668754402466E-2</v>
      </c>
      <c r="H65" s="45">
        <f t="shared" si="8"/>
        <v>2.2327053275821882E-2</v>
      </c>
      <c r="I65" s="45">
        <f t="shared" si="8"/>
        <v>2.466136161866769E-2</v>
      </c>
      <c r="J65" s="45">
        <f t="shared" si="8"/>
        <v>2.2523938579858134E-2</v>
      </c>
      <c r="K65" s="45">
        <f t="shared" si="8"/>
        <v>2.4854537948667411E-2</v>
      </c>
      <c r="L65" s="45">
        <f t="shared" si="8"/>
        <v>2.5927110158447699E-2</v>
      </c>
      <c r="M65" s="45">
        <f t="shared" si="8"/>
        <v>2.5403763538107142E-2</v>
      </c>
      <c r="N65" s="45">
        <f t="shared" si="8"/>
        <v>2.5960112666573689E-2</v>
      </c>
      <c r="O65" s="45">
        <f t="shared" si="8"/>
        <v>2.7083884289632144E-2</v>
      </c>
      <c r="P65" s="45">
        <f t="shared" si="8"/>
        <v>2.8349170246117165E-2</v>
      </c>
      <c r="Q65" s="45">
        <f t="shared" si="8"/>
        <v>3.0277620751702011E-2</v>
      </c>
      <c r="R65" s="45">
        <f t="shared" si="8"/>
        <v>3.1400164373893077E-2</v>
      </c>
      <c r="S65" s="45">
        <f t="shared" si="8"/>
        <v>3.2722989521408848E-2</v>
      </c>
      <c r="T65" s="45">
        <f t="shared" si="8"/>
        <v>3.3162294389674447E-2</v>
      </c>
      <c r="AI65" s="50"/>
      <c r="AJ65" s="50"/>
      <c r="AK65" s="50"/>
      <c r="AL65" s="50"/>
      <c r="AM65" s="50"/>
    </row>
    <row r="66" spans="1:49" outlineLevel="1" x14ac:dyDescent="0.3">
      <c r="A66" t="s">
        <v>223</v>
      </c>
      <c r="D66" s="45">
        <f>D98/D93</f>
        <v>7.3785609496343885E-2</v>
      </c>
      <c r="E66" s="45">
        <f t="shared" ref="E66:T66" si="9">E98/E93</f>
        <v>6.9686819099244554E-2</v>
      </c>
      <c r="F66" s="45">
        <f t="shared" si="9"/>
        <v>7.3742028451669481E-2</v>
      </c>
      <c r="G66" s="45">
        <f t="shared" si="9"/>
        <v>7.4736691153790419E-2</v>
      </c>
      <c r="H66" s="45">
        <f t="shared" si="9"/>
        <v>7.4995722906510839E-2</v>
      </c>
      <c r="I66" s="45">
        <f t="shared" si="9"/>
        <v>8.4048790915898564E-2</v>
      </c>
      <c r="J66" s="45">
        <f t="shared" si="9"/>
        <v>7.5904285320061923E-2</v>
      </c>
      <c r="K66" s="45">
        <f t="shared" si="9"/>
        <v>7.637195082082876E-2</v>
      </c>
      <c r="L66" s="45">
        <f t="shared" si="9"/>
        <v>6.8352256156837946E-2</v>
      </c>
      <c r="M66" s="45">
        <f t="shared" si="9"/>
        <v>6.9000715456229059E-2</v>
      </c>
      <c r="N66" s="45">
        <f t="shared" si="9"/>
        <v>6.5831495193145781E-2</v>
      </c>
      <c r="O66" s="45">
        <f t="shared" si="9"/>
        <v>6.8021757007367095E-2</v>
      </c>
      <c r="P66" s="45">
        <f t="shared" si="9"/>
        <v>6.8986545014709175E-2</v>
      </c>
      <c r="Q66" s="45">
        <f t="shared" si="9"/>
        <v>7.0235507922787904E-2</v>
      </c>
      <c r="R66" s="45">
        <f t="shared" si="9"/>
        <v>7.0909369248125173E-2</v>
      </c>
      <c r="S66" s="45">
        <f t="shared" si="9"/>
        <v>6.985462919195802E-2</v>
      </c>
      <c r="T66" s="45">
        <f t="shared" si="9"/>
        <v>7.2671758306191506E-2</v>
      </c>
      <c r="AI66" s="50"/>
      <c r="AJ66" s="50"/>
      <c r="AK66" s="50"/>
      <c r="AL66" s="50"/>
      <c r="AM66" s="50"/>
    </row>
    <row r="67" spans="1:49" outlineLevel="1" x14ac:dyDescent="0.3">
      <c r="A67" t="s">
        <v>224</v>
      </c>
      <c r="B67" t="s">
        <v>47</v>
      </c>
      <c r="C67" t="s">
        <v>168</v>
      </c>
      <c r="D67" s="45">
        <f>(D100)/D93</f>
        <v>4.3358545656371613E-3</v>
      </c>
      <c r="E67" s="45">
        <f t="shared" ref="E67:T67" si="10">(E100)/E93</f>
        <v>4.4474573857195667E-3</v>
      </c>
      <c r="F67" s="45">
        <f t="shared" si="10"/>
        <v>5.0605617916864125E-3</v>
      </c>
      <c r="G67" s="45">
        <f t="shared" si="10"/>
        <v>5.4768409932022012E-3</v>
      </c>
      <c r="H67" s="45">
        <f t="shared" si="10"/>
        <v>5.7857552212696884E-3</v>
      </c>
      <c r="I67" s="45">
        <f t="shared" si="10"/>
        <v>6.0065211478320365E-3</v>
      </c>
      <c r="J67" s="45">
        <f t="shared" si="10"/>
        <v>7.9512492516058009E-3</v>
      </c>
      <c r="K67" s="45">
        <f t="shared" si="10"/>
        <v>8.6246602248359998E-3</v>
      </c>
      <c r="L67" s="45">
        <f t="shared" si="10"/>
        <v>9.3524499704789113E-3</v>
      </c>
      <c r="M67" s="45">
        <f t="shared" si="10"/>
        <v>1.3789097684310263E-2</v>
      </c>
      <c r="N67" s="45">
        <f t="shared" si="10"/>
        <v>1.4053691942343084E-2</v>
      </c>
      <c r="O67" s="45">
        <f t="shared" si="10"/>
        <v>1.5112360131041077E-2</v>
      </c>
      <c r="P67" s="45">
        <f t="shared" si="10"/>
        <v>3.7120129525355566E-2</v>
      </c>
      <c r="Q67" s="45">
        <f t="shared" si="10"/>
        <v>3.9021584066630005E-2</v>
      </c>
      <c r="R67" s="45">
        <f t="shared" si="10"/>
        <v>4.1066296956855361E-2</v>
      </c>
      <c r="S67" s="45">
        <f t="shared" si="10"/>
        <v>4.4090642571672882E-2</v>
      </c>
      <c r="T67" s="45">
        <f t="shared" si="10"/>
        <v>4.3749997196585774E-2</v>
      </c>
      <c r="AN67" s="31"/>
    </row>
    <row r="68" spans="1:49" outlineLevel="1" x14ac:dyDescent="0.3">
      <c r="A68" t="s">
        <v>225</v>
      </c>
      <c r="B68" t="s">
        <v>47</v>
      </c>
      <c r="C68" t="s">
        <v>168</v>
      </c>
      <c r="AC68" s="45">
        <f>SUM(AC105:AC107)/AC104</f>
        <v>0.21190182792914064</v>
      </c>
      <c r="AW68" s="45">
        <f>SUM(AW105:AW107)/AW104</f>
        <v>1.1546131030803972E-2</v>
      </c>
    </row>
    <row r="69" spans="1:49" outlineLevel="1" x14ac:dyDescent="0.3">
      <c r="A69" t="s">
        <v>226</v>
      </c>
      <c r="B69" t="s">
        <v>47</v>
      </c>
      <c r="C69" t="s">
        <v>168</v>
      </c>
      <c r="AC69" s="45">
        <f>AC113/AC104</f>
        <v>0.529779085724286</v>
      </c>
      <c r="AW69" s="45">
        <f>AW113/AW104</f>
        <v>0.5943462677268021</v>
      </c>
    </row>
    <row r="70" spans="1:49" outlineLevel="1" x14ac:dyDescent="0.3">
      <c r="A70" t="s">
        <v>227</v>
      </c>
      <c r="B70" t="s">
        <v>47</v>
      </c>
      <c r="C70" t="s">
        <v>168</v>
      </c>
      <c r="AC70" s="45">
        <f>AC111/AC104</f>
        <v>3.8991649707781441E-2</v>
      </c>
      <c r="AW70" s="45">
        <f>AW111/AW104</f>
        <v>4.8300676751841735E-2</v>
      </c>
    </row>
    <row r="71" spans="1:49" outlineLevel="1" x14ac:dyDescent="0.3">
      <c r="A71" t="s">
        <v>228</v>
      </c>
      <c r="AC71" s="45">
        <f>AC110/AC104</f>
        <v>7.2916317264676053E-2</v>
      </c>
      <c r="AW71" s="45">
        <f>AW110/AW104</f>
        <v>5.6887412304698751E-2</v>
      </c>
    </row>
    <row r="72" spans="1:49" outlineLevel="1" x14ac:dyDescent="0.3">
      <c r="A72" t="s">
        <v>229</v>
      </c>
      <c r="B72" t="s">
        <v>47</v>
      </c>
      <c r="C72" t="s">
        <v>168</v>
      </c>
      <c r="AC72" s="45">
        <f>(AC112+AC109+AC108)/AC104</f>
        <v>0.14641111937411588</v>
      </c>
      <c r="AH72" s="2"/>
      <c r="AI72" s="2"/>
      <c r="AJ72" s="2"/>
      <c r="AK72" s="2"/>
      <c r="AL72" s="2"/>
      <c r="AM72" s="2"/>
      <c r="AW72" s="45">
        <f>(AW112+AW109+AW108)/AW104</f>
        <v>0.28891951218585338</v>
      </c>
    </row>
    <row r="73" spans="1:49" outlineLevel="1" x14ac:dyDescent="0.3">
      <c r="A73" t="s">
        <v>230</v>
      </c>
      <c r="T73" s="45">
        <v>0.38736503455267957</v>
      </c>
      <c r="U73" s="45">
        <v>0.36786912270561972</v>
      </c>
      <c r="V73" s="45">
        <v>0.34837321085855982</v>
      </c>
      <c r="W73" s="45">
        <v>0.32887729901149998</v>
      </c>
      <c r="X73" s="45">
        <v>0.30938138716444008</v>
      </c>
      <c r="Y73" s="45">
        <v>0.28988547531738018</v>
      </c>
      <c r="Z73" s="45">
        <v>0.27038956347032034</v>
      </c>
      <c r="AA73" s="45">
        <v>0.25089365162326049</v>
      </c>
      <c r="AB73" s="45">
        <v>0.23139773977620059</v>
      </c>
      <c r="AC73" s="45">
        <v>0.21190182792914072</v>
      </c>
      <c r="AD73" s="45">
        <v>0.20188404308422389</v>
      </c>
      <c r="AE73" s="45">
        <v>0.19186625823930703</v>
      </c>
      <c r="AF73" s="45">
        <v>0.1818484733943902</v>
      </c>
      <c r="AG73" s="45">
        <v>0.17183068854947336</v>
      </c>
      <c r="AH73" s="45">
        <v>0.16181290370455653</v>
      </c>
      <c r="AI73" s="45">
        <v>0.1517951188596397</v>
      </c>
      <c r="AJ73" s="45">
        <v>0.14177733401472287</v>
      </c>
      <c r="AK73" s="45">
        <v>0.13175954916980603</v>
      </c>
      <c r="AL73" s="45">
        <v>0.12174176432488917</v>
      </c>
      <c r="AM73" s="45">
        <v>0.11172397947997234</v>
      </c>
      <c r="AN73" s="45">
        <v>0.10170619463505551</v>
      </c>
      <c r="AO73" s="45">
        <v>9.1688409790138675E-2</v>
      </c>
      <c r="AP73" s="45">
        <v>8.1670624945221815E-2</v>
      </c>
      <c r="AQ73" s="45">
        <v>7.1652840100304982E-2</v>
      </c>
      <c r="AR73" s="45">
        <v>6.1635055255388149E-2</v>
      </c>
      <c r="AS73" s="45">
        <v>5.1617270410471316E-2</v>
      </c>
      <c r="AT73" s="45">
        <v>4.1599485565554484E-2</v>
      </c>
      <c r="AU73" s="45">
        <v>3.1581700720637623E-2</v>
      </c>
      <c r="AV73" s="45">
        <v>2.156391587572079E-2</v>
      </c>
      <c r="AW73" s="45">
        <v>1.1546131030803958E-2</v>
      </c>
    </row>
    <row r="74" spans="1:49" outlineLevel="1" x14ac:dyDescent="0.3">
      <c r="A74" t="s">
        <v>231</v>
      </c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45">
        <v>0.46305091555486866</v>
      </c>
      <c r="U74" s="45">
        <v>0.47046515668480393</v>
      </c>
      <c r="V74" s="45">
        <v>0.47787939781473915</v>
      </c>
      <c r="W74" s="45">
        <v>0.48529363894467442</v>
      </c>
      <c r="X74" s="45">
        <v>0.49270788007460969</v>
      </c>
      <c r="Y74" s="45">
        <v>0.50012212120454491</v>
      </c>
      <c r="Z74" s="45">
        <v>0.50753636233448018</v>
      </c>
      <c r="AA74" s="45">
        <v>0.51495060346441546</v>
      </c>
      <c r="AB74" s="45">
        <v>0.52236484459435073</v>
      </c>
      <c r="AC74" s="45">
        <v>0.529779085724286</v>
      </c>
      <c r="AD74" s="45">
        <v>0.53300744482441187</v>
      </c>
      <c r="AE74" s="45">
        <v>0.53623580392453762</v>
      </c>
      <c r="AF74" s="45">
        <v>0.53946416302466349</v>
      </c>
      <c r="AG74" s="45">
        <v>0.54269252212478925</v>
      </c>
      <c r="AH74" s="45">
        <v>0.54592088122491511</v>
      </c>
      <c r="AI74" s="45">
        <v>0.54914924032504087</v>
      </c>
      <c r="AJ74" s="45">
        <v>0.55237759942516673</v>
      </c>
      <c r="AK74" s="45">
        <v>0.55560595852529249</v>
      </c>
      <c r="AL74" s="45">
        <v>0.55883431762541824</v>
      </c>
      <c r="AM74" s="45">
        <v>0.56206267672554411</v>
      </c>
      <c r="AN74" s="45">
        <v>0.56529103582566986</v>
      </c>
      <c r="AO74" s="45">
        <v>0.56851939492579573</v>
      </c>
      <c r="AP74" s="45">
        <v>0.57174775402592148</v>
      </c>
      <c r="AQ74" s="45">
        <v>0.57497611312604735</v>
      </c>
      <c r="AR74" s="45">
        <v>0.57820447222617311</v>
      </c>
      <c r="AS74" s="45">
        <v>0.58143283132629886</v>
      </c>
      <c r="AT74" s="45">
        <v>0.58466119042642473</v>
      </c>
      <c r="AU74" s="45">
        <v>0.58788954952655048</v>
      </c>
      <c r="AV74" s="45">
        <v>0.59111790862667635</v>
      </c>
      <c r="AW74" s="45">
        <v>0.5943462677268021</v>
      </c>
    </row>
    <row r="75" spans="1:49" outlineLevel="1" x14ac:dyDescent="0.3">
      <c r="A75" t="s">
        <v>231</v>
      </c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45">
        <v>4.374999719658576E-2</v>
      </c>
      <c r="U75" s="45">
        <v>5.5156788549644661E-2</v>
      </c>
      <c r="V75" s="45">
        <v>6.6563579902703562E-2</v>
      </c>
      <c r="W75" s="45">
        <v>7.7970371255762477E-2</v>
      </c>
      <c r="X75" s="45">
        <v>8.9377162608821364E-2</v>
      </c>
      <c r="Y75" s="45">
        <v>0.10078395396188028</v>
      </c>
      <c r="Z75" s="45">
        <v>0.11219074531493918</v>
      </c>
      <c r="AA75" s="45">
        <v>0.12359753666799808</v>
      </c>
      <c r="AB75" s="45">
        <v>0.135004328021057</v>
      </c>
      <c r="AC75" s="45">
        <v>0.14641111937411588</v>
      </c>
      <c r="AD75" s="45">
        <v>0.15353653901470274</v>
      </c>
      <c r="AE75" s="45">
        <v>0.16066195865528962</v>
      </c>
      <c r="AF75" s="45">
        <v>0.1677873782958765</v>
      </c>
      <c r="AG75" s="45">
        <v>0.17491279793646336</v>
      </c>
      <c r="AH75" s="45">
        <v>0.18203821757705024</v>
      </c>
      <c r="AI75" s="45">
        <v>0.18916363721763713</v>
      </c>
      <c r="AJ75" s="45">
        <v>0.19628905685822401</v>
      </c>
      <c r="AK75" s="45">
        <v>0.20341447649881086</v>
      </c>
      <c r="AL75" s="45">
        <v>0.21053989613939775</v>
      </c>
      <c r="AM75" s="45">
        <v>0.2176653157799846</v>
      </c>
      <c r="AN75" s="45">
        <v>0.22479073542057149</v>
      </c>
      <c r="AO75" s="45">
        <v>0.23191615506115837</v>
      </c>
      <c r="AP75" s="45">
        <v>0.23904157470174525</v>
      </c>
      <c r="AQ75" s="45">
        <v>0.24616699434233213</v>
      </c>
      <c r="AR75" s="45">
        <v>0.25329241398291902</v>
      </c>
      <c r="AS75" s="45">
        <v>0.26041783362350585</v>
      </c>
      <c r="AT75" s="45">
        <v>0.26754325326409273</v>
      </c>
      <c r="AU75" s="45">
        <v>0.27466867290467961</v>
      </c>
      <c r="AV75" s="45">
        <v>0.28179409254526649</v>
      </c>
      <c r="AW75" s="45">
        <v>0.28891951218585332</v>
      </c>
    </row>
    <row r="76" spans="1:49" outlineLevel="1" x14ac:dyDescent="0.3"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AC76" s="45"/>
      <c r="AH76" s="2"/>
      <c r="AI76" s="2"/>
      <c r="AJ76" s="2"/>
      <c r="AK76" s="2"/>
      <c r="AL76" s="2"/>
      <c r="AM76" s="2"/>
      <c r="AW76" s="45"/>
    </row>
    <row r="77" spans="1:49" outlineLevel="1" x14ac:dyDescent="0.3"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AC77" s="45"/>
      <c r="AH77" s="2"/>
      <c r="AI77" s="2"/>
      <c r="AJ77" s="2"/>
      <c r="AK77" s="2"/>
      <c r="AL77" s="2"/>
      <c r="AM77" s="2"/>
      <c r="AW77" s="45"/>
    </row>
    <row r="78" spans="1:49" outlineLevel="1" x14ac:dyDescent="0.3"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AC78" s="45"/>
      <c r="AH78" s="2"/>
      <c r="AI78" s="2"/>
      <c r="AJ78" s="2"/>
      <c r="AK78" s="2"/>
      <c r="AL78" s="2"/>
      <c r="AM78" s="2"/>
      <c r="AW78" s="45"/>
    </row>
    <row r="79" spans="1:49" outlineLevel="1" x14ac:dyDescent="0.3"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AC79" s="45"/>
      <c r="AH79" s="2"/>
      <c r="AI79" s="2"/>
      <c r="AJ79" s="2"/>
      <c r="AK79" s="2"/>
      <c r="AL79" s="2"/>
      <c r="AM79" s="2"/>
      <c r="AW79" s="45"/>
    </row>
    <row r="80" spans="1:49" outlineLevel="1" x14ac:dyDescent="0.3"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AC80" s="45"/>
      <c r="AH80" s="2"/>
      <c r="AI80" s="2"/>
      <c r="AJ80" s="2"/>
      <c r="AK80" s="2"/>
      <c r="AL80" s="2"/>
      <c r="AM80" s="2"/>
      <c r="AW80" s="45"/>
    </row>
    <row r="81" spans="1:56" outlineLevel="1" x14ac:dyDescent="0.3"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AC81" s="45"/>
      <c r="AH81" s="2"/>
      <c r="AI81" s="2"/>
      <c r="AJ81" s="2"/>
      <c r="AK81" s="2"/>
      <c r="AL81" s="2"/>
      <c r="AM81" s="2"/>
      <c r="AW81" s="45"/>
    </row>
    <row r="82" spans="1:56" outlineLevel="1" x14ac:dyDescent="0.3"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AC82" s="45"/>
      <c r="AH82" s="2"/>
      <c r="AI82" s="2"/>
      <c r="AJ82" s="2"/>
      <c r="AK82" s="2"/>
      <c r="AL82" s="2"/>
      <c r="AM82" s="2"/>
      <c r="AW82" s="45"/>
    </row>
    <row r="83" spans="1:56" outlineLevel="1" x14ac:dyDescent="0.3"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AC83" s="45"/>
      <c r="AH83" s="2"/>
      <c r="AI83" s="2"/>
      <c r="AJ83" s="2"/>
      <c r="AK83" s="2"/>
      <c r="AL83" s="2"/>
      <c r="AM83" s="2"/>
      <c r="AW83" s="45"/>
    </row>
    <row r="84" spans="1:56" outlineLevel="1" x14ac:dyDescent="0.3"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AC84" s="45"/>
      <c r="AH84" s="2"/>
      <c r="AI84" s="2"/>
      <c r="AJ84" s="2"/>
      <c r="AK84" s="2"/>
      <c r="AL84" s="2"/>
      <c r="AM84" s="2"/>
      <c r="AW84" s="45"/>
    </row>
    <row r="85" spans="1:56" outlineLevel="1" x14ac:dyDescent="0.3">
      <c r="D85" t="s">
        <v>48</v>
      </c>
      <c r="E85" t="s">
        <v>50</v>
      </c>
      <c r="F85" t="s">
        <v>52</v>
      </c>
      <c r="G85" s="102"/>
      <c r="H85" s="102"/>
      <c r="I85" s="102"/>
      <c r="J85" s="102"/>
      <c r="K85" s="102"/>
      <c r="L85" s="102"/>
      <c r="M85" s="106"/>
      <c r="N85" s="102"/>
      <c r="O85" s="102"/>
      <c r="P85" s="102"/>
      <c r="Q85" s="102"/>
      <c r="R85" s="102"/>
      <c r="S85" s="102"/>
      <c r="AC85" s="45"/>
      <c r="AH85" s="2"/>
      <c r="AI85" s="2"/>
      <c r="AJ85" s="2"/>
      <c r="AK85" s="2"/>
      <c r="AL85" s="2"/>
      <c r="AM85" s="2"/>
      <c r="AW85" s="45"/>
    </row>
    <row r="86" spans="1:56" outlineLevel="1" x14ac:dyDescent="0.3">
      <c r="A86" t="s">
        <v>220</v>
      </c>
      <c r="D86" s="31">
        <f>(T63-P63)/4</f>
        <v>-5.7616100410043392E-4</v>
      </c>
      <c r="E86" s="31">
        <f>(AC68-T63)/9</f>
        <v>-1.9495911847059882E-2</v>
      </c>
      <c r="F86" s="50">
        <f>AD73-AC73</f>
        <v>-1.0017784844916833E-2</v>
      </c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AC86" s="45"/>
      <c r="AH86" s="2"/>
      <c r="AI86" s="2"/>
      <c r="AJ86" s="2"/>
      <c r="AK86" s="2"/>
      <c r="AL86" s="2"/>
      <c r="AM86" s="2"/>
      <c r="AW86" s="45"/>
    </row>
    <row r="87" spans="1:56" outlineLevel="1" x14ac:dyDescent="0.3">
      <c r="A87" t="s">
        <v>221</v>
      </c>
      <c r="D87" s="31">
        <f>(T64-P64)/4</f>
        <v>-3.2058902724670241E-3</v>
      </c>
      <c r="E87" s="31">
        <f>(AC69-T64)/9</f>
        <v>7.4142411299352607E-3</v>
      </c>
      <c r="F87" s="50">
        <f>AE74-AD74</f>
        <v>3.228359100125755E-3</v>
      </c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AC87" s="45"/>
      <c r="AH87" s="2"/>
      <c r="AI87" s="2"/>
      <c r="AJ87" s="2"/>
      <c r="AK87" s="2"/>
      <c r="AL87" s="2"/>
      <c r="AM87" s="2"/>
      <c r="AW87" s="45"/>
    </row>
    <row r="88" spans="1:56" outlineLevel="1" x14ac:dyDescent="0.3">
      <c r="A88" t="s">
        <v>233</v>
      </c>
      <c r="D88" s="31">
        <f>(T67-P67)/4</f>
        <v>1.657466917807552E-3</v>
      </c>
      <c r="E88" s="31">
        <f>(AC72-T67)/9</f>
        <v>1.1406791353058901E-2</v>
      </c>
      <c r="F88" s="50">
        <f>AE75-AD75</f>
        <v>7.125419640586883E-3</v>
      </c>
      <c r="G88" s="102"/>
      <c r="H88" s="103" t="s">
        <v>250</v>
      </c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AC88" s="45"/>
      <c r="AH88" s="2"/>
      <c r="AI88" s="2"/>
      <c r="AJ88" s="2"/>
      <c r="AK88" s="2"/>
      <c r="AL88" s="2"/>
      <c r="AM88" s="2"/>
      <c r="AW88" s="45"/>
    </row>
    <row r="89" spans="1:56" outlineLevel="1" x14ac:dyDescent="0.3"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AC89" s="45"/>
      <c r="AH89" s="2"/>
      <c r="AI89" s="2"/>
      <c r="AJ89" s="2"/>
      <c r="AK89" s="2"/>
      <c r="AL89" s="2"/>
      <c r="AM89" s="2"/>
      <c r="AW89" s="45"/>
    </row>
    <row r="90" spans="1:56" outlineLevel="1" x14ac:dyDescent="0.3"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AC90" s="45"/>
      <c r="AH90" s="2"/>
      <c r="AI90" s="2"/>
      <c r="AJ90" s="2"/>
      <c r="AK90" s="2"/>
      <c r="AL90" s="2"/>
      <c r="AM90" s="2"/>
      <c r="AW90" s="45"/>
    </row>
    <row r="91" spans="1:56" s="18" customFormat="1" outlineLevel="1" x14ac:dyDescent="0.3">
      <c r="A91" s="18" t="s">
        <v>234</v>
      </c>
    </row>
    <row r="92" spans="1:56" outlineLevel="1" x14ac:dyDescent="0.3">
      <c r="D92">
        <v>2005</v>
      </c>
      <c r="I92">
        <v>2010</v>
      </c>
      <c r="N92">
        <v>2015</v>
      </c>
      <c r="S92">
        <v>2020</v>
      </c>
      <c r="X92">
        <v>2025</v>
      </c>
      <c r="AC92">
        <v>2030</v>
      </c>
      <c r="AH92">
        <v>2035</v>
      </c>
      <c r="AM92">
        <v>2040</v>
      </c>
      <c r="AR92">
        <v>2045</v>
      </c>
      <c r="AW92">
        <v>2050</v>
      </c>
    </row>
    <row r="93" spans="1:56" outlineLevel="1" x14ac:dyDescent="0.3">
      <c r="A93" t="s">
        <v>34</v>
      </c>
      <c r="B93" t="s">
        <v>47</v>
      </c>
      <c r="C93" t="s">
        <v>164</v>
      </c>
      <c r="D93" s="4">
        <f>SUM(D94:D100)</f>
        <v>127980.538</v>
      </c>
      <c r="E93" s="4">
        <f t="shared" ref="E93" si="11">SUM(E94:E100)</f>
        <v>133009.93100000001</v>
      </c>
      <c r="F93" s="4">
        <f t="shared" ref="F93" si="12">SUM(F94:F100)</f>
        <v>126299.02099999999</v>
      </c>
      <c r="G93" s="4">
        <f t="shared" ref="G93" si="13">SUM(G94:G100)</f>
        <v>134180.45199999999</v>
      </c>
      <c r="H93" s="4">
        <f t="shared" ref="H93" si="14">SUM(H94:H100)</f>
        <v>134343.56800000003</v>
      </c>
      <c r="I93" s="4">
        <f t="shared" ref="I93" si="15">SUM(I94:I100)</f>
        <v>139983.02499999999</v>
      </c>
      <c r="J93" s="4">
        <f t="shared" ref="J93" si="16">SUM(J94:J100)</f>
        <v>128306.379</v>
      </c>
      <c r="K93" s="4">
        <f t="shared" ref="K93" si="17">SUM(K94:K100)</f>
        <v>131148.12299999999</v>
      </c>
      <c r="L93" s="4">
        <f t="shared" ref="L93" si="18">SUM(L94:L100)</f>
        <v>132725.43599999999</v>
      </c>
      <c r="M93" s="4">
        <f t="shared" ref="M93" si="19">SUM(M94:M100)</f>
        <v>123435.92299999998</v>
      </c>
      <c r="N93" s="4">
        <f t="shared" ref="N93" si="20">SUM(N94:N100)</f>
        <v>128519.39600000001</v>
      </c>
      <c r="O93" s="4">
        <f t="shared" ref="O93" si="21">SUM(O94:O100)</f>
        <v>130171.39499999999</v>
      </c>
      <c r="P93" s="4">
        <f t="shared" ref="P93" si="22">SUM(P94:P100)</f>
        <v>133882.049</v>
      </c>
      <c r="Q93" s="4">
        <f t="shared" ref="Q93" si="23">SUM(Q94:Q100)</f>
        <v>131662.492</v>
      </c>
      <c r="R93" s="4">
        <f t="shared" ref="R93" si="24">SUM(R94:R100)</f>
        <v>128567.86199999998</v>
      </c>
      <c r="S93" s="4">
        <f t="shared" ref="S93" si="25">SUM(S94:S100)</f>
        <v>121224.40699999998</v>
      </c>
      <c r="T93" s="4">
        <f t="shared" ref="T93" si="26">SUM(T94:T100)</f>
        <v>129306.61400000002</v>
      </c>
    </row>
    <row r="94" spans="1:56" outlineLevel="1" x14ac:dyDescent="0.3">
      <c r="A94" t="s">
        <v>251</v>
      </c>
      <c r="B94" t="s">
        <v>236</v>
      </c>
      <c r="C94" t="s">
        <v>164</v>
      </c>
      <c r="D94" s="101">
        <f>'Energy balances (for buildings)'!B57+'Energy balances (for buildings)'!B66+'Energy balances (for buildings)'!B71+'Energy balances (for buildings)'!B99</f>
        <v>1365.4659999999999</v>
      </c>
      <c r="E94" s="101">
        <f>'Energy balances (for buildings)'!C57+'Energy balances (for buildings)'!C66+'Energy balances (for buildings)'!C71+'Energy balances (for buildings)'!C99</f>
        <v>1615.0420000000001</v>
      </c>
      <c r="F94" s="101">
        <f>'Energy balances (for buildings)'!D57+'Energy balances (for buildings)'!D66+'Energy balances (for buildings)'!D71+'Energy balances (for buildings)'!D99</f>
        <v>1588.8319999999997</v>
      </c>
      <c r="G94" s="101">
        <f>'Energy balances (for buildings)'!E57+'Energy balances (for buildings)'!E66+'Energy balances (for buildings)'!E71+'Energy balances (for buildings)'!E99</f>
        <v>1689.4809999999998</v>
      </c>
      <c r="H94" s="101">
        <f>'Energy balances (for buildings)'!F57+'Energy balances (for buildings)'!F66+'Energy balances (for buildings)'!F71+'Energy balances (for buildings)'!F99</f>
        <v>1920.9969999999998</v>
      </c>
      <c r="I94" s="101">
        <f>'Energy balances (for buildings)'!G57+'Energy balances (for buildings)'!G66+'Energy balances (for buildings)'!G71+'Energy balances (for buildings)'!G99</f>
        <v>1842.4050000000002</v>
      </c>
      <c r="J94" s="101">
        <f>'Energy balances (for buildings)'!H57+'Energy balances (for buildings)'!H66+'Energy balances (for buildings)'!H71+'Energy balances (for buildings)'!H99</f>
        <v>1564.9140000000002</v>
      </c>
      <c r="K94" s="101">
        <f>'Energy balances (for buildings)'!I57+'Energy balances (for buildings)'!I66+'Energy balances (for buildings)'!I71+'Energy balances (for buildings)'!I99</f>
        <v>1322.2720000000002</v>
      </c>
      <c r="L94" s="101">
        <f>'Energy balances (for buildings)'!J57+'Energy balances (for buildings)'!J66+'Energy balances (for buildings)'!J71+'Energy balances (for buildings)'!J99</f>
        <v>1342.0609999999999</v>
      </c>
      <c r="M94" s="101">
        <f>'Energy balances (for buildings)'!K57+'Energy balances (for buildings)'!K66+'Energy balances (for buildings)'!K71+'Energy balances (for buildings)'!K99</f>
        <v>1176.1510000000001</v>
      </c>
      <c r="N94" s="101">
        <f>'Energy balances (for buildings)'!L57+'Energy balances (for buildings)'!L66+'Energy balances (for buildings)'!L71+'Energy balances (for buildings)'!L99</f>
        <v>1213.2139999999999</v>
      </c>
      <c r="O94" s="101">
        <f>'Energy balances (for buildings)'!M57+'Energy balances (for buildings)'!M66+'Energy balances (for buildings)'!M71+'Energy balances (for buildings)'!M99</f>
        <v>1079.346</v>
      </c>
      <c r="P94" s="101">
        <f>'Energy balances (for buildings)'!N57+'Energy balances (for buildings)'!N66+'Energy balances (for buildings)'!N71+'Energy balances (for buildings)'!N99</f>
        <v>1093.0639999999999</v>
      </c>
      <c r="Q94" s="101">
        <f>'Energy balances (for buildings)'!O57+'Energy balances (for buildings)'!O66+'Energy balances (for buildings)'!O71+'Energy balances (for buildings)'!O99</f>
        <v>1016.742</v>
      </c>
      <c r="R94" s="101">
        <f>'Energy balances (for buildings)'!P57+'Energy balances (for buildings)'!P66+'Energy balances (for buildings)'!P71+'Energy balances (for buildings)'!P99</f>
        <v>927.11099999999988</v>
      </c>
      <c r="S94" s="101">
        <f>'Energy balances (for buildings)'!Q57+'Energy balances (for buildings)'!Q66+'Energy balances (for buildings)'!Q71+'Energy balances (for buildings)'!Q99</f>
        <v>897.67199999999991</v>
      </c>
      <c r="T94" s="101">
        <f>'Energy balances (for buildings)'!R57+'Energy balances (for buildings)'!R66+'Energy balances (for buildings)'!R71+'Energy balances (for buildings)'!R99</f>
        <v>1067.8610000000001</v>
      </c>
      <c r="U94" s="2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</row>
    <row r="95" spans="1:56" outlineLevel="1" x14ac:dyDescent="0.3">
      <c r="A95" t="s">
        <v>237</v>
      </c>
      <c r="B95" t="s">
        <v>236</v>
      </c>
      <c r="C95" t="s">
        <v>164</v>
      </c>
      <c r="D95" s="101">
        <f>'Energy balances (for buildings)'!B75</f>
        <v>22059.442999999999</v>
      </c>
      <c r="E95" s="101">
        <f>'Energy balances (for buildings)'!C75</f>
        <v>21220.915000000001</v>
      </c>
      <c r="F95" s="101">
        <f>'Energy balances (for buildings)'!D75</f>
        <v>17277.784</v>
      </c>
      <c r="G95" s="101">
        <f>'Energy balances (for buildings)'!E75</f>
        <v>19699.341</v>
      </c>
      <c r="H95" s="101">
        <f>'Energy balances (for buildings)'!F75</f>
        <v>18082.638999999999</v>
      </c>
      <c r="I95" s="101">
        <f>'Energy balances (for buildings)'!G75</f>
        <v>17761.062999999998</v>
      </c>
      <c r="J95" s="101">
        <f>'Energy balances (for buildings)'!H75</f>
        <v>15799.021000000001</v>
      </c>
      <c r="K95" s="101">
        <f>'Energy balances (for buildings)'!I75</f>
        <v>15811.522999999999</v>
      </c>
      <c r="L95" s="101">
        <f>'Energy balances (for buildings)'!J75</f>
        <v>16352.81</v>
      </c>
      <c r="M95" s="101">
        <f>'Energy balances (for buildings)'!K75</f>
        <v>14633.463</v>
      </c>
      <c r="N95" s="101">
        <f>'Energy balances (for buildings)'!L75</f>
        <v>14666.912</v>
      </c>
      <c r="O95" s="101">
        <f>'Energy balances (for buildings)'!M75</f>
        <v>14633.103999999999</v>
      </c>
      <c r="P95" s="101">
        <f>'Energy balances (for buildings)'!N75</f>
        <v>14667.040999999999</v>
      </c>
      <c r="Q95" s="101">
        <f>'Energy balances (for buildings)'!O75</f>
        <v>10804.322</v>
      </c>
      <c r="R95" s="101">
        <f>'Energy balances (for buildings)'!P75</f>
        <v>10633.18</v>
      </c>
      <c r="S95" s="101">
        <f>'Energy balances (for buildings)'!Q75</f>
        <v>9736.8050000000003</v>
      </c>
      <c r="T95" s="101">
        <f>'Energy balances (for buildings)'!R75</f>
        <v>10844.84</v>
      </c>
      <c r="U95" s="2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</row>
    <row r="96" spans="1:56" outlineLevel="1" x14ac:dyDescent="0.3">
      <c r="A96" t="s">
        <v>238</v>
      </c>
      <c r="B96" t="s">
        <v>236</v>
      </c>
      <c r="C96" t="s">
        <v>164</v>
      </c>
      <c r="D96" s="101">
        <f>'Energy balances (for buildings)'!B74</f>
        <v>36697.19</v>
      </c>
      <c r="E96" s="101">
        <v>39219.694000000003</v>
      </c>
      <c r="F96" s="101">
        <v>35257.868000000002</v>
      </c>
      <c r="G96" s="101">
        <v>37508.152000000002</v>
      </c>
      <c r="H96" s="101">
        <v>38108.171999999999</v>
      </c>
      <c r="I96" s="101">
        <v>40361.891000000003</v>
      </c>
      <c r="J96" s="101">
        <v>34980.883999999998</v>
      </c>
      <c r="K96" s="101">
        <v>36505.94</v>
      </c>
      <c r="L96" s="101">
        <v>38608.582000000002</v>
      </c>
      <c r="M96" s="101">
        <v>33536.067999999999</v>
      </c>
      <c r="N96" s="101">
        <v>35996.271999999997</v>
      </c>
      <c r="O96" s="101">
        <v>36530.9</v>
      </c>
      <c r="P96" s="101">
        <v>36409.67</v>
      </c>
      <c r="Q96" s="101">
        <v>37823.474000000002</v>
      </c>
      <c r="R96" s="101">
        <v>36170.811000000002</v>
      </c>
      <c r="S96" s="101">
        <v>34561.707999999999</v>
      </c>
      <c r="T96" s="101">
        <v>38176.160000000003</v>
      </c>
      <c r="U96" s="2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</row>
    <row r="97" spans="1:56" outlineLevel="1" x14ac:dyDescent="0.3">
      <c r="A97" t="s">
        <v>221</v>
      </c>
      <c r="B97" t="s">
        <v>236</v>
      </c>
      <c r="C97" t="s">
        <v>164</v>
      </c>
      <c r="D97" s="101">
        <f>'Energy balances (for buildings)'!B102</f>
        <v>55783.099000000002</v>
      </c>
      <c r="E97" s="101">
        <v>58875.453999999998</v>
      </c>
      <c r="F97" s="101">
        <v>59786.688999999998</v>
      </c>
      <c r="G97" s="101">
        <v>61733.909</v>
      </c>
      <c r="H97" s="101">
        <v>62379.792000000001</v>
      </c>
      <c r="I97" s="101">
        <v>63959.279000000002</v>
      </c>
      <c r="J97" s="101">
        <v>62312.394999999997</v>
      </c>
      <c r="K97" s="101">
        <v>63101.616000000002</v>
      </c>
      <c r="L97" s="101">
        <v>62667.404999999999</v>
      </c>
      <c r="M97" s="101">
        <v>60735.267</v>
      </c>
      <c r="N97" s="101">
        <v>63039.824000000001</v>
      </c>
      <c r="O97" s="101">
        <v>63580.813999999998</v>
      </c>
      <c r="P97" s="101">
        <v>63711.05</v>
      </c>
      <c r="Q97" s="101">
        <v>63646.466</v>
      </c>
      <c r="R97" s="101">
        <v>62403.235999999997</v>
      </c>
      <c r="S97" s="101">
        <v>58248.449000000001</v>
      </c>
      <c r="T97" s="101">
        <v>59875.546000000002</v>
      </c>
      <c r="U97" s="2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</row>
    <row r="98" spans="1:56" outlineLevel="1" x14ac:dyDescent="0.3">
      <c r="A98" t="s">
        <v>223</v>
      </c>
      <c r="B98" t="s">
        <v>236</v>
      </c>
      <c r="C98" t="s">
        <v>164</v>
      </c>
      <c r="D98" s="101">
        <f>'Energy balances (for buildings)'!B103</f>
        <v>9443.1219999999994</v>
      </c>
      <c r="E98" s="101">
        <v>9269.0390000000007</v>
      </c>
      <c r="F98" s="101">
        <v>9313.5460000000003</v>
      </c>
      <c r="G98" s="101">
        <v>10028.203</v>
      </c>
      <c r="H98" s="101">
        <v>10075.192999999999</v>
      </c>
      <c r="I98" s="101">
        <v>11765.404</v>
      </c>
      <c r="J98" s="101">
        <v>9739.0040000000008</v>
      </c>
      <c r="K98" s="101">
        <v>10016.038</v>
      </c>
      <c r="L98" s="101">
        <v>9072.0830000000005</v>
      </c>
      <c r="M98" s="101">
        <v>8517.1669999999995</v>
      </c>
      <c r="N98" s="101">
        <v>8460.6239999999998</v>
      </c>
      <c r="O98" s="101">
        <v>8854.4869999999992</v>
      </c>
      <c r="P98" s="101">
        <v>9236.06</v>
      </c>
      <c r="Q98" s="101">
        <v>9247.3819999999996</v>
      </c>
      <c r="R98" s="101">
        <v>9116.6659999999993</v>
      </c>
      <c r="S98" s="101">
        <v>8468.0859999999993</v>
      </c>
      <c r="T98" s="101">
        <v>9396.9390000000003</v>
      </c>
      <c r="U98" s="2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</row>
    <row r="99" spans="1:56" outlineLevel="1" x14ac:dyDescent="0.3">
      <c r="A99" t="s">
        <v>239</v>
      </c>
      <c r="B99" t="s">
        <v>236</v>
      </c>
      <c r="C99" t="s">
        <v>164</v>
      </c>
      <c r="D99" s="101">
        <f>SUM('Energy balances (for buildings)'!B91:B98)</f>
        <v>2077.3129999999996</v>
      </c>
      <c r="E99" s="101">
        <f>SUM('Energy balances (for buildings)'!C91:C98)</f>
        <v>2218.2309999999998</v>
      </c>
      <c r="F99" s="101">
        <f>SUM('Energy balances (for buildings)'!D91:D98)</f>
        <v>2435.1580000000004</v>
      </c>
      <c r="G99" s="101">
        <f>SUM('Energy balances (for buildings)'!E91:E98)</f>
        <v>2786.4809999999998</v>
      </c>
      <c r="H99" s="101">
        <f>SUM('Energy balances (for buildings)'!F91:F98)</f>
        <v>2999.4960000000005</v>
      </c>
      <c r="I99" s="101">
        <f>SUM('Energy balances (for buildings)'!G91:G98)</f>
        <v>3452.1719999999996</v>
      </c>
      <c r="J99" s="101">
        <f>SUM('Energy balances (for buildings)'!H91:H98)</f>
        <v>2889.9649999999997</v>
      </c>
      <c r="K99" s="101">
        <f>SUM('Energy balances (for buildings)'!I91:I98)</f>
        <v>3259.6260000000011</v>
      </c>
      <c r="L99" s="101">
        <f>SUM('Energy balances (for buildings)'!J91:J98)</f>
        <v>3441.1869999999994</v>
      </c>
      <c r="M99" s="101">
        <f>SUM('Energy balances (for buildings)'!K91:K98)</f>
        <v>3135.7370000000001</v>
      </c>
      <c r="N99" s="101">
        <f>SUM('Energy balances (for buildings)'!L91:L98)</f>
        <v>3336.3780000000002</v>
      </c>
      <c r="O99" s="101">
        <f>SUM('Energy balances (for buildings)'!M91:M98)</f>
        <v>3525.547</v>
      </c>
      <c r="P99" s="101">
        <f>SUM('Energy balances (for buildings)'!N91:N98)</f>
        <v>3795.4450000000002</v>
      </c>
      <c r="Q99" s="101">
        <f>SUM('Energy balances (for buildings)'!O91:O98)</f>
        <v>3986.4270000000001</v>
      </c>
      <c r="R99" s="101">
        <f>SUM('Energy balances (for buildings)'!P91:P98)</f>
        <v>4037.0520000000006</v>
      </c>
      <c r="S99" s="101">
        <f>SUM('Energy balances (for buildings)'!Q91:Q98)</f>
        <v>3966.8250000000003</v>
      </c>
      <c r="T99" s="101">
        <f>SUM('Energy balances (for buildings)'!R91:R98)</f>
        <v>4288.1040000000003</v>
      </c>
      <c r="U99" s="2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</row>
    <row r="100" spans="1:56" ht="17.25" customHeight="1" outlineLevel="1" x14ac:dyDescent="0.3">
      <c r="A100" t="s">
        <v>240</v>
      </c>
      <c r="B100" t="s">
        <v>236</v>
      </c>
      <c r="C100" t="s">
        <v>164</v>
      </c>
      <c r="D100" s="101">
        <f>'Energy balances (for buildings)'!B86-'B5a&amp;b energy mix new'!D99</f>
        <v>554.9050000000002</v>
      </c>
      <c r="E100" s="101">
        <f>'Energy balances (for buildings)'!C86-'B5a&amp;b energy mix new'!E99</f>
        <v>591.55600000000004</v>
      </c>
      <c r="F100" s="101">
        <f>'Energy balances (for buildings)'!D86-'B5a&amp;b energy mix new'!F99</f>
        <v>639.14399999999978</v>
      </c>
      <c r="G100" s="101">
        <f>'Energy balances (for buildings)'!E86-'B5a&amp;b energy mix new'!G99</f>
        <v>734.88500000000022</v>
      </c>
      <c r="H100" s="101">
        <f>'Energy balances (for buildings)'!F86-'B5a&amp;b energy mix new'!H99</f>
        <v>777.27899999999954</v>
      </c>
      <c r="I100" s="101">
        <f>'Energy balances (for buildings)'!G86-'B5a&amp;b energy mix new'!I99</f>
        <v>840.8110000000006</v>
      </c>
      <c r="J100" s="101">
        <f>'Energy balances (for buildings)'!H86-'B5a&amp;b energy mix new'!J99</f>
        <v>1020.1960000000004</v>
      </c>
      <c r="K100" s="101">
        <f>'Energy balances (for buildings)'!I86-'B5a&amp;b energy mix new'!K99</f>
        <v>1131.1079999999993</v>
      </c>
      <c r="L100" s="101">
        <f>'Energy balances (for buildings)'!J86-'B5a&amp;b energy mix new'!L99</f>
        <v>1241.3080000000004</v>
      </c>
      <c r="M100" s="101">
        <f>'Energy balances (for buildings)'!K86-'B5a&amp;b energy mix new'!M99</f>
        <v>1702.0699999999997</v>
      </c>
      <c r="N100" s="101">
        <f>'Energy balances (for buildings)'!L86-'B5a&amp;b energy mix new'!N99</f>
        <v>1806.172</v>
      </c>
      <c r="O100" s="101">
        <f>'Energy balances (for buildings)'!M86-'B5a&amp;b energy mix new'!O99</f>
        <v>1967.1969999999997</v>
      </c>
      <c r="P100" s="101">
        <f>'Energy balances (for buildings)'!N86-'B5a&amp;b energy mix new'!P99</f>
        <v>4969.719000000001</v>
      </c>
      <c r="Q100" s="101">
        <f>'Energy balances (for buildings)'!O86-'B5a&amp;b energy mix new'!Q99</f>
        <v>5137.6790000000001</v>
      </c>
      <c r="R100" s="101">
        <f>'Energy balances (for buildings)'!P86-'B5a&amp;b energy mix new'!R99</f>
        <v>5279.8059999999996</v>
      </c>
      <c r="S100" s="101">
        <f>'Energy balances (for buildings)'!Q86-'B5a&amp;b energy mix new'!S99</f>
        <v>5344.8619999999992</v>
      </c>
      <c r="T100" s="101">
        <f>'Energy balances (for buildings)'!R86-'B5a&amp;b energy mix new'!T99</f>
        <v>5657.1639999999998</v>
      </c>
      <c r="U100" s="2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</row>
    <row r="101" spans="1:56" outlineLevel="1" x14ac:dyDescent="0.3"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</row>
    <row r="102" spans="1:56" s="18" customFormat="1" outlineLevel="1" x14ac:dyDescent="0.3">
      <c r="A102" s="18" t="s">
        <v>241</v>
      </c>
    </row>
    <row r="103" spans="1:56" outlineLevel="1" x14ac:dyDescent="0.3">
      <c r="D103">
        <v>2005</v>
      </c>
      <c r="I103">
        <v>2010</v>
      </c>
      <c r="N103">
        <v>2015</v>
      </c>
      <c r="S103">
        <v>2020</v>
      </c>
      <c r="X103">
        <v>2025</v>
      </c>
      <c r="AC103">
        <v>2030</v>
      </c>
      <c r="AH103">
        <v>2035</v>
      </c>
      <c r="AM103">
        <v>2040</v>
      </c>
      <c r="AR103">
        <v>2045</v>
      </c>
      <c r="AW103">
        <v>2050</v>
      </c>
    </row>
    <row r="104" spans="1:56" outlineLevel="1" x14ac:dyDescent="0.3">
      <c r="A104" t="s">
        <v>34</v>
      </c>
      <c r="B104" t="s">
        <v>47</v>
      </c>
      <c r="C104" t="s">
        <v>164</v>
      </c>
      <c r="N104" s="21">
        <f>SUM(N105:N113)</f>
        <v>130.033772</v>
      </c>
      <c r="AC104" s="21">
        <f>SUM(AC105:AC113)</f>
        <v>119.48154690330556</v>
      </c>
      <c r="AW104" s="21">
        <f>SUM(AW105:AW113)</f>
        <v>107.73360401267988</v>
      </c>
    </row>
    <row r="105" spans="1:56" outlineLevel="1" x14ac:dyDescent="0.3">
      <c r="A105" t="s">
        <v>242</v>
      </c>
      <c r="B105" t="s">
        <v>243</v>
      </c>
      <c r="C105" t="s">
        <v>164</v>
      </c>
      <c r="N105" s="21">
        <v>1.0490119999999998</v>
      </c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>
        <v>4.556857471989615E-2</v>
      </c>
      <c r="AM105" s="60"/>
      <c r="AO105" s="60"/>
      <c r="AW105" s="60">
        <v>0</v>
      </c>
    </row>
    <row r="106" spans="1:56" outlineLevel="1" x14ac:dyDescent="0.3">
      <c r="A106" t="s">
        <v>244</v>
      </c>
      <c r="B106" t="s">
        <v>243</v>
      </c>
      <c r="C106" t="s">
        <v>164</v>
      </c>
      <c r="N106" s="21">
        <v>14.607473000000001</v>
      </c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>
        <v>3.2431130605046632</v>
      </c>
      <c r="AM106" s="60"/>
      <c r="AO106" s="60"/>
      <c r="AW106" s="60">
        <v>2.3685866191223278E-3</v>
      </c>
    </row>
    <row r="107" spans="1:56" outlineLevel="1" x14ac:dyDescent="0.3">
      <c r="A107" t="s">
        <v>238</v>
      </c>
      <c r="B107" t="s">
        <v>243</v>
      </c>
      <c r="C107" t="s">
        <v>164</v>
      </c>
      <c r="N107" s="21">
        <v>38.131186999999997</v>
      </c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>
        <v>22.029676557387241</v>
      </c>
      <c r="AM107" s="60"/>
      <c r="AO107" s="60"/>
      <c r="AW107" s="60">
        <v>1.241537721732028</v>
      </c>
    </row>
    <row r="108" spans="1:56" outlineLevel="1" x14ac:dyDescent="0.3">
      <c r="A108" t="s">
        <v>245</v>
      </c>
      <c r="B108" t="s">
        <v>243</v>
      </c>
      <c r="C108" t="s">
        <v>164</v>
      </c>
      <c r="N108" s="21">
        <v>0</v>
      </c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>
        <v>0</v>
      </c>
      <c r="AM108" s="60"/>
      <c r="AO108" s="60"/>
      <c r="AW108" s="60">
        <v>8.1829274201894613</v>
      </c>
    </row>
    <row r="109" spans="1:56" outlineLevel="1" x14ac:dyDescent="0.3">
      <c r="A109" t="s">
        <v>246</v>
      </c>
      <c r="B109" t="s">
        <v>243</v>
      </c>
      <c r="C109" t="s">
        <v>164</v>
      </c>
      <c r="N109" s="21">
        <v>0</v>
      </c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>
        <v>0</v>
      </c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W109" s="60">
        <v>2.1866417511295833</v>
      </c>
    </row>
    <row r="110" spans="1:56" outlineLevel="1" x14ac:dyDescent="0.3">
      <c r="A110" t="s">
        <v>247</v>
      </c>
      <c r="B110" t="s">
        <v>243</v>
      </c>
      <c r="C110" t="s">
        <v>164</v>
      </c>
      <c r="N110" s="21">
        <v>8.4014299999999995</v>
      </c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>
        <v>8.7121543812757007</v>
      </c>
      <c r="AM110" s="60"/>
      <c r="AO110" s="60"/>
      <c r="AW110" s="60">
        <v>6.1286859505404676</v>
      </c>
    </row>
    <row r="111" spans="1:56" outlineLevel="1" x14ac:dyDescent="0.3">
      <c r="A111" t="s">
        <v>248</v>
      </c>
      <c r="B111" t="s">
        <v>243</v>
      </c>
      <c r="C111" t="s">
        <v>164</v>
      </c>
      <c r="N111" s="21">
        <v>3.7003300000000081</v>
      </c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>
        <v>4.6587826233975482</v>
      </c>
      <c r="AM111" s="60"/>
      <c r="AO111" s="60"/>
      <c r="AW111" s="60">
        <v>5.2036059827273702</v>
      </c>
    </row>
    <row r="112" spans="1:56" outlineLevel="1" x14ac:dyDescent="0.3">
      <c r="A112" t="s">
        <v>249</v>
      </c>
      <c r="B112" t="s">
        <v>243</v>
      </c>
      <c r="C112" t="s">
        <v>164</v>
      </c>
      <c r="N112" s="21">
        <v>1.614242</v>
      </c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>
        <v>17.493427026663895</v>
      </c>
      <c r="AM112" s="60"/>
      <c r="AO112" s="60"/>
      <c r="AW112" s="60">
        <v>20.756771146048322</v>
      </c>
    </row>
    <row r="113" spans="1:49" outlineLevel="1" x14ac:dyDescent="0.3">
      <c r="A113" t="s">
        <v>221</v>
      </c>
      <c r="B113" t="s">
        <v>243</v>
      </c>
      <c r="C113" t="s">
        <v>164</v>
      </c>
      <c r="N113" s="21">
        <v>62.530097999999995</v>
      </c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>
        <v>63.298824679356613</v>
      </c>
      <c r="AM113" s="60"/>
      <c r="AO113" s="60"/>
      <c r="AW113" s="60">
        <v>64.031065453693515</v>
      </c>
    </row>
  </sheetData>
  <mergeCells count="2">
    <mergeCell ref="AI4:AN4"/>
    <mergeCell ref="AI63:AN63"/>
  </mergeCells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C8B20-5584-4EF0-92EB-18098DAB1034}">
  <sheetPr>
    <tabColor rgb="FFFFFF00"/>
  </sheetPr>
  <dimension ref="A1:AA73"/>
  <sheetViews>
    <sheetView tabSelected="1" topLeftCell="A38" zoomScale="130" zoomScaleNormal="130" workbookViewId="0">
      <pane xSplit="1" topLeftCell="D1" activePane="topRight" state="frozen"/>
      <selection activeCell="B52" sqref="B52"/>
      <selection pane="topRight" activeCell="B35" sqref="B35:AA36"/>
    </sheetView>
  </sheetViews>
  <sheetFormatPr defaultRowHeight="16.5" x14ac:dyDescent="0.3"/>
  <cols>
    <col min="1" max="1" width="20.875" customWidth="1"/>
    <col min="2" max="11" width="11.25" customWidth="1"/>
    <col min="12" max="12" width="15.875" customWidth="1"/>
    <col min="13" max="13" width="14.5" customWidth="1"/>
    <col min="14" max="14" width="12.25" customWidth="1"/>
    <col min="15" max="15" width="10.875" customWidth="1"/>
    <col min="16" max="16" width="10" customWidth="1"/>
    <col min="17" max="18" width="8.5" customWidth="1"/>
    <col min="19" max="21" width="7.5" customWidth="1"/>
  </cols>
  <sheetData>
    <row r="1" spans="1:20" s="65" customFormat="1" x14ac:dyDescent="0.3">
      <c r="A1" s="64" t="s">
        <v>252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20" x14ac:dyDescent="0.3">
      <c r="A2" t="s">
        <v>253</v>
      </c>
      <c r="B2" t="s">
        <v>27</v>
      </c>
      <c r="C2" t="s">
        <v>254</v>
      </c>
      <c r="D2" t="s">
        <v>28</v>
      </c>
      <c r="E2" t="s">
        <v>255</v>
      </c>
      <c r="F2" t="s">
        <v>256</v>
      </c>
    </row>
    <row r="3" spans="1:20" x14ac:dyDescent="0.3">
      <c r="A3" t="s">
        <v>257</v>
      </c>
      <c r="B3" t="s">
        <v>258</v>
      </c>
      <c r="C3" t="s">
        <v>259</v>
      </c>
      <c r="D3" t="s">
        <v>260</v>
      </c>
      <c r="E3">
        <v>2030</v>
      </c>
      <c r="F3">
        <v>41.5</v>
      </c>
    </row>
    <row r="4" spans="1:20" x14ac:dyDescent="0.3">
      <c r="A4" t="s">
        <v>257</v>
      </c>
      <c r="B4" t="s">
        <v>261</v>
      </c>
      <c r="C4" t="s">
        <v>262</v>
      </c>
      <c r="D4" t="s">
        <v>260</v>
      </c>
      <c r="E4">
        <v>2026</v>
      </c>
      <c r="F4">
        <v>10</v>
      </c>
    </row>
    <row r="5" spans="1:20" x14ac:dyDescent="0.3">
      <c r="A5" t="s">
        <v>257</v>
      </c>
      <c r="B5" t="s">
        <v>261</v>
      </c>
      <c r="C5" t="s">
        <v>263</v>
      </c>
      <c r="E5" t="s">
        <v>264</v>
      </c>
      <c r="F5" t="s">
        <v>265</v>
      </c>
    </row>
    <row r="8" spans="1:20" s="65" customFormat="1" x14ac:dyDescent="0.3">
      <c r="A8" s="64" t="s">
        <v>234</v>
      </c>
      <c r="B8" s="64"/>
      <c r="C8" s="64"/>
      <c r="D8" s="64"/>
      <c r="E8" s="64"/>
      <c r="F8" s="64"/>
      <c r="G8" s="64"/>
      <c r="H8" s="64"/>
      <c r="I8" s="64"/>
      <c r="J8" s="64"/>
      <c r="K8" s="64"/>
    </row>
    <row r="9" spans="1:20" s="18" customFormat="1" x14ac:dyDescent="0.3">
      <c r="A9" s="18" t="s">
        <v>266</v>
      </c>
    </row>
    <row r="10" spans="1:20" x14ac:dyDescent="0.3">
      <c r="B10" s="11">
        <v>2005</v>
      </c>
      <c r="C10" s="11">
        <v>2006</v>
      </c>
      <c r="D10" s="11">
        <v>2007</v>
      </c>
      <c r="E10" s="11">
        <v>2008</v>
      </c>
      <c r="F10" s="11">
        <v>2009</v>
      </c>
      <c r="G10" s="11">
        <v>2010</v>
      </c>
      <c r="H10" s="11">
        <v>2011</v>
      </c>
      <c r="I10" s="11">
        <v>2012</v>
      </c>
      <c r="J10" s="11">
        <v>2013</v>
      </c>
      <c r="K10" s="11">
        <v>2014</v>
      </c>
      <c r="L10" s="11">
        <v>2015</v>
      </c>
      <c r="M10" s="11">
        <v>2016</v>
      </c>
      <c r="N10" s="11">
        <v>2017</v>
      </c>
      <c r="O10" s="11">
        <v>2018</v>
      </c>
      <c r="P10" s="11">
        <v>2019</v>
      </c>
      <c r="Q10" s="11">
        <v>2020</v>
      </c>
      <c r="R10" s="11">
        <v>2021</v>
      </c>
    </row>
    <row r="11" spans="1:20" x14ac:dyDescent="0.3">
      <c r="A11" s="35" t="s">
        <v>267</v>
      </c>
      <c r="B11" s="54">
        <v>4591.2120000000004</v>
      </c>
      <c r="C11" s="54">
        <v>8066.1710000000003</v>
      </c>
      <c r="D11" s="54">
        <v>12398.514999999999</v>
      </c>
      <c r="E11" s="54">
        <v>17212.059000000001</v>
      </c>
      <c r="F11" s="54">
        <v>21375.631000000001</v>
      </c>
      <c r="G11" s="54">
        <v>25251.036</v>
      </c>
      <c r="H11" s="54">
        <v>31355.899000000001</v>
      </c>
      <c r="I11" s="66">
        <v>35253.970999999998</v>
      </c>
      <c r="J11" s="66">
        <v>39153.324000000001</v>
      </c>
      <c r="K11" s="66">
        <v>65252.531999999999</v>
      </c>
      <c r="L11" s="66">
        <v>72464.263999999996</v>
      </c>
      <c r="M11" s="66">
        <v>80844.085999999996</v>
      </c>
      <c r="N11" s="66">
        <v>222658.98199999999</v>
      </c>
      <c r="O11" s="66">
        <v>230957.92199999999</v>
      </c>
      <c r="P11" s="66">
        <v>240130.533</v>
      </c>
      <c r="Q11" s="66">
        <v>253191.46900000001</v>
      </c>
      <c r="R11" s="66">
        <v>271288.15600000002</v>
      </c>
    </row>
    <row r="12" spans="1:20" x14ac:dyDescent="0.3">
      <c r="A12" s="35" t="s">
        <v>268</v>
      </c>
      <c r="B12" s="23">
        <v>2142.6979999999999</v>
      </c>
      <c r="C12" s="55">
        <v>2748.21</v>
      </c>
      <c r="D12" s="23">
        <v>3335.942</v>
      </c>
      <c r="E12" s="23">
        <v>3984.4659999999999</v>
      </c>
      <c r="F12" s="23">
        <v>4703.9179999999997</v>
      </c>
      <c r="G12" s="23">
        <v>5216.1760000000004</v>
      </c>
      <c r="H12" s="23">
        <v>10884.037</v>
      </c>
      <c r="I12" s="67">
        <v>11511.272999999999</v>
      </c>
      <c r="J12" s="67">
        <v>12163.824000000001</v>
      </c>
      <c r="K12" s="67">
        <v>12400.536</v>
      </c>
      <c r="L12" s="67">
        <v>12739.291999999999</v>
      </c>
      <c r="M12" s="67">
        <v>13948.032999999999</v>
      </c>
      <c r="N12" s="67">
        <v>15220.606</v>
      </c>
      <c r="O12" s="67">
        <v>15890.008</v>
      </c>
      <c r="P12" s="67">
        <v>16251.334000000001</v>
      </c>
      <c r="Q12" s="67">
        <v>17062.937000000002</v>
      </c>
      <c r="R12" s="67">
        <v>17413.348000000002</v>
      </c>
    </row>
    <row r="13" spans="1:20" x14ac:dyDescent="0.3">
      <c r="A13" s="35" t="s">
        <v>269</v>
      </c>
      <c r="B13" s="56">
        <v>384.66</v>
      </c>
      <c r="C13" s="54">
        <v>446.37700000000001</v>
      </c>
      <c r="D13" s="54">
        <v>510.38799999999998</v>
      </c>
      <c r="E13" s="54">
        <v>584.83799999999997</v>
      </c>
      <c r="F13" s="54">
        <v>669.70600000000002</v>
      </c>
      <c r="G13" s="54">
        <v>726.40599999999995</v>
      </c>
      <c r="H13" s="54">
        <v>780.41200000000003</v>
      </c>
      <c r="I13" s="66">
        <v>832.60199999999998</v>
      </c>
      <c r="J13" s="66">
        <v>884.74900000000002</v>
      </c>
      <c r="K13" s="66">
        <v>941.03399999999999</v>
      </c>
      <c r="L13" s="66">
        <v>986.74300000000005</v>
      </c>
      <c r="M13" s="66">
        <v>1028.0329999999999</v>
      </c>
      <c r="N13" s="66">
        <v>1164.7819999999999</v>
      </c>
      <c r="O13" s="66">
        <v>1198.604</v>
      </c>
      <c r="P13" s="66">
        <v>1228.296</v>
      </c>
      <c r="Q13" s="66">
        <v>1259.8330000000001</v>
      </c>
      <c r="R13" s="66">
        <v>1355.1510000000001</v>
      </c>
    </row>
    <row r="14" spans="1:20" x14ac:dyDescent="0.3">
      <c r="A14" s="100" t="s">
        <v>34</v>
      </c>
      <c r="I14" s="68">
        <f>I11+I12+I13</f>
        <v>47597.845999999998</v>
      </c>
      <c r="J14" s="68">
        <f t="shared" ref="J14:R14" si="0">J11+J12+J13</f>
        <v>52201.897000000004</v>
      </c>
      <c r="K14" s="68">
        <f t="shared" si="0"/>
        <v>78594.101999999999</v>
      </c>
      <c r="L14" s="68">
        <f t="shared" si="0"/>
        <v>86190.298999999999</v>
      </c>
      <c r="M14" s="68">
        <f t="shared" si="0"/>
        <v>95820.151999999987</v>
      </c>
      <c r="N14" s="68">
        <f t="shared" si="0"/>
        <v>239044.37</v>
      </c>
      <c r="O14" s="68">
        <f t="shared" si="0"/>
        <v>248046.53399999999</v>
      </c>
      <c r="P14" s="68">
        <f t="shared" si="0"/>
        <v>257610.163</v>
      </c>
      <c r="Q14" s="68">
        <f t="shared" si="0"/>
        <v>271514.239</v>
      </c>
      <c r="R14" s="68">
        <f t="shared" si="0"/>
        <v>290056.65500000003</v>
      </c>
      <c r="T14" s="4"/>
    </row>
    <row r="15" spans="1:20" x14ac:dyDescent="0.3">
      <c r="R15" s="4"/>
    </row>
    <row r="16" spans="1:20" s="18" customFormat="1" x14ac:dyDescent="0.3">
      <c r="A16" s="18" t="s">
        <v>270</v>
      </c>
    </row>
    <row r="17" spans="1:27" x14ac:dyDescent="0.3">
      <c r="B17" s="11">
        <v>2005</v>
      </c>
      <c r="C17" s="11">
        <v>2006</v>
      </c>
      <c r="D17" s="11">
        <v>2007</v>
      </c>
      <c r="E17" s="11">
        <v>2008</v>
      </c>
      <c r="F17" s="11">
        <v>2009</v>
      </c>
      <c r="G17" s="11">
        <v>2010</v>
      </c>
      <c r="H17" s="11">
        <v>2011</v>
      </c>
      <c r="I17" s="11">
        <v>2012</v>
      </c>
      <c r="J17" s="11">
        <v>2013</v>
      </c>
      <c r="K17" s="11">
        <v>2014</v>
      </c>
      <c r="L17" s="11">
        <v>2015</v>
      </c>
      <c r="M17" s="11">
        <v>2016</v>
      </c>
      <c r="N17" s="11">
        <v>2017</v>
      </c>
      <c r="O17" s="11">
        <v>2018</v>
      </c>
      <c r="P17" s="11">
        <v>2019</v>
      </c>
      <c r="Q17" s="11">
        <v>2020</v>
      </c>
      <c r="R17" s="11">
        <v>2021</v>
      </c>
      <c r="S17" s="11">
        <v>2022</v>
      </c>
    </row>
    <row r="18" spans="1:27" x14ac:dyDescent="0.3">
      <c r="A18" t="s">
        <v>271</v>
      </c>
      <c r="B18">
        <v>446.03699999999998</v>
      </c>
      <c r="C18">
        <v>502.96499999999997</v>
      </c>
      <c r="D18">
        <v>572.84</v>
      </c>
      <c r="E18">
        <v>804.45699999999999</v>
      </c>
      <c r="F18">
        <v>731.48199999999997</v>
      </c>
      <c r="G18">
        <v>788.60500000000002</v>
      </c>
      <c r="H18">
        <v>802.66</v>
      </c>
      <c r="I18">
        <v>743.88</v>
      </c>
      <c r="J18">
        <v>757.14200000000005</v>
      </c>
      <c r="K18">
        <v>791.53800000000001</v>
      </c>
      <c r="L18">
        <v>892.80899999999997</v>
      </c>
      <c r="M18">
        <v>999.68200000000002</v>
      </c>
      <c r="N18">
        <v>1120</v>
      </c>
      <c r="O18">
        <v>1270</v>
      </c>
      <c r="P18">
        <v>1510</v>
      </c>
      <c r="Q18">
        <v>1600</v>
      </c>
      <c r="R18">
        <v>2160</v>
      </c>
      <c r="S18">
        <v>3000</v>
      </c>
    </row>
    <row r="19" spans="1:27" x14ac:dyDescent="0.3">
      <c r="A19" t="s">
        <v>272</v>
      </c>
      <c r="B19">
        <v>1100</v>
      </c>
      <c r="C19">
        <v>1600</v>
      </c>
      <c r="D19">
        <v>2170</v>
      </c>
      <c r="E19">
        <v>2980</v>
      </c>
      <c r="F19">
        <v>3710</v>
      </c>
      <c r="G19">
        <v>4500</v>
      </c>
      <c r="H19">
        <v>5300</v>
      </c>
      <c r="I19">
        <v>6030</v>
      </c>
      <c r="J19">
        <v>6780</v>
      </c>
      <c r="K19">
        <v>7550</v>
      </c>
      <c r="L19">
        <v>8430</v>
      </c>
      <c r="M19">
        <v>9410</v>
      </c>
      <c r="N19">
        <v>10500</v>
      </c>
      <c r="O19">
        <v>11780</v>
      </c>
      <c r="P19">
        <v>13210</v>
      </c>
      <c r="Q19">
        <v>14770</v>
      </c>
      <c r="R19">
        <v>16870</v>
      </c>
      <c r="S19">
        <v>19790</v>
      </c>
    </row>
    <row r="23" spans="1:27" s="65" customFormat="1" x14ac:dyDescent="0.3">
      <c r="A23" s="64" t="s">
        <v>273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</row>
    <row r="24" spans="1:27" s="18" customFormat="1" x14ac:dyDescent="0.3">
      <c r="A24" s="18" t="s">
        <v>274</v>
      </c>
    </row>
    <row r="25" spans="1:27" x14ac:dyDescent="0.3">
      <c r="B25" s="11">
        <v>2005</v>
      </c>
      <c r="C25" s="11">
        <v>2006</v>
      </c>
      <c r="D25" s="11">
        <v>2007</v>
      </c>
      <c r="E25" s="11">
        <v>2008</v>
      </c>
      <c r="F25" s="11">
        <v>2009</v>
      </c>
      <c r="G25" s="11">
        <v>2010</v>
      </c>
      <c r="H25" s="11">
        <v>2011</v>
      </c>
      <c r="I25" s="11">
        <v>2012</v>
      </c>
      <c r="J25" s="11">
        <v>2013</v>
      </c>
      <c r="K25" s="11">
        <v>2014</v>
      </c>
      <c r="L25" s="11">
        <v>2015</v>
      </c>
      <c r="M25" s="11">
        <v>2016</v>
      </c>
      <c r="N25" s="11">
        <v>2017</v>
      </c>
      <c r="O25" s="11">
        <v>2018</v>
      </c>
      <c r="P25" s="11">
        <v>2019</v>
      </c>
      <c r="Q25" s="11">
        <v>2020</v>
      </c>
      <c r="R25" s="11">
        <v>2021</v>
      </c>
      <c r="S25" s="11">
        <v>2022</v>
      </c>
      <c r="T25" s="11">
        <v>2023</v>
      </c>
      <c r="U25" s="11">
        <v>2024</v>
      </c>
      <c r="V25" s="11">
        <v>2025</v>
      </c>
      <c r="W25" s="11">
        <v>2026</v>
      </c>
      <c r="X25" s="11">
        <v>2027</v>
      </c>
      <c r="Y25" s="11">
        <v>2028</v>
      </c>
      <c r="Z25" s="11">
        <v>2029</v>
      </c>
      <c r="AA25" s="11">
        <v>2030</v>
      </c>
    </row>
    <row r="26" spans="1:27" x14ac:dyDescent="0.3">
      <c r="B26">
        <v>2005</v>
      </c>
      <c r="G26">
        <v>2010</v>
      </c>
      <c r="L26">
        <v>2015</v>
      </c>
      <c r="Q26">
        <v>2020</v>
      </c>
      <c r="V26">
        <v>2025</v>
      </c>
      <c r="AA26">
        <v>2030</v>
      </c>
    </row>
    <row r="27" spans="1:27" hidden="1" x14ac:dyDescent="0.3">
      <c r="A27" t="s">
        <v>275</v>
      </c>
      <c r="C27" s="1">
        <f t="shared" ref="C27:R27" si="1">(C11-B11)/1000</f>
        <v>3.4749589999999997</v>
      </c>
      <c r="D27" s="1">
        <f t="shared" si="1"/>
        <v>4.3323439999999991</v>
      </c>
      <c r="E27" s="1">
        <f t="shared" si="1"/>
        <v>4.813544000000002</v>
      </c>
      <c r="F27" s="1">
        <f t="shared" si="1"/>
        <v>4.1635720000000003</v>
      </c>
      <c r="G27" s="1">
        <f t="shared" si="1"/>
        <v>3.8754049999999989</v>
      </c>
      <c r="H27" s="1">
        <f t="shared" si="1"/>
        <v>6.1048630000000008</v>
      </c>
      <c r="I27" s="1">
        <f t="shared" si="1"/>
        <v>3.8980719999999964</v>
      </c>
      <c r="J27" s="1">
        <f t="shared" si="1"/>
        <v>3.8993530000000027</v>
      </c>
      <c r="K27" s="1">
        <f t="shared" si="1"/>
        <v>26.099207999999997</v>
      </c>
      <c r="L27" s="1">
        <f t="shared" si="1"/>
        <v>7.211731999999996</v>
      </c>
      <c r="M27" s="1">
        <f t="shared" si="1"/>
        <v>8.3798220000000008</v>
      </c>
      <c r="N27" s="1">
        <f t="shared" si="1"/>
        <v>141.814896</v>
      </c>
      <c r="O27" s="1">
        <f t="shared" si="1"/>
        <v>8.2989400000000018</v>
      </c>
      <c r="P27" s="1">
        <f t="shared" si="1"/>
        <v>9.1726110000000052</v>
      </c>
      <c r="Q27" s="1">
        <f t="shared" si="1"/>
        <v>13.060936000000016</v>
      </c>
      <c r="R27" s="1">
        <f t="shared" si="1"/>
        <v>18.096687000000006</v>
      </c>
    </row>
    <row r="28" spans="1:27" x14ac:dyDescent="0.3">
      <c r="A28" t="s">
        <v>234</v>
      </c>
      <c r="B28">
        <f>B18</f>
        <v>446.03699999999998</v>
      </c>
      <c r="C28">
        <f>C18</f>
        <v>502.96499999999997</v>
      </c>
      <c r="D28">
        <f t="shared" ref="D28:I28" si="2">D18</f>
        <v>572.84</v>
      </c>
      <c r="E28">
        <f>E18</f>
        <v>804.45699999999999</v>
      </c>
      <c r="F28">
        <f t="shared" si="2"/>
        <v>731.48199999999997</v>
      </c>
      <c r="G28">
        <f t="shared" si="2"/>
        <v>788.60500000000002</v>
      </c>
      <c r="H28">
        <f t="shared" si="2"/>
        <v>802.66</v>
      </c>
      <c r="I28">
        <f t="shared" si="2"/>
        <v>743.88</v>
      </c>
      <c r="J28">
        <f>J18</f>
        <v>757.14200000000005</v>
      </c>
      <c r="K28">
        <f t="shared" ref="K28:Q28" si="3">K18</f>
        <v>791.53800000000001</v>
      </c>
      <c r="L28">
        <f t="shared" si="3"/>
        <v>892.80899999999997</v>
      </c>
      <c r="M28">
        <f t="shared" si="3"/>
        <v>999.68200000000002</v>
      </c>
      <c r="N28">
        <f t="shared" si="3"/>
        <v>1120</v>
      </c>
      <c r="O28">
        <f t="shared" si="3"/>
        <v>1270</v>
      </c>
      <c r="P28">
        <f t="shared" si="3"/>
        <v>1510</v>
      </c>
      <c r="Q28">
        <f t="shared" si="3"/>
        <v>1600</v>
      </c>
      <c r="R28">
        <f>R18</f>
        <v>2160</v>
      </c>
      <c r="S28">
        <v>3000</v>
      </c>
    </row>
    <row r="29" spans="1:27" x14ac:dyDescent="0.3">
      <c r="A29" t="s">
        <v>276</v>
      </c>
      <c r="S29">
        <v>2000</v>
      </c>
      <c r="T29">
        <v>2000</v>
      </c>
      <c r="U29">
        <v>2000</v>
      </c>
      <c r="V29">
        <v>2000</v>
      </c>
      <c r="W29">
        <v>2000</v>
      </c>
      <c r="X29">
        <f>Y29</f>
        <v>3657.4999999999995</v>
      </c>
      <c r="Y29">
        <f>Z29</f>
        <v>3657.4999999999995</v>
      </c>
      <c r="Z29">
        <f>AA29</f>
        <v>3657.4999999999995</v>
      </c>
      <c r="AA29">
        <f>(AA36-W36)/4*1000</f>
        <v>3657.4999999999995</v>
      </c>
    </row>
    <row r="30" spans="1:27" x14ac:dyDescent="0.3">
      <c r="A30" t="s">
        <v>277</v>
      </c>
      <c r="O30">
        <f>AVERAGE(O28:S28)</f>
        <v>1908</v>
      </c>
      <c r="P30">
        <f>O30</f>
        <v>1908</v>
      </c>
      <c r="Q30">
        <f>P30</f>
        <v>1908</v>
      </c>
      <c r="R30">
        <f t="shared" ref="R30:AA30" si="4">Q30</f>
        <v>1908</v>
      </c>
      <c r="S30">
        <f t="shared" si="4"/>
        <v>1908</v>
      </c>
      <c r="T30">
        <f t="shared" si="4"/>
        <v>1908</v>
      </c>
      <c r="U30">
        <f t="shared" si="4"/>
        <v>1908</v>
      </c>
      <c r="V30">
        <f t="shared" si="4"/>
        <v>1908</v>
      </c>
      <c r="W30">
        <f t="shared" si="4"/>
        <v>1908</v>
      </c>
      <c r="X30">
        <f t="shared" si="4"/>
        <v>1908</v>
      </c>
      <c r="Y30">
        <f t="shared" si="4"/>
        <v>1908</v>
      </c>
      <c r="Z30">
        <f t="shared" si="4"/>
        <v>1908</v>
      </c>
      <c r="AA30">
        <f t="shared" si="4"/>
        <v>1908</v>
      </c>
    </row>
    <row r="31" spans="1:27" x14ac:dyDescent="0.3">
      <c r="A31" t="s">
        <v>278</v>
      </c>
      <c r="O31" cm="1">
        <f t="array" ref="O31">TREND($O$28:$S$28,$O$25:$S$25,O$25)</f>
        <v>1086</v>
      </c>
      <c r="P31" cm="1">
        <f t="array" ref="P31">TREND($O$28:$S$28,$O$25:$S$25,P$25)</f>
        <v>1497</v>
      </c>
      <c r="Q31" cm="1">
        <f t="array" ref="Q31">TREND($O$28:$S$28,$O$25:$S$25,Q$25)</f>
        <v>1908</v>
      </c>
      <c r="R31" cm="1">
        <f t="array" ref="R31">TREND($O$28:$S$28,$O$25:$S$25,R$25)</f>
        <v>2319</v>
      </c>
      <c r="S31" cm="1">
        <f t="array" ref="S31">TREND($O$28:$S$28,$O$25:$S$25,S$25)</f>
        <v>2730</v>
      </c>
      <c r="T31" cm="1">
        <f t="array" ref="T31">TREND($O$28:$S$28,$O$25:$S$25,T$25)</f>
        <v>3141</v>
      </c>
      <c r="U31" cm="1">
        <f t="array" ref="U31">TREND($O$28:$S$28,$O$25:$S$25,U$25)</f>
        <v>3552</v>
      </c>
      <c r="V31" cm="1">
        <f t="array" ref="V31">TREND($O$28:$S$28,$O$25:$S$25,V$25)</f>
        <v>3963</v>
      </c>
      <c r="W31" cm="1">
        <f t="array" ref="W31">TREND($O$28:$S$28,$O$25:$S$25,W$25)</f>
        <v>4374</v>
      </c>
      <c r="X31" cm="1">
        <f t="array" ref="X31">TREND($O$28:$S$28,$O$25:$S$25,X$25)</f>
        <v>4785</v>
      </c>
      <c r="Y31" cm="1">
        <f t="array" ref="Y31">TREND($O$28:$S$28,$O$25:$S$25,Y$25)</f>
        <v>5196</v>
      </c>
      <c r="Z31" cm="1">
        <f t="array" ref="Z31">TREND($O$28:$S$28,$O$25:$S$25,Z$25)</f>
        <v>5607</v>
      </c>
      <c r="AA31" cm="1">
        <f t="array" ref="AA31">TREND($O$28:$S$28,$O$25:$S$25,AA$25)</f>
        <v>6018</v>
      </c>
    </row>
    <row r="33" spans="1:27" s="18" customFormat="1" x14ac:dyDescent="0.3">
      <c r="A33" s="18" t="s">
        <v>279</v>
      </c>
    </row>
    <row r="34" spans="1:27" x14ac:dyDescent="0.3">
      <c r="B34" s="11">
        <v>2005</v>
      </c>
      <c r="C34" s="11"/>
      <c r="D34" s="11"/>
      <c r="E34" s="11"/>
      <c r="F34" s="11"/>
      <c r="G34" s="11">
        <v>2010</v>
      </c>
      <c r="H34" s="11"/>
      <c r="I34" s="11"/>
      <c r="J34" s="11"/>
      <c r="K34" s="11"/>
      <c r="L34" s="11">
        <v>2015</v>
      </c>
      <c r="M34" s="11"/>
      <c r="N34" s="11"/>
      <c r="O34" s="11"/>
      <c r="P34" s="11"/>
      <c r="Q34" s="11">
        <v>2020</v>
      </c>
      <c r="R34" s="11"/>
      <c r="S34" s="11"/>
      <c r="T34" s="11"/>
      <c r="U34" s="11"/>
      <c r="V34" s="11">
        <v>2025</v>
      </c>
      <c r="W34" s="11"/>
      <c r="X34" s="11"/>
      <c r="Y34" s="11"/>
      <c r="Z34" s="11"/>
      <c r="AA34" s="11">
        <v>2030</v>
      </c>
    </row>
    <row r="35" spans="1:27" x14ac:dyDescent="0.3">
      <c r="A35" t="s">
        <v>234</v>
      </c>
      <c r="B35">
        <f>B19/1000</f>
        <v>1.1000000000000001</v>
      </c>
      <c r="C35">
        <f t="shared" ref="C35:Q35" si="5">C19/1000</f>
        <v>1.6</v>
      </c>
      <c r="D35">
        <f t="shared" si="5"/>
        <v>2.17</v>
      </c>
      <c r="E35">
        <f t="shared" si="5"/>
        <v>2.98</v>
      </c>
      <c r="F35">
        <f t="shared" si="5"/>
        <v>3.71</v>
      </c>
      <c r="G35">
        <f t="shared" si="5"/>
        <v>4.5</v>
      </c>
      <c r="H35">
        <f t="shared" si="5"/>
        <v>5.3</v>
      </c>
      <c r="I35">
        <f t="shared" si="5"/>
        <v>6.03</v>
      </c>
      <c r="J35">
        <f t="shared" si="5"/>
        <v>6.78</v>
      </c>
      <c r="K35">
        <f t="shared" si="5"/>
        <v>7.55</v>
      </c>
      <c r="L35">
        <f t="shared" si="5"/>
        <v>8.43</v>
      </c>
      <c r="M35">
        <f t="shared" si="5"/>
        <v>9.41</v>
      </c>
      <c r="N35">
        <f t="shared" si="5"/>
        <v>10.5</v>
      </c>
      <c r="O35">
        <f t="shared" si="5"/>
        <v>11.78</v>
      </c>
      <c r="P35">
        <f>P19/1000</f>
        <v>13.21</v>
      </c>
      <c r="Q35">
        <f t="shared" si="5"/>
        <v>14.77</v>
      </c>
      <c r="R35">
        <f>R19/1000</f>
        <v>16.87</v>
      </c>
      <c r="S35">
        <f>S19/1000</f>
        <v>19.79</v>
      </c>
    </row>
    <row r="36" spans="1:27" x14ac:dyDescent="0.3">
      <c r="A36" t="s">
        <v>280</v>
      </c>
      <c r="W36">
        <f>R35+10</f>
        <v>26.87</v>
      </c>
      <c r="AA36">
        <v>41.5</v>
      </c>
    </row>
    <row r="37" spans="1:27" x14ac:dyDescent="0.3">
      <c r="T37">
        <f>($W36-$S35)/4</f>
        <v>1.7700000000000005</v>
      </c>
      <c r="U37">
        <f>($W36-$S35)/4</f>
        <v>1.7700000000000005</v>
      </c>
      <c r="V37">
        <f>($W36-$S35)/4</f>
        <v>1.7700000000000005</v>
      </c>
      <c r="X37">
        <f>($AA36-$W36)/4</f>
        <v>3.6574999999999998</v>
      </c>
      <c r="Y37">
        <f>($AA36-$W36)/4</f>
        <v>3.6574999999999998</v>
      </c>
      <c r="Z37">
        <f>($AA36-$W36)/4</f>
        <v>3.6574999999999998</v>
      </c>
    </row>
    <row r="38" spans="1:27" x14ac:dyDescent="0.3">
      <c r="T38">
        <f>$S35</f>
        <v>19.79</v>
      </c>
      <c r="U38">
        <f>T38+T37</f>
        <v>21.56</v>
      </c>
      <c r="V38">
        <f>U38+U37</f>
        <v>23.33</v>
      </c>
      <c r="X38">
        <f>$W36</f>
        <v>26.87</v>
      </c>
      <c r="Y38">
        <f>X38+X37</f>
        <v>30.5275</v>
      </c>
      <c r="Z38">
        <f>Y38+Y37</f>
        <v>34.185000000000002</v>
      </c>
    </row>
    <row r="39" spans="1:27" x14ac:dyDescent="0.3">
      <c r="A39" t="s">
        <v>281</v>
      </c>
      <c r="O39" cm="1">
        <f t="array" ref="O39">TREND($O35:$S35,$O25:$S25,O25)</f>
        <v>11.347999999999956</v>
      </c>
      <c r="P39" cm="1">
        <f t="array" ref="P39">TREND($O35:$S35,$O25:$S25,P25)</f>
        <v>13.315999999999804</v>
      </c>
      <c r="Q39" cm="1">
        <f t="array" ref="Q39">TREND($O35:$S35,$O25:$S25,Q25)</f>
        <v>15.284000000000106</v>
      </c>
      <c r="R39" cm="1">
        <f t="array" ref="R39">TREND($O35:$S35,$O25:$S25,R25)</f>
        <v>17.251999999999953</v>
      </c>
      <c r="S39" cm="1">
        <f t="array" ref="S39">TREND($O35:$S35,$O25:$S25,S25)</f>
        <v>19.2199999999998</v>
      </c>
      <c r="T39" cm="1">
        <f t="array" ref="T39">TREND($O35:$S35,$O25:$S25,T25)</f>
        <v>21.188000000000102</v>
      </c>
      <c r="U39" cm="1">
        <f t="array" ref="U39">TREND($O35:$S35,$O25:$S25,U25)</f>
        <v>23.155999999999949</v>
      </c>
      <c r="V39" cm="1">
        <f t="array" ref="V39">TREND($O35:$S35,$O25:$S25,V25)</f>
        <v>25.123999999999796</v>
      </c>
      <c r="W39" cm="1">
        <f t="array" ref="W39">TREND($O35:$S35,$O25:$S25,W25)</f>
        <v>27.092000000000098</v>
      </c>
      <c r="X39" cm="1">
        <f t="array" ref="X39">TREND($O35:$S35,$O25:$S25,X25)</f>
        <v>29.059999999999945</v>
      </c>
      <c r="Y39" cm="1">
        <f t="array" ref="Y39">TREND($O35:$S35,$O25:$S25,Y25)</f>
        <v>31.027999999999793</v>
      </c>
      <c r="Z39" cm="1">
        <f t="array" ref="Z39">TREND($O35:$S35,$O25:$S25,Z25)</f>
        <v>32.996000000000095</v>
      </c>
      <c r="AA39" cm="1">
        <f t="array" ref="AA39">TREND($O35:$S35,$O25:$S25,AA25)</f>
        <v>34.963999999999942</v>
      </c>
    </row>
    <row r="41" spans="1:27" s="65" customFormat="1" x14ac:dyDescent="0.3">
      <c r="A41" s="64" t="s">
        <v>282</v>
      </c>
      <c r="B41" s="64"/>
      <c r="C41" s="64"/>
      <c r="D41" s="64"/>
      <c r="E41" s="64"/>
      <c r="F41" s="64"/>
      <c r="G41" s="64"/>
      <c r="H41" s="64"/>
      <c r="I41" s="64"/>
      <c r="J41" s="64"/>
      <c r="K41" s="64"/>
    </row>
    <row r="42" spans="1:27" x14ac:dyDescent="0.3">
      <c r="A42" s="11"/>
      <c r="B42" s="11">
        <f>B26</f>
        <v>2005</v>
      </c>
      <c r="C42" s="11"/>
      <c r="D42" s="11"/>
      <c r="E42" s="11"/>
      <c r="F42" s="11"/>
      <c r="G42" s="11">
        <f>G26</f>
        <v>2010</v>
      </c>
      <c r="H42" s="11"/>
      <c r="I42" s="11"/>
      <c r="J42" s="11"/>
      <c r="K42" s="11"/>
      <c r="L42" s="11">
        <f>L26</f>
        <v>2015</v>
      </c>
      <c r="M42" s="11"/>
      <c r="N42" s="11"/>
      <c r="O42" s="11"/>
      <c r="P42" s="11"/>
      <c r="Q42" s="11">
        <f>Q26</f>
        <v>2020</v>
      </c>
      <c r="R42" s="11"/>
      <c r="S42" s="11"/>
      <c r="T42" s="11"/>
      <c r="U42" s="11"/>
      <c r="V42" s="11">
        <f>V26</f>
        <v>2025</v>
      </c>
      <c r="W42" s="11"/>
      <c r="X42" s="11"/>
      <c r="Y42" s="11"/>
      <c r="Z42" s="11"/>
      <c r="AA42" s="11">
        <f>AA26</f>
        <v>2030</v>
      </c>
    </row>
    <row r="43" spans="1:27" x14ac:dyDescent="0.3">
      <c r="A43" t="str">
        <f>A28</f>
        <v>Historic</v>
      </c>
      <c r="B43">
        <f t="shared" ref="B43:S43" si="6">B28/1000</f>
        <v>0.44603699999999996</v>
      </c>
      <c r="C43">
        <f t="shared" si="6"/>
        <v>0.502965</v>
      </c>
      <c r="D43">
        <f t="shared" si="6"/>
        <v>0.57284000000000002</v>
      </c>
      <c r="E43">
        <f t="shared" si="6"/>
        <v>0.80445699999999998</v>
      </c>
      <c r="F43">
        <f t="shared" si="6"/>
        <v>0.73148199999999997</v>
      </c>
      <c r="G43">
        <f t="shared" si="6"/>
        <v>0.788605</v>
      </c>
      <c r="H43">
        <f t="shared" si="6"/>
        <v>0.80265999999999993</v>
      </c>
      <c r="I43">
        <f t="shared" si="6"/>
        <v>0.74387999999999999</v>
      </c>
      <c r="J43">
        <f t="shared" si="6"/>
        <v>0.75714200000000009</v>
      </c>
      <c r="K43">
        <f t="shared" si="6"/>
        <v>0.79153799999999996</v>
      </c>
      <c r="L43">
        <f t="shared" si="6"/>
        <v>0.89280899999999996</v>
      </c>
      <c r="M43">
        <f t="shared" si="6"/>
        <v>0.99968200000000007</v>
      </c>
      <c r="N43">
        <f t="shared" si="6"/>
        <v>1.1200000000000001</v>
      </c>
      <c r="O43">
        <f t="shared" si="6"/>
        <v>1.27</v>
      </c>
      <c r="P43">
        <f t="shared" si="6"/>
        <v>1.51</v>
      </c>
      <c r="Q43">
        <f t="shared" si="6"/>
        <v>1.6</v>
      </c>
      <c r="R43">
        <f t="shared" si="6"/>
        <v>2.16</v>
      </c>
      <c r="S43">
        <f t="shared" si="6"/>
        <v>3</v>
      </c>
    </row>
    <row r="44" spans="1:27" x14ac:dyDescent="0.3">
      <c r="A44" t="str">
        <f t="shared" ref="A44:A46" si="7">A29</f>
        <v>Average required</v>
      </c>
      <c r="S44">
        <f>S29/1000</f>
        <v>2</v>
      </c>
      <c r="T44">
        <f t="shared" ref="T44:AA44" si="8">T29/1000</f>
        <v>2</v>
      </c>
      <c r="U44">
        <f t="shared" si="8"/>
        <v>2</v>
      </c>
      <c r="V44">
        <f t="shared" si="8"/>
        <v>2</v>
      </c>
      <c r="W44">
        <f t="shared" si="8"/>
        <v>2</v>
      </c>
      <c r="X44">
        <f t="shared" si="8"/>
        <v>3.6574999999999998</v>
      </c>
      <c r="Y44">
        <f t="shared" si="8"/>
        <v>3.6574999999999998</v>
      </c>
      <c r="Z44">
        <f t="shared" si="8"/>
        <v>3.6574999999999998</v>
      </c>
      <c r="AA44">
        <f t="shared" si="8"/>
        <v>3.6574999999999998</v>
      </c>
    </row>
    <row r="45" spans="1:27" x14ac:dyDescent="0.3">
      <c r="A45" t="str">
        <f t="shared" si="7"/>
        <v>Average 2018-2022</v>
      </c>
      <c r="O45">
        <f>O30/1000</f>
        <v>1.9079999999999999</v>
      </c>
      <c r="P45">
        <f t="shared" ref="P45:AA45" si="9">P30/1000</f>
        <v>1.9079999999999999</v>
      </c>
      <c r="Q45">
        <f t="shared" si="9"/>
        <v>1.9079999999999999</v>
      </c>
      <c r="R45">
        <f t="shared" si="9"/>
        <v>1.9079999999999999</v>
      </c>
      <c r="S45">
        <f t="shared" si="9"/>
        <v>1.9079999999999999</v>
      </c>
      <c r="T45">
        <f t="shared" si="9"/>
        <v>1.9079999999999999</v>
      </c>
      <c r="U45">
        <f t="shared" si="9"/>
        <v>1.9079999999999999</v>
      </c>
      <c r="V45">
        <f t="shared" si="9"/>
        <v>1.9079999999999999</v>
      </c>
      <c r="W45">
        <f t="shared" si="9"/>
        <v>1.9079999999999999</v>
      </c>
      <c r="X45">
        <f t="shared" si="9"/>
        <v>1.9079999999999999</v>
      </c>
      <c r="Y45">
        <f t="shared" si="9"/>
        <v>1.9079999999999999</v>
      </c>
      <c r="Z45">
        <f t="shared" si="9"/>
        <v>1.9079999999999999</v>
      </c>
      <c r="AA45">
        <f t="shared" si="9"/>
        <v>1.9079999999999999</v>
      </c>
    </row>
    <row r="46" spans="1:27" x14ac:dyDescent="0.3">
      <c r="A46" t="str">
        <f t="shared" si="7"/>
        <v>2018-2022 extrapolated</v>
      </c>
      <c r="O46">
        <f>O31/1000</f>
        <v>1.0860000000000001</v>
      </c>
      <c r="P46">
        <f t="shared" ref="P46:AA46" si="10">P31/1000</f>
        <v>1.4970000000000001</v>
      </c>
      <c r="Q46">
        <f t="shared" si="10"/>
        <v>1.9079999999999999</v>
      </c>
      <c r="R46">
        <f t="shared" si="10"/>
        <v>2.319</v>
      </c>
      <c r="S46">
        <f t="shared" si="10"/>
        <v>2.73</v>
      </c>
      <c r="T46">
        <f t="shared" si="10"/>
        <v>3.141</v>
      </c>
      <c r="U46">
        <f t="shared" si="10"/>
        <v>3.552</v>
      </c>
      <c r="V46">
        <f t="shared" si="10"/>
        <v>3.9630000000000001</v>
      </c>
      <c r="W46">
        <f t="shared" si="10"/>
        <v>4.3739999999999997</v>
      </c>
      <c r="X46">
        <f t="shared" si="10"/>
        <v>4.7850000000000001</v>
      </c>
      <c r="Y46">
        <f t="shared" si="10"/>
        <v>5.1959999999999997</v>
      </c>
      <c r="Z46">
        <f t="shared" si="10"/>
        <v>5.6070000000000002</v>
      </c>
      <c r="AA46">
        <f t="shared" si="10"/>
        <v>6.0179999999999998</v>
      </c>
    </row>
    <row r="47" spans="1:27" x14ac:dyDescent="0.3">
      <c r="H47" s="103" t="s">
        <v>283</v>
      </c>
      <c r="I47" s="102"/>
      <c r="J47" s="102"/>
      <c r="K47" s="102"/>
      <c r="L47" s="102"/>
      <c r="M47" s="102"/>
      <c r="N47" s="102"/>
      <c r="O47" s="102"/>
    </row>
    <row r="48" spans="1:27" x14ac:dyDescent="0.3">
      <c r="H48" s="102"/>
      <c r="I48" s="102"/>
      <c r="J48" s="102"/>
      <c r="K48" s="102"/>
      <c r="L48" s="102"/>
      <c r="M48" s="102"/>
      <c r="N48" s="102"/>
      <c r="O48" s="102"/>
    </row>
    <row r="49" spans="8:15" x14ac:dyDescent="0.3">
      <c r="H49" s="102"/>
      <c r="I49" s="102"/>
      <c r="J49" s="102"/>
      <c r="K49" s="102"/>
      <c r="L49" s="102"/>
      <c r="M49" s="102"/>
      <c r="N49" s="102"/>
      <c r="O49" s="102"/>
    </row>
    <row r="50" spans="8:15" x14ac:dyDescent="0.3">
      <c r="H50" s="102"/>
      <c r="I50" s="102"/>
      <c r="J50" s="102"/>
      <c r="K50" s="102"/>
      <c r="L50" s="102"/>
      <c r="M50" s="102"/>
      <c r="N50" s="102"/>
      <c r="O50" s="102"/>
    </row>
    <row r="51" spans="8:15" x14ac:dyDescent="0.3">
      <c r="H51" s="102"/>
      <c r="I51" s="102"/>
      <c r="J51" s="102"/>
      <c r="K51" s="102"/>
      <c r="L51" s="102"/>
      <c r="M51" s="102"/>
      <c r="N51" s="102"/>
      <c r="O51" s="102"/>
    </row>
    <row r="52" spans="8:15" x14ac:dyDescent="0.3">
      <c r="H52" s="102"/>
      <c r="I52" s="102"/>
      <c r="J52" s="102"/>
      <c r="K52" s="102"/>
      <c r="L52" s="102"/>
      <c r="M52" s="102"/>
      <c r="N52" s="102"/>
      <c r="O52" s="102"/>
    </row>
    <row r="53" spans="8:15" x14ac:dyDescent="0.3">
      <c r="H53" s="102"/>
      <c r="I53" s="102"/>
      <c r="J53" s="102"/>
      <c r="K53" s="102"/>
      <c r="L53" s="102"/>
      <c r="M53" s="102"/>
      <c r="N53" s="102"/>
      <c r="O53" s="102"/>
    </row>
    <row r="54" spans="8:15" x14ac:dyDescent="0.3">
      <c r="H54" s="102"/>
      <c r="I54" s="102"/>
      <c r="J54" s="102"/>
      <c r="K54" s="102"/>
      <c r="L54" s="102"/>
      <c r="M54" s="102"/>
      <c r="N54" s="102"/>
      <c r="O54" s="102"/>
    </row>
    <row r="55" spans="8:15" x14ac:dyDescent="0.3">
      <c r="H55" s="102"/>
      <c r="I55" s="102"/>
      <c r="J55" s="102"/>
      <c r="K55" s="102"/>
      <c r="L55" s="102"/>
      <c r="M55" s="102"/>
      <c r="N55" s="102"/>
      <c r="O55" s="102"/>
    </row>
    <row r="56" spans="8:15" x14ac:dyDescent="0.3">
      <c r="H56" s="102"/>
      <c r="I56" s="102"/>
      <c r="J56" s="102"/>
      <c r="K56" s="102"/>
      <c r="L56" s="102"/>
      <c r="M56" s="102"/>
      <c r="N56" s="102"/>
      <c r="O56" s="102"/>
    </row>
    <row r="57" spans="8:15" x14ac:dyDescent="0.3">
      <c r="H57" s="102"/>
      <c r="I57" s="102"/>
      <c r="J57" s="102"/>
      <c r="K57" s="102"/>
      <c r="L57" s="102"/>
      <c r="M57" s="102"/>
      <c r="N57" s="102"/>
      <c r="O57" s="102"/>
    </row>
    <row r="58" spans="8:15" x14ac:dyDescent="0.3">
      <c r="H58" s="102"/>
      <c r="I58" s="102"/>
      <c r="J58" s="102"/>
      <c r="K58" s="102"/>
      <c r="L58" s="102"/>
      <c r="M58" s="102"/>
      <c r="N58" s="102"/>
      <c r="O58" s="102"/>
    </row>
    <row r="59" spans="8:15" x14ac:dyDescent="0.3">
      <c r="H59" s="102"/>
      <c r="I59" s="102"/>
      <c r="J59" s="102"/>
      <c r="K59" s="102"/>
      <c r="L59" s="102"/>
      <c r="M59" s="102"/>
      <c r="N59" s="102"/>
      <c r="O59" s="102"/>
    </row>
    <row r="60" spans="8:15" x14ac:dyDescent="0.3">
      <c r="H60" s="102"/>
      <c r="I60" s="102"/>
      <c r="J60" s="102"/>
      <c r="K60" s="102"/>
      <c r="L60" s="102"/>
      <c r="M60" s="102"/>
      <c r="N60" s="102"/>
      <c r="O60" s="102"/>
    </row>
    <row r="61" spans="8:15" x14ac:dyDescent="0.3">
      <c r="H61" s="102"/>
      <c r="I61" s="102"/>
      <c r="J61" s="102"/>
      <c r="K61" s="102"/>
      <c r="L61" s="102"/>
      <c r="M61" s="102"/>
      <c r="N61" s="102"/>
      <c r="O61" s="102"/>
    </row>
    <row r="62" spans="8:15" x14ac:dyDescent="0.3">
      <c r="H62" s="102"/>
      <c r="I62" s="102"/>
      <c r="J62" s="102"/>
      <c r="K62" s="102"/>
      <c r="L62" s="102"/>
      <c r="M62" s="102"/>
      <c r="N62" s="102"/>
      <c r="O62" s="102"/>
    </row>
    <row r="63" spans="8:15" x14ac:dyDescent="0.3">
      <c r="H63" s="102"/>
      <c r="I63" s="102"/>
      <c r="J63" s="102"/>
      <c r="K63" s="102"/>
      <c r="L63" s="102"/>
      <c r="M63" s="102"/>
      <c r="N63" s="102"/>
      <c r="O63" s="102"/>
    </row>
    <row r="64" spans="8:15" x14ac:dyDescent="0.3">
      <c r="H64" s="102"/>
      <c r="I64" s="102"/>
      <c r="J64" s="102"/>
      <c r="K64" s="102"/>
      <c r="L64" s="102"/>
      <c r="M64" s="102"/>
      <c r="N64" s="102"/>
      <c r="O64" s="102"/>
    </row>
    <row r="65" spans="1:19" x14ac:dyDescent="0.3">
      <c r="H65" s="102"/>
      <c r="I65" s="102"/>
      <c r="J65" s="102"/>
      <c r="K65" s="102"/>
      <c r="L65" s="102"/>
      <c r="M65" s="102"/>
      <c r="N65" s="102"/>
      <c r="O65" s="102"/>
    </row>
    <row r="67" spans="1:19" s="70" customFormat="1" x14ac:dyDescent="0.3">
      <c r="A67" s="69" t="s">
        <v>44</v>
      </c>
    </row>
    <row r="69" spans="1:19" x14ac:dyDescent="0.3">
      <c r="A69" t="s">
        <v>284</v>
      </c>
      <c r="O69">
        <f t="shared" ref="O69:R69" si="11">O35-N35</f>
        <v>1.2799999999999994</v>
      </c>
      <c r="P69">
        <f t="shared" si="11"/>
        <v>1.4300000000000015</v>
      </c>
      <c r="Q69">
        <f t="shared" si="11"/>
        <v>1.5599999999999987</v>
      </c>
      <c r="R69">
        <f t="shared" si="11"/>
        <v>2.1000000000000014</v>
      </c>
      <c r="S69">
        <f>S35-R35</f>
        <v>2.9199999999999982</v>
      </c>
    </row>
    <row r="70" spans="1:19" x14ac:dyDescent="0.3">
      <c r="A70" t="s">
        <v>285</v>
      </c>
      <c r="C70">
        <f>AVERAGE(O69:S69)</f>
        <v>1.8579999999999999</v>
      </c>
    </row>
    <row r="71" spans="1:19" x14ac:dyDescent="0.3">
      <c r="A71" t="s">
        <v>286</v>
      </c>
      <c r="D71">
        <f>(AA36-S35)/8</f>
        <v>2.7137500000000001</v>
      </c>
    </row>
    <row r="73" spans="1:19" x14ac:dyDescent="0.3">
      <c r="D73">
        <f>D71/C70</f>
        <v>1.4605758880516686</v>
      </c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160C6-5F0E-4728-AF83-135F87303EFA}">
  <dimension ref="A1:X80"/>
  <sheetViews>
    <sheetView zoomScale="96" zoomScaleNormal="96" workbookViewId="0">
      <selection activeCell="B24" sqref="B24"/>
    </sheetView>
  </sheetViews>
  <sheetFormatPr defaultRowHeight="16.5" x14ac:dyDescent="0.3"/>
  <cols>
    <col min="1" max="1" width="9" customWidth="1"/>
    <col min="3" max="3" width="12.75" customWidth="1"/>
    <col min="4" max="4" width="45.75" customWidth="1"/>
    <col min="5" max="5" width="10.875" customWidth="1"/>
  </cols>
  <sheetData>
    <row r="1" spans="1:24" s="44" customFormat="1" x14ac:dyDescent="0.3">
      <c r="A1" s="44" t="s">
        <v>287</v>
      </c>
    </row>
    <row r="2" spans="1:24" x14ac:dyDescent="0.3">
      <c r="A2" s="42" t="s">
        <v>288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</row>
    <row r="4" spans="1:24" x14ac:dyDescent="0.3">
      <c r="A4" s="42" t="s">
        <v>289</v>
      </c>
      <c r="B4" s="42" t="s">
        <v>290</v>
      </c>
      <c r="C4" s="42" t="s">
        <v>28</v>
      </c>
      <c r="D4" s="42" t="s">
        <v>291</v>
      </c>
      <c r="E4" s="42">
        <v>2005</v>
      </c>
      <c r="F4" s="42">
        <v>2006</v>
      </c>
      <c r="G4" s="42">
        <v>2007</v>
      </c>
      <c r="H4" s="42">
        <v>2008</v>
      </c>
      <c r="I4" s="42">
        <v>2009</v>
      </c>
      <c r="J4" s="42">
        <v>2010</v>
      </c>
      <c r="K4" s="42">
        <v>2011</v>
      </c>
      <c r="L4" s="42">
        <v>2012</v>
      </c>
      <c r="M4" s="42">
        <v>2013</v>
      </c>
      <c r="N4" s="42">
        <v>2014</v>
      </c>
      <c r="O4" s="42">
        <v>2015</v>
      </c>
      <c r="P4" s="42">
        <v>2016</v>
      </c>
      <c r="Q4" s="42">
        <v>2017</v>
      </c>
      <c r="R4" s="42">
        <v>2018</v>
      </c>
      <c r="S4" s="42">
        <v>2019</v>
      </c>
      <c r="T4" s="42">
        <v>2020</v>
      </c>
      <c r="U4" s="42">
        <v>2021</v>
      </c>
      <c r="V4" s="42" t="s">
        <v>27</v>
      </c>
      <c r="W4" s="42" t="s">
        <v>292</v>
      </c>
      <c r="X4" s="42" t="s">
        <v>291</v>
      </c>
    </row>
    <row r="5" spans="1:24" x14ac:dyDescent="0.3">
      <c r="A5" s="42" t="s">
        <v>293</v>
      </c>
      <c r="B5" s="42" t="s">
        <v>294</v>
      </c>
      <c r="C5" s="42" t="s">
        <v>155</v>
      </c>
      <c r="D5" s="42" t="s">
        <v>295</v>
      </c>
      <c r="E5" s="43">
        <v>265.56529999999998</v>
      </c>
      <c r="F5" s="43">
        <v>264.43400000000003</v>
      </c>
      <c r="G5" s="43">
        <v>248.02930000000001</v>
      </c>
      <c r="H5" s="43">
        <v>262.60599999999999</v>
      </c>
      <c r="I5" s="43">
        <v>260.48930000000001</v>
      </c>
      <c r="J5" s="43">
        <v>276.69850000000002</v>
      </c>
      <c r="K5" s="43">
        <v>249.6825</v>
      </c>
      <c r="L5" s="43">
        <v>260.50720000000001</v>
      </c>
      <c r="M5" s="43">
        <v>263.33690000000001</v>
      </c>
      <c r="N5" s="43">
        <v>231.59880000000001</v>
      </c>
      <c r="O5" s="43">
        <v>241.61330000000001</v>
      </c>
      <c r="P5" s="43">
        <v>246.9204</v>
      </c>
      <c r="Q5" s="43">
        <v>246.78880000000001</v>
      </c>
      <c r="R5" s="43">
        <v>243.43029999999999</v>
      </c>
      <c r="S5" s="43">
        <v>241.41739999999999</v>
      </c>
      <c r="T5" s="43">
        <v>241.3124</v>
      </c>
      <c r="U5" s="43">
        <v>251.8612</v>
      </c>
      <c r="V5" s="42" t="s">
        <v>296</v>
      </c>
      <c r="W5" s="42"/>
      <c r="X5" s="42" t="s">
        <v>297</v>
      </c>
    </row>
    <row r="6" spans="1:24" x14ac:dyDescent="0.3">
      <c r="A6" s="42" t="s">
        <v>298</v>
      </c>
      <c r="B6" s="42" t="s">
        <v>294</v>
      </c>
      <c r="C6" s="42" t="s">
        <v>155</v>
      </c>
      <c r="D6" s="42" t="s">
        <v>299</v>
      </c>
      <c r="E6" s="43">
        <v>259.19889999999998</v>
      </c>
      <c r="F6" s="43">
        <v>263.5838</v>
      </c>
      <c r="G6" s="43">
        <v>251.3424</v>
      </c>
      <c r="H6" s="43">
        <v>263.87119999999999</v>
      </c>
      <c r="I6" s="43">
        <v>258.44920000000002</v>
      </c>
      <c r="J6" s="43">
        <v>258.60500000000002</v>
      </c>
      <c r="K6" s="43">
        <v>253.61949999999999</v>
      </c>
      <c r="L6" s="43">
        <v>253.5566</v>
      </c>
      <c r="M6" s="43">
        <v>259.41680000000002</v>
      </c>
      <c r="N6" s="43">
        <v>241.0241</v>
      </c>
      <c r="O6" s="43">
        <v>247.99850000000001</v>
      </c>
      <c r="P6" s="43">
        <v>248.17259999999999</v>
      </c>
      <c r="Q6" s="43">
        <v>247.5761</v>
      </c>
      <c r="R6" s="43">
        <v>248.19990000000001</v>
      </c>
      <c r="S6" s="43">
        <v>247.3486</v>
      </c>
      <c r="T6" s="43">
        <v>253.1593</v>
      </c>
      <c r="U6" s="43"/>
      <c r="V6" s="42" t="s">
        <v>300</v>
      </c>
      <c r="W6" s="42"/>
      <c r="X6" s="42" t="s">
        <v>301</v>
      </c>
    </row>
    <row r="7" spans="1:24" x14ac:dyDescent="0.3">
      <c r="A7" s="42" t="s">
        <v>302</v>
      </c>
      <c r="B7" s="42" t="s">
        <v>294</v>
      </c>
      <c r="C7" s="42" t="s">
        <v>201</v>
      </c>
      <c r="D7" s="42" t="s">
        <v>303</v>
      </c>
      <c r="E7" s="43">
        <v>86.229900000000001</v>
      </c>
      <c r="F7" s="43">
        <v>86.579400000000007</v>
      </c>
      <c r="G7" s="43">
        <v>86.844800000000006</v>
      </c>
      <c r="H7" s="43">
        <v>87.108999999999995</v>
      </c>
      <c r="I7" s="43">
        <v>87.405600000000007</v>
      </c>
      <c r="J7" s="43">
        <v>88.873599999999996</v>
      </c>
      <c r="K7" s="43">
        <v>89.385199999999998</v>
      </c>
      <c r="L7" s="43">
        <v>89.482399999999998</v>
      </c>
      <c r="M7" s="43">
        <v>89.678200000000004</v>
      </c>
      <c r="N7" s="43">
        <v>89.8</v>
      </c>
      <c r="O7" s="43">
        <v>89.957300000000004</v>
      </c>
      <c r="P7" s="43">
        <v>90.046800000000005</v>
      </c>
      <c r="Q7" s="43">
        <v>90.063500000000005</v>
      </c>
      <c r="R7" s="43">
        <v>90.031499999999994</v>
      </c>
      <c r="S7" s="43">
        <v>90.008600000000001</v>
      </c>
      <c r="T7" s="43">
        <v>90.050399999999996</v>
      </c>
      <c r="U7" s="43"/>
      <c r="V7" s="42" t="s">
        <v>304</v>
      </c>
      <c r="W7" s="42"/>
      <c r="X7" s="42" t="s">
        <v>303</v>
      </c>
    </row>
    <row r="8" spans="1:24" x14ac:dyDescent="0.3">
      <c r="D8" s="42" t="s">
        <v>305</v>
      </c>
      <c r="E8" s="42">
        <f t="shared" ref="E8:T8" si="0">E5/E7</f>
        <v>3.0797356833302598</v>
      </c>
      <c r="F8" s="42">
        <f t="shared" si="0"/>
        <v>3.0542369200987762</v>
      </c>
      <c r="G8" s="42">
        <f t="shared" si="0"/>
        <v>2.8560063469545671</v>
      </c>
      <c r="H8" s="42">
        <f t="shared" si="0"/>
        <v>3.0146827537912273</v>
      </c>
      <c r="I8" s="42">
        <f t="shared" si="0"/>
        <v>2.9802358201305177</v>
      </c>
      <c r="J8" s="42">
        <f t="shared" si="0"/>
        <v>3.1133936287041375</v>
      </c>
      <c r="K8" s="42">
        <f t="shared" si="0"/>
        <v>2.7933315582445419</v>
      </c>
      <c r="L8" s="42">
        <f t="shared" si="0"/>
        <v>2.9112674671220264</v>
      </c>
      <c r="M8" s="42">
        <f t="shared" si="0"/>
        <v>2.9364650494769076</v>
      </c>
      <c r="N8" s="42">
        <f t="shared" si="0"/>
        <v>2.5790512249443207</v>
      </c>
      <c r="O8" s="42">
        <f t="shared" si="0"/>
        <v>2.6858665166695754</v>
      </c>
      <c r="P8" s="42">
        <f t="shared" si="0"/>
        <v>2.742134090273058</v>
      </c>
      <c r="Q8" s="42">
        <f t="shared" si="0"/>
        <v>2.7401644395343285</v>
      </c>
      <c r="R8" s="42">
        <f t="shared" si="0"/>
        <v>2.7038347689419813</v>
      </c>
      <c r="S8" s="42">
        <f t="shared" si="0"/>
        <v>2.6821592603373454</v>
      </c>
      <c r="T8" s="42">
        <f t="shared" si="0"/>
        <v>2.6797482298801563</v>
      </c>
    </row>
    <row r="9" spans="1:24" x14ac:dyDescent="0.3">
      <c r="A9" s="42" t="s">
        <v>306</v>
      </c>
      <c r="B9" s="42"/>
      <c r="C9" s="42"/>
      <c r="U9" s="42"/>
      <c r="V9" s="42"/>
      <c r="W9" s="42"/>
    </row>
    <row r="11" spans="1:24" x14ac:dyDescent="0.3">
      <c r="A11" s="42" t="s">
        <v>307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</row>
    <row r="13" spans="1:24" x14ac:dyDescent="0.3">
      <c r="A13" s="42" t="s">
        <v>288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</row>
    <row r="15" spans="1:24" x14ac:dyDescent="0.3">
      <c r="A15" s="42" t="s">
        <v>289</v>
      </c>
      <c r="B15" s="42" t="s">
        <v>290</v>
      </c>
      <c r="C15" s="42" t="s">
        <v>28</v>
      </c>
      <c r="D15" s="42" t="s">
        <v>291</v>
      </c>
      <c r="E15" s="42">
        <v>2005</v>
      </c>
      <c r="F15" s="42">
        <v>2006</v>
      </c>
      <c r="G15" s="42">
        <v>2007</v>
      </c>
      <c r="H15" s="42">
        <v>2008</v>
      </c>
      <c r="I15" s="42">
        <v>2009</v>
      </c>
      <c r="J15" s="42">
        <v>2010</v>
      </c>
      <c r="K15" s="42">
        <v>2011</v>
      </c>
      <c r="L15" s="42">
        <v>2012</v>
      </c>
      <c r="M15" s="42">
        <v>2013</v>
      </c>
      <c r="N15" s="42">
        <v>2014</v>
      </c>
      <c r="O15" s="42">
        <v>2015</v>
      </c>
      <c r="P15" s="42">
        <v>2016</v>
      </c>
      <c r="Q15" s="42">
        <v>2017</v>
      </c>
      <c r="R15" s="42">
        <v>2018</v>
      </c>
      <c r="S15" s="42">
        <v>2019</v>
      </c>
      <c r="T15" s="42">
        <v>2020</v>
      </c>
      <c r="U15" s="42">
        <v>2021</v>
      </c>
      <c r="V15" s="42" t="s">
        <v>27</v>
      </c>
      <c r="W15" s="42" t="s">
        <v>292</v>
      </c>
      <c r="X15" s="42" t="s">
        <v>291</v>
      </c>
    </row>
    <row r="16" spans="1:24" x14ac:dyDescent="0.3">
      <c r="A16" s="42" t="s">
        <v>308</v>
      </c>
      <c r="B16" s="42" t="s">
        <v>294</v>
      </c>
      <c r="C16" s="42" t="s">
        <v>155</v>
      </c>
      <c r="D16" s="42" t="s">
        <v>309</v>
      </c>
      <c r="E16" s="43">
        <v>127.11239999999999</v>
      </c>
      <c r="F16" s="43">
        <v>131.90090000000001</v>
      </c>
      <c r="G16" s="43">
        <v>125.0547</v>
      </c>
      <c r="H16" s="43">
        <v>132.90219999999999</v>
      </c>
      <c r="I16" s="43">
        <v>132.89689999999999</v>
      </c>
      <c r="J16" s="43">
        <v>138.98050000000001</v>
      </c>
      <c r="K16" s="43">
        <v>127.1161</v>
      </c>
      <c r="L16" s="43">
        <v>130.0307</v>
      </c>
      <c r="M16" s="43">
        <v>131.49930000000001</v>
      </c>
      <c r="N16" s="43">
        <v>121.8207</v>
      </c>
      <c r="O16" s="43">
        <v>126.8507</v>
      </c>
      <c r="P16" s="43">
        <v>128.24639999999999</v>
      </c>
      <c r="Q16" s="43">
        <v>128.97989999999999</v>
      </c>
      <c r="R16" s="43">
        <v>126.19110000000001</v>
      </c>
      <c r="S16" s="43">
        <v>123.1301</v>
      </c>
      <c r="T16" s="43">
        <v>115.8597</v>
      </c>
      <c r="U16" s="43" t="s">
        <v>310</v>
      </c>
      <c r="V16" s="42" t="s">
        <v>311</v>
      </c>
      <c r="W16" s="42"/>
      <c r="X16" s="42" t="s">
        <v>312</v>
      </c>
    </row>
    <row r="17" spans="1:24" x14ac:dyDescent="0.3">
      <c r="A17" s="42" t="s">
        <v>313</v>
      </c>
      <c r="B17" s="42" t="s">
        <v>294</v>
      </c>
      <c r="C17" s="42" t="s">
        <v>155</v>
      </c>
      <c r="D17" s="42" t="s">
        <v>314</v>
      </c>
      <c r="E17" s="43">
        <v>125.3991</v>
      </c>
      <c r="F17" s="43">
        <v>131.66470000000001</v>
      </c>
      <c r="G17" s="43">
        <v>125.94329999999999</v>
      </c>
      <c r="H17" s="43">
        <v>133.2467</v>
      </c>
      <c r="I17" s="43">
        <v>132.346</v>
      </c>
      <c r="J17" s="43">
        <v>134.01910000000001</v>
      </c>
      <c r="K17" s="43">
        <v>128.11930000000001</v>
      </c>
      <c r="L17" s="43">
        <v>128.25569999999999</v>
      </c>
      <c r="M17" s="43">
        <v>130.5027</v>
      </c>
      <c r="N17" s="43">
        <v>124.182</v>
      </c>
      <c r="O17" s="43">
        <v>128.4402</v>
      </c>
      <c r="P17" s="43">
        <v>128.55629999999999</v>
      </c>
      <c r="Q17" s="43">
        <v>129.17420000000001</v>
      </c>
      <c r="R17" s="43">
        <v>127.3219</v>
      </c>
      <c r="S17" s="43">
        <v>124.4967</v>
      </c>
      <c r="T17" s="43">
        <v>118.4395</v>
      </c>
      <c r="U17" s="43" t="s">
        <v>310</v>
      </c>
      <c r="V17" s="42" t="s">
        <v>300</v>
      </c>
      <c r="W17" s="42"/>
      <c r="X17" s="42" t="s">
        <v>315</v>
      </c>
    </row>
    <row r="18" spans="1:24" x14ac:dyDescent="0.3">
      <c r="A18" s="42" t="s">
        <v>316</v>
      </c>
      <c r="B18" s="42" t="s">
        <v>294</v>
      </c>
      <c r="C18" s="42" t="s">
        <v>196</v>
      </c>
      <c r="D18" s="42" t="s">
        <v>317</v>
      </c>
      <c r="E18" s="43">
        <v>5135.1724000000004</v>
      </c>
      <c r="F18" s="43">
        <v>5116.8640999999998</v>
      </c>
      <c r="G18" s="43">
        <v>5199.1747999999998</v>
      </c>
      <c r="H18" s="43">
        <v>5333.1853000000001</v>
      </c>
      <c r="I18" s="43">
        <v>5376.2595000000001</v>
      </c>
      <c r="J18" s="43">
        <v>5422.6544999999996</v>
      </c>
      <c r="K18" s="43">
        <v>5441.9625999999998</v>
      </c>
      <c r="L18" s="43">
        <v>5501.9421000000002</v>
      </c>
      <c r="M18" s="43">
        <v>5573.4893000000002</v>
      </c>
      <c r="N18" s="43">
        <v>5618.2497999999996</v>
      </c>
      <c r="O18" s="43">
        <v>5657.6099000000004</v>
      </c>
      <c r="P18" s="43">
        <v>5717.2376999999997</v>
      </c>
      <c r="Q18" s="43">
        <v>5707.3284000000003</v>
      </c>
      <c r="R18" s="43">
        <v>5753.2097000000003</v>
      </c>
      <c r="S18" s="43">
        <v>5749.7368999999999</v>
      </c>
      <c r="T18" s="43">
        <v>5274.0532999999996</v>
      </c>
      <c r="U18" s="43" t="s">
        <v>310</v>
      </c>
      <c r="V18" s="53" t="s">
        <v>304</v>
      </c>
      <c r="W18" s="42"/>
      <c r="X18" s="42" t="s">
        <v>317</v>
      </c>
    </row>
    <row r="20" spans="1:24" x14ac:dyDescent="0.3">
      <c r="A20" s="42" t="s">
        <v>306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</row>
    <row r="22" spans="1:24" x14ac:dyDescent="0.3">
      <c r="A22" s="42" t="s">
        <v>307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</row>
    <row r="24" spans="1:24" x14ac:dyDescent="0.3">
      <c r="A24" s="117" t="s">
        <v>318</v>
      </c>
      <c r="B24" s="46" t="s">
        <v>319</v>
      </c>
    </row>
    <row r="25" spans="1:24" x14ac:dyDescent="0.3">
      <c r="A25" s="117" t="s">
        <v>320</v>
      </c>
      <c r="B25" s="117" t="s">
        <v>321</v>
      </c>
    </row>
    <row r="27" spans="1:24" x14ac:dyDescent="0.3">
      <c r="A27" s="46" t="s">
        <v>322</v>
      </c>
      <c r="C27" s="117" t="s">
        <v>323</v>
      </c>
    </row>
    <row r="28" spans="1:24" x14ac:dyDescent="0.3">
      <c r="A28" s="46" t="s">
        <v>324</v>
      </c>
      <c r="C28" s="117" t="s">
        <v>325</v>
      </c>
    </row>
    <row r="30" spans="1:24" x14ac:dyDescent="0.3">
      <c r="A30" s="27" t="s">
        <v>103</v>
      </c>
      <c r="E30" s="48" t="s">
        <v>29</v>
      </c>
      <c r="F30" s="48" t="s">
        <v>56</v>
      </c>
      <c r="G30" s="48" t="s">
        <v>57</v>
      </c>
      <c r="H30" s="48" t="s">
        <v>58</v>
      </c>
      <c r="I30" s="48" t="s">
        <v>59</v>
      </c>
      <c r="J30" s="48" t="s">
        <v>30</v>
      </c>
      <c r="K30" s="48" t="s">
        <v>60</v>
      </c>
      <c r="L30" s="48" t="s">
        <v>61</v>
      </c>
      <c r="M30" s="48" t="s">
        <v>62</v>
      </c>
      <c r="N30" s="48" t="s">
        <v>63</v>
      </c>
      <c r="O30" s="48" t="s">
        <v>31</v>
      </c>
      <c r="P30" s="48" t="s">
        <v>64</v>
      </c>
      <c r="Q30" s="48" t="s">
        <v>65</v>
      </c>
      <c r="R30" s="48" t="s">
        <v>66</v>
      </c>
      <c r="S30" s="48" t="s">
        <v>67</v>
      </c>
      <c r="T30" s="48" t="s">
        <v>32</v>
      </c>
      <c r="U30" s="48" t="s">
        <v>326</v>
      </c>
      <c r="V30" s="48" t="s">
        <v>327</v>
      </c>
    </row>
    <row r="31" spans="1:24" x14ac:dyDescent="0.3">
      <c r="A31" s="29" t="s">
        <v>328</v>
      </c>
      <c r="E31" s="47" t="s">
        <v>329</v>
      </c>
      <c r="F31" s="47" t="s">
        <v>329</v>
      </c>
      <c r="G31" s="47" t="s">
        <v>329</v>
      </c>
      <c r="H31" s="47" t="s">
        <v>329</v>
      </c>
      <c r="I31" s="47" t="s">
        <v>329</v>
      </c>
      <c r="J31" s="47" t="s">
        <v>329</v>
      </c>
      <c r="K31" s="47" t="s">
        <v>329</v>
      </c>
      <c r="L31" s="47" t="s">
        <v>329</v>
      </c>
      <c r="M31" s="47" t="s">
        <v>329</v>
      </c>
      <c r="N31" s="47" t="s">
        <v>329</v>
      </c>
      <c r="O31" s="47" t="s">
        <v>329</v>
      </c>
      <c r="P31" s="47" t="s">
        <v>329</v>
      </c>
      <c r="Q31" s="47" t="s">
        <v>329</v>
      </c>
      <c r="R31" s="47" t="s">
        <v>329</v>
      </c>
      <c r="S31" s="47" t="s">
        <v>329</v>
      </c>
      <c r="T31" s="47" t="s">
        <v>329</v>
      </c>
      <c r="U31" s="47" t="s">
        <v>329</v>
      </c>
      <c r="V31" s="47" t="s">
        <v>329</v>
      </c>
    </row>
    <row r="32" spans="1:24" x14ac:dyDescent="0.3">
      <c r="A32" s="30" t="s">
        <v>330</v>
      </c>
      <c r="E32" s="118">
        <v>435116254</v>
      </c>
      <c r="F32" s="118">
        <v>436521866</v>
      </c>
      <c r="G32" s="118">
        <v>437984240</v>
      </c>
      <c r="H32" s="118">
        <v>439386639</v>
      </c>
      <c r="I32" s="118">
        <v>440426387</v>
      </c>
      <c r="J32" s="118">
        <v>441041446</v>
      </c>
      <c r="K32" s="118">
        <v>440260386</v>
      </c>
      <c r="L32" s="118">
        <v>440905186</v>
      </c>
      <c r="M32" s="118">
        <v>441958943</v>
      </c>
      <c r="N32" s="118">
        <v>443274551</v>
      </c>
      <c r="O32" s="118">
        <v>444234821</v>
      </c>
      <c r="P32" s="118">
        <v>445167186</v>
      </c>
      <c r="Q32" s="118">
        <v>445871494</v>
      </c>
      <c r="R32" s="118">
        <v>446655355</v>
      </c>
      <c r="S32" s="118">
        <v>447022255</v>
      </c>
      <c r="T32" s="118">
        <v>447346360</v>
      </c>
      <c r="U32" s="118">
        <v>446904604</v>
      </c>
      <c r="V32" s="118">
        <v>447033117</v>
      </c>
    </row>
    <row r="34" spans="1:24" x14ac:dyDescent="0.3">
      <c r="A34" s="117" t="s">
        <v>318</v>
      </c>
      <c r="B34" s="46" t="s">
        <v>331</v>
      </c>
    </row>
    <row r="35" spans="1:24" x14ac:dyDescent="0.3">
      <c r="A35" s="117" t="s">
        <v>320</v>
      </c>
      <c r="B35" s="117" t="s">
        <v>332</v>
      </c>
    </row>
    <row r="37" spans="1:24" x14ac:dyDescent="0.3">
      <c r="A37" s="46" t="s">
        <v>322</v>
      </c>
      <c r="C37" s="117" t="s">
        <v>323</v>
      </c>
    </row>
    <row r="38" spans="1:24" x14ac:dyDescent="0.3">
      <c r="A38" s="46" t="s">
        <v>333</v>
      </c>
      <c r="C38" s="117" t="s">
        <v>334</v>
      </c>
    </row>
    <row r="40" spans="1:24" x14ac:dyDescent="0.3">
      <c r="A40" s="27" t="s">
        <v>103</v>
      </c>
      <c r="E40" s="48" t="s">
        <v>29</v>
      </c>
      <c r="F40" s="48" t="s">
        <v>56</v>
      </c>
      <c r="G40" s="48" t="s">
        <v>57</v>
      </c>
      <c r="H40" s="48" t="s">
        <v>58</v>
      </c>
      <c r="I40" s="48" t="s">
        <v>59</v>
      </c>
      <c r="J40" s="48" t="s">
        <v>30</v>
      </c>
      <c r="K40" s="48" t="s">
        <v>60</v>
      </c>
      <c r="L40" s="48" t="s">
        <v>61</v>
      </c>
      <c r="M40" s="48" t="s">
        <v>62</v>
      </c>
      <c r="N40" s="48" t="s">
        <v>63</v>
      </c>
      <c r="O40" s="48" t="s">
        <v>31</v>
      </c>
      <c r="P40" s="48" t="s">
        <v>64</v>
      </c>
      <c r="Q40" s="48" t="s">
        <v>65</v>
      </c>
      <c r="R40" s="48" t="s">
        <v>66</v>
      </c>
      <c r="S40" s="48" t="s">
        <v>67</v>
      </c>
      <c r="T40" s="48" t="s">
        <v>32</v>
      </c>
      <c r="U40" s="48" t="s">
        <v>326</v>
      </c>
      <c r="V40" s="48" t="s">
        <v>327</v>
      </c>
    </row>
    <row r="41" spans="1:24" x14ac:dyDescent="0.3">
      <c r="A41" s="29" t="s">
        <v>328</v>
      </c>
      <c r="E41" s="47" t="s">
        <v>329</v>
      </c>
      <c r="F41" s="47" t="s">
        <v>329</v>
      </c>
      <c r="G41" s="47" t="s">
        <v>329</v>
      </c>
      <c r="H41" s="47" t="s">
        <v>329</v>
      </c>
      <c r="I41" s="47" t="s">
        <v>329</v>
      </c>
      <c r="J41" s="47" t="s">
        <v>329</v>
      </c>
      <c r="K41" s="47" t="s">
        <v>329</v>
      </c>
      <c r="L41" s="47" t="s">
        <v>329</v>
      </c>
      <c r="M41" s="47" t="s">
        <v>329</v>
      </c>
      <c r="N41" s="47" t="s">
        <v>329</v>
      </c>
      <c r="O41" s="47" t="s">
        <v>329</v>
      </c>
      <c r="P41" s="47" t="s">
        <v>329</v>
      </c>
      <c r="Q41" s="47" t="s">
        <v>329</v>
      </c>
      <c r="R41" s="47" t="s">
        <v>329</v>
      </c>
      <c r="S41" s="47" t="s">
        <v>329</v>
      </c>
      <c r="T41" s="47" t="s">
        <v>329</v>
      </c>
      <c r="U41" s="47" t="s">
        <v>329</v>
      </c>
      <c r="V41" s="47" t="s">
        <v>329</v>
      </c>
    </row>
    <row r="42" spans="1:24" x14ac:dyDescent="0.3">
      <c r="A42" s="30" t="s">
        <v>330</v>
      </c>
      <c r="E42" s="118"/>
      <c r="F42" s="118"/>
      <c r="G42" s="118"/>
      <c r="H42" s="118"/>
      <c r="I42" s="118"/>
      <c r="J42" s="119">
        <v>2.4</v>
      </c>
      <c r="K42" s="119">
        <v>2.4</v>
      </c>
      <c r="L42" s="119">
        <v>2.4</v>
      </c>
      <c r="M42" s="119">
        <v>2.4</v>
      </c>
      <c r="N42" s="119">
        <v>2.2999999999999998</v>
      </c>
      <c r="O42" s="119">
        <v>2.2999999999999998</v>
      </c>
      <c r="P42" s="119">
        <v>2.2999999999999998</v>
      </c>
      <c r="Q42" s="119">
        <v>2.2999999999999998</v>
      </c>
      <c r="R42" s="119">
        <v>2.2999999999999998</v>
      </c>
      <c r="S42" s="119">
        <v>2.2999999999999998</v>
      </c>
      <c r="T42" s="119">
        <v>2.2999999999999998</v>
      </c>
      <c r="U42" s="119">
        <v>2.2999999999999998</v>
      </c>
      <c r="V42" s="119">
        <v>2.2999999999999998</v>
      </c>
    </row>
    <row r="43" spans="1:24" ht="11.45" customHeight="1" x14ac:dyDescent="0.3"/>
    <row r="44" spans="1:24" x14ac:dyDescent="0.3">
      <c r="A44" s="42" t="s">
        <v>288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</row>
    <row r="45" spans="1:24" x14ac:dyDescent="0.3">
      <c r="A45" s="46"/>
      <c r="B45" s="117"/>
    </row>
    <row r="46" spans="1:24" x14ac:dyDescent="0.3">
      <c r="A46" s="42" t="s">
        <v>289</v>
      </c>
      <c r="B46" s="42" t="s">
        <v>290</v>
      </c>
      <c r="C46" s="42" t="s">
        <v>28</v>
      </c>
      <c r="D46" s="42" t="str">
        <f>X46</f>
        <v>Title</v>
      </c>
      <c r="E46" s="42">
        <v>2005</v>
      </c>
      <c r="F46" s="42"/>
      <c r="G46" s="42"/>
      <c r="H46" s="42"/>
      <c r="I46" s="42"/>
      <c r="J46" s="42">
        <v>2010</v>
      </c>
      <c r="K46" s="42"/>
      <c r="L46" s="42"/>
      <c r="M46" s="42"/>
      <c r="N46" s="42"/>
      <c r="O46" s="42">
        <v>2015</v>
      </c>
      <c r="P46" s="42"/>
      <c r="Q46" s="42"/>
      <c r="R46" s="42"/>
      <c r="S46" s="42"/>
      <c r="T46" s="42">
        <v>2020</v>
      </c>
      <c r="U46" s="42">
        <v>2021</v>
      </c>
      <c r="V46" s="42" t="s">
        <v>27</v>
      </c>
      <c r="W46" s="42" t="s">
        <v>292</v>
      </c>
      <c r="X46" s="42" t="s">
        <v>291</v>
      </c>
    </row>
    <row r="47" spans="1:24" x14ac:dyDescent="0.3">
      <c r="A47" s="42" t="s">
        <v>313</v>
      </c>
      <c r="B47" s="42" t="s">
        <v>294</v>
      </c>
      <c r="C47" s="42" t="s">
        <v>155</v>
      </c>
      <c r="D47" s="42" t="str">
        <f t="shared" ref="D47:D48" si="1">X47</f>
        <v>Total consumption of services (with climatic corrections)</v>
      </c>
      <c r="E47" s="49">
        <v>125.3991</v>
      </c>
      <c r="F47" s="49">
        <v>131.66470000000001</v>
      </c>
      <c r="G47" s="49">
        <v>125.94329999999999</v>
      </c>
      <c r="H47" s="49">
        <v>133.2467</v>
      </c>
      <c r="I47" s="49">
        <v>132.346</v>
      </c>
      <c r="J47" s="49">
        <v>134.01910000000001</v>
      </c>
      <c r="K47" s="49">
        <v>128.11930000000001</v>
      </c>
      <c r="L47" s="49">
        <v>128.25569999999999</v>
      </c>
      <c r="M47" s="49">
        <v>130.5027</v>
      </c>
      <c r="N47" s="49">
        <v>124.182</v>
      </c>
      <c r="O47" s="49">
        <v>128.4402</v>
      </c>
      <c r="P47" s="49">
        <v>128.55629999999999</v>
      </c>
      <c r="Q47" s="49">
        <v>129.17420000000001</v>
      </c>
      <c r="R47" s="49">
        <v>127.3219</v>
      </c>
      <c r="S47" s="49">
        <v>124.4967</v>
      </c>
      <c r="T47" s="49">
        <v>118.4395</v>
      </c>
      <c r="U47" s="43" t="s">
        <v>310</v>
      </c>
      <c r="V47" s="42" t="s">
        <v>300</v>
      </c>
      <c r="W47" s="42"/>
      <c r="X47" s="42" t="s">
        <v>315</v>
      </c>
    </row>
    <row r="48" spans="1:24" x14ac:dyDescent="0.3">
      <c r="A48" s="42" t="s">
        <v>316</v>
      </c>
      <c r="B48" s="42" t="s">
        <v>294</v>
      </c>
      <c r="C48" s="42" t="s">
        <v>196</v>
      </c>
      <c r="D48" s="42" t="str">
        <f t="shared" si="1"/>
        <v>Floor area of services</v>
      </c>
      <c r="E48" s="49">
        <v>5135.1724000000004</v>
      </c>
      <c r="F48" s="49">
        <v>5116.8640999999998</v>
      </c>
      <c r="G48" s="49">
        <v>5199.1747999999998</v>
      </c>
      <c r="H48" s="49">
        <v>5333.1853000000001</v>
      </c>
      <c r="I48" s="49">
        <v>5376.2595000000001</v>
      </c>
      <c r="J48" s="49">
        <v>5422.6544999999996</v>
      </c>
      <c r="K48" s="49">
        <v>5441.9625999999998</v>
      </c>
      <c r="L48" s="49">
        <v>5501.9421000000002</v>
      </c>
      <c r="M48" s="49">
        <v>5573.4893000000002</v>
      </c>
      <c r="N48" s="49">
        <v>5618.2497999999996</v>
      </c>
      <c r="O48" s="49">
        <v>5657.6099000000004</v>
      </c>
      <c r="P48" s="49">
        <v>5717.2376999999997</v>
      </c>
      <c r="Q48" s="49">
        <v>5707.3284000000003</v>
      </c>
      <c r="R48" s="49">
        <v>5753.2097000000003</v>
      </c>
      <c r="S48" s="49">
        <v>5749.7368999999999</v>
      </c>
      <c r="T48" s="49">
        <v>5274.0532999999996</v>
      </c>
      <c r="U48" s="43" t="s">
        <v>310</v>
      </c>
      <c r="V48" s="42" t="s">
        <v>304</v>
      </c>
      <c r="W48" s="42"/>
      <c r="X48" s="42" t="s">
        <v>317</v>
      </c>
    </row>
    <row r="49" spans="1:24" x14ac:dyDescent="0.3">
      <c r="C49" s="42" t="s">
        <v>335</v>
      </c>
      <c r="D49" s="42" t="s">
        <v>336</v>
      </c>
      <c r="E49" s="1">
        <f>E47/E48*1000</f>
        <v>24.419647527315732</v>
      </c>
      <c r="F49" s="1">
        <f t="shared" ref="F49:T49" si="2">F47/F48*1000</f>
        <v>25.731521773267346</v>
      </c>
      <c r="G49" s="1">
        <f t="shared" si="2"/>
        <v>24.223709500976963</v>
      </c>
      <c r="H49" s="1">
        <f t="shared" si="2"/>
        <v>24.984449724632668</v>
      </c>
      <c r="I49" s="1">
        <f t="shared" si="2"/>
        <v>24.616743295222264</v>
      </c>
      <c r="J49" s="1">
        <f t="shared" si="2"/>
        <v>24.714666958774529</v>
      </c>
      <c r="K49" s="1">
        <f t="shared" si="2"/>
        <v>23.54284830990937</v>
      </c>
      <c r="L49" s="1">
        <f t="shared" si="2"/>
        <v>23.310986860439694</v>
      </c>
      <c r="M49" s="1">
        <f t="shared" si="2"/>
        <v>23.414900966975928</v>
      </c>
      <c r="N49" s="1">
        <f t="shared" si="2"/>
        <v>22.103324775626746</v>
      </c>
      <c r="O49" s="1">
        <f t="shared" si="2"/>
        <v>22.702201507389187</v>
      </c>
      <c r="P49" s="1">
        <f t="shared" si="2"/>
        <v>22.485736424777304</v>
      </c>
      <c r="Q49" s="1">
        <f t="shared" si="2"/>
        <v>22.633041406904148</v>
      </c>
      <c r="R49" s="1">
        <f t="shared" si="2"/>
        <v>22.130585645087816</v>
      </c>
      <c r="S49" s="1">
        <f t="shared" si="2"/>
        <v>21.652590747239234</v>
      </c>
      <c r="T49" s="1">
        <f t="shared" si="2"/>
        <v>22.45701612458107</v>
      </c>
    </row>
    <row r="50" spans="1:24" x14ac:dyDescent="0.3">
      <c r="A50" s="42" t="s">
        <v>337</v>
      </c>
      <c r="B50" s="42" t="s">
        <v>294</v>
      </c>
      <c r="C50" s="42" t="s">
        <v>338</v>
      </c>
      <c r="D50" s="42" t="s">
        <v>339</v>
      </c>
      <c r="E50" s="49">
        <v>17.6111</v>
      </c>
      <c r="F50" s="49">
        <v>17.630800000000001</v>
      </c>
      <c r="G50" s="49">
        <v>16.618200000000002</v>
      </c>
      <c r="H50" s="49">
        <v>17.2254</v>
      </c>
      <c r="I50" s="49">
        <v>16.660699999999999</v>
      </c>
      <c r="J50" s="49">
        <v>16.191199999999998</v>
      </c>
      <c r="K50" s="49">
        <v>15.758100000000001</v>
      </c>
      <c r="L50" s="49">
        <v>15.6005</v>
      </c>
      <c r="M50" s="49">
        <v>15.8408</v>
      </c>
      <c r="N50" s="49">
        <v>14.6191</v>
      </c>
      <c r="O50" s="49">
        <v>14.938499999999999</v>
      </c>
      <c r="P50" s="49">
        <v>14.832599999999999</v>
      </c>
      <c r="Q50" s="49">
        <v>14.7134</v>
      </c>
      <c r="R50" s="49">
        <v>14.667999999999999</v>
      </c>
      <c r="S50" s="49">
        <v>14.519600000000001</v>
      </c>
      <c r="T50" s="49">
        <v>14.7585</v>
      </c>
      <c r="U50" s="43" t="s">
        <v>310</v>
      </c>
      <c r="V50" s="42" t="s">
        <v>300</v>
      </c>
      <c r="W50" s="42"/>
      <c r="X50" s="42" t="s">
        <v>340</v>
      </c>
    </row>
    <row r="51" spans="1:24" x14ac:dyDescent="0.3">
      <c r="A51" s="42"/>
      <c r="B51" s="42"/>
      <c r="C51" s="53" t="s">
        <v>22</v>
      </c>
      <c r="D51" s="42" t="str">
        <f>D47</f>
        <v>Total consumption of services (with climatic corrections)</v>
      </c>
      <c r="E51" s="49">
        <f t="shared" ref="E51:T51" si="3">E47*Mtoe2TWh</f>
        <v>1458.391533</v>
      </c>
      <c r="F51" s="49">
        <f t="shared" si="3"/>
        <v>1531.2604610000001</v>
      </c>
      <c r="G51" s="49">
        <f t="shared" si="3"/>
        <v>1464.7205789999998</v>
      </c>
      <c r="H51" s="49">
        <f t="shared" si="3"/>
        <v>1549.6591209999999</v>
      </c>
      <c r="I51" s="49">
        <f t="shared" si="3"/>
        <v>1539.18398</v>
      </c>
      <c r="J51" s="49">
        <f t="shared" si="3"/>
        <v>1558.6421330000001</v>
      </c>
      <c r="K51" s="49">
        <f t="shared" si="3"/>
        <v>1490.0274589999999</v>
      </c>
      <c r="L51" s="49">
        <f t="shared" si="3"/>
        <v>1491.6137909999998</v>
      </c>
      <c r="M51" s="49">
        <f t="shared" si="3"/>
        <v>1517.7464009999999</v>
      </c>
      <c r="N51" s="49">
        <f t="shared" si="3"/>
        <v>1444.2366599999998</v>
      </c>
      <c r="O51" s="49">
        <f t="shared" si="3"/>
        <v>1493.7595259999998</v>
      </c>
      <c r="P51" s="49">
        <f t="shared" si="3"/>
        <v>1495.1097689999997</v>
      </c>
      <c r="Q51" s="49">
        <f t="shared" si="3"/>
        <v>1502.295946</v>
      </c>
      <c r="R51" s="49">
        <f t="shared" si="3"/>
        <v>1480.7536969999999</v>
      </c>
      <c r="S51" s="49">
        <f t="shared" si="3"/>
        <v>1447.8966209999999</v>
      </c>
      <c r="T51" s="49">
        <f t="shared" si="3"/>
        <v>1377.4513849999998</v>
      </c>
      <c r="U51" s="43"/>
      <c r="V51" s="42"/>
      <c r="W51" s="42"/>
      <c r="X51" s="42"/>
    </row>
    <row r="52" spans="1:24" x14ac:dyDescent="0.3">
      <c r="A52" s="42"/>
      <c r="B52" s="42"/>
      <c r="C52" s="53" t="s">
        <v>341</v>
      </c>
      <c r="D52" s="42" t="s">
        <v>336</v>
      </c>
      <c r="E52" s="120">
        <f>(E51*1000000000)/(E48*1000000)</f>
        <v>284.00050074268199</v>
      </c>
      <c r="F52" s="120">
        <f t="shared" ref="F52:T52" si="4">(F51*1000000000)/(F48*1000000)</f>
        <v>299.25759822309919</v>
      </c>
      <c r="G52" s="120">
        <f t="shared" si="4"/>
        <v>281.72174149636203</v>
      </c>
      <c r="H52" s="120">
        <f t="shared" si="4"/>
        <v>290.56915029747796</v>
      </c>
      <c r="I52" s="120">
        <f t="shared" si="4"/>
        <v>286.29272452343491</v>
      </c>
      <c r="J52" s="120">
        <f t="shared" si="4"/>
        <v>287.43157673054776</v>
      </c>
      <c r="K52" s="120">
        <f t="shared" si="4"/>
        <v>273.80332584424599</v>
      </c>
      <c r="L52" s="120">
        <f t="shared" si="4"/>
        <v>271.10677718691363</v>
      </c>
      <c r="M52" s="120">
        <f t="shared" si="4"/>
        <v>272.31529824593008</v>
      </c>
      <c r="N52" s="120">
        <f t="shared" si="4"/>
        <v>257.06166714053899</v>
      </c>
      <c r="O52" s="120">
        <f t="shared" si="4"/>
        <v>264.0266035309362</v>
      </c>
      <c r="P52" s="120">
        <f t="shared" si="4"/>
        <v>261.50911462015995</v>
      </c>
      <c r="Q52" s="120">
        <f t="shared" si="4"/>
        <v>263.22227156229525</v>
      </c>
      <c r="R52" s="120">
        <f t="shared" si="4"/>
        <v>257.37871105237127</v>
      </c>
      <c r="S52" s="120">
        <f t="shared" si="4"/>
        <v>251.81963039039226</v>
      </c>
      <c r="T52" s="120">
        <f t="shared" si="4"/>
        <v>261.17509752887781</v>
      </c>
      <c r="U52" s="43"/>
      <c r="V52" s="42"/>
      <c r="W52" s="42"/>
      <c r="X52" s="42"/>
    </row>
    <row r="53" spans="1:24" x14ac:dyDescent="0.3">
      <c r="A53" s="42"/>
      <c r="B53" s="42"/>
      <c r="C53" s="53" t="s">
        <v>341</v>
      </c>
      <c r="D53" s="53" t="s">
        <v>339</v>
      </c>
      <c r="E53" s="120">
        <f t="shared" ref="E53:T53" si="5">E50*1000*Mtoe2TWh/1000</f>
        <v>204.817093</v>
      </c>
      <c r="F53" s="120">
        <f t="shared" si="5"/>
        <v>205.04620399999996</v>
      </c>
      <c r="G53" s="120">
        <f t="shared" si="5"/>
        <v>193.269666</v>
      </c>
      <c r="H53" s="120">
        <f t="shared" si="5"/>
        <v>200.331402</v>
      </c>
      <c r="I53" s="120">
        <f t="shared" si="5"/>
        <v>193.76394099999996</v>
      </c>
      <c r="J53" s="120">
        <f t="shared" si="5"/>
        <v>188.30365599999996</v>
      </c>
      <c r="K53" s="120">
        <f t="shared" si="5"/>
        <v>183.26670299999998</v>
      </c>
      <c r="L53" s="120">
        <f t="shared" si="5"/>
        <v>181.43381499999998</v>
      </c>
      <c r="M53" s="120">
        <f t="shared" si="5"/>
        <v>184.22850399999999</v>
      </c>
      <c r="N53" s="120">
        <f t="shared" si="5"/>
        <v>170.02013300000002</v>
      </c>
      <c r="O53" s="120">
        <f t="shared" si="5"/>
        <v>173.73475499999998</v>
      </c>
      <c r="P53" s="120">
        <f t="shared" si="5"/>
        <v>172.50313799999998</v>
      </c>
      <c r="Q53" s="120">
        <f t="shared" si="5"/>
        <v>171.11684199999996</v>
      </c>
      <c r="R53" s="120">
        <f t="shared" si="5"/>
        <v>170.58884</v>
      </c>
      <c r="S53" s="120">
        <f t="shared" si="5"/>
        <v>168.86294800000002</v>
      </c>
      <c r="T53" s="120">
        <f t="shared" si="5"/>
        <v>171.64135499999998</v>
      </c>
      <c r="U53" s="43"/>
      <c r="V53" s="42"/>
      <c r="W53" s="42"/>
      <c r="X53" s="42"/>
    </row>
    <row r="55" spans="1:24" x14ac:dyDescent="0.3">
      <c r="B55" s="42"/>
      <c r="C55" s="42"/>
      <c r="D55" s="42" t="s">
        <v>342</v>
      </c>
      <c r="E55" s="42"/>
      <c r="F55" s="121">
        <f>F49/E49-1</f>
        <v>5.372207950520802E-2</v>
      </c>
      <c r="G55" s="121">
        <f t="shared" ref="G55:T55" si="6">G49/F49-1</f>
        <v>-5.8597866289309741E-2</v>
      </c>
      <c r="H55" s="121">
        <f t="shared" si="6"/>
        <v>3.1404778183334203E-2</v>
      </c>
      <c r="I55" s="121">
        <f t="shared" si="6"/>
        <v>-1.4717411568519578E-2</v>
      </c>
      <c r="J55" s="121">
        <f t="shared" si="6"/>
        <v>3.9779292645616415E-3</v>
      </c>
      <c r="K55" s="121">
        <f t="shared" si="6"/>
        <v>-4.7413896000290778E-2</v>
      </c>
      <c r="L55" s="121">
        <f t="shared" si="6"/>
        <v>-9.8484875923905424E-3</v>
      </c>
      <c r="M55" s="121">
        <f t="shared" si="6"/>
        <v>4.4577309042450608E-3</v>
      </c>
      <c r="N55" s="121">
        <f t="shared" si="6"/>
        <v>-5.6014594859872036E-2</v>
      </c>
      <c r="O55" s="121">
        <f t="shared" si="6"/>
        <v>2.709441850227079E-2</v>
      </c>
      <c r="P55" s="121">
        <f t="shared" si="6"/>
        <v>-9.5349819946505265E-3</v>
      </c>
      <c r="Q55" s="121">
        <f t="shared" si="6"/>
        <v>6.5510410397111585E-3</v>
      </c>
      <c r="R55" s="121">
        <f t="shared" si="6"/>
        <v>-2.220009908447651E-2</v>
      </c>
      <c r="S55" s="121">
        <f t="shared" si="6"/>
        <v>-2.1598836357711981E-2</v>
      </c>
      <c r="T55" s="121">
        <f t="shared" si="6"/>
        <v>3.7151460845137096E-2</v>
      </c>
      <c r="U55" s="42"/>
      <c r="V55" s="42"/>
      <c r="W55" s="42"/>
    </row>
    <row r="56" spans="1:24" x14ac:dyDescent="0.3">
      <c r="D56" s="42" t="s">
        <v>343</v>
      </c>
      <c r="F56" s="121">
        <f>F50/E50-1</f>
        <v>1.1186126931310714E-3</v>
      </c>
      <c r="G56" s="121">
        <f t="shared" ref="G56:T56" si="7">G50/F50-1</f>
        <v>-5.7433582140345218E-2</v>
      </c>
      <c r="H56" s="121">
        <f t="shared" si="7"/>
        <v>3.6538253240423035E-2</v>
      </c>
      <c r="I56" s="121">
        <f t="shared" si="7"/>
        <v>-3.2782983268893728E-2</v>
      </c>
      <c r="J56" s="121">
        <f t="shared" si="7"/>
        <v>-2.8180088471672859E-2</v>
      </c>
      <c r="K56" s="121">
        <f t="shared" si="7"/>
        <v>-2.6749098275606342E-2</v>
      </c>
      <c r="L56" s="121">
        <f t="shared" si="7"/>
        <v>-1.0001205729117113E-2</v>
      </c>
      <c r="M56" s="121">
        <f t="shared" si="7"/>
        <v>1.540335245665192E-2</v>
      </c>
      <c r="N56" s="121">
        <f t="shared" si="7"/>
        <v>-7.7123630119690922E-2</v>
      </c>
      <c r="O56" s="121">
        <f t="shared" si="7"/>
        <v>2.1848130185852854E-2</v>
      </c>
      <c r="P56" s="121">
        <f t="shared" si="7"/>
        <v>-7.0890651671854377E-3</v>
      </c>
      <c r="Q56" s="121">
        <f t="shared" si="7"/>
        <v>-8.0363523589930264E-3</v>
      </c>
      <c r="R56" s="121">
        <f t="shared" si="7"/>
        <v>-3.0856226297117928E-3</v>
      </c>
      <c r="S56" s="121">
        <f t="shared" si="7"/>
        <v>-1.0117262067084742E-2</v>
      </c>
      <c r="T56" s="121">
        <f t="shared" si="7"/>
        <v>1.6453621311881772E-2</v>
      </c>
    </row>
    <row r="57" spans="1:24" x14ac:dyDescent="0.3">
      <c r="A57" s="42" t="s">
        <v>306</v>
      </c>
      <c r="D57" s="42" t="s">
        <v>344</v>
      </c>
      <c r="F57" s="50">
        <f>AVERAGE(F55:T55)</f>
        <v>-5.0377823668502483E-3</v>
      </c>
      <c r="V57" s="2">
        <f>T49/E49-1</f>
        <v>-8.0370996368365644E-2</v>
      </c>
    </row>
    <row r="58" spans="1:24" x14ac:dyDescent="0.3">
      <c r="A58" s="42" t="s">
        <v>307</v>
      </c>
      <c r="D58" s="42" t="s">
        <v>345</v>
      </c>
      <c r="F58" s="50">
        <f>AVERAGE(F56:T56)</f>
        <v>-1.1282461356024035E-2</v>
      </c>
      <c r="V58" s="2">
        <f>T50/E50-1</f>
        <v>-0.16197738926018257</v>
      </c>
    </row>
    <row r="76" spans="1:20" s="70" customFormat="1" x14ac:dyDescent="0.3">
      <c r="A76" s="69" t="s">
        <v>44</v>
      </c>
    </row>
    <row r="77" spans="1:20" s="70" customFormat="1" x14ac:dyDescent="0.3">
      <c r="A77" s="70" t="s">
        <v>346</v>
      </c>
      <c r="D77" s="71"/>
      <c r="P77" s="76">
        <f t="shared" ref="P77:S77" si="8">P49-O49</f>
        <v>-0.21646508261188302</v>
      </c>
      <c r="Q77" s="76">
        <f t="shared" si="8"/>
        <v>0.14730498212684395</v>
      </c>
      <c r="R77" s="76">
        <f t="shared" si="8"/>
        <v>-0.50245576181633211</v>
      </c>
      <c r="S77" s="76">
        <f t="shared" si="8"/>
        <v>-0.47799489784858196</v>
      </c>
      <c r="T77" s="76">
        <f>T49-S49</f>
        <v>0.80442537734183617</v>
      </c>
    </row>
    <row r="78" spans="1:20" s="70" customFormat="1" x14ac:dyDescent="0.3">
      <c r="A78" s="70" t="s">
        <v>347</v>
      </c>
      <c r="B78" s="74"/>
      <c r="E78" s="77">
        <f>AVERAGE(P77:T77)</f>
        <v>-4.9037076561623393E-2</v>
      </c>
    </row>
    <row r="79" spans="1:20" s="70" customFormat="1" x14ac:dyDescent="0.3">
      <c r="P79" s="76">
        <f>P50-O50</f>
        <v>-0.10590000000000011</v>
      </c>
      <c r="Q79" s="76">
        <f>Q50-P50</f>
        <v>-0.11919999999999931</v>
      </c>
      <c r="R79" s="76">
        <f>R50-Q50</f>
        <v>-4.5400000000000773E-2</v>
      </c>
      <c r="S79" s="76">
        <f>S50-R50</f>
        <v>-0.14839999999999876</v>
      </c>
      <c r="T79" s="76">
        <f>T50-S50</f>
        <v>0.23889999999999922</v>
      </c>
    </row>
    <row r="80" spans="1:20" s="70" customFormat="1" x14ac:dyDescent="0.3">
      <c r="A80" s="70" t="s">
        <v>348</v>
      </c>
      <c r="E80" s="77">
        <f>AVERAGE(P79:T79)</f>
        <v>-3.5999999999999942E-2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21992-E149-4631-8931-C86B18D26984}">
  <dimension ref="A1:X55"/>
  <sheetViews>
    <sheetView zoomScaleNormal="100" workbookViewId="0">
      <selection activeCell="S21" sqref="S20:S21"/>
    </sheetView>
  </sheetViews>
  <sheetFormatPr defaultRowHeight="16.5" x14ac:dyDescent="0.3"/>
  <cols>
    <col min="4" max="4" width="52.75" customWidth="1"/>
  </cols>
  <sheetData>
    <row r="1" spans="1:24" s="44" customFormat="1" x14ac:dyDescent="0.3">
      <c r="A1" s="44" t="s">
        <v>349</v>
      </c>
    </row>
    <row r="2" spans="1:24" x14ac:dyDescent="0.3">
      <c r="A2" s="42" t="s">
        <v>288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</row>
    <row r="4" spans="1:24" x14ac:dyDescent="0.3">
      <c r="A4" s="42" t="s">
        <v>289</v>
      </c>
      <c r="B4" s="42" t="s">
        <v>290</v>
      </c>
      <c r="C4" s="42" t="s">
        <v>28</v>
      </c>
      <c r="D4" t="str">
        <f>X4</f>
        <v>Title</v>
      </c>
      <c r="E4" s="42">
        <v>2005</v>
      </c>
      <c r="F4" s="42">
        <v>2006</v>
      </c>
      <c r="G4" s="42">
        <v>2007</v>
      </c>
      <c r="H4" s="42">
        <v>2008</v>
      </c>
      <c r="I4" s="42">
        <v>2009</v>
      </c>
      <c r="J4" s="42">
        <v>2010</v>
      </c>
      <c r="K4" s="42">
        <v>2011</v>
      </c>
      <c r="L4" s="42">
        <v>2012</v>
      </c>
      <c r="M4" s="42">
        <v>2013</v>
      </c>
      <c r="N4" s="42">
        <v>2014</v>
      </c>
      <c r="O4" s="42">
        <v>2015</v>
      </c>
      <c r="P4" s="42">
        <v>2016</v>
      </c>
      <c r="Q4" s="42">
        <v>2017</v>
      </c>
      <c r="R4" s="42">
        <v>2018</v>
      </c>
      <c r="S4" s="42">
        <v>2019</v>
      </c>
      <c r="T4" s="42">
        <v>2020</v>
      </c>
      <c r="U4" s="42">
        <v>2021</v>
      </c>
      <c r="V4" s="42" t="s">
        <v>27</v>
      </c>
      <c r="W4" s="42" t="s">
        <v>292</v>
      </c>
      <c r="X4" s="42" t="s">
        <v>291</v>
      </c>
    </row>
    <row r="5" spans="1:24" x14ac:dyDescent="0.3">
      <c r="A5" s="42" t="s">
        <v>350</v>
      </c>
      <c r="B5" s="42" t="s">
        <v>294</v>
      </c>
      <c r="C5" s="42" t="s">
        <v>351</v>
      </c>
      <c r="D5" t="str">
        <f t="shared" ref="D5:D6" si="0">X5</f>
        <v>Heating degree-days</v>
      </c>
      <c r="E5" s="43">
        <v>3209.72</v>
      </c>
      <c r="F5" s="43">
        <v>3084.51</v>
      </c>
      <c r="G5" s="43">
        <v>2985.9</v>
      </c>
      <c r="H5" s="43">
        <v>3036.39</v>
      </c>
      <c r="I5" s="43">
        <v>3113.25</v>
      </c>
      <c r="J5" s="43">
        <v>3497.41</v>
      </c>
      <c r="K5" s="43">
        <v>2968.15</v>
      </c>
      <c r="L5" s="43">
        <v>3237.86</v>
      </c>
      <c r="M5" s="43">
        <v>3160.09</v>
      </c>
      <c r="N5" s="43">
        <v>2815.53</v>
      </c>
      <c r="O5" s="43">
        <v>2901.23</v>
      </c>
      <c r="P5" s="43">
        <v>3033.05</v>
      </c>
      <c r="Q5" s="43">
        <v>3044.85</v>
      </c>
      <c r="R5" s="43">
        <v>2940.9</v>
      </c>
      <c r="S5" s="43">
        <v>2909.29</v>
      </c>
      <c r="T5" s="43">
        <v>2758.95</v>
      </c>
      <c r="U5" s="43" t="s">
        <v>310</v>
      </c>
      <c r="V5" s="42" t="s">
        <v>352</v>
      </c>
      <c r="W5" s="42"/>
      <c r="X5" s="42" t="s">
        <v>353</v>
      </c>
    </row>
    <row r="6" spans="1:24" x14ac:dyDescent="0.3">
      <c r="A6" s="42" t="s">
        <v>354</v>
      </c>
      <c r="B6" s="42" t="s">
        <v>294</v>
      </c>
      <c r="C6" s="42" t="s">
        <v>351</v>
      </c>
      <c r="D6" t="str">
        <f t="shared" si="0"/>
        <v>Cooling degree-days</v>
      </c>
      <c r="E6" s="43">
        <v>71.739999999999995</v>
      </c>
      <c r="F6" s="43">
        <v>96.17</v>
      </c>
      <c r="G6" s="43">
        <v>78.06</v>
      </c>
      <c r="H6" s="43">
        <v>73.5</v>
      </c>
      <c r="I6" s="43">
        <v>82.81</v>
      </c>
      <c r="J6" s="43">
        <v>96.73</v>
      </c>
      <c r="K6" s="43">
        <v>76.89</v>
      </c>
      <c r="L6" s="43">
        <v>114.81</v>
      </c>
      <c r="M6" s="43">
        <v>85.09</v>
      </c>
      <c r="N6" s="43">
        <v>58.96</v>
      </c>
      <c r="O6" s="43">
        <v>121.61</v>
      </c>
      <c r="P6" s="43">
        <v>93.49</v>
      </c>
      <c r="Q6" s="43">
        <v>111.79</v>
      </c>
      <c r="R6" s="43">
        <v>97.85</v>
      </c>
      <c r="S6" s="43">
        <v>110.54</v>
      </c>
      <c r="T6" s="43">
        <v>98.53</v>
      </c>
      <c r="U6" s="43" t="s">
        <v>310</v>
      </c>
      <c r="V6" s="42" t="s">
        <v>352</v>
      </c>
      <c r="W6" s="42"/>
      <c r="X6" s="42" t="s">
        <v>355</v>
      </c>
    </row>
    <row r="7" spans="1:24" x14ac:dyDescent="0.3">
      <c r="A7" s="42" t="s">
        <v>356</v>
      </c>
      <c r="B7" s="42" t="s">
        <v>294</v>
      </c>
      <c r="C7" s="42" t="s">
        <v>155</v>
      </c>
      <c r="D7" t="s">
        <v>357</v>
      </c>
      <c r="E7" s="43">
        <v>181.9487</v>
      </c>
      <c r="F7" s="43">
        <v>178.834</v>
      </c>
      <c r="G7" s="43">
        <v>163.14959999999999</v>
      </c>
      <c r="H7" s="43">
        <v>174.74940000000001</v>
      </c>
      <c r="I7" s="43">
        <v>173.65</v>
      </c>
      <c r="J7" s="43">
        <v>187.17619999999999</v>
      </c>
      <c r="K7" s="43">
        <v>160.54339999999999</v>
      </c>
      <c r="L7" s="43">
        <v>170.4486</v>
      </c>
      <c r="M7" s="43">
        <v>175.34880000000001</v>
      </c>
      <c r="N7" s="43">
        <v>147.21270000000001</v>
      </c>
      <c r="O7" s="43">
        <v>156.6705</v>
      </c>
      <c r="P7" s="43">
        <v>160.61500000000001</v>
      </c>
      <c r="Q7" s="43">
        <v>159.2946</v>
      </c>
      <c r="R7" s="43">
        <v>155.7637</v>
      </c>
      <c r="S7" s="43">
        <v>153.86179999999999</v>
      </c>
      <c r="T7" s="43">
        <v>152.17699999999999</v>
      </c>
      <c r="U7" s="43" t="s">
        <v>310</v>
      </c>
      <c r="V7" s="42" t="s">
        <v>304</v>
      </c>
      <c r="W7" s="42"/>
      <c r="X7" s="42" t="s">
        <v>358</v>
      </c>
    </row>
    <row r="8" spans="1:24" x14ac:dyDescent="0.3">
      <c r="A8" s="42" t="s">
        <v>359</v>
      </c>
      <c r="B8" s="42" t="s">
        <v>294</v>
      </c>
      <c r="C8" s="42" t="s">
        <v>155</v>
      </c>
      <c r="D8" t="s">
        <v>360</v>
      </c>
      <c r="E8" s="43">
        <v>174.55</v>
      </c>
      <c r="F8" s="43">
        <v>177.83359999999999</v>
      </c>
      <c r="G8" s="43">
        <v>167.0463</v>
      </c>
      <c r="H8" s="43">
        <v>176.24809999999999</v>
      </c>
      <c r="I8" s="43">
        <v>171.24170000000001</v>
      </c>
      <c r="J8" s="43">
        <v>166.10509999999999</v>
      </c>
      <c r="K8" s="43">
        <v>165.25970000000001</v>
      </c>
      <c r="L8" s="43">
        <v>162.23169999999999</v>
      </c>
      <c r="M8" s="43">
        <v>170.60329999999999</v>
      </c>
      <c r="N8" s="43">
        <v>158.86529999999999</v>
      </c>
      <c r="O8" s="43">
        <v>164.60220000000001</v>
      </c>
      <c r="P8" s="43">
        <v>162.15289999999999</v>
      </c>
      <c r="Q8" s="43">
        <v>160.25919999999999</v>
      </c>
      <c r="R8" s="43">
        <v>161.6711</v>
      </c>
      <c r="S8" s="43">
        <v>161.25030000000001</v>
      </c>
      <c r="T8" s="43" t="s">
        <v>310</v>
      </c>
      <c r="U8" s="43" t="s">
        <v>310</v>
      </c>
      <c r="V8" s="42" t="s">
        <v>361</v>
      </c>
      <c r="W8" s="42"/>
      <c r="X8" s="42" t="s">
        <v>362</v>
      </c>
    </row>
    <row r="9" spans="1:24" x14ac:dyDescent="0.3">
      <c r="A9" s="42" t="s">
        <v>363</v>
      </c>
      <c r="B9" s="42" t="s">
        <v>294</v>
      </c>
      <c r="C9" s="42" t="s">
        <v>155</v>
      </c>
      <c r="D9" t="s">
        <v>364</v>
      </c>
      <c r="E9" s="43">
        <v>0.46100000000000002</v>
      </c>
      <c r="F9" s="43">
        <v>0.49669999999999997</v>
      </c>
      <c r="G9" s="43">
        <v>0.53</v>
      </c>
      <c r="H9" s="43">
        <v>0.59319999999999995</v>
      </c>
      <c r="I9" s="43">
        <v>0.61709999999999998</v>
      </c>
      <c r="J9" s="43">
        <v>0.68210000000000004</v>
      </c>
      <c r="K9" s="43">
        <v>0.70889999999999997</v>
      </c>
      <c r="L9" s="43">
        <v>0.7278</v>
      </c>
      <c r="M9" s="43">
        <v>0.7238</v>
      </c>
      <c r="N9" s="43">
        <v>0.69699999999999995</v>
      </c>
      <c r="O9" s="43">
        <v>0.74439999999999995</v>
      </c>
      <c r="P9" s="43">
        <v>0.76480000000000004</v>
      </c>
      <c r="Q9" s="43">
        <v>0.87350000000000005</v>
      </c>
      <c r="R9" s="43">
        <v>0.88480000000000003</v>
      </c>
      <c r="S9" s="43">
        <v>0.95820000000000005</v>
      </c>
      <c r="T9" s="43">
        <v>1.0215000000000001</v>
      </c>
      <c r="U9" s="43" t="s">
        <v>310</v>
      </c>
      <c r="V9" s="42" t="s">
        <v>304</v>
      </c>
      <c r="W9" s="42"/>
      <c r="X9" s="42" t="s">
        <v>365</v>
      </c>
    </row>
    <row r="10" spans="1:24" x14ac:dyDescent="0.3">
      <c r="C10" s="42" t="s">
        <v>366</v>
      </c>
      <c r="D10" t="str">
        <f>D5</f>
        <v>Heating degree-days</v>
      </c>
      <c r="E10" s="2">
        <f>E5/$E5</f>
        <v>1</v>
      </c>
      <c r="F10" s="2">
        <f t="shared" ref="F10:T10" si="1">F5/$E5</f>
        <v>0.96099036676096372</v>
      </c>
      <c r="G10" s="2">
        <f t="shared" si="1"/>
        <v>0.93026806076542512</v>
      </c>
      <c r="H10" s="2">
        <f t="shared" si="1"/>
        <v>0.94599840484528253</v>
      </c>
      <c r="I10" s="2">
        <f t="shared" si="1"/>
        <v>0.96994441882781057</v>
      </c>
      <c r="J10" s="2">
        <f t="shared" si="1"/>
        <v>1.0896308712286431</v>
      </c>
      <c r="K10" s="2">
        <f t="shared" si="1"/>
        <v>0.92473798337549706</v>
      </c>
      <c r="L10" s="2">
        <f t="shared" si="1"/>
        <v>1.0087671198733847</v>
      </c>
      <c r="M10" s="2">
        <f t="shared" si="1"/>
        <v>0.9845375920641054</v>
      </c>
      <c r="N10" s="2">
        <f t="shared" si="1"/>
        <v>0.87718866443178856</v>
      </c>
      <c r="O10" s="2">
        <f t="shared" si="1"/>
        <v>0.90388881273132871</v>
      </c>
      <c r="P10" s="2">
        <f t="shared" si="1"/>
        <v>0.9449578156350088</v>
      </c>
      <c r="Q10" s="2">
        <f t="shared" si="1"/>
        <v>0.9486341487731017</v>
      </c>
      <c r="R10" s="2">
        <f t="shared" si="1"/>
        <v>0.91624814625574824</v>
      </c>
      <c r="S10" s="2">
        <f t="shared" si="1"/>
        <v>0.90639993519683959</v>
      </c>
      <c r="T10" s="2">
        <f t="shared" si="1"/>
        <v>0.85956095858828807</v>
      </c>
    </row>
    <row r="11" spans="1:24" x14ac:dyDescent="0.3">
      <c r="A11" s="42"/>
      <c r="B11" s="42"/>
      <c r="C11" s="42" t="s">
        <v>366</v>
      </c>
      <c r="D11" t="str">
        <f t="shared" ref="D11:D14" si="2">D6</f>
        <v>Cooling degree-days</v>
      </c>
      <c r="E11" s="2">
        <f t="shared" ref="E11:T11" si="3">E6/$E6</f>
        <v>1</v>
      </c>
      <c r="F11" s="2">
        <f t="shared" si="3"/>
        <v>1.3405352662391972</v>
      </c>
      <c r="G11" s="2">
        <f t="shared" si="3"/>
        <v>1.0880959018678562</v>
      </c>
      <c r="H11" s="2">
        <f t="shared" si="3"/>
        <v>1.0245330359632006</v>
      </c>
      <c r="I11" s="2">
        <f t="shared" si="3"/>
        <v>1.1543072205185392</v>
      </c>
      <c r="J11" s="2">
        <f t="shared" si="3"/>
        <v>1.3483412322274884</v>
      </c>
      <c r="K11" s="2">
        <f t="shared" si="3"/>
        <v>1.0717870086423196</v>
      </c>
      <c r="L11" s="2">
        <f t="shared" si="3"/>
        <v>1.6003624198494566</v>
      </c>
      <c r="M11" s="2">
        <f t="shared" si="3"/>
        <v>1.1860886534708672</v>
      </c>
      <c r="N11" s="2">
        <f t="shared" si="3"/>
        <v>0.82185670476721506</v>
      </c>
      <c r="O11" s="2">
        <f t="shared" si="3"/>
        <v>1.6951491497072764</v>
      </c>
      <c r="P11" s="2">
        <f t="shared" si="3"/>
        <v>1.3031781432952327</v>
      </c>
      <c r="Q11" s="2">
        <f t="shared" si="3"/>
        <v>1.5582659604126012</v>
      </c>
      <c r="R11" s="2">
        <f t="shared" si="3"/>
        <v>1.3639531642040703</v>
      </c>
      <c r="S11" s="2">
        <f t="shared" si="3"/>
        <v>1.5408419291887374</v>
      </c>
      <c r="T11" s="2">
        <f t="shared" si="3"/>
        <v>1.3734318371898524</v>
      </c>
      <c r="U11" s="42"/>
      <c r="V11" s="42"/>
      <c r="W11" s="42"/>
    </row>
    <row r="12" spans="1:24" x14ac:dyDescent="0.3">
      <c r="C12" s="42" t="s">
        <v>366</v>
      </c>
      <c r="D12" t="str">
        <f t="shared" si="2"/>
        <v>Space heating</v>
      </c>
      <c r="E12" s="2">
        <f t="shared" ref="E12:T12" si="4">E7/$E7</f>
        <v>1</v>
      </c>
      <c r="F12" s="2">
        <f t="shared" si="4"/>
        <v>0.98288143855933019</v>
      </c>
      <c r="G12" s="2">
        <f t="shared" si="4"/>
        <v>0.89667911889450158</v>
      </c>
      <c r="H12" s="2">
        <f t="shared" si="4"/>
        <v>0.96043225370667673</v>
      </c>
      <c r="I12" s="2">
        <f t="shared" si="4"/>
        <v>0.95438989121659024</v>
      </c>
      <c r="J12" s="2">
        <f t="shared" si="4"/>
        <v>1.0287306257203266</v>
      </c>
      <c r="K12" s="2">
        <f t="shared" si="4"/>
        <v>0.88235530124699979</v>
      </c>
      <c r="L12" s="2">
        <f t="shared" si="4"/>
        <v>0.93679482183714424</v>
      </c>
      <c r="M12" s="2">
        <f t="shared" si="4"/>
        <v>0.96372658886818108</v>
      </c>
      <c r="N12" s="2">
        <f t="shared" si="4"/>
        <v>0.80908904542873905</v>
      </c>
      <c r="O12" s="2">
        <f t="shared" si="4"/>
        <v>0.86106963116526802</v>
      </c>
      <c r="P12" s="2">
        <f t="shared" si="4"/>
        <v>0.88274881876045286</v>
      </c>
      <c r="Q12" s="2">
        <f t="shared" si="4"/>
        <v>0.87549182819113303</v>
      </c>
      <c r="R12" s="2">
        <f t="shared" si="4"/>
        <v>0.85608580880215135</v>
      </c>
      <c r="S12" s="2">
        <f t="shared" si="4"/>
        <v>0.84563286244969038</v>
      </c>
      <c r="T12" s="2">
        <f t="shared" si="4"/>
        <v>0.83637310956329991</v>
      </c>
    </row>
    <row r="13" spans="1:24" x14ac:dyDescent="0.3">
      <c r="A13" s="42"/>
      <c r="B13" s="42"/>
      <c r="C13" s="42" t="s">
        <v>366</v>
      </c>
      <c r="D13" t="str">
        <f t="shared" si="2"/>
        <v>Space heating (climate corrected)</v>
      </c>
      <c r="E13" s="2">
        <f t="shared" ref="E13:S13" si="5">E8/$E8</f>
        <v>1</v>
      </c>
      <c r="F13" s="2">
        <f t="shared" si="5"/>
        <v>1.0188118017759953</v>
      </c>
      <c r="G13" s="2">
        <f t="shared" si="5"/>
        <v>0.95701117158407323</v>
      </c>
      <c r="H13" s="2">
        <f t="shared" si="5"/>
        <v>1.0097284445717558</v>
      </c>
      <c r="I13" s="2">
        <f t="shared" si="5"/>
        <v>0.98104669149240908</v>
      </c>
      <c r="J13" s="2">
        <f t="shared" si="5"/>
        <v>0.95161902033801193</v>
      </c>
      <c r="K13" s="2">
        <f t="shared" si="5"/>
        <v>0.94677570896591234</v>
      </c>
      <c r="L13" s="2">
        <f t="shared" si="5"/>
        <v>0.92942824405614421</v>
      </c>
      <c r="M13" s="2">
        <f t="shared" si="5"/>
        <v>0.97738928673732439</v>
      </c>
      <c r="N13" s="2">
        <f t="shared" si="5"/>
        <v>0.91014207963334282</v>
      </c>
      <c r="O13" s="2">
        <f t="shared" si="5"/>
        <v>0.94300887997708394</v>
      </c>
      <c r="P13" s="2">
        <f t="shared" si="5"/>
        <v>0.92897679747923223</v>
      </c>
      <c r="Q13" s="2">
        <f t="shared" si="5"/>
        <v>0.91812775708965899</v>
      </c>
      <c r="R13" s="2">
        <f t="shared" si="5"/>
        <v>0.92621655686049831</v>
      </c>
      <c r="S13" s="2">
        <f t="shared" si="5"/>
        <v>0.9238057863076482</v>
      </c>
      <c r="T13" s="2"/>
      <c r="U13" s="42"/>
      <c r="V13" s="42"/>
      <c r="W13" s="42"/>
    </row>
    <row r="14" spans="1:24" x14ac:dyDescent="0.3">
      <c r="C14" s="42" t="s">
        <v>366</v>
      </c>
      <c r="D14" t="str">
        <f t="shared" si="2"/>
        <v>Cooling (electricity)</v>
      </c>
      <c r="E14" s="2">
        <f t="shared" ref="E14:T14" si="6">E9/$E9</f>
        <v>1</v>
      </c>
      <c r="F14" s="2">
        <f t="shared" si="6"/>
        <v>1.0774403470715834</v>
      </c>
      <c r="G14" s="2">
        <f t="shared" si="6"/>
        <v>1.1496746203904555</v>
      </c>
      <c r="H14" s="2">
        <f t="shared" si="6"/>
        <v>1.2867678958785247</v>
      </c>
      <c r="I14" s="2">
        <f t="shared" si="6"/>
        <v>1.3386117136659434</v>
      </c>
      <c r="J14" s="2">
        <f t="shared" si="6"/>
        <v>1.4796095444685466</v>
      </c>
      <c r="K14" s="2">
        <f t="shared" si="6"/>
        <v>1.5377440347071583</v>
      </c>
      <c r="L14" s="2">
        <f t="shared" si="6"/>
        <v>1.5787418655097614</v>
      </c>
      <c r="M14" s="2">
        <f t="shared" si="6"/>
        <v>1.5700650759219088</v>
      </c>
      <c r="N14" s="2">
        <f t="shared" si="6"/>
        <v>1.511930585683297</v>
      </c>
      <c r="O14" s="2">
        <f t="shared" si="6"/>
        <v>1.6147505422993491</v>
      </c>
      <c r="P14" s="2">
        <f t="shared" si="6"/>
        <v>1.6590021691973971</v>
      </c>
      <c r="Q14" s="2">
        <f t="shared" si="6"/>
        <v>1.8947939262472886</v>
      </c>
      <c r="R14" s="2">
        <f t="shared" si="6"/>
        <v>1.9193058568329717</v>
      </c>
      <c r="S14" s="2">
        <f t="shared" si="6"/>
        <v>2.0785249457700652</v>
      </c>
      <c r="T14" s="2">
        <f t="shared" si="6"/>
        <v>2.215835140997831</v>
      </c>
    </row>
    <row r="15" spans="1:24" x14ac:dyDescent="0.3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</row>
    <row r="16" spans="1:24" x14ac:dyDescent="0.3">
      <c r="A16" s="42"/>
      <c r="B16" s="42"/>
      <c r="C16" s="42"/>
      <c r="D16" s="42" t="s">
        <v>367</v>
      </c>
      <c r="E16" s="122">
        <f>E7/$E7-1</f>
        <v>0</v>
      </c>
      <c r="F16" s="122">
        <f t="shared" ref="F16:T17" si="7">F7/$E7-1</f>
        <v>-1.7118561440669811E-2</v>
      </c>
      <c r="G16" s="122">
        <f t="shared" si="7"/>
        <v>-0.10332088110549842</v>
      </c>
      <c r="H16" s="122">
        <f t="shared" si="7"/>
        <v>-3.9567746293323269E-2</v>
      </c>
      <c r="I16" s="122">
        <f t="shared" si="7"/>
        <v>-4.5610108783409764E-2</v>
      </c>
      <c r="J16" s="122">
        <f t="shared" si="7"/>
        <v>2.8730625720326586E-2</v>
      </c>
      <c r="K16" s="122">
        <f t="shared" si="7"/>
        <v>-0.11764469875300021</v>
      </c>
      <c r="L16" s="122">
        <f t="shared" si="7"/>
        <v>-6.3205178162855757E-2</v>
      </c>
      <c r="M16" s="122">
        <f t="shared" si="7"/>
        <v>-3.6273411131818922E-2</v>
      </c>
      <c r="N16" s="122">
        <f t="shared" si="7"/>
        <v>-0.19091095457126095</v>
      </c>
      <c r="O16" s="122">
        <f t="shared" si="7"/>
        <v>-0.13893036883473198</v>
      </c>
      <c r="P16" s="122">
        <f t="shared" si="7"/>
        <v>-0.11725118123954714</v>
      </c>
      <c r="Q16" s="122">
        <f t="shared" si="7"/>
        <v>-0.12450817180886697</v>
      </c>
      <c r="R16" s="122">
        <f t="shared" si="7"/>
        <v>-0.14391419119784865</v>
      </c>
      <c r="S16" s="122">
        <f t="shared" si="7"/>
        <v>-0.15436713755030962</v>
      </c>
      <c r="T16" s="122">
        <f t="shared" si="7"/>
        <v>-0.16362689043670009</v>
      </c>
      <c r="U16" s="43"/>
      <c r="V16" s="42"/>
      <c r="W16" s="42"/>
      <c r="X16" s="42"/>
    </row>
    <row r="17" spans="1:24" x14ac:dyDescent="0.3">
      <c r="A17" s="42"/>
      <c r="B17" s="42"/>
      <c r="C17" s="42"/>
      <c r="D17" s="42" t="s">
        <v>368</v>
      </c>
      <c r="E17" s="122">
        <f>E8/$E8-1</f>
        <v>0</v>
      </c>
      <c r="F17" s="122">
        <f t="shared" si="7"/>
        <v>1.8811801775995285E-2</v>
      </c>
      <c r="G17" s="122">
        <f t="shared" si="7"/>
        <v>-4.2988828415926772E-2</v>
      </c>
      <c r="H17" s="122">
        <f t="shared" si="7"/>
        <v>9.7284445717558121E-3</v>
      </c>
      <c r="I17" s="122">
        <f t="shared" si="7"/>
        <v>-1.8953308507590916E-2</v>
      </c>
      <c r="J17" s="122">
        <f t="shared" si="7"/>
        <v>-4.8380979661988066E-2</v>
      </c>
      <c r="K17" s="122">
        <f t="shared" si="7"/>
        <v>-5.3224291034087656E-2</v>
      </c>
      <c r="L17" s="122">
        <f t="shared" si="7"/>
        <v>-7.0571755943855785E-2</v>
      </c>
      <c r="M17" s="122">
        <f t="shared" si="7"/>
        <v>-2.2610713262675608E-2</v>
      </c>
      <c r="N17" s="122">
        <f t="shared" si="7"/>
        <v>-8.9857920366657185E-2</v>
      </c>
      <c r="O17" s="122">
        <f t="shared" si="7"/>
        <v>-5.6991120022916064E-2</v>
      </c>
      <c r="P17" s="122">
        <f t="shared" si="7"/>
        <v>-7.102320252076777E-2</v>
      </c>
      <c r="Q17" s="122">
        <f t="shared" si="7"/>
        <v>-8.1872242910341009E-2</v>
      </c>
      <c r="R17" s="122">
        <f t="shared" si="7"/>
        <v>-7.3783443139501692E-2</v>
      </c>
      <c r="S17" s="122">
        <f t="shared" si="7"/>
        <v>-7.6194213692351798E-2</v>
      </c>
      <c r="T17" s="122" t="e">
        <f t="shared" si="7"/>
        <v>#VALUE!</v>
      </c>
      <c r="U17" s="43"/>
      <c r="V17" s="42"/>
      <c r="W17" s="42"/>
      <c r="X17" s="42"/>
    </row>
    <row r="18" spans="1:24" x14ac:dyDescent="0.3">
      <c r="A18" s="42"/>
      <c r="B18" s="42"/>
      <c r="C18" s="42"/>
      <c r="D18" s="42" t="s">
        <v>369</v>
      </c>
      <c r="E18" s="122">
        <f>E9/$E9-1</f>
        <v>0</v>
      </c>
      <c r="F18" s="122">
        <f t="shared" ref="F18:T18" si="8">F9/$E9-1</f>
        <v>7.7440347071583426E-2</v>
      </c>
      <c r="G18" s="122">
        <f t="shared" si="8"/>
        <v>0.14967462039045554</v>
      </c>
      <c r="H18" s="122">
        <f t="shared" si="8"/>
        <v>0.28676789587852469</v>
      </c>
      <c r="I18" s="122">
        <f t="shared" si="8"/>
        <v>0.33861171366594345</v>
      </c>
      <c r="J18" s="122">
        <f t="shared" si="8"/>
        <v>0.47960954446854664</v>
      </c>
      <c r="K18" s="122">
        <f t="shared" si="8"/>
        <v>0.53774403470715826</v>
      </c>
      <c r="L18" s="122">
        <f t="shared" si="8"/>
        <v>0.57874186550976137</v>
      </c>
      <c r="M18" s="122">
        <f t="shared" si="8"/>
        <v>0.5700650759219088</v>
      </c>
      <c r="N18" s="122">
        <f t="shared" si="8"/>
        <v>0.51193058568329697</v>
      </c>
      <c r="O18" s="122">
        <f t="shared" si="8"/>
        <v>0.61475054229934911</v>
      </c>
      <c r="P18" s="122">
        <f t="shared" si="8"/>
        <v>0.65900216919739707</v>
      </c>
      <c r="Q18" s="122">
        <f t="shared" si="8"/>
        <v>0.8947939262472886</v>
      </c>
      <c r="R18" s="122">
        <f t="shared" si="8"/>
        <v>0.91930585683297172</v>
      </c>
      <c r="S18" s="122">
        <f t="shared" si="8"/>
        <v>1.0785249457700652</v>
      </c>
      <c r="T18" s="122">
        <f t="shared" si="8"/>
        <v>1.215835140997831</v>
      </c>
      <c r="U18" s="43"/>
      <c r="V18" s="42"/>
      <c r="W18" s="42"/>
      <c r="X18" s="42"/>
    </row>
    <row r="20" spans="1:24" x14ac:dyDescent="0.3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</row>
    <row r="22" spans="1:24" x14ac:dyDescent="0.3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</row>
    <row r="24" spans="1:24" x14ac:dyDescent="0.3">
      <c r="A24" s="117"/>
      <c r="B24" s="46"/>
    </row>
    <row r="25" spans="1:24" x14ac:dyDescent="0.3">
      <c r="A25" s="117"/>
      <c r="B25" s="117"/>
    </row>
    <row r="27" spans="1:24" x14ac:dyDescent="0.3">
      <c r="A27" s="46"/>
      <c r="C27" s="117"/>
    </row>
    <row r="28" spans="1:24" x14ac:dyDescent="0.3">
      <c r="A28" s="46"/>
      <c r="C28" s="117"/>
    </row>
    <row r="30" spans="1:24" s="46" customFormat="1" ht="12" x14ac:dyDescent="0.3"/>
    <row r="31" spans="1:24" s="46" customFormat="1" ht="12" x14ac:dyDescent="0.3"/>
    <row r="32" spans="1:24" s="46" customFormat="1" ht="12" x14ac:dyDescent="0.3"/>
    <row r="33" spans="1:24" s="46" customFormat="1" ht="12" x14ac:dyDescent="0.3"/>
    <row r="34" spans="1:24" s="46" customFormat="1" ht="12" x14ac:dyDescent="0.3"/>
    <row r="35" spans="1:24" s="46" customFormat="1" ht="12" x14ac:dyDescent="0.3"/>
    <row r="36" spans="1:24" s="46" customFormat="1" ht="12" x14ac:dyDescent="0.3"/>
    <row r="37" spans="1:24" s="46" customFormat="1" ht="12" x14ac:dyDescent="0.3"/>
    <row r="38" spans="1:24" s="46" customFormat="1" ht="12" x14ac:dyDescent="0.3"/>
    <row r="39" spans="1:24" s="46" customFormat="1" ht="12" x14ac:dyDescent="0.3"/>
    <row r="40" spans="1:24" s="46" customFormat="1" ht="12" x14ac:dyDescent="0.3"/>
    <row r="41" spans="1:24" s="46" customFormat="1" ht="12" x14ac:dyDescent="0.3"/>
    <row r="42" spans="1:24" s="46" customFormat="1" ht="12" x14ac:dyDescent="0.3"/>
    <row r="43" spans="1:24" s="46" customFormat="1" ht="11.45" customHeight="1" x14ac:dyDescent="0.3"/>
    <row r="44" spans="1:24" s="46" customFormat="1" ht="12" x14ac:dyDescent="0.3"/>
    <row r="45" spans="1:24" x14ac:dyDescent="0.3">
      <c r="A45" s="46"/>
      <c r="B45" s="117"/>
    </row>
    <row r="46" spans="1:24" x14ac:dyDescent="0.3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</row>
    <row r="47" spans="1:24" x14ac:dyDescent="0.3">
      <c r="A47" s="42"/>
      <c r="B47" s="42"/>
      <c r="C47" s="42"/>
      <c r="D47" s="42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3"/>
      <c r="V47" s="42"/>
      <c r="W47" s="42"/>
      <c r="X47" s="42"/>
    </row>
    <row r="48" spans="1:24" x14ac:dyDescent="0.3">
      <c r="A48" s="42"/>
      <c r="B48" s="42"/>
      <c r="C48" s="42"/>
      <c r="D48" s="42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3"/>
      <c r="V48" s="42"/>
      <c r="W48" s="42"/>
      <c r="X48" s="42"/>
    </row>
    <row r="49" spans="1:24" x14ac:dyDescent="0.3">
      <c r="D49" s="4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4" x14ac:dyDescent="0.3">
      <c r="A50" s="42"/>
      <c r="B50" s="42"/>
      <c r="C50" s="42"/>
      <c r="D50" s="42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3"/>
      <c r="V50" s="42"/>
      <c r="W50" s="42"/>
      <c r="X50" s="42"/>
    </row>
    <row r="52" spans="1:24" x14ac:dyDescent="0.3">
      <c r="B52" s="42"/>
      <c r="C52" s="42"/>
      <c r="D52" s="42"/>
      <c r="E52" s="42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42"/>
      <c r="V52" s="42"/>
      <c r="W52" s="42"/>
    </row>
    <row r="53" spans="1:24" x14ac:dyDescent="0.3">
      <c r="D53" s="42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</row>
    <row r="54" spans="1:24" x14ac:dyDescent="0.3">
      <c r="A54" s="42"/>
      <c r="D54" s="42"/>
      <c r="F54" s="50"/>
      <c r="V54" s="2"/>
    </row>
    <row r="55" spans="1:24" x14ac:dyDescent="0.3">
      <c r="A55" s="42"/>
      <c r="D55" s="42"/>
      <c r="F55" s="50"/>
      <c r="V55" s="2"/>
    </row>
  </sheetData>
  <phoneticPr fontId="50" type="noConversion"/>
  <pageMargins left="0.7" right="0.7" top="0.75" bottom="0.75" header="0.3" footer="0.3"/>
  <pageSetup paperSize="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BB421-3DDD-426F-B247-35CC5E4B2609}">
  <sheetPr>
    <outlinePr summaryBelow="0"/>
  </sheetPr>
  <dimension ref="A1:AU288"/>
  <sheetViews>
    <sheetView topLeftCell="A55" zoomScaleNormal="100" workbookViewId="0">
      <selection activeCell="S21" sqref="S20:S21"/>
    </sheetView>
  </sheetViews>
  <sheetFormatPr defaultRowHeight="16.5" outlineLevelRow="2" x14ac:dyDescent="0.3"/>
  <cols>
    <col min="1" max="1" width="45.5" customWidth="1"/>
    <col min="2" max="12" width="9" customWidth="1"/>
    <col min="19" max="19" width="10.5" customWidth="1"/>
    <col min="20" max="20" width="18.5" customWidth="1"/>
    <col min="21" max="27" width="10.5" customWidth="1"/>
  </cols>
  <sheetData>
    <row r="1" spans="1:21" s="5" customFormat="1" x14ac:dyDescent="0.3">
      <c r="A1" s="5" t="s">
        <v>370</v>
      </c>
    </row>
    <row r="2" spans="1:21" s="18" customFormat="1" ht="16.5" customHeight="1" outlineLevel="1" x14ac:dyDescent="0.3">
      <c r="A2" s="18" t="s">
        <v>34</v>
      </c>
    </row>
    <row r="3" spans="1:21" outlineLevel="1" x14ac:dyDescent="0.3">
      <c r="A3" s="11"/>
      <c r="B3" s="11" t="s">
        <v>29</v>
      </c>
      <c r="C3" s="11" t="s">
        <v>56</v>
      </c>
      <c r="D3" s="11" t="s">
        <v>57</v>
      </c>
      <c r="E3" s="11" t="s">
        <v>58</v>
      </c>
      <c r="F3" s="11" t="s">
        <v>59</v>
      </c>
      <c r="G3" s="11" t="s">
        <v>30</v>
      </c>
      <c r="H3" s="11" t="s">
        <v>60</v>
      </c>
      <c r="I3" s="11" t="s">
        <v>61</v>
      </c>
      <c r="J3" s="11" t="s">
        <v>62</v>
      </c>
      <c r="K3" s="11" t="s">
        <v>63</v>
      </c>
      <c r="L3" s="11" t="s">
        <v>31</v>
      </c>
      <c r="M3" s="11" t="s">
        <v>64</v>
      </c>
      <c r="N3" s="11" t="s">
        <v>65</v>
      </c>
      <c r="O3" s="11" t="s">
        <v>66</v>
      </c>
      <c r="P3" s="11" t="s">
        <v>67</v>
      </c>
      <c r="Q3" s="11" t="s">
        <v>32</v>
      </c>
      <c r="R3" s="11" t="s">
        <v>326</v>
      </c>
    </row>
    <row r="4" spans="1:21" outlineLevel="1" x14ac:dyDescent="0.3">
      <c r="A4" s="35" t="s">
        <v>34</v>
      </c>
      <c r="B4" s="23">
        <v>429954.05800000002</v>
      </c>
      <c r="C4" s="23">
        <v>433151.91600000003</v>
      </c>
      <c r="D4" s="23">
        <v>405203.86900000001</v>
      </c>
      <c r="E4" s="23">
        <v>427667.38099999999</v>
      </c>
      <c r="F4" s="23">
        <v>425367.18400000001</v>
      </c>
      <c r="G4" s="23">
        <v>449365.86499999999</v>
      </c>
      <c r="H4" s="23">
        <v>410547.353</v>
      </c>
      <c r="I4" s="23">
        <v>424272.36499999999</v>
      </c>
      <c r="J4" s="23">
        <v>429187.03399999999</v>
      </c>
      <c r="K4" s="23">
        <v>387911.75099999999</v>
      </c>
      <c r="L4" s="23">
        <v>403008.24400000001</v>
      </c>
      <c r="M4" s="23">
        <v>410734.674</v>
      </c>
      <c r="N4" s="23">
        <v>415601.84100000001</v>
      </c>
      <c r="O4" s="23">
        <v>413774.00900000002</v>
      </c>
      <c r="P4" s="23">
        <v>409552.34100000001</v>
      </c>
      <c r="Q4" s="23">
        <v>402744.43599999999</v>
      </c>
      <c r="R4" s="23">
        <v>424787.163</v>
      </c>
      <c r="U4" s="16">
        <f>(R4-B4)/1000</f>
        <v>-5.1668950000000189</v>
      </c>
    </row>
    <row r="5" spans="1:21" outlineLevel="1" collapsed="1" x14ac:dyDescent="0.3">
      <c r="A5" s="35" t="s">
        <v>371</v>
      </c>
      <c r="B5" s="54">
        <v>11162.802</v>
      </c>
      <c r="C5" s="54">
        <v>12565.093000000001</v>
      </c>
      <c r="D5" s="54">
        <v>11323.412</v>
      </c>
      <c r="E5" s="54">
        <v>12074.674999999999</v>
      </c>
      <c r="F5" s="54">
        <v>12417.347</v>
      </c>
      <c r="G5" s="54">
        <v>14026.269</v>
      </c>
      <c r="H5" s="54">
        <v>12202.467000000001</v>
      </c>
      <c r="I5" s="54">
        <v>12282.665999999999</v>
      </c>
      <c r="J5" s="54">
        <v>11871.799000000001</v>
      </c>
      <c r="K5" s="54">
        <v>10634.567999999999</v>
      </c>
      <c r="L5" s="54">
        <v>10539.689</v>
      </c>
      <c r="M5" s="54">
        <v>10753.385</v>
      </c>
      <c r="N5" s="54">
        <v>10726.933999999999</v>
      </c>
      <c r="O5" s="54">
        <v>10049.804</v>
      </c>
      <c r="P5" s="54">
        <v>8144.2510000000002</v>
      </c>
      <c r="Q5" s="54">
        <v>8237.393</v>
      </c>
      <c r="R5" s="54">
        <v>7965.607</v>
      </c>
      <c r="U5" s="16">
        <f>(R5-B5)/1000</f>
        <v>-3.1971949999999998</v>
      </c>
    </row>
    <row r="6" spans="1:21" hidden="1" outlineLevel="2" x14ac:dyDescent="0.3">
      <c r="A6" s="35" t="s">
        <v>372</v>
      </c>
      <c r="B6" s="23">
        <v>392.06200000000001</v>
      </c>
      <c r="C6" s="23">
        <v>435.06700000000001</v>
      </c>
      <c r="D6" s="23">
        <v>422.83800000000002</v>
      </c>
      <c r="E6" s="23">
        <v>476.65800000000002</v>
      </c>
      <c r="F6" s="23">
        <v>455.13499999999999</v>
      </c>
      <c r="G6" s="23">
        <v>431.14699999999999</v>
      </c>
      <c r="H6" s="23">
        <v>373.72399999999999</v>
      </c>
      <c r="I6" s="23">
        <v>367.23099999999999</v>
      </c>
      <c r="J6" s="23">
        <v>397.69600000000003</v>
      </c>
      <c r="K6" s="23">
        <v>326.08800000000002</v>
      </c>
      <c r="L6" s="23">
        <v>337.392</v>
      </c>
      <c r="M6" s="23">
        <v>321.19400000000002</v>
      </c>
      <c r="N6" s="23">
        <v>278.59399999999999</v>
      </c>
      <c r="O6" s="23">
        <v>258.875</v>
      </c>
      <c r="P6" s="23">
        <v>192.798</v>
      </c>
      <c r="Q6" s="55">
        <v>155.6</v>
      </c>
      <c r="R6" s="23">
        <v>145.357</v>
      </c>
      <c r="U6" s="2"/>
    </row>
    <row r="7" spans="1:21" hidden="1" outlineLevel="2" x14ac:dyDescent="0.3">
      <c r="A7" s="35" t="s">
        <v>373</v>
      </c>
      <c r="B7" s="56">
        <v>0</v>
      </c>
      <c r="C7" s="56">
        <v>0</v>
      </c>
      <c r="D7" s="56">
        <v>0</v>
      </c>
      <c r="E7" s="54">
        <v>1.3680000000000001</v>
      </c>
      <c r="F7" s="54">
        <v>1.381</v>
      </c>
      <c r="G7" s="56">
        <v>0.7</v>
      </c>
      <c r="H7" s="54">
        <v>0.68600000000000005</v>
      </c>
      <c r="I7" s="56">
        <v>0.7</v>
      </c>
      <c r="J7" s="56">
        <v>0</v>
      </c>
      <c r="K7" s="56">
        <v>0</v>
      </c>
      <c r="L7" s="56">
        <v>0</v>
      </c>
      <c r="M7" s="56">
        <v>0</v>
      </c>
      <c r="N7" s="56">
        <v>0</v>
      </c>
      <c r="O7" s="56">
        <v>0</v>
      </c>
      <c r="P7" s="54">
        <v>6.9000000000000006E-2</v>
      </c>
      <c r="Q7" s="54">
        <v>3.0000000000000001E-3</v>
      </c>
      <c r="R7" s="54">
        <v>0.49299999999999999</v>
      </c>
      <c r="U7" s="2"/>
    </row>
    <row r="8" spans="1:21" hidden="1" outlineLevel="2" x14ac:dyDescent="0.3">
      <c r="A8" s="35" t="s">
        <v>374</v>
      </c>
      <c r="B8" s="55">
        <v>8533.83</v>
      </c>
      <c r="C8" s="23">
        <v>9583.3459999999995</v>
      </c>
      <c r="D8" s="23">
        <v>9001.902</v>
      </c>
      <c r="E8" s="23">
        <v>9493.3529999999992</v>
      </c>
      <c r="F8" s="23">
        <v>9805.1509999999998</v>
      </c>
      <c r="G8" s="23">
        <v>11015.248</v>
      </c>
      <c r="H8" s="23">
        <v>9449.3019999999997</v>
      </c>
      <c r="I8" s="55">
        <v>9874.3700000000008</v>
      </c>
      <c r="J8" s="23">
        <v>9361.9429999999993</v>
      </c>
      <c r="K8" s="23">
        <v>8583.4709999999995</v>
      </c>
      <c r="L8" s="23">
        <v>8496.5329999999994</v>
      </c>
      <c r="M8" s="23">
        <v>8788.1720000000005</v>
      </c>
      <c r="N8" s="23">
        <v>8754.1839999999993</v>
      </c>
      <c r="O8" s="23">
        <v>8224.2530000000006</v>
      </c>
      <c r="P8" s="23">
        <v>6658.317</v>
      </c>
      <c r="Q8" s="23">
        <v>6906.7479999999996</v>
      </c>
      <c r="R8" s="23">
        <v>6581.6480000000001</v>
      </c>
      <c r="U8" s="2"/>
    </row>
    <row r="9" spans="1:21" hidden="1" outlineLevel="2" x14ac:dyDescent="0.3">
      <c r="A9" s="35" t="s">
        <v>375</v>
      </c>
      <c r="B9" s="54">
        <v>208.221</v>
      </c>
      <c r="C9" s="54">
        <v>228.262</v>
      </c>
      <c r="D9" s="56">
        <v>166.45</v>
      </c>
      <c r="E9" s="56">
        <v>210.31</v>
      </c>
      <c r="F9" s="54">
        <v>129.101</v>
      </c>
      <c r="G9" s="54">
        <v>145.70500000000001</v>
      </c>
      <c r="H9" s="54">
        <v>76.415999999999997</v>
      </c>
      <c r="I9" s="54">
        <v>59.942</v>
      </c>
      <c r="J9" s="54">
        <v>37.072000000000003</v>
      </c>
      <c r="K9" s="54">
        <v>53.186</v>
      </c>
      <c r="L9" s="54">
        <v>49.097999999999999</v>
      </c>
      <c r="M9" s="54">
        <v>63.223999999999997</v>
      </c>
      <c r="N9" s="54">
        <v>0.38300000000000001</v>
      </c>
      <c r="O9" s="54">
        <v>0.217</v>
      </c>
      <c r="P9" s="54">
        <v>0.443</v>
      </c>
      <c r="Q9" s="54">
        <v>0.29899999999999999</v>
      </c>
      <c r="R9" s="54">
        <v>0.13900000000000001</v>
      </c>
      <c r="U9" s="2"/>
    </row>
    <row r="10" spans="1:21" hidden="1" outlineLevel="2" x14ac:dyDescent="0.3">
      <c r="A10" s="35" t="s">
        <v>376</v>
      </c>
      <c r="B10" s="23">
        <v>865.76700000000005</v>
      </c>
      <c r="C10" s="23">
        <v>1082.942</v>
      </c>
      <c r="D10" s="55">
        <v>764.3</v>
      </c>
      <c r="E10" s="23">
        <v>847.75300000000004</v>
      </c>
      <c r="F10" s="23">
        <v>804.60299999999995</v>
      </c>
      <c r="G10" s="23">
        <v>969.96500000000003</v>
      </c>
      <c r="H10" s="23">
        <v>971.33399999999995</v>
      </c>
      <c r="I10" s="23">
        <v>941.60699999999997</v>
      </c>
      <c r="J10" s="23">
        <v>989.45299999999997</v>
      </c>
      <c r="K10" s="23">
        <v>840.904</v>
      </c>
      <c r="L10" s="23">
        <v>827.09400000000005</v>
      </c>
      <c r="M10" s="23">
        <v>813.875</v>
      </c>
      <c r="N10" s="23">
        <v>836.50599999999997</v>
      </c>
      <c r="O10" s="23">
        <v>715.154</v>
      </c>
      <c r="P10" s="55">
        <v>630.13</v>
      </c>
      <c r="Q10" s="23">
        <v>564.29399999999998</v>
      </c>
      <c r="R10" s="23">
        <v>543.27599999999995</v>
      </c>
      <c r="U10" s="2"/>
    </row>
    <row r="11" spans="1:21" hidden="1" outlineLevel="2" x14ac:dyDescent="0.3">
      <c r="A11" s="35" t="s">
        <v>377</v>
      </c>
      <c r="B11" s="54">
        <v>332.50799999999998</v>
      </c>
      <c r="C11" s="54">
        <v>319.84500000000003</v>
      </c>
      <c r="D11" s="54">
        <v>261.49700000000001</v>
      </c>
      <c r="E11" s="54">
        <v>210.404</v>
      </c>
      <c r="F11" s="54">
        <v>377.226</v>
      </c>
      <c r="G11" s="56">
        <v>332.87</v>
      </c>
      <c r="H11" s="54">
        <v>426.57900000000001</v>
      </c>
      <c r="I11" s="54">
        <v>240.86199999999999</v>
      </c>
      <c r="J11" s="54">
        <v>236.995</v>
      </c>
      <c r="K11" s="54">
        <v>225.172</v>
      </c>
      <c r="L11" s="54">
        <v>210.15100000000001</v>
      </c>
      <c r="M11" s="54">
        <v>174.84200000000001</v>
      </c>
      <c r="N11" s="54">
        <v>242.04400000000001</v>
      </c>
      <c r="O11" s="54">
        <v>254.43299999999999</v>
      </c>
      <c r="P11" s="54">
        <v>150.62299999999999</v>
      </c>
      <c r="Q11" s="54">
        <v>151.476</v>
      </c>
      <c r="R11" s="54">
        <v>152.00399999999999</v>
      </c>
      <c r="U11" s="2"/>
    </row>
    <row r="12" spans="1:21" hidden="1" outlineLevel="2" x14ac:dyDescent="0.3">
      <c r="A12" s="35" t="s">
        <v>378</v>
      </c>
      <c r="B12" s="55">
        <v>0</v>
      </c>
      <c r="C12" s="55">
        <v>0</v>
      </c>
      <c r="D12" s="55">
        <v>0</v>
      </c>
      <c r="E12" s="55">
        <v>0</v>
      </c>
      <c r="F12" s="55">
        <v>0</v>
      </c>
      <c r="G12" s="55">
        <v>0</v>
      </c>
      <c r="H12" s="55">
        <v>0</v>
      </c>
      <c r="I12" s="55">
        <v>0</v>
      </c>
      <c r="J12" s="55">
        <v>0</v>
      </c>
      <c r="K12" s="55">
        <v>0</v>
      </c>
      <c r="L12" s="55">
        <v>0</v>
      </c>
      <c r="M12" s="55">
        <v>0</v>
      </c>
      <c r="N12" s="55">
        <v>0</v>
      </c>
      <c r="O12" s="55">
        <v>0</v>
      </c>
      <c r="P12" s="55">
        <v>0</v>
      </c>
      <c r="Q12" s="55">
        <v>0</v>
      </c>
      <c r="R12" s="55">
        <v>0</v>
      </c>
      <c r="U12" s="2"/>
    </row>
    <row r="13" spans="1:21" hidden="1" outlineLevel="2" x14ac:dyDescent="0.3">
      <c r="A13" s="35" t="s">
        <v>379</v>
      </c>
      <c r="B13" s="54">
        <v>170.73699999999999</v>
      </c>
      <c r="C13" s="54">
        <v>168.858</v>
      </c>
      <c r="D13" s="54">
        <v>161.66300000000001</v>
      </c>
      <c r="E13" s="54">
        <v>150.28100000000001</v>
      </c>
      <c r="F13" s="54">
        <v>144.73400000000001</v>
      </c>
      <c r="G13" s="54">
        <v>354.42599999999999</v>
      </c>
      <c r="H13" s="54">
        <v>240.31399999999999</v>
      </c>
      <c r="I13" s="54">
        <v>144.15899999999999</v>
      </c>
      <c r="J13" s="54">
        <v>151.16200000000001</v>
      </c>
      <c r="K13" s="56">
        <v>117.2</v>
      </c>
      <c r="L13" s="56">
        <v>151.28</v>
      </c>
      <c r="M13" s="54">
        <v>141.983</v>
      </c>
      <c r="N13" s="54">
        <v>124.282</v>
      </c>
      <c r="O13" s="56">
        <v>106.13</v>
      </c>
      <c r="P13" s="54">
        <v>73.628</v>
      </c>
      <c r="Q13" s="54">
        <v>59.253999999999998</v>
      </c>
      <c r="R13" s="54">
        <v>64.391999999999996</v>
      </c>
      <c r="U13" s="2"/>
    </row>
    <row r="14" spans="1:21" hidden="1" outlineLevel="2" x14ac:dyDescent="0.3">
      <c r="A14" s="35" t="s">
        <v>380</v>
      </c>
      <c r="B14" s="23">
        <v>659.67499999999995</v>
      </c>
      <c r="C14" s="23">
        <v>746.77200000000005</v>
      </c>
      <c r="D14" s="23">
        <v>544.76300000000003</v>
      </c>
      <c r="E14" s="55">
        <v>684.55</v>
      </c>
      <c r="F14" s="23">
        <v>700.01800000000003</v>
      </c>
      <c r="G14" s="23">
        <v>776.20699999999999</v>
      </c>
      <c r="H14" s="23">
        <v>664.11400000000003</v>
      </c>
      <c r="I14" s="23">
        <v>653.79499999999996</v>
      </c>
      <c r="J14" s="23">
        <v>697.47699999999998</v>
      </c>
      <c r="K14" s="23">
        <v>488.54599999999999</v>
      </c>
      <c r="L14" s="23">
        <v>468.13799999999998</v>
      </c>
      <c r="M14" s="23">
        <v>450.09500000000003</v>
      </c>
      <c r="N14" s="23">
        <v>490.93799999999999</v>
      </c>
      <c r="O14" s="55">
        <v>490.74</v>
      </c>
      <c r="P14" s="23">
        <v>438.24599999999998</v>
      </c>
      <c r="Q14" s="23">
        <v>399.71699999999998</v>
      </c>
      <c r="R14" s="23">
        <v>478.29899999999998</v>
      </c>
      <c r="U14" s="2"/>
    </row>
    <row r="15" spans="1:21" hidden="1" outlineLevel="2" x14ac:dyDescent="0.3">
      <c r="A15" s="35" t="s">
        <v>381</v>
      </c>
      <c r="B15" s="56">
        <v>0</v>
      </c>
      <c r="C15" s="56">
        <v>0</v>
      </c>
      <c r="D15" s="56">
        <v>0</v>
      </c>
      <c r="E15" s="56">
        <v>0</v>
      </c>
      <c r="F15" s="56">
        <v>0</v>
      </c>
      <c r="G15" s="56">
        <v>0</v>
      </c>
      <c r="H15" s="56">
        <v>0</v>
      </c>
      <c r="I15" s="56">
        <v>0</v>
      </c>
      <c r="J15" s="56">
        <v>0</v>
      </c>
      <c r="K15" s="56">
        <v>0</v>
      </c>
      <c r="L15" s="56">
        <v>0</v>
      </c>
      <c r="M15" s="56">
        <v>0</v>
      </c>
      <c r="N15" s="56">
        <v>0</v>
      </c>
      <c r="O15" s="56">
        <v>0</v>
      </c>
      <c r="P15" s="56">
        <v>0</v>
      </c>
      <c r="Q15" s="56">
        <v>0</v>
      </c>
      <c r="R15" s="56">
        <v>0</v>
      </c>
      <c r="U15" s="2"/>
    </row>
    <row r="16" spans="1:21" outlineLevel="1" collapsed="1" x14ac:dyDescent="0.3">
      <c r="A16" s="35" t="s">
        <v>382</v>
      </c>
      <c r="B16" s="23">
        <v>84.995999999999995</v>
      </c>
      <c r="C16" s="23">
        <v>81.084000000000003</v>
      </c>
      <c r="D16" s="23">
        <v>70.097999999999999</v>
      </c>
      <c r="E16" s="23">
        <v>66.466999999999999</v>
      </c>
      <c r="F16" s="23">
        <v>59.844999999999999</v>
      </c>
      <c r="G16" s="23">
        <v>50.515999999999998</v>
      </c>
      <c r="H16" s="23">
        <v>8.1470000000000002</v>
      </c>
      <c r="I16" s="23">
        <v>5.1369999999999996</v>
      </c>
      <c r="J16" s="23">
        <v>3.4390000000000001</v>
      </c>
      <c r="K16" s="23">
        <v>2.1280000000000001</v>
      </c>
      <c r="L16" s="23">
        <v>0.51500000000000001</v>
      </c>
      <c r="M16" s="23">
        <v>0.30099999999999999</v>
      </c>
      <c r="N16" s="55">
        <v>0</v>
      </c>
      <c r="O16" s="55">
        <v>0</v>
      </c>
      <c r="P16" s="55">
        <v>0</v>
      </c>
      <c r="Q16" s="23">
        <v>13.923999999999999</v>
      </c>
      <c r="R16" s="23">
        <v>9.1869999999999994</v>
      </c>
      <c r="U16" s="16">
        <f>(R16-B16)/1000</f>
        <v>-7.5809000000000001E-2</v>
      </c>
    </row>
    <row r="17" spans="1:21" hidden="1" outlineLevel="2" x14ac:dyDescent="0.3">
      <c r="A17" s="35" t="s">
        <v>383</v>
      </c>
      <c r="B17" s="56">
        <v>0</v>
      </c>
      <c r="C17" s="54">
        <v>2.1000000000000001E-2</v>
      </c>
      <c r="D17" s="56">
        <v>0.3</v>
      </c>
      <c r="E17" s="54">
        <v>2.1000000000000001E-2</v>
      </c>
      <c r="F17" s="54">
        <v>4.2999999999999997E-2</v>
      </c>
      <c r="G17" s="54">
        <v>2.1000000000000001E-2</v>
      </c>
      <c r="H17" s="54">
        <v>2.1000000000000001E-2</v>
      </c>
      <c r="I17" s="54">
        <v>2.1000000000000001E-2</v>
      </c>
      <c r="J17" s="56">
        <v>0</v>
      </c>
      <c r="K17" s="54">
        <v>2.1000000000000001E-2</v>
      </c>
      <c r="L17" s="56">
        <v>0</v>
      </c>
      <c r="M17" s="56">
        <v>0</v>
      </c>
      <c r="N17" s="56">
        <v>0</v>
      </c>
      <c r="O17" s="56">
        <v>0</v>
      </c>
      <c r="P17" s="56">
        <v>0</v>
      </c>
      <c r="Q17" s="54">
        <v>13.923999999999999</v>
      </c>
      <c r="R17" s="54">
        <v>9.1869999999999994</v>
      </c>
      <c r="U17" s="2"/>
    </row>
    <row r="18" spans="1:21" hidden="1" outlineLevel="2" x14ac:dyDescent="0.3">
      <c r="A18" s="35" t="s">
        <v>384</v>
      </c>
      <c r="B18" s="23">
        <v>84.995999999999995</v>
      </c>
      <c r="C18" s="23">
        <v>81.061999999999998</v>
      </c>
      <c r="D18" s="23">
        <v>69.796999999999997</v>
      </c>
      <c r="E18" s="23">
        <v>66.444999999999993</v>
      </c>
      <c r="F18" s="23">
        <v>59.802</v>
      </c>
      <c r="G18" s="23">
        <v>50.494</v>
      </c>
      <c r="H18" s="23">
        <v>8.1259999999999994</v>
      </c>
      <c r="I18" s="23">
        <v>5.1159999999999997</v>
      </c>
      <c r="J18" s="23">
        <v>3.4390000000000001</v>
      </c>
      <c r="K18" s="23">
        <v>2.1070000000000002</v>
      </c>
      <c r="L18" s="23">
        <v>0.51500000000000001</v>
      </c>
      <c r="M18" s="23">
        <v>0.30099999999999999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U18" s="2"/>
    </row>
    <row r="19" spans="1:21" outlineLevel="1" collapsed="1" x14ac:dyDescent="0.3">
      <c r="A19" s="35" t="s">
        <v>385</v>
      </c>
      <c r="B19" s="56">
        <v>334.78</v>
      </c>
      <c r="C19" s="54">
        <v>347.06599999999997</v>
      </c>
      <c r="D19" s="54">
        <v>337.79700000000003</v>
      </c>
      <c r="E19" s="54">
        <v>356.94299999999998</v>
      </c>
      <c r="F19" s="54">
        <v>353.03399999999999</v>
      </c>
      <c r="G19" s="54">
        <v>347.49700000000001</v>
      </c>
      <c r="H19" s="54">
        <v>327.04599999999999</v>
      </c>
      <c r="I19" s="54">
        <v>303.25400000000002</v>
      </c>
      <c r="J19" s="54">
        <v>309.08100000000002</v>
      </c>
      <c r="K19" s="54">
        <v>283.46300000000002</v>
      </c>
      <c r="L19" s="54">
        <v>278.24200000000002</v>
      </c>
      <c r="M19" s="56">
        <v>283.60000000000002</v>
      </c>
      <c r="N19" s="56">
        <v>278.70999999999998</v>
      </c>
      <c r="O19" s="54">
        <v>293.70400000000001</v>
      </c>
      <c r="P19" s="54">
        <v>274.483</v>
      </c>
      <c r="Q19" s="54">
        <v>257.12099999999998</v>
      </c>
      <c r="R19" s="54">
        <v>248.21700000000001</v>
      </c>
      <c r="U19" s="16">
        <f>(R19-B19)/1000</f>
        <v>-8.6562999999999959E-2</v>
      </c>
    </row>
    <row r="20" spans="1:21" hidden="1" outlineLevel="2" x14ac:dyDescent="0.3">
      <c r="A20" s="35" t="s">
        <v>386</v>
      </c>
      <c r="B20" s="23">
        <v>233.65799999999999</v>
      </c>
      <c r="C20" s="23">
        <v>245.982</v>
      </c>
      <c r="D20" s="23">
        <v>236.785</v>
      </c>
      <c r="E20" s="23">
        <v>229.369</v>
      </c>
      <c r="F20" s="23">
        <v>230.59800000000001</v>
      </c>
      <c r="G20" s="23">
        <v>238.75200000000001</v>
      </c>
      <c r="H20" s="23">
        <v>225.114</v>
      </c>
      <c r="I20" s="23">
        <v>189.46899999999999</v>
      </c>
      <c r="J20" s="23">
        <v>190.654</v>
      </c>
      <c r="K20" s="23">
        <v>186.828</v>
      </c>
      <c r="L20" s="23">
        <v>186.82900000000001</v>
      </c>
      <c r="M20" s="23">
        <v>195.58500000000001</v>
      </c>
      <c r="N20" s="23">
        <v>197.81800000000001</v>
      </c>
      <c r="O20" s="23">
        <v>201.41300000000001</v>
      </c>
      <c r="P20" s="55">
        <v>199.95</v>
      </c>
      <c r="Q20" s="23">
        <v>181.851</v>
      </c>
      <c r="R20" s="23">
        <v>179.23400000000001</v>
      </c>
      <c r="U20" s="2"/>
    </row>
    <row r="21" spans="1:21" hidden="1" outlineLevel="2" x14ac:dyDescent="0.3">
      <c r="A21" s="35" t="s">
        <v>387</v>
      </c>
      <c r="B21" s="54">
        <v>101.121</v>
      </c>
      <c r="C21" s="54">
        <v>101.084</v>
      </c>
      <c r="D21" s="54">
        <v>101.012</v>
      </c>
      <c r="E21" s="54">
        <v>127.574</v>
      </c>
      <c r="F21" s="54">
        <v>122.435</v>
      </c>
      <c r="G21" s="54">
        <v>108.745</v>
      </c>
      <c r="H21" s="54">
        <v>101.93300000000001</v>
      </c>
      <c r="I21" s="54">
        <v>113.785</v>
      </c>
      <c r="J21" s="54">
        <v>118.42700000000001</v>
      </c>
      <c r="K21" s="54">
        <v>96.635000000000005</v>
      </c>
      <c r="L21" s="54">
        <v>91.412999999999997</v>
      </c>
      <c r="M21" s="54">
        <v>88.015000000000001</v>
      </c>
      <c r="N21" s="54">
        <v>80.891999999999996</v>
      </c>
      <c r="O21" s="54">
        <v>92.290999999999997</v>
      </c>
      <c r="P21" s="54">
        <v>74.533000000000001</v>
      </c>
      <c r="Q21" s="56">
        <v>75.27</v>
      </c>
      <c r="R21" s="54">
        <v>68.983000000000004</v>
      </c>
      <c r="U21" s="2"/>
    </row>
    <row r="22" spans="1:21" outlineLevel="1" x14ac:dyDescent="0.3">
      <c r="A22" s="35" t="s">
        <v>238</v>
      </c>
      <c r="B22" s="54">
        <v>130204.27800000001</v>
      </c>
      <c r="C22" s="54">
        <v>131729.24799999999</v>
      </c>
      <c r="D22" s="54">
        <v>119861.31200000001</v>
      </c>
      <c r="E22" s="54">
        <v>125752.55499999999</v>
      </c>
      <c r="F22" s="54">
        <v>127023.82399999999</v>
      </c>
      <c r="G22" s="54">
        <v>138022.43299999999</v>
      </c>
      <c r="H22" s="54">
        <v>120660.303</v>
      </c>
      <c r="I22" s="54">
        <v>126372.208</v>
      </c>
      <c r="J22" s="54">
        <v>129827.049</v>
      </c>
      <c r="K22" s="54">
        <v>108830.923</v>
      </c>
      <c r="L22" s="54">
        <v>116658.023</v>
      </c>
      <c r="M22" s="54">
        <v>122025.05100000001</v>
      </c>
      <c r="N22" s="54">
        <v>121542.35400000001</v>
      </c>
      <c r="O22" s="54">
        <v>121807.113</v>
      </c>
      <c r="P22" s="54">
        <v>119662.749</v>
      </c>
      <c r="Q22" s="54">
        <v>116916.895</v>
      </c>
      <c r="R22" s="54">
        <v>129909.46400000001</v>
      </c>
      <c r="U22" s="16">
        <f>(R22-B22)/1000</f>
        <v>-0.29481399999999847</v>
      </c>
    </row>
    <row r="23" spans="1:21" outlineLevel="1" collapsed="1" x14ac:dyDescent="0.3">
      <c r="A23" s="35" t="s">
        <v>388</v>
      </c>
      <c r="B23" s="55">
        <v>94793.89</v>
      </c>
      <c r="C23" s="23">
        <v>89984.675000000003</v>
      </c>
      <c r="D23" s="23">
        <v>74678.601999999999</v>
      </c>
      <c r="E23" s="23">
        <v>82471.705000000002</v>
      </c>
      <c r="F23" s="23">
        <v>76230.672999999995</v>
      </c>
      <c r="G23" s="55">
        <v>75145.320000000007</v>
      </c>
      <c r="H23" s="23">
        <v>68123.263000000006</v>
      </c>
      <c r="I23" s="23">
        <v>67114.222999999998</v>
      </c>
      <c r="J23" s="23">
        <v>68019.710999999996</v>
      </c>
      <c r="K23" s="23">
        <v>61342.502999999997</v>
      </c>
      <c r="L23" s="23">
        <v>62401.843999999997</v>
      </c>
      <c r="M23" s="23">
        <v>60878.637999999999</v>
      </c>
      <c r="N23" s="23">
        <v>60497.175999999999</v>
      </c>
      <c r="O23" s="23">
        <v>57484.231</v>
      </c>
      <c r="P23" s="23">
        <v>57948.033000000003</v>
      </c>
      <c r="Q23" s="23">
        <v>59057.451999999997</v>
      </c>
      <c r="R23" s="23">
        <v>54686.565999999999</v>
      </c>
      <c r="U23" s="16">
        <f>(R23-B23)/1000</f>
        <v>-40.107323999999998</v>
      </c>
    </row>
    <row r="24" spans="1:21" hidden="1" outlineLevel="2" x14ac:dyDescent="0.3">
      <c r="A24" s="35" t="s">
        <v>389</v>
      </c>
      <c r="B24" s="23">
        <v>5.7489999999999997</v>
      </c>
      <c r="C24" s="23">
        <v>29.895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23">
        <v>0.42399999999999999</v>
      </c>
      <c r="P24" s="23">
        <v>0.45300000000000001</v>
      </c>
      <c r="Q24" s="23">
        <v>0.47499999999999998</v>
      </c>
      <c r="R24" s="23">
        <v>0.60099999999999998</v>
      </c>
      <c r="U24" s="2"/>
    </row>
    <row r="25" spans="1:21" hidden="1" outlineLevel="2" x14ac:dyDescent="0.3">
      <c r="A25" s="35" t="s">
        <v>390</v>
      </c>
      <c r="B25" s="55">
        <v>11578.35</v>
      </c>
      <c r="C25" s="55">
        <v>10598.93</v>
      </c>
      <c r="D25" s="23">
        <v>10189.733</v>
      </c>
      <c r="E25" s="23">
        <v>10101.130999999999</v>
      </c>
      <c r="F25" s="23">
        <v>9781.5130000000008</v>
      </c>
      <c r="G25" s="23">
        <v>9954.8870000000006</v>
      </c>
      <c r="H25" s="23">
        <v>9045.9529999999995</v>
      </c>
      <c r="I25" s="23">
        <v>8712.3729999999996</v>
      </c>
      <c r="J25" s="23">
        <v>8734.9840000000004</v>
      </c>
      <c r="K25" s="23">
        <v>7903.9880000000003</v>
      </c>
      <c r="L25" s="23">
        <v>7887.0640000000003</v>
      </c>
      <c r="M25" s="23">
        <v>8221.6610000000001</v>
      </c>
      <c r="N25" s="23">
        <v>7905.2370000000001</v>
      </c>
      <c r="O25" s="55">
        <v>8306.01</v>
      </c>
      <c r="P25" s="23">
        <v>8105.1450000000004</v>
      </c>
      <c r="Q25" s="23">
        <v>7795.0469999999996</v>
      </c>
      <c r="R25" s="23">
        <v>7944.3320000000003</v>
      </c>
      <c r="U25" s="2"/>
    </row>
    <row r="26" spans="1:21" hidden="1" outlineLevel="2" x14ac:dyDescent="0.3">
      <c r="A26" s="35" t="s">
        <v>391</v>
      </c>
      <c r="B26" s="23">
        <v>4.4969999999999999</v>
      </c>
      <c r="C26" s="23">
        <v>5.5410000000000004</v>
      </c>
      <c r="D26" s="23">
        <v>5.5410000000000004</v>
      </c>
      <c r="E26" s="23">
        <v>4.4969999999999999</v>
      </c>
      <c r="F26" s="23">
        <v>3.4609999999999999</v>
      </c>
      <c r="G26" s="23">
        <v>3.3559999999999999</v>
      </c>
      <c r="H26" s="23">
        <v>2.4169999999999998</v>
      </c>
      <c r="I26" s="23">
        <v>2.4169999999999998</v>
      </c>
      <c r="J26" s="23">
        <v>2.3119999999999998</v>
      </c>
      <c r="K26" s="23">
        <v>2.4169999999999998</v>
      </c>
      <c r="L26" s="23">
        <v>1.3660000000000001</v>
      </c>
      <c r="M26" s="23">
        <v>1.3660000000000001</v>
      </c>
      <c r="N26" s="23">
        <v>1.367</v>
      </c>
      <c r="O26" s="23">
        <v>1.5629999999999999</v>
      </c>
      <c r="P26" s="23">
        <v>1.375</v>
      </c>
      <c r="Q26" s="23">
        <v>1.294</v>
      </c>
      <c r="R26" s="23">
        <v>1.359</v>
      </c>
      <c r="U26" s="2"/>
    </row>
    <row r="27" spans="1:21" hidden="1" outlineLevel="2" x14ac:dyDescent="0.3">
      <c r="A27" s="35" t="s">
        <v>392</v>
      </c>
      <c r="B27" s="54">
        <v>947.65599999999995</v>
      </c>
      <c r="C27" s="54">
        <v>904.58900000000006</v>
      </c>
      <c r="D27" s="54">
        <v>901.827</v>
      </c>
      <c r="E27" s="56">
        <v>842.56</v>
      </c>
      <c r="F27" s="54">
        <v>795.15700000000004</v>
      </c>
      <c r="G27" s="54">
        <v>793.03399999999999</v>
      </c>
      <c r="H27" s="54">
        <v>818.14499999999998</v>
      </c>
      <c r="I27" s="54">
        <v>989.46600000000001</v>
      </c>
      <c r="J27" s="54">
        <v>840.94299999999998</v>
      </c>
      <c r="K27" s="54">
        <v>806.24800000000005</v>
      </c>
      <c r="L27" s="54">
        <v>788.97500000000002</v>
      </c>
      <c r="M27" s="54">
        <v>781.154</v>
      </c>
      <c r="N27" s="54">
        <v>777.59500000000003</v>
      </c>
      <c r="O27" s="54">
        <v>817.08500000000004</v>
      </c>
      <c r="P27" s="54">
        <v>824.68100000000004</v>
      </c>
      <c r="Q27" s="54">
        <v>790.76900000000001</v>
      </c>
      <c r="R27" s="54">
        <v>990.78300000000002</v>
      </c>
      <c r="U27" s="2"/>
    </row>
    <row r="28" spans="1:21" hidden="1" outlineLevel="2" x14ac:dyDescent="0.3">
      <c r="A28" s="35" t="s">
        <v>393</v>
      </c>
      <c r="B28" s="54">
        <v>918.85199999999998</v>
      </c>
      <c r="C28" s="56">
        <v>854.67</v>
      </c>
      <c r="D28" s="54">
        <v>822.71199999999999</v>
      </c>
      <c r="E28" s="54">
        <v>801.94500000000005</v>
      </c>
      <c r="F28" s="54">
        <v>784.98500000000001</v>
      </c>
      <c r="G28" s="54">
        <v>795.78800000000001</v>
      </c>
      <c r="H28" s="54">
        <v>854.80600000000004</v>
      </c>
      <c r="I28" s="54">
        <v>884.85699999999997</v>
      </c>
      <c r="J28" s="54">
        <v>1012.997</v>
      </c>
      <c r="K28" s="54">
        <v>975.20299999999997</v>
      </c>
      <c r="L28" s="56">
        <v>891.34</v>
      </c>
      <c r="M28" s="54">
        <v>758.00400000000002</v>
      </c>
      <c r="N28" s="54">
        <v>700.005</v>
      </c>
      <c r="O28" s="54">
        <v>714.81299999999999</v>
      </c>
      <c r="P28" s="54">
        <v>701.65200000000004</v>
      </c>
      <c r="Q28" s="54">
        <v>682.35199999999998</v>
      </c>
      <c r="R28" s="54">
        <v>813.28800000000001</v>
      </c>
      <c r="U28" s="2"/>
    </row>
    <row r="29" spans="1:21" hidden="1" outlineLevel="2" x14ac:dyDescent="0.3">
      <c r="A29" s="35" t="s">
        <v>394</v>
      </c>
      <c r="B29" s="55">
        <v>1256.6500000000001</v>
      </c>
      <c r="C29" s="23">
        <v>1233.6179999999999</v>
      </c>
      <c r="D29" s="23">
        <v>1178.366</v>
      </c>
      <c r="E29" s="23">
        <v>1323.095</v>
      </c>
      <c r="F29" s="23">
        <v>1465.0060000000001</v>
      </c>
      <c r="G29" s="23">
        <v>1477.5129999999999</v>
      </c>
      <c r="H29" s="23">
        <v>1194.1289999999999</v>
      </c>
      <c r="I29" s="23">
        <v>1047.396</v>
      </c>
      <c r="J29" s="23">
        <v>1066.806</v>
      </c>
      <c r="K29" s="23">
        <v>957.73299999999995</v>
      </c>
      <c r="L29" s="23">
        <v>1107.7139999999999</v>
      </c>
      <c r="M29" s="23">
        <v>1164.5319999999999</v>
      </c>
      <c r="N29" s="23">
        <v>1115.9090000000001</v>
      </c>
      <c r="O29" s="23">
        <v>1184.9659999999999</v>
      </c>
      <c r="P29" s="23">
        <v>1168.846</v>
      </c>
      <c r="Q29" s="23">
        <v>1305.595</v>
      </c>
      <c r="R29" s="23">
        <v>1205.873</v>
      </c>
      <c r="U29" s="2"/>
    </row>
    <row r="30" spans="1:21" hidden="1" outlineLevel="2" x14ac:dyDescent="0.3">
      <c r="A30" s="35" t="s">
        <v>395</v>
      </c>
      <c r="B30" s="54">
        <v>77637.513000000006</v>
      </c>
      <c r="C30" s="54">
        <v>74142.411999999997</v>
      </c>
      <c r="D30" s="54">
        <v>60000.036999999997</v>
      </c>
      <c r="E30" s="54">
        <v>67928.005999999994</v>
      </c>
      <c r="F30" s="54">
        <v>62269.544999999998</v>
      </c>
      <c r="G30" s="54">
        <v>61328.478999999999</v>
      </c>
      <c r="H30" s="54">
        <v>55597.072999999997</v>
      </c>
      <c r="I30" s="54">
        <v>54923.646999999997</v>
      </c>
      <c r="J30" s="54">
        <v>55865.021000000001</v>
      </c>
      <c r="K30" s="54">
        <v>50292.442000000003</v>
      </c>
      <c r="L30" s="54">
        <v>51365.307000000001</v>
      </c>
      <c r="M30" s="54">
        <v>49552.885999999999</v>
      </c>
      <c r="N30" s="54">
        <v>49682.034</v>
      </c>
      <c r="O30" s="54">
        <v>46204.696000000004</v>
      </c>
      <c r="P30" s="54">
        <v>46908.883999999998</v>
      </c>
      <c r="Q30" s="54">
        <v>48236.686999999998</v>
      </c>
      <c r="R30" s="54">
        <v>43477.474000000002</v>
      </c>
      <c r="U30" s="2"/>
    </row>
    <row r="31" spans="1:21" hidden="1" outlineLevel="2" x14ac:dyDescent="0.3">
      <c r="A31" s="35" t="s">
        <v>396</v>
      </c>
      <c r="B31" s="23">
        <v>2306.8980000000001</v>
      </c>
      <c r="C31" s="23">
        <v>2088.7240000000002</v>
      </c>
      <c r="D31" s="23">
        <v>1451.865</v>
      </c>
      <c r="E31" s="23">
        <v>1346.588</v>
      </c>
      <c r="F31" s="23">
        <v>1085.289</v>
      </c>
      <c r="G31" s="23">
        <v>740.30399999999997</v>
      </c>
      <c r="H31" s="23">
        <v>573.26599999999996</v>
      </c>
      <c r="I31" s="23">
        <v>518.50199999999995</v>
      </c>
      <c r="J31" s="23">
        <v>430.02699999999999</v>
      </c>
      <c r="K31" s="23">
        <v>355.779</v>
      </c>
      <c r="L31" s="23">
        <v>302.95800000000003</v>
      </c>
      <c r="M31" s="23">
        <v>304.721</v>
      </c>
      <c r="N31" s="23">
        <v>275.21100000000001</v>
      </c>
      <c r="O31" s="23">
        <v>205.148</v>
      </c>
      <c r="P31" s="55">
        <v>176.79</v>
      </c>
      <c r="Q31" s="23">
        <v>180.57400000000001</v>
      </c>
      <c r="R31" s="23">
        <v>196.26499999999999</v>
      </c>
      <c r="U31" s="2"/>
    </row>
    <row r="32" spans="1:21" hidden="1" outlineLevel="2" x14ac:dyDescent="0.3">
      <c r="A32" s="35" t="s">
        <v>397</v>
      </c>
      <c r="B32" s="54">
        <v>0.26300000000000001</v>
      </c>
      <c r="C32" s="54">
        <v>0.255</v>
      </c>
      <c r="D32" s="54">
        <v>0.29299999999999998</v>
      </c>
      <c r="E32" s="54">
        <v>0.28399999999999997</v>
      </c>
      <c r="F32" s="54">
        <v>0.63200000000000001</v>
      </c>
      <c r="G32" s="56">
        <v>0.63</v>
      </c>
      <c r="H32" s="56">
        <v>0.59</v>
      </c>
      <c r="I32" s="54">
        <v>1.008</v>
      </c>
      <c r="J32" s="54">
        <v>0.29599999999999999</v>
      </c>
      <c r="K32" s="54">
        <v>1.3620000000000001</v>
      </c>
      <c r="L32" s="54">
        <v>1.1879999999999999</v>
      </c>
      <c r="M32" s="54">
        <v>0.26200000000000001</v>
      </c>
      <c r="N32" s="54">
        <v>0.46400000000000002</v>
      </c>
      <c r="O32" s="54">
        <v>0.35899999999999999</v>
      </c>
      <c r="P32" s="54">
        <v>0.251</v>
      </c>
      <c r="Q32" s="54">
        <v>0.251</v>
      </c>
      <c r="R32" s="54">
        <v>0.251</v>
      </c>
      <c r="U32" s="2"/>
    </row>
    <row r="33" spans="1:21" hidden="1" outlineLevel="2" x14ac:dyDescent="0.3">
      <c r="A33" s="35" t="s">
        <v>398</v>
      </c>
      <c r="B33" s="55">
        <v>75.16</v>
      </c>
      <c r="C33" s="23">
        <v>54.093000000000004</v>
      </c>
      <c r="D33" s="23">
        <v>60.488</v>
      </c>
      <c r="E33" s="23">
        <v>52.741999999999997</v>
      </c>
      <c r="F33" s="23">
        <v>43.167000000000002</v>
      </c>
      <c r="G33" s="23">
        <v>46.917000000000002</v>
      </c>
      <c r="H33" s="23">
        <v>33.093000000000004</v>
      </c>
      <c r="I33" s="23">
        <v>31.693999999999999</v>
      </c>
      <c r="J33" s="23">
        <v>50.148000000000003</v>
      </c>
      <c r="K33" s="23">
        <v>45.414999999999999</v>
      </c>
      <c r="L33" s="23">
        <v>45.412999999999997</v>
      </c>
      <c r="M33" s="23">
        <v>34.887</v>
      </c>
      <c r="N33" s="23">
        <v>35.484999999999999</v>
      </c>
      <c r="O33" s="23">
        <v>47.844000000000001</v>
      </c>
      <c r="P33" s="23">
        <v>58.226999999999997</v>
      </c>
      <c r="Q33" s="23">
        <v>60.579000000000001</v>
      </c>
      <c r="R33" s="23">
        <v>54.594999999999999</v>
      </c>
      <c r="U33" s="2"/>
    </row>
    <row r="34" spans="1:21" hidden="1" outlineLevel="2" x14ac:dyDescent="0.3">
      <c r="A34" s="35" t="s">
        <v>399</v>
      </c>
      <c r="B34" s="56">
        <v>6.72</v>
      </c>
      <c r="C34" s="56">
        <v>5.76</v>
      </c>
      <c r="D34" s="56">
        <v>4.8</v>
      </c>
      <c r="E34" s="56">
        <v>4.8</v>
      </c>
      <c r="F34" s="56">
        <v>1.92</v>
      </c>
      <c r="G34" s="56">
        <v>1.92</v>
      </c>
      <c r="H34" s="56">
        <v>2.88</v>
      </c>
      <c r="I34" s="56">
        <v>1.92</v>
      </c>
      <c r="J34" s="56">
        <v>1.92</v>
      </c>
      <c r="K34" s="56">
        <v>1.92</v>
      </c>
      <c r="L34" s="56">
        <v>1.92</v>
      </c>
      <c r="M34" s="56">
        <v>0.96</v>
      </c>
      <c r="N34" s="56">
        <v>0.96</v>
      </c>
      <c r="O34" s="56">
        <v>0</v>
      </c>
      <c r="P34" s="56">
        <v>0</v>
      </c>
      <c r="Q34" s="56">
        <v>0</v>
      </c>
      <c r="R34" s="56">
        <v>0</v>
      </c>
      <c r="U34" s="2"/>
    </row>
    <row r="35" spans="1:21" hidden="1" outlineLevel="2" x14ac:dyDescent="0.3">
      <c r="A35" s="35" t="s">
        <v>400</v>
      </c>
      <c r="B35" s="23">
        <v>13.593</v>
      </c>
      <c r="C35" s="23">
        <v>66.188000000000002</v>
      </c>
      <c r="D35" s="23">
        <v>54.533999999999999</v>
      </c>
      <c r="E35" s="23">
        <v>66.049000000000007</v>
      </c>
      <c r="F35" s="55">
        <v>0</v>
      </c>
      <c r="G35" s="23">
        <v>2.4940000000000002</v>
      </c>
      <c r="H35" s="23">
        <v>0.90800000000000003</v>
      </c>
      <c r="I35" s="23">
        <v>0.94299999999999995</v>
      </c>
      <c r="J35" s="23">
        <v>14.259</v>
      </c>
      <c r="K35" s="55">
        <v>0</v>
      </c>
      <c r="L35" s="23">
        <v>8.5980000000000008</v>
      </c>
      <c r="M35" s="23">
        <v>58.207000000000001</v>
      </c>
      <c r="N35" s="55">
        <v>2.91</v>
      </c>
      <c r="O35" s="23">
        <v>1.325</v>
      </c>
      <c r="P35" s="23">
        <v>1.734</v>
      </c>
      <c r="Q35" s="55">
        <v>3.83</v>
      </c>
      <c r="R35" s="23">
        <v>1.7430000000000001</v>
      </c>
      <c r="U35" s="2"/>
    </row>
    <row r="36" spans="1:21" outlineLevel="1" collapsed="1" x14ac:dyDescent="0.3">
      <c r="A36" s="35" t="s">
        <v>401</v>
      </c>
      <c r="B36" s="54">
        <v>39918.004999999997</v>
      </c>
      <c r="C36" s="56">
        <v>41679.4</v>
      </c>
      <c r="D36" s="56">
        <v>44936.29</v>
      </c>
      <c r="E36" s="54">
        <v>49193.124000000003</v>
      </c>
      <c r="F36" s="54">
        <v>50445.612000000001</v>
      </c>
      <c r="G36" s="54">
        <v>54187.243000000002</v>
      </c>
      <c r="H36" s="54">
        <v>50335.137999999999</v>
      </c>
      <c r="I36" s="54">
        <v>56577.303999999996</v>
      </c>
      <c r="J36" s="54">
        <v>58120.654000000002</v>
      </c>
      <c r="K36" s="54">
        <v>53357.701000000001</v>
      </c>
      <c r="L36" s="54">
        <v>55822.805</v>
      </c>
      <c r="M36" s="54">
        <v>56497.593999999997</v>
      </c>
      <c r="N36" s="54">
        <v>61246.870999999999</v>
      </c>
      <c r="O36" s="54">
        <v>64192.046000000002</v>
      </c>
      <c r="P36" s="54">
        <v>65166.358</v>
      </c>
      <c r="Q36" s="54">
        <v>64476.372000000003</v>
      </c>
      <c r="R36" s="54">
        <v>70386.847999999998</v>
      </c>
      <c r="U36" s="16">
        <f>(R36-B36)/1000</f>
        <v>30.468843</v>
      </c>
    </row>
    <row r="37" spans="1:21" hidden="1" outlineLevel="2" x14ac:dyDescent="0.3">
      <c r="A37" s="35" t="s">
        <v>268</v>
      </c>
      <c r="B37" s="54">
        <v>438.10599999999999</v>
      </c>
      <c r="C37" s="54">
        <v>436.21800000000002</v>
      </c>
      <c r="D37" s="54">
        <v>437.70600000000002</v>
      </c>
      <c r="E37" s="54">
        <v>460.91199999999998</v>
      </c>
      <c r="F37" s="54">
        <v>475.57100000000003</v>
      </c>
      <c r="G37" s="54">
        <v>413.404</v>
      </c>
      <c r="H37" s="54">
        <v>436.39600000000002</v>
      </c>
      <c r="I37" s="54">
        <v>447.25599999999997</v>
      </c>
      <c r="J37" s="54">
        <v>467.57900000000001</v>
      </c>
      <c r="K37" s="54">
        <v>442.839</v>
      </c>
      <c r="L37" s="54">
        <v>446.041</v>
      </c>
      <c r="M37" s="54">
        <v>479.49900000000002</v>
      </c>
      <c r="N37" s="54">
        <v>515.51499999999999</v>
      </c>
      <c r="O37" s="54">
        <v>533.43399999999997</v>
      </c>
      <c r="P37" s="54">
        <v>580.54700000000003</v>
      </c>
      <c r="Q37" s="54">
        <v>552.85900000000004</v>
      </c>
      <c r="R37" s="54">
        <v>572.13699999999994</v>
      </c>
      <c r="U37" s="2"/>
    </row>
    <row r="38" spans="1:21" hidden="1" outlineLevel="2" x14ac:dyDescent="0.3">
      <c r="A38" s="35" t="s">
        <v>402</v>
      </c>
      <c r="B38" s="56">
        <v>732.37</v>
      </c>
      <c r="C38" s="54">
        <v>832.39300000000003</v>
      </c>
      <c r="D38" s="54">
        <v>951.03800000000001</v>
      </c>
      <c r="E38" s="54">
        <v>1110.9680000000001</v>
      </c>
      <c r="F38" s="54">
        <v>1291.0350000000001</v>
      </c>
      <c r="G38" s="54">
        <v>1483.367</v>
      </c>
      <c r="H38" s="54">
        <v>1651.2049999999999</v>
      </c>
      <c r="I38" s="54">
        <v>1749.4970000000001</v>
      </c>
      <c r="J38" s="54">
        <v>1831.1569999999999</v>
      </c>
      <c r="K38" s="54">
        <v>1948.347</v>
      </c>
      <c r="L38" s="54">
        <v>2056.8139999999999</v>
      </c>
      <c r="M38" s="54">
        <v>2107.9639999999999</v>
      </c>
      <c r="N38" s="54">
        <v>2170.6469999999999</v>
      </c>
      <c r="O38" s="54">
        <v>2313.8119999999999</v>
      </c>
      <c r="P38" s="54">
        <v>2339.2049999999999</v>
      </c>
      <c r="Q38" s="54">
        <v>2434.373</v>
      </c>
      <c r="R38" s="54">
        <v>2440.759</v>
      </c>
      <c r="U38" s="2"/>
    </row>
    <row r="39" spans="1:21" hidden="1" outlineLevel="2" x14ac:dyDescent="0.3">
      <c r="A39" s="35" t="s">
        <v>403</v>
      </c>
      <c r="B39" s="23">
        <v>602.56799999999998</v>
      </c>
      <c r="C39" s="23">
        <v>827.31500000000005</v>
      </c>
      <c r="D39" s="23">
        <v>1102.768</v>
      </c>
      <c r="E39" s="23">
        <v>1484.2360000000001</v>
      </c>
      <c r="F39" s="23">
        <v>1870.6959999999999</v>
      </c>
      <c r="G39" s="55">
        <v>2335.36</v>
      </c>
      <c r="H39" s="23">
        <v>3354.1570000000002</v>
      </c>
      <c r="I39" s="23">
        <v>3854.2359999999999</v>
      </c>
      <c r="J39" s="23">
        <v>4334.4030000000002</v>
      </c>
      <c r="K39" s="23">
        <v>5082.7849999999999</v>
      </c>
      <c r="L39" s="23">
        <v>5619.6310000000003</v>
      </c>
      <c r="M39" s="23">
        <v>6421.5069999999996</v>
      </c>
      <c r="N39" s="23">
        <v>10367.723</v>
      </c>
      <c r="O39" s="23">
        <v>11022.174000000001</v>
      </c>
      <c r="P39" s="23">
        <v>11797.043</v>
      </c>
      <c r="Q39" s="23">
        <v>12503.415999999999</v>
      </c>
      <c r="R39" s="23">
        <v>14290.492</v>
      </c>
      <c r="U39" s="2"/>
    </row>
    <row r="40" spans="1:21" hidden="1" outlineLevel="2" x14ac:dyDescent="0.3">
      <c r="A40" s="35" t="s">
        <v>404</v>
      </c>
      <c r="B40" s="54">
        <v>37252.580999999998</v>
      </c>
      <c r="C40" s="54">
        <v>38498.294999999998</v>
      </c>
      <c r="D40" s="54">
        <v>41010.065999999999</v>
      </c>
      <c r="E40" s="54">
        <v>44663.027000000002</v>
      </c>
      <c r="F40" s="54">
        <v>44962.271999999997</v>
      </c>
      <c r="G40" s="54">
        <v>47976.044999999998</v>
      </c>
      <c r="H40" s="54">
        <v>42939.502999999997</v>
      </c>
      <c r="I40" s="54">
        <v>48288.902000000002</v>
      </c>
      <c r="J40" s="54">
        <v>49059.343999999997</v>
      </c>
      <c r="K40" s="54">
        <v>43311.116999999998</v>
      </c>
      <c r="L40" s="54">
        <v>45071.158000000003</v>
      </c>
      <c r="M40" s="54">
        <v>44536.008999999998</v>
      </c>
      <c r="N40" s="54">
        <v>45065.184999999998</v>
      </c>
      <c r="O40" s="56">
        <v>47218.29</v>
      </c>
      <c r="P40" s="56">
        <v>47348.7</v>
      </c>
      <c r="Q40" s="54">
        <v>45863.345999999998</v>
      </c>
      <c r="R40" s="54">
        <v>50099.944000000003</v>
      </c>
      <c r="U40" s="2"/>
    </row>
    <row r="41" spans="1:21" hidden="1" outlineLevel="2" x14ac:dyDescent="0.3">
      <c r="A41" s="35" t="s">
        <v>405</v>
      </c>
      <c r="B41" s="23">
        <v>214.018</v>
      </c>
      <c r="C41" s="23">
        <v>213.762</v>
      </c>
      <c r="D41" s="23">
        <v>273.38499999999999</v>
      </c>
      <c r="E41" s="23">
        <v>259.11200000000002</v>
      </c>
      <c r="F41" s="23">
        <v>348.32100000000003</v>
      </c>
      <c r="G41" s="23">
        <v>345.41500000000002</v>
      </c>
      <c r="H41" s="23">
        <v>360.56900000000002</v>
      </c>
      <c r="I41" s="23">
        <v>397.38900000000001</v>
      </c>
      <c r="J41" s="23">
        <v>385.47199999999998</v>
      </c>
      <c r="K41" s="23">
        <v>375.702</v>
      </c>
      <c r="L41" s="23">
        <v>386.51799999999997</v>
      </c>
      <c r="M41" s="23">
        <v>355.78899999999999</v>
      </c>
      <c r="N41" s="23">
        <v>373.286</v>
      </c>
      <c r="O41" s="23">
        <v>383.74700000000001</v>
      </c>
      <c r="P41" s="23">
        <v>361.86599999999999</v>
      </c>
      <c r="Q41" s="23">
        <v>320.14499999999998</v>
      </c>
      <c r="R41" s="23">
        <v>313.74799999999999</v>
      </c>
      <c r="U41" s="2"/>
    </row>
    <row r="42" spans="1:21" hidden="1" outlineLevel="2" x14ac:dyDescent="0.3">
      <c r="A42" s="35" t="s">
        <v>406</v>
      </c>
      <c r="B42" s="23">
        <v>6.2370000000000001</v>
      </c>
      <c r="C42" s="23">
        <v>7.4980000000000002</v>
      </c>
      <c r="D42" s="23">
        <v>9.0120000000000005</v>
      </c>
      <c r="E42" s="23">
        <v>14.108000000000001</v>
      </c>
      <c r="F42" s="23">
        <v>13.842000000000001</v>
      </c>
      <c r="G42" s="23">
        <v>15.289</v>
      </c>
      <c r="H42" s="23">
        <v>17.155999999999999</v>
      </c>
      <c r="I42" s="23">
        <v>19.521999999999998</v>
      </c>
      <c r="J42" s="23">
        <v>18.420999999999999</v>
      </c>
      <c r="K42" s="23">
        <v>17.617999999999999</v>
      </c>
      <c r="L42" s="23">
        <v>15.773999999999999</v>
      </c>
      <c r="M42" s="23">
        <v>13.976000000000001</v>
      </c>
      <c r="N42" s="23">
        <v>15.526999999999999</v>
      </c>
      <c r="O42" s="55">
        <v>19.239999999999998</v>
      </c>
      <c r="P42" s="55">
        <v>16.5</v>
      </c>
      <c r="Q42" s="23">
        <v>19.234999999999999</v>
      </c>
      <c r="R42" s="23">
        <v>20.986000000000001</v>
      </c>
      <c r="U42" s="2"/>
    </row>
    <row r="43" spans="1:21" hidden="1" outlineLevel="2" x14ac:dyDescent="0.3">
      <c r="A43" s="35" t="s">
        <v>407</v>
      </c>
      <c r="B43" s="54">
        <v>29.187999999999999</v>
      </c>
      <c r="C43" s="54">
        <v>30.050999999999998</v>
      </c>
      <c r="D43" s="54">
        <v>68.643000000000001</v>
      </c>
      <c r="E43" s="56">
        <v>59.54</v>
      </c>
      <c r="F43" s="54">
        <v>34.064</v>
      </c>
      <c r="G43" s="56">
        <v>25.44</v>
      </c>
      <c r="H43" s="56">
        <v>12</v>
      </c>
      <c r="I43" s="54">
        <v>16.189</v>
      </c>
      <c r="J43" s="54">
        <v>14.954000000000001</v>
      </c>
      <c r="K43" s="54">
        <v>23.375</v>
      </c>
      <c r="L43" s="54">
        <v>23.576000000000001</v>
      </c>
      <c r="M43" s="54">
        <v>30.753</v>
      </c>
      <c r="N43" s="54">
        <v>55.061</v>
      </c>
      <c r="O43" s="54">
        <v>50.838000000000001</v>
      </c>
      <c r="P43" s="54">
        <v>36.720999999999997</v>
      </c>
      <c r="Q43" s="54">
        <v>39.915999999999997</v>
      </c>
      <c r="R43" s="54">
        <v>39.325000000000003</v>
      </c>
      <c r="U43" s="2"/>
    </row>
    <row r="44" spans="1:21" ht="15.75" hidden="1" customHeight="1" outlineLevel="2" x14ac:dyDescent="0.3">
      <c r="A44" s="35" t="s">
        <v>408</v>
      </c>
      <c r="B44" s="23">
        <v>49.116</v>
      </c>
      <c r="C44" s="23">
        <v>115.758</v>
      </c>
      <c r="D44" s="23">
        <v>163.69399999999999</v>
      </c>
      <c r="E44" s="23">
        <v>138.97200000000001</v>
      </c>
      <c r="F44" s="23">
        <v>192.33500000000001</v>
      </c>
      <c r="G44" s="23">
        <v>184.672</v>
      </c>
      <c r="H44" s="23">
        <v>190.727</v>
      </c>
      <c r="I44" s="23">
        <v>231.59399999999999</v>
      </c>
      <c r="J44" s="23">
        <v>234.68899999999999</v>
      </c>
      <c r="K44" s="23">
        <v>249.57900000000001</v>
      </c>
      <c r="L44" s="23">
        <v>257.27100000000002</v>
      </c>
      <c r="M44" s="23">
        <v>367.02800000000002</v>
      </c>
      <c r="N44" s="23">
        <v>428.476</v>
      </c>
      <c r="O44" s="23">
        <v>465.49099999999999</v>
      </c>
      <c r="P44" s="23">
        <v>484.06700000000001</v>
      </c>
      <c r="Q44" s="23">
        <v>530.51700000000005</v>
      </c>
      <c r="R44" s="23">
        <v>548.16800000000001</v>
      </c>
      <c r="U44" s="2"/>
    </row>
    <row r="45" spans="1:21" hidden="1" outlineLevel="2" x14ac:dyDescent="0.3">
      <c r="A45" s="35" t="s">
        <v>409</v>
      </c>
      <c r="B45" s="54">
        <v>22.468</v>
      </c>
      <c r="C45" s="54">
        <v>58.055999999999997</v>
      </c>
      <c r="D45" s="54">
        <v>70.852000000000004</v>
      </c>
      <c r="E45" s="54">
        <v>69.534000000000006</v>
      </c>
      <c r="F45" s="54">
        <v>121.639</v>
      </c>
      <c r="G45" s="54">
        <v>113.289</v>
      </c>
      <c r="H45" s="54">
        <v>51.491</v>
      </c>
      <c r="I45" s="54">
        <v>19.736000000000001</v>
      </c>
      <c r="J45" s="54">
        <v>21.170999999999999</v>
      </c>
      <c r="K45" s="54">
        <v>22.411999999999999</v>
      </c>
      <c r="L45" s="54">
        <v>26.158999999999999</v>
      </c>
      <c r="M45" s="54">
        <v>27.602</v>
      </c>
      <c r="N45" s="54">
        <v>29.905000000000001</v>
      </c>
      <c r="O45" s="54">
        <v>45.957000000000001</v>
      </c>
      <c r="P45" s="54">
        <v>52.661999999999999</v>
      </c>
      <c r="Q45" s="56">
        <v>55.41</v>
      </c>
      <c r="R45" s="54">
        <v>40.981000000000002</v>
      </c>
      <c r="U45" s="2"/>
    </row>
    <row r="46" spans="1:21" hidden="1" outlineLevel="2" x14ac:dyDescent="0.3">
      <c r="A46" s="35" t="s">
        <v>410</v>
      </c>
      <c r="B46" s="23">
        <v>406.428</v>
      </c>
      <c r="C46" s="23">
        <v>497.26100000000002</v>
      </c>
      <c r="D46" s="23">
        <v>651.63599999999997</v>
      </c>
      <c r="E46" s="23">
        <v>713.779</v>
      </c>
      <c r="F46" s="23">
        <v>881.57399999999996</v>
      </c>
      <c r="G46" s="23">
        <v>1043.1079999999999</v>
      </c>
      <c r="H46" s="23">
        <v>1159.748</v>
      </c>
      <c r="I46" s="23">
        <v>1396.932</v>
      </c>
      <c r="J46" s="23">
        <v>1579.5409999999999</v>
      </c>
      <c r="K46" s="23">
        <v>1728.0360000000001</v>
      </c>
      <c r="L46" s="55">
        <v>1836.33</v>
      </c>
      <c r="M46" s="23">
        <v>2028.538</v>
      </c>
      <c r="N46" s="23">
        <v>2064.471</v>
      </c>
      <c r="O46" s="23">
        <v>1997.461</v>
      </c>
      <c r="P46" s="23">
        <v>1994.337</v>
      </c>
      <c r="Q46" s="23">
        <v>1993.001</v>
      </c>
      <c r="R46" s="23">
        <v>1815.989</v>
      </c>
      <c r="U46" s="2"/>
    </row>
    <row r="47" spans="1:21" hidden="1" outlineLevel="2" x14ac:dyDescent="0.3">
      <c r="A47" s="35" t="s">
        <v>411</v>
      </c>
      <c r="B47" s="23">
        <v>164.922</v>
      </c>
      <c r="C47" s="23">
        <v>162.798</v>
      </c>
      <c r="D47" s="55">
        <v>197.49</v>
      </c>
      <c r="E47" s="23">
        <v>218.934</v>
      </c>
      <c r="F47" s="23">
        <v>254.27099999999999</v>
      </c>
      <c r="G47" s="23">
        <v>251.852</v>
      </c>
      <c r="H47" s="23">
        <v>162.18799999999999</v>
      </c>
      <c r="I47" s="23">
        <v>156.05199999999999</v>
      </c>
      <c r="J47" s="23">
        <v>173.92400000000001</v>
      </c>
      <c r="K47" s="55">
        <v>155.88999999999999</v>
      </c>
      <c r="L47" s="23">
        <v>83.531999999999996</v>
      </c>
      <c r="M47" s="23">
        <v>128.928</v>
      </c>
      <c r="N47" s="23">
        <v>161.07900000000001</v>
      </c>
      <c r="O47" s="23">
        <v>141.60300000000001</v>
      </c>
      <c r="P47" s="23">
        <v>154.70599999999999</v>
      </c>
      <c r="Q47" s="55">
        <v>164.15</v>
      </c>
      <c r="R47" s="23">
        <v>204.32499999999999</v>
      </c>
      <c r="U47" s="2"/>
    </row>
    <row r="48" spans="1:21" outlineLevel="1" collapsed="1" x14ac:dyDescent="0.3">
      <c r="A48" s="35" t="s">
        <v>412</v>
      </c>
      <c r="B48" s="23">
        <v>203.333</v>
      </c>
      <c r="C48" s="23">
        <v>191.982</v>
      </c>
      <c r="D48" s="23">
        <v>223.63300000000001</v>
      </c>
      <c r="E48" s="55">
        <v>239.75</v>
      </c>
      <c r="F48" s="55">
        <v>272.85000000000002</v>
      </c>
      <c r="G48" s="23">
        <v>256.47500000000002</v>
      </c>
      <c r="H48" s="23">
        <v>164.55600000000001</v>
      </c>
      <c r="I48" s="23">
        <v>160.22800000000001</v>
      </c>
      <c r="J48" s="23">
        <v>206.512</v>
      </c>
      <c r="K48" s="23">
        <v>214.53700000000001</v>
      </c>
      <c r="L48" s="55">
        <v>151.19</v>
      </c>
      <c r="M48" s="23">
        <v>177.708</v>
      </c>
      <c r="N48" s="23">
        <v>204.62200000000001</v>
      </c>
      <c r="O48" s="23">
        <v>186.196</v>
      </c>
      <c r="P48" s="23">
        <v>199.51400000000001</v>
      </c>
      <c r="Q48" s="23">
        <v>239.10599999999999</v>
      </c>
      <c r="R48" s="55">
        <v>254.94</v>
      </c>
      <c r="U48" s="16">
        <f>(R48-B48)/1000</f>
        <v>5.1607E-2</v>
      </c>
    </row>
    <row r="49" spans="1:21" hidden="1" outlineLevel="2" x14ac:dyDescent="0.3">
      <c r="A49" s="35" t="s">
        <v>413</v>
      </c>
      <c r="B49" s="56">
        <v>40.869999999999997</v>
      </c>
      <c r="C49" s="54">
        <v>32.527999999999999</v>
      </c>
      <c r="D49" s="54">
        <v>28.484000000000002</v>
      </c>
      <c r="E49" s="54">
        <v>23.346</v>
      </c>
      <c r="F49" s="54">
        <v>24.501999999999999</v>
      </c>
      <c r="G49" s="54">
        <v>20.434000000000001</v>
      </c>
      <c r="H49" s="54">
        <v>16.841999999999999</v>
      </c>
      <c r="I49" s="54">
        <v>21.204000000000001</v>
      </c>
      <c r="J49" s="54">
        <v>51.432000000000002</v>
      </c>
      <c r="K49" s="54">
        <v>47.112000000000002</v>
      </c>
      <c r="L49" s="54">
        <v>60.018999999999998</v>
      </c>
      <c r="M49" s="54">
        <v>56.844000000000001</v>
      </c>
      <c r="N49" s="54">
        <v>53.917000000000002</v>
      </c>
      <c r="O49" s="54">
        <v>55.500999999999998</v>
      </c>
      <c r="P49" s="54">
        <v>58.534999999999997</v>
      </c>
      <c r="Q49" s="54">
        <v>58.728000000000002</v>
      </c>
      <c r="R49" s="54">
        <v>58.942</v>
      </c>
      <c r="U49" s="2"/>
    </row>
    <row r="50" spans="1:21" hidden="1" outlineLevel="2" x14ac:dyDescent="0.3">
      <c r="A50" s="35" t="s">
        <v>414</v>
      </c>
      <c r="B50" s="54">
        <v>162.46299999999999</v>
      </c>
      <c r="C50" s="54">
        <v>159.45400000000001</v>
      </c>
      <c r="D50" s="54">
        <v>195.149</v>
      </c>
      <c r="E50" s="54">
        <v>216.40299999999999</v>
      </c>
      <c r="F50" s="54">
        <v>248.34700000000001</v>
      </c>
      <c r="G50" s="56">
        <v>236.04</v>
      </c>
      <c r="H50" s="54">
        <v>147.714</v>
      </c>
      <c r="I50" s="54">
        <v>139.023</v>
      </c>
      <c r="J50" s="56">
        <v>155.08000000000001</v>
      </c>
      <c r="K50" s="54">
        <v>167.42599999999999</v>
      </c>
      <c r="L50" s="54">
        <v>91.171000000000006</v>
      </c>
      <c r="M50" s="54">
        <v>120.863</v>
      </c>
      <c r="N50" s="54">
        <v>150.70599999999999</v>
      </c>
      <c r="O50" s="54">
        <v>130.697</v>
      </c>
      <c r="P50" s="54">
        <v>140.97900000000001</v>
      </c>
      <c r="Q50" s="54">
        <v>180.376</v>
      </c>
      <c r="R50" s="54">
        <v>195.99600000000001</v>
      </c>
      <c r="U50" s="2"/>
    </row>
    <row r="51" spans="1:21" outlineLevel="1" x14ac:dyDescent="0.3">
      <c r="A51" s="35" t="s">
        <v>221</v>
      </c>
      <c r="B51" s="23">
        <v>117012.715</v>
      </c>
      <c r="C51" s="23">
        <v>121725.068</v>
      </c>
      <c r="D51" s="23">
        <v>122343.101</v>
      </c>
      <c r="E51" s="23">
        <v>125648.629</v>
      </c>
      <c r="F51" s="55">
        <v>126673.45</v>
      </c>
      <c r="G51" s="55">
        <v>131450.07999999999</v>
      </c>
      <c r="H51" s="23">
        <v>127363.057</v>
      </c>
      <c r="I51" s="23">
        <v>129548.96799999999</v>
      </c>
      <c r="J51" s="23">
        <v>128776.319</v>
      </c>
      <c r="K51" s="23">
        <v>124119.092</v>
      </c>
      <c r="L51" s="23">
        <v>127226.38499999999</v>
      </c>
      <c r="M51" s="23">
        <v>128778.341</v>
      </c>
      <c r="N51" s="23">
        <v>129371.588</v>
      </c>
      <c r="O51" s="23">
        <v>129090.36500000001</v>
      </c>
      <c r="P51" s="23">
        <v>127833.048</v>
      </c>
      <c r="Q51" s="23">
        <v>124297.069</v>
      </c>
      <c r="R51" s="23">
        <v>128806.13400000001</v>
      </c>
      <c r="U51" s="16">
        <f>(R51-B51)/1000</f>
        <v>11.793419000000009</v>
      </c>
    </row>
    <row r="52" spans="1:21" outlineLevel="1" x14ac:dyDescent="0.3">
      <c r="A52" s="100" t="s">
        <v>415</v>
      </c>
      <c r="B52" s="54">
        <v>36239.260999999999</v>
      </c>
      <c r="C52" s="54">
        <v>34848.296999999999</v>
      </c>
      <c r="D52" s="54">
        <v>31429.627</v>
      </c>
      <c r="E52" s="56">
        <v>31863.54</v>
      </c>
      <c r="F52" s="54">
        <v>31890.547999999999</v>
      </c>
      <c r="G52" s="54">
        <v>35880.031000000003</v>
      </c>
      <c r="H52" s="54">
        <v>31363.375</v>
      </c>
      <c r="I52" s="54">
        <v>31908.383000000002</v>
      </c>
      <c r="J52" s="54">
        <v>32052.466</v>
      </c>
      <c r="K52" s="54">
        <v>29126.839</v>
      </c>
      <c r="L52" s="54">
        <v>29929.547999999999</v>
      </c>
      <c r="M52" s="54">
        <v>31340.059000000001</v>
      </c>
      <c r="N52" s="54">
        <v>31733.584999999999</v>
      </c>
      <c r="O52" s="54">
        <v>30670.546999999999</v>
      </c>
      <c r="P52" s="54">
        <v>30323.897000000001</v>
      </c>
      <c r="Q52" s="54">
        <v>29249.108</v>
      </c>
      <c r="R52" s="56">
        <v>32520.2</v>
      </c>
      <c r="U52" s="16">
        <f>(R52-B52)/1000</f>
        <v>-3.7190609999999977</v>
      </c>
    </row>
    <row r="53" spans="1:21" outlineLevel="1" x14ac:dyDescent="0.3"/>
    <row r="54" spans="1:21" s="18" customFormat="1" ht="16.5" customHeight="1" outlineLevel="1" x14ac:dyDescent="0.3">
      <c r="A54" s="18" t="s">
        <v>38</v>
      </c>
    </row>
    <row r="55" spans="1:21" outlineLevel="1" x14ac:dyDescent="0.3">
      <c r="A55" s="11"/>
      <c r="B55" s="11" t="s">
        <v>29</v>
      </c>
      <c r="C55" s="11" t="s">
        <v>56</v>
      </c>
      <c r="D55" s="11" t="s">
        <v>57</v>
      </c>
      <c r="E55" s="11" t="s">
        <v>58</v>
      </c>
      <c r="F55" s="11" t="s">
        <v>59</v>
      </c>
      <c r="G55" s="11" t="s">
        <v>30</v>
      </c>
      <c r="H55" s="11" t="s">
        <v>60</v>
      </c>
      <c r="I55" s="11" t="s">
        <v>61</v>
      </c>
      <c r="J55" s="11" t="s">
        <v>62</v>
      </c>
      <c r="K55" s="11" t="s">
        <v>63</v>
      </c>
      <c r="L55" s="11" t="s">
        <v>31</v>
      </c>
      <c r="M55" s="11" t="s">
        <v>64</v>
      </c>
      <c r="N55" s="11" t="s">
        <v>65</v>
      </c>
      <c r="O55" s="11" t="s">
        <v>66</v>
      </c>
      <c r="P55" s="11" t="s">
        <v>67</v>
      </c>
      <c r="Q55" s="11" t="s">
        <v>32</v>
      </c>
      <c r="R55" s="11" t="s">
        <v>326</v>
      </c>
    </row>
    <row r="56" spans="1:21" outlineLevel="1" x14ac:dyDescent="0.3">
      <c r="A56" s="35" t="s">
        <v>34</v>
      </c>
      <c r="B56" s="55">
        <v>127980.54</v>
      </c>
      <c r="C56" s="55">
        <v>133009.93</v>
      </c>
      <c r="D56" s="23">
        <v>126299.024</v>
      </c>
      <c r="E56" s="23">
        <v>134180.448</v>
      </c>
      <c r="F56" s="55">
        <v>134343.57</v>
      </c>
      <c r="G56" s="23">
        <v>139983.022</v>
      </c>
      <c r="H56" s="55">
        <v>128306.38</v>
      </c>
      <c r="I56" s="23">
        <v>131148.117</v>
      </c>
      <c r="J56" s="23">
        <v>132725.435</v>
      </c>
      <c r="K56" s="23">
        <v>123435.923</v>
      </c>
      <c r="L56" s="23">
        <v>128519.397</v>
      </c>
      <c r="M56" s="23">
        <v>130171.39200000001</v>
      </c>
      <c r="N56" s="23">
        <v>133882.05300000001</v>
      </c>
      <c r="O56" s="23">
        <v>131662.489</v>
      </c>
      <c r="P56" s="23">
        <v>128567.861</v>
      </c>
      <c r="Q56" s="23">
        <v>121224.40700000001</v>
      </c>
      <c r="R56" s="23">
        <v>129306.60799999999</v>
      </c>
    </row>
    <row r="57" spans="1:21" outlineLevel="1" x14ac:dyDescent="0.3">
      <c r="A57" s="35" t="s">
        <v>371</v>
      </c>
      <c r="B57" s="54">
        <v>1134.4359999999999</v>
      </c>
      <c r="C57" s="54">
        <v>1396.8510000000001</v>
      </c>
      <c r="D57" s="54">
        <v>1334.5329999999999</v>
      </c>
      <c r="E57" s="56">
        <v>1416.06</v>
      </c>
      <c r="F57" s="54">
        <v>1615.2249999999999</v>
      </c>
      <c r="G57" s="54">
        <v>1540.808</v>
      </c>
      <c r="H57" s="54">
        <v>1385.6110000000001</v>
      </c>
      <c r="I57" s="54">
        <v>1145.7529999999999</v>
      </c>
      <c r="J57" s="54">
        <v>1120.981</v>
      </c>
      <c r="K57" s="54">
        <v>947.87900000000002</v>
      </c>
      <c r="L57" s="54">
        <v>1053.2439999999999</v>
      </c>
      <c r="M57" s="54">
        <v>893.26099999999997</v>
      </c>
      <c r="N57" s="54">
        <v>879.26199999999994</v>
      </c>
      <c r="O57" s="54">
        <v>819.55399999999997</v>
      </c>
      <c r="P57" s="54">
        <v>718.75199999999995</v>
      </c>
      <c r="Q57" s="54">
        <v>638.20399999999995</v>
      </c>
      <c r="R57" s="54">
        <v>796.78800000000001</v>
      </c>
    </row>
    <row r="58" spans="1:21" outlineLevel="2" x14ac:dyDescent="0.3">
      <c r="A58" s="35" t="s">
        <v>372</v>
      </c>
      <c r="B58" s="23">
        <v>16.332000000000001</v>
      </c>
      <c r="C58" s="23">
        <v>23.416</v>
      </c>
      <c r="D58" s="23">
        <v>36.203000000000003</v>
      </c>
      <c r="E58" s="23">
        <v>33.362000000000002</v>
      </c>
      <c r="F58" s="23">
        <v>24.012</v>
      </c>
      <c r="G58" s="55">
        <v>29.04</v>
      </c>
      <c r="H58" s="23">
        <v>46.792999999999999</v>
      </c>
      <c r="I58" s="23">
        <v>52.076999999999998</v>
      </c>
      <c r="J58" s="23">
        <v>47.783999999999999</v>
      </c>
      <c r="K58" s="23">
        <v>34.051000000000002</v>
      </c>
      <c r="L58" s="55">
        <v>44.61</v>
      </c>
      <c r="M58" s="23">
        <v>26.003</v>
      </c>
      <c r="N58" s="55">
        <v>14.63</v>
      </c>
      <c r="O58" s="23">
        <v>18.552</v>
      </c>
      <c r="P58" s="23">
        <v>7.7160000000000002</v>
      </c>
      <c r="Q58" s="23">
        <v>5.0640000000000001</v>
      </c>
      <c r="R58" s="23">
        <v>6.0030000000000001</v>
      </c>
    </row>
    <row r="59" spans="1:21" outlineLevel="2" x14ac:dyDescent="0.3">
      <c r="A59" s="35" t="s">
        <v>373</v>
      </c>
      <c r="B59" s="56">
        <v>0</v>
      </c>
      <c r="C59" s="56">
        <v>0</v>
      </c>
      <c r="D59" s="56">
        <v>0</v>
      </c>
      <c r="E59" s="54">
        <v>1.3680000000000001</v>
      </c>
      <c r="F59" s="54">
        <v>1.381</v>
      </c>
      <c r="G59" s="56">
        <v>0.7</v>
      </c>
      <c r="H59" s="54">
        <v>0.68600000000000005</v>
      </c>
      <c r="I59" s="56">
        <v>0.7</v>
      </c>
      <c r="J59" s="56">
        <v>0</v>
      </c>
      <c r="K59" s="56">
        <v>0</v>
      </c>
      <c r="L59" s="56">
        <v>0</v>
      </c>
      <c r="M59" s="56">
        <v>0</v>
      </c>
      <c r="N59" s="56">
        <v>0</v>
      </c>
      <c r="O59" s="56">
        <v>0</v>
      </c>
      <c r="P59" s="54">
        <v>6.9000000000000006E-2</v>
      </c>
      <c r="Q59" s="54">
        <v>3.0000000000000001E-3</v>
      </c>
      <c r="R59" s="54">
        <v>0.49299999999999999</v>
      </c>
    </row>
    <row r="60" spans="1:21" outlineLevel="2" x14ac:dyDescent="0.3">
      <c r="A60" s="35" t="s">
        <v>374</v>
      </c>
      <c r="B60" s="23">
        <v>819.79899999999998</v>
      </c>
      <c r="C60" s="23">
        <v>936.16200000000003</v>
      </c>
      <c r="D60" s="23">
        <v>1016.1079999999999</v>
      </c>
      <c r="E60" s="23">
        <v>1088.471</v>
      </c>
      <c r="F60" s="23">
        <v>1292.4970000000001</v>
      </c>
      <c r="G60" s="23">
        <v>1283.126</v>
      </c>
      <c r="H60" s="23">
        <v>1074.479</v>
      </c>
      <c r="I60" s="23">
        <v>975.26099999999997</v>
      </c>
      <c r="J60" s="23">
        <v>950.38699999999994</v>
      </c>
      <c r="K60" s="23">
        <v>826.68799999999999</v>
      </c>
      <c r="L60" s="55">
        <v>890</v>
      </c>
      <c r="M60" s="23">
        <v>763.89599999999996</v>
      </c>
      <c r="N60" s="23">
        <v>771.16700000000003</v>
      </c>
      <c r="O60" s="23">
        <v>723.08600000000001</v>
      </c>
      <c r="P60" s="23">
        <v>599.00900000000001</v>
      </c>
      <c r="Q60" s="23">
        <v>556.60299999999995</v>
      </c>
      <c r="R60" s="55">
        <v>707.69</v>
      </c>
    </row>
    <row r="61" spans="1:21" outlineLevel="2" x14ac:dyDescent="0.3">
      <c r="A61" s="35" t="s">
        <v>375</v>
      </c>
      <c r="B61" s="54">
        <v>49.314</v>
      </c>
      <c r="C61" s="54">
        <v>67.391000000000005</v>
      </c>
      <c r="D61" s="54">
        <v>49.606999999999999</v>
      </c>
      <c r="E61" s="54">
        <v>30.911000000000001</v>
      </c>
      <c r="F61" s="54">
        <v>30.658000000000001</v>
      </c>
      <c r="G61" s="54">
        <v>34.445999999999998</v>
      </c>
      <c r="H61" s="54">
        <v>1.9770000000000001</v>
      </c>
      <c r="I61" s="54">
        <v>0.85299999999999998</v>
      </c>
      <c r="J61" s="54">
        <v>2.4510000000000001</v>
      </c>
      <c r="K61" s="54">
        <v>1.714</v>
      </c>
      <c r="L61" s="54">
        <v>1.7909999999999999</v>
      </c>
      <c r="M61" s="54">
        <v>1.736</v>
      </c>
      <c r="N61" s="54">
        <v>0.108</v>
      </c>
      <c r="O61" s="54">
        <v>5.3999999999999999E-2</v>
      </c>
      <c r="P61" s="54">
        <v>5.3999999999999999E-2</v>
      </c>
      <c r="Q61" s="54">
        <v>0.108</v>
      </c>
      <c r="R61" s="56">
        <v>0</v>
      </c>
    </row>
    <row r="62" spans="1:21" outlineLevel="2" x14ac:dyDescent="0.3">
      <c r="A62" s="35" t="s">
        <v>376</v>
      </c>
      <c r="B62" s="23">
        <v>84.676000000000002</v>
      </c>
      <c r="C62" s="23">
        <v>186.82300000000001</v>
      </c>
      <c r="D62" s="23">
        <v>68.415000000000006</v>
      </c>
      <c r="E62" s="23">
        <v>96.903000000000006</v>
      </c>
      <c r="F62" s="23">
        <v>35.883000000000003</v>
      </c>
      <c r="G62" s="23">
        <v>66.116</v>
      </c>
      <c r="H62" s="23">
        <v>39.637999999999998</v>
      </c>
      <c r="I62" s="23">
        <v>34.798000000000002</v>
      </c>
      <c r="J62" s="23">
        <v>33.274999999999999</v>
      </c>
      <c r="K62" s="23">
        <v>41.173000000000002</v>
      </c>
      <c r="L62" s="23">
        <v>41.121000000000002</v>
      </c>
      <c r="M62" s="23">
        <v>49.212000000000003</v>
      </c>
      <c r="N62" s="23">
        <v>43.771999999999998</v>
      </c>
      <c r="O62" s="23">
        <v>25.524000000000001</v>
      </c>
      <c r="P62" s="55">
        <v>30.17</v>
      </c>
      <c r="Q62" s="23">
        <v>22.649000000000001</v>
      </c>
      <c r="R62" s="55">
        <v>24.24</v>
      </c>
    </row>
    <row r="63" spans="1:21" outlineLevel="2" x14ac:dyDescent="0.3">
      <c r="A63" s="35" t="s">
        <v>377</v>
      </c>
      <c r="B63" s="54">
        <v>94.923000000000002</v>
      </c>
      <c r="C63" s="54">
        <v>96.638000000000005</v>
      </c>
      <c r="D63" s="56">
        <v>95.63</v>
      </c>
      <c r="E63" s="54">
        <v>69.843000000000004</v>
      </c>
      <c r="F63" s="54">
        <v>145.572</v>
      </c>
      <c r="G63" s="54">
        <v>68.016999999999996</v>
      </c>
      <c r="H63" s="54">
        <v>161.173</v>
      </c>
      <c r="I63" s="56">
        <v>27.59</v>
      </c>
      <c r="J63" s="54">
        <v>33.558999999999997</v>
      </c>
      <c r="K63" s="54">
        <v>23.713000000000001</v>
      </c>
      <c r="L63" s="54">
        <v>55.448999999999998</v>
      </c>
      <c r="M63" s="54">
        <v>26.045000000000002</v>
      </c>
      <c r="N63" s="54">
        <v>18.686</v>
      </c>
      <c r="O63" s="54">
        <v>18.587</v>
      </c>
      <c r="P63" s="54">
        <v>40.533999999999999</v>
      </c>
      <c r="Q63" s="54">
        <v>39.426000000000002</v>
      </c>
      <c r="R63" s="54">
        <v>35.177999999999997</v>
      </c>
    </row>
    <row r="64" spans="1:21" outlineLevel="2" x14ac:dyDescent="0.3">
      <c r="A64" s="35" t="s">
        <v>379</v>
      </c>
      <c r="B64" s="54">
        <v>31.876000000000001</v>
      </c>
      <c r="C64" s="54">
        <v>29.733000000000001</v>
      </c>
      <c r="D64" s="54">
        <v>23.216000000000001</v>
      </c>
      <c r="E64" s="54">
        <v>6.6879999999999997</v>
      </c>
      <c r="F64" s="54">
        <v>6.0190000000000001</v>
      </c>
      <c r="G64" s="54">
        <v>6.0190000000000001</v>
      </c>
      <c r="H64" s="54">
        <v>14.138999999999999</v>
      </c>
      <c r="I64" s="54">
        <v>14.234999999999999</v>
      </c>
      <c r="J64" s="54">
        <v>15.667999999999999</v>
      </c>
      <c r="K64" s="54">
        <v>12.132999999999999</v>
      </c>
      <c r="L64" s="54">
        <v>11.464</v>
      </c>
      <c r="M64" s="54">
        <v>11.464</v>
      </c>
      <c r="N64" s="54">
        <v>12.708</v>
      </c>
      <c r="O64" s="54">
        <v>9.9459999999999997</v>
      </c>
      <c r="P64" s="54">
        <v>8.0109999999999992</v>
      </c>
      <c r="Q64" s="54">
        <v>6.0410000000000004</v>
      </c>
      <c r="R64" s="56">
        <v>7.15</v>
      </c>
    </row>
    <row r="65" spans="1:18" ht="11.25" customHeight="1" outlineLevel="2" x14ac:dyDescent="0.3">
      <c r="A65" s="35" t="s">
        <v>380</v>
      </c>
      <c r="B65" s="23">
        <v>37.518000000000001</v>
      </c>
      <c r="C65" s="23">
        <v>56.688000000000002</v>
      </c>
      <c r="D65" s="23">
        <v>45.356000000000002</v>
      </c>
      <c r="E65" s="23">
        <v>88.513000000000005</v>
      </c>
      <c r="F65" s="23">
        <v>79.203999999999994</v>
      </c>
      <c r="G65" s="23">
        <v>53.347000000000001</v>
      </c>
      <c r="H65" s="23">
        <v>46.723999999999997</v>
      </c>
      <c r="I65" s="23">
        <v>40.238999999999997</v>
      </c>
      <c r="J65" s="23">
        <v>37.857999999999997</v>
      </c>
      <c r="K65" s="23">
        <v>8.407</v>
      </c>
      <c r="L65" s="23">
        <v>8.8079999999999998</v>
      </c>
      <c r="M65" s="23">
        <v>14.907</v>
      </c>
      <c r="N65" s="23">
        <v>18.187999999999999</v>
      </c>
      <c r="O65" s="23">
        <v>23.805</v>
      </c>
      <c r="P65" s="23">
        <v>33.188000000000002</v>
      </c>
      <c r="Q65" s="23">
        <v>8.3079999999999998</v>
      </c>
      <c r="R65" s="23">
        <v>16.033000000000001</v>
      </c>
    </row>
    <row r="66" spans="1:18" outlineLevel="1" x14ac:dyDescent="0.3">
      <c r="A66" s="35" t="s">
        <v>382</v>
      </c>
      <c r="B66" s="23">
        <v>24.591000000000001</v>
      </c>
      <c r="C66" s="23">
        <v>23.797000000000001</v>
      </c>
      <c r="D66" s="23">
        <v>25.215</v>
      </c>
      <c r="E66" s="23">
        <v>26.225000000000001</v>
      </c>
      <c r="F66" s="23">
        <v>24.547999999999998</v>
      </c>
      <c r="G66" s="55">
        <v>36.200000000000003</v>
      </c>
      <c r="H66" s="23">
        <v>4.5350000000000001</v>
      </c>
      <c r="I66" s="23">
        <v>2.536</v>
      </c>
      <c r="J66" s="23">
        <v>1.397</v>
      </c>
      <c r="K66" s="23">
        <v>0.83799999999999997</v>
      </c>
      <c r="L66" s="23">
        <v>0.36499999999999999</v>
      </c>
      <c r="M66" s="23">
        <v>0.30099999999999999</v>
      </c>
      <c r="N66" s="55">
        <v>0</v>
      </c>
      <c r="O66" s="55">
        <v>0</v>
      </c>
      <c r="P66" s="55">
        <v>0</v>
      </c>
      <c r="Q66" s="23">
        <v>13.923999999999999</v>
      </c>
      <c r="R66" s="23">
        <v>9.1869999999999994</v>
      </c>
    </row>
    <row r="67" spans="1:18" outlineLevel="2" x14ac:dyDescent="0.3">
      <c r="A67" s="35" t="s">
        <v>383</v>
      </c>
      <c r="B67" s="56">
        <v>0</v>
      </c>
      <c r="C67" s="54">
        <v>2.1000000000000001E-2</v>
      </c>
      <c r="D67" s="56">
        <v>0.3</v>
      </c>
      <c r="E67" s="54">
        <v>2.1000000000000001E-2</v>
      </c>
      <c r="F67" s="54">
        <v>4.2999999999999997E-2</v>
      </c>
      <c r="G67" s="54">
        <v>2.1000000000000001E-2</v>
      </c>
      <c r="H67" s="54">
        <v>2.1000000000000001E-2</v>
      </c>
      <c r="I67" s="54">
        <v>2.1000000000000001E-2</v>
      </c>
      <c r="J67" s="56">
        <v>0</v>
      </c>
      <c r="K67" s="54">
        <v>2.1000000000000001E-2</v>
      </c>
      <c r="L67" s="56">
        <v>0</v>
      </c>
      <c r="M67" s="56">
        <v>0</v>
      </c>
      <c r="N67" s="56">
        <v>0</v>
      </c>
      <c r="O67" s="56">
        <v>0</v>
      </c>
      <c r="P67" s="56">
        <v>0</v>
      </c>
      <c r="Q67" s="54">
        <v>13.923999999999999</v>
      </c>
      <c r="R67" s="54">
        <v>9.1869999999999994</v>
      </c>
    </row>
    <row r="68" spans="1:18" outlineLevel="2" x14ac:dyDescent="0.3">
      <c r="A68" s="35" t="s">
        <v>384</v>
      </c>
      <c r="B68" s="23">
        <v>24.591000000000001</v>
      </c>
      <c r="C68" s="23">
        <v>23.774999999999999</v>
      </c>
      <c r="D68" s="23">
        <v>24.914000000000001</v>
      </c>
      <c r="E68" s="23">
        <v>26.204000000000001</v>
      </c>
      <c r="F68" s="23">
        <v>24.504999999999999</v>
      </c>
      <c r="G68" s="23">
        <v>36.177999999999997</v>
      </c>
      <c r="H68" s="23">
        <v>4.5140000000000002</v>
      </c>
      <c r="I68" s="23">
        <v>2.5150000000000001</v>
      </c>
      <c r="J68" s="23">
        <v>1.397</v>
      </c>
      <c r="K68" s="23">
        <v>0.81699999999999995</v>
      </c>
      <c r="L68" s="23">
        <v>0.36499999999999999</v>
      </c>
      <c r="M68" s="23">
        <v>0.30099999999999999</v>
      </c>
      <c r="N68" s="55">
        <v>0</v>
      </c>
      <c r="O68" s="55">
        <v>0</v>
      </c>
      <c r="P68" s="55">
        <v>0</v>
      </c>
      <c r="Q68" s="55">
        <v>0</v>
      </c>
      <c r="R68" s="55">
        <v>0</v>
      </c>
    </row>
    <row r="69" spans="1:18" outlineLevel="2" x14ac:dyDescent="0.3">
      <c r="A69" s="35" t="s">
        <v>416</v>
      </c>
      <c r="B69" s="56">
        <v>0</v>
      </c>
      <c r="C69" s="56">
        <v>0</v>
      </c>
      <c r="D69" s="56">
        <v>0</v>
      </c>
      <c r="E69" s="56">
        <v>0</v>
      </c>
      <c r="F69" s="56">
        <v>0</v>
      </c>
      <c r="G69" s="56">
        <v>0</v>
      </c>
      <c r="H69" s="56">
        <v>0</v>
      </c>
      <c r="I69" s="56">
        <v>0</v>
      </c>
      <c r="J69" s="56">
        <v>0</v>
      </c>
      <c r="K69" s="56">
        <v>0</v>
      </c>
      <c r="L69" s="56">
        <v>0</v>
      </c>
      <c r="M69" s="56">
        <v>0</v>
      </c>
      <c r="N69" s="56">
        <v>0</v>
      </c>
      <c r="O69" s="56">
        <v>0</v>
      </c>
      <c r="P69" s="56">
        <v>0</v>
      </c>
      <c r="Q69" s="56">
        <v>0</v>
      </c>
      <c r="R69" s="56">
        <v>0</v>
      </c>
    </row>
    <row r="70" spans="1:18" outlineLevel="2" x14ac:dyDescent="0.3">
      <c r="A70" s="35" t="s">
        <v>417</v>
      </c>
      <c r="B70" s="55">
        <v>0</v>
      </c>
      <c r="C70" s="55">
        <v>0</v>
      </c>
      <c r="D70" s="55">
        <v>0</v>
      </c>
      <c r="E70" s="55">
        <v>0</v>
      </c>
      <c r="F70" s="55">
        <v>0</v>
      </c>
      <c r="G70" s="55">
        <v>0</v>
      </c>
      <c r="H70" s="55">
        <v>0</v>
      </c>
      <c r="I70" s="55">
        <v>0</v>
      </c>
      <c r="J70" s="55">
        <v>0</v>
      </c>
      <c r="K70" s="55">
        <v>0</v>
      </c>
      <c r="L70" s="55">
        <v>0</v>
      </c>
      <c r="M70" s="55">
        <v>0</v>
      </c>
      <c r="N70" s="55">
        <v>0</v>
      </c>
      <c r="O70" s="55">
        <v>0</v>
      </c>
      <c r="P70" s="55">
        <v>0</v>
      </c>
      <c r="Q70" s="55">
        <v>0</v>
      </c>
      <c r="R70" s="55">
        <v>0</v>
      </c>
    </row>
    <row r="71" spans="1:18" outlineLevel="1" x14ac:dyDescent="0.3">
      <c r="A71" s="35" t="s">
        <v>385</v>
      </c>
      <c r="B71" s="54">
        <v>4.3479999999999999</v>
      </c>
      <c r="C71" s="54">
        <v>4.2030000000000003</v>
      </c>
      <c r="D71" s="54">
        <v>5.4749999999999996</v>
      </c>
      <c r="E71" s="56">
        <v>7.47</v>
      </c>
      <c r="F71" s="54">
        <v>8.3740000000000006</v>
      </c>
      <c r="G71" s="54">
        <v>8.9220000000000006</v>
      </c>
      <c r="H71" s="54">
        <v>10.212</v>
      </c>
      <c r="I71" s="54">
        <v>13.755000000000001</v>
      </c>
      <c r="J71" s="54">
        <v>13.170999999999999</v>
      </c>
      <c r="K71" s="54">
        <v>12.897</v>
      </c>
      <c r="L71" s="54">
        <v>8.4149999999999991</v>
      </c>
      <c r="M71" s="54">
        <v>10.035</v>
      </c>
      <c r="N71" s="54">
        <v>9.4390000000000001</v>
      </c>
      <c r="O71" s="54">
        <v>11.254</v>
      </c>
      <c r="P71" s="54">
        <v>9.1270000000000007</v>
      </c>
      <c r="Q71" s="54">
        <v>6.7009999999999996</v>
      </c>
      <c r="R71" s="54">
        <v>7.4470000000000001</v>
      </c>
    </row>
    <row r="72" spans="1:18" outlineLevel="2" x14ac:dyDescent="0.3">
      <c r="A72" s="35" t="s">
        <v>386</v>
      </c>
      <c r="B72" s="23">
        <v>2.8740000000000001</v>
      </c>
      <c r="C72" s="23">
        <v>2.4790000000000001</v>
      </c>
      <c r="D72" s="23">
        <v>2.234</v>
      </c>
      <c r="E72" s="23">
        <v>2.8940000000000001</v>
      </c>
      <c r="F72" s="23">
        <v>3.1629999999999998</v>
      </c>
      <c r="G72" s="23">
        <v>3.7749999999999999</v>
      </c>
      <c r="H72" s="23">
        <v>4.1120000000000001</v>
      </c>
      <c r="I72" s="55">
        <v>6.04</v>
      </c>
      <c r="J72" s="23">
        <v>4.8209999999999997</v>
      </c>
      <c r="K72" s="23">
        <v>4.8639999999999999</v>
      </c>
      <c r="L72" s="55">
        <v>3.56</v>
      </c>
      <c r="M72" s="23">
        <v>4.5439999999999996</v>
      </c>
      <c r="N72" s="23">
        <v>4.008</v>
      </c>
      <c r="O72" s="23">
        <v>4.681</v>
      </c>
      <c r="P72" s="23">
        <v>4.0119999999999996</v>
      </c>
      <c r="Q72" s="23">
        <v>3.1110000000000002</v>
      </c>
      <c r="R72" s="23">
        <v>2.944</v>
      </c>
    </row>
    <row r="73" spans="1:18" outlineLevel="2" x14ac:dyDescent="0.3">
      <c r="A73" s="35" t="s">
        <v>387</v>
      </c>
      <c r="B73" s="54">
        <v>1.474</v>
      </c>
      <c r="C73" s="54">
        <v>1.724</v>
      </c>
      <c r="D73" s="54">
        <v>3.2410000000000001</v>
      </c>
      <c r="E73" s="54">
        <v>4.5759999999999996</v>
      </c>
      <c r="F73" s="54">
        <v>5.2110000000000003</v>
      </c>
      <c r="G73" s="54">
        <v>5.1470000000000002</v>
      </c>
      <c r="H73" s="56">
        <v>6.1</v>
      </c>
      <c r="I73" s="54">
        <v>7.7149999999999999</v>
      </c>
      <c r="J73" s="56">
        <v>8.35</v>
      </c>
      <c r="K73" s="54">
        <v>8.032</v>
      </c>
      <c r="L73" s="54">
        <v>4.8559999999999999</v>
      </c>
      <c r="M73" s="54">
        <v>5.4909999999999997</v>
      </c>
      <c r="N73" s="54">
        <v>5.431</v>
      </c>
      <c r="O73" s="54">
        <v>6.5730000000000004</v>
      </c>
      <c r="P73" s="54">
        <v>5.1159999999999997</v>
      </c>
      <c r="Q73" s="56">
        <v>3.59</v>
      </c>
      <c r="R73" s="54">
        <v>4.5030000000000001</v>
      </c>
    </row>
    <row r="74" spans="1:18" outlineLevel="1" x14ac:dyDescent="0.3">
      <c r="A74" s="35" t="s">
        <v>238</v>
      </c>
      <c r="B74" s="56">
        <v>36697.19</v>
      </c>
      <c r="C74" s="54">
        <v>39219.694000000003</v>
      </c>
      <c r="D74" s="54">
        <v>35257.868000000002</v>
      </c>
      <c r="E74" s="54">
        <v>37508.152000000002</v>
      </c>
      <c r="F74" s="54">
        <v>38108.171999999999</v>
      </c>
      <c r="G74" s="54">
        <v>40361.891000000003</v>
      </c>
      <c r="H74" s="54">
        <v>34980.883999999998</v>
      </c>
      <c r="I74" s="56">
        <v>36505.94</v>
      </c>
      <c r="J74" s="54">
        <v>38608.582000000002</v>
      </c>
      <c r="K74" s="54">
        <v>33536.067999999999</v>
      </c>
      <c r="L74" s="54">
        <v>35996.271999999997</v>
      </c>
      <c r="M74" s="56">
        <v>36530.9</v>
      </c>
      <c r="N74" s="56">
        <v>36409.67</v>
      </c>
      <c r="O74" s="54">
        <v>37823.474000000002</v>
      </c>
      <c r="P74" s="54">
        <v>36170.811000000002</v>
      </c>
      <c r="Q74" s="54">
        <v>34561.707999999999</v>
      </c>
      <c r="R74" s="56">
        <v>38176.160000000003</v>
      </c>
    </row>
    <row r="75" spans="1:18" outlineLevel="1" x14ac:dyDescent="0.3">
      <c r="A75" s="35" t="s">
        <v>388</v>
      </c>
      <c r="B75" s="23">
        <v>22059.442999999999</v>
      </c>
      <c r="C75" s="23">
        <v>21220.915000000001</v>
      </c>
      <c r="D75" s="23">
        <v>17277.784</v>
      </c>
      <c r="E75" s="23">
        <v>19699.341</v>
      </c>
      <c r="F75" s="23">
        <v>18082.638999999999</v>
      </c>
      <c r="G75" s="23">
        <v>17761.062999999998</v>
      </c>
      <c r="H75" s="23">
        <v>15799.021000000001</v>
      </c>
      <c r="I75" s="23">
        <v>15811.522999999999</v>
      </c>
      <c r="J75" s="55">
        <v>16352.81</v>
      </c>
      <c r="K75" s="23">
        <v>14633.463</v>
      </c>
      <c r="L75" s="23">
        <v>14666.912</v>
      </c>
      <c r="M75" s="23">
        <v>14633.103999999999</v>
      </c>
      <c r="N75" s="23">
        <v>14667.040999999999</v>
      </c>
      <c r="O75" s="23">
        <v>10804.322</v>
      </c>
      <c r="P75" s="55">
        <v>10633.18</v>
      </c>
      <c r="Q75" s="23">
        <v>9736.8050000000003</v>
      </c>
      <c r="R75" s="55">
        <v>10844.84</v>
      </c>
    </row>
    <row r="76" spans="1:18" outlineLevel="2" x14ac:dyDescent="0.3">
      <c r="A76" s="35" t="s">
        <v>389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23">
        <v>0.42399999999999999</v>
      </c>
      <c r="P76" s="23">
        <v>0.45300000000000001</v>
      </c>
      <c r="Q76" s="23">
        <v>0.47499999999999998</v>
      </c>
      <c r="R76" s="23">
        <v>0.60099999999999998</v>
      </c>
    </row>
    <row r="77" spans="1:18" outlineLevel="2" x14ac:dyDescent="0.3">
      <c r="A77" s="35" t="s">
        <v>390</v>
      </c>
      <c r="B77" s="23">
        <v>2611.7840000000001</v>
      </c>
      <c r="C77" s="23">
        <v>2355.4180000000001</v>
      </c>
      <c r="D77" s="23">
        <v>2367.8820000000001</v>
      </c>
      <c r="E77" s="23">
        <v>2338.752</v>
      </c>
      <c r="F77" s="23">
        <v>2249.317</v>
      </c>
      <c r="G77" s="23">
        <v>2271.0419999999999</v>
      </c>
      <c r="H77" s="23">
        <v>2096.0369999999998</v>
      </c>
      <c r="I77" s="23">
        <v>1928.9010000000001</v>
      </c>
      <c r="J77" s="23">
        <v>1890.761</v>
      </c>
      <c r="K77" s="23">
        <v>1712.9010000000001</v>
      </c>
      <c r="L77" s="23">
        <v>1782.6489999999999</v>
      </c>
      <c r="M77" s="23">
        <v>1914.2760000000001</v>
      </c>
      <c r="N77" s="23">
        <v>1786.452</v>
      </c>
      <c r="O77" s="23">
        <v>1680.8969999999999</v>
      </c>
      <c r="P77" s="23">
        <v>1726.1849999999999</v>
      </c>
      <c r="Q77" s="23">
        <v>1459.2739999999999</v>
      </c>
      <c r="R77" s="23">
        <v>1536.0050000000001</v>
      </c>
    </row>
    <row r="78" spans="1:18" outlineLevel="2" x14ac:dyDescent="0.3">
      <c r="A78" s="35" t="s">
        <v>392</v>
      </c>
      <c r="B78" s="56">
        <v>290.76</v>
      </c>
      <c r="C78" s="54">
        <v>261.10599999999999</v>
      </c>
      <c r="D78" s="54">
        <v>293.34399999999999</v>
      </c>
      <c r="E78" s="54">
        <v>242.941</v>
      </c>
      <c r="F78" s="54">
        <v>214.29400000000001</v>
      </c>
      <c r="G78" s="54">
        <v>238.447</v>
      </c>
      <c r="H78" s="54">
        <v>278.94099999999997</v>
      </c>
      <c r="I78" s="54">
        <v>394.60700000000003</v>
      </c>
      <c r="J78" s="54">
        <v>278.21300000000002</v>
      </c>
      <c r="K78" s="54">
        <v>272.38099999999997</v>
      </c>
      <c r="L78" s="54">
        <v>252.82300000000001</v>
      </c>
      <c r="M78" s="54">
        <v>267.31700000000001</v>
      </c>
      <c r="N78" s="54">
        <v>272.58100000000002</v>
      </c>
      <c r="O78" s="54">
        <v>283.59500000000003</v>
      </c>
      <c r="P78" s="54">
        <v>292.923</v>
      </c>
      <c r="Q78" s="54">
        <v>275.80099999999999</v>
      </c>
      <c r="R78" s="54">
        <v>451.505</v>
      </c>
    </row>
    <row r="79" spans="1:18" outlineLevel="2" x14ac:dyDescent="0.3">
      <c r="A79" s="35" t="s">
        <v>393</v>
      </c>
      <c r="B79" s="56">
        <v>0</v>
      </c>
      <c r="C79" s="56">
        <v>0</v>
      </c>
      <c r="D79" s="56">
        <v>0</v>
      </c>
      <c r="E79" s="56">
        <v>0</v>
      </c>
      <c r="F79" s="56">
        <v>0</v>
      </c>
      <c r="G79" s="56">
        <v>0</v>
      </c>
      <c r="H79" s="56">
        <v>0</v>
      </c>
      <c r="I79" s="56">
        <v>0</v>
      </c>
      <c r="J79" s="56">
        <v>0</v>
      </c>
      <c r="K79" s="56">
        <v>0</v>
      </c>
      <c r="L79" s="56">
        <v>0</v>
      </c>
      <c r="M79" s="56">
        <v>0</v>
      </c>
      <c r="N79" s="54">
        <v>0.121</v>
      </c>
      <c r="O79" s="54">
        <v>7.3999999999999996E-2</v>
      </c>
      <c r="P79" s="54">
        <v>8.9090000000000007</v>
      </c>
      <c r="Q79" s="56">
        <v>7.69</v>
      </c>
      <c r="R79" s="54">
        <v>12.725</v>
      </c>
    </row>
    <row r="80" spans="1:18" outlineLevel="2" x14ac:dyDescent="0.3">
      <c r="A80" s="35" t="s">
        <v>394</v>
      </c>
      <c r="B80" s="23">
        <v>50.015000000000001</v>
      </c>
      <c r="C80" s="23">
        <v>45.534999999999997</v>
      </c>
      <c r="D80" s="23">
        <v>43.112000000000002</v>
      </c>
      <c r="E80" s="23">
        <v>50.622999999999998</v>
      </c>
      <c r="F80" s="55">
        <v>59.39</v>
      </c>
      <c r="G80" s="23">
        <v>50.975999999999999</v>
      </c>
      <c r="H80" s="23">
        <v>52.500999999999998</v>
      </c>
      <c r="I80" s="23">
        <v>52.170999999999999</v>
      </c>
      <c r="J80" s="23">
        <v>72.847999999999999</v>
      </c>
      <c r="K80" s="23">
        <v>68.516000000000005</v>
      </c>
      <c r="L80" s="23">
        <v>74.921999999999997</v>
      </c>
      <c r="M80" s="23">
        <v>71.644000000000005</v>
      </c>
      <c r="N80" s="23">
        <v>69.926000000000002</v>
      </c>
      <c r="O80" s="23">
        <v>76.578000000000003</v>
      </c>
      <c r="P80" s="23">
        <v>74.885999999999996</v>
      </c>
      <c r="Q80" s="23">
        <v>86.986000000000004</v>
      </c>
      <c r="R80" s="23">
        <v>80.474999999999994</v>
      </c>
    </row>
    <row r="81" spans="1:18" outlineLevel="2" x14ac:dyDescent="0.3">
      <c r="A81" s="35" t="s">
        <v>395</v>
      </c>
      <c r="B81" s="56">
        <v>18311.169999999998</v>
      </c>
      <c r="C81" s="54">
        <v>17823.655999999999</v>
      </c>
      <c r="D81" s="56">
        <v>14167.99</v>
      </c>
      <c r="E81" s="54">
        <v>16755.618999999999</v>
      </c>
      <c r="F81" s="54">
        <v>15262.575000000001</v>
      </c>
      <c r="G81" s="54">
        <v>14950.459000000001</v>
      </c>
      <c r="H81" s="54">
        <v>13179.102000000001</v>
      </c>
      <c r="I81" s="54">
        <v>13239.855</v>
      </c>
      <c r="J81" s="54">
        <v>13955.754999999999</v>
      </c>
      <c r="K81" s="54">
        <v>12423.413</v>
      </c>
      <c r="L81" s="54">
        <v>12401.849</v>
      </c>
      <c r="M81" s="54">
        <v>12174.494000000001</v>
      </c>
      <c r="N81" s="54">
        <v>12418.495999999999</v>
      </c>
      <c r="O81" s="54">
        <v>8674.1280000000006</v>
      </c>
      <c r="P81" s="56">
        <v>8453.3700000000008</v>
      </c>
      <c r="Q81" s="54">
        <v>7837.6360000000004</v>
      </c>
      <c r="R81" s="54">
        <v>8673.1540000000005</v>
      </c>
    </row>
    <row r="82" spans="1:18" outlineLevel="2" x14ac:dyDescent="0.3">
      <c r="A82" s="35" t="s">
        <v>396</v>
      </c>
      <c r="B82" s="23">
        <v>782.78499999999997</v>
      </c>
      <c r="C82" s="23">
        <v>692.202</v>
      </c>
      <c r="D82" s="23">
        <v>400.38400000000001</v>
      </c>
      <c r="E82" s="23">
        <v>305.60700000000003</v>
      </c>
      <c r="F82" s="55">
        <v>294.10000000000002</v>
      </c>
      <c r="G82" s="23">
        <v>243.90700000000001</v>
      </c>
      <c r="H82" s="23">
        <v>191.07400000000001</v>
      </c>
      <c r="I82" s="23">
        <v>194.20400000000001</v>
      </c>
      <c r="J82" s="23">
        <v>154.93700000000001</v>
      </c>
      <c r="K82" s="23">
        <v>147.249</v>
      </c>
      <c r="L82" s="23">
        <v>143.352</v>
      </c>
      <c r="M82" s="23">
        <v>147.78700000000001</v>
      </c>
      <c r="N82" s="23">
        <v>118.672</v>
      </c>
      <c r="O82" s="23">
        <v>87.879000000000005</v>
      </c>
      <c r="P82" s="23">
        <v>75.584000000000003</v>
      </c>
      <c r="Q82" s="23">
        <v>67.313000000000002</v>
      </c>
      <c r="R82" s="23">
        <v>88.918999999999997</v>
      </c>
    </row>
    <row r="83" spans="1:18" outlineLevel="2" x14ac:dyDescent="0.3">
      <c r="A83" s="35" t="s">
        <v>397</v>
      </c>
      <c r="B83" s="54">
        <v>0.26300000000000001</v>
      </c>
      <c r="C83" s="54">
        <v>0.255</v>
      </c>
      <c r="D83" s="54">
        <v>0.29299999999999998</v>
      </c>
      <c r="E83" s="54">
        <v>0.28399999999999997</v>
      </c>
      <c r="F83" s="54">
        <v>0.63200000000000001</v>
      </c>
      <c r="G83" s="56">
        <v>0.63</v>
      </c>
      <c r="H83" s="56">
        <v>0.59</v>
      </c>
      <c r="I83" s="54">
        <v>1.008</v>
      </c>
      <c r="J83" s="54">
        <v>0.29599999999999999</v>
      </c>
      <c r="K83" s="54">
        <v>1.3620000000000001</v>
      </c>
      <c r="L83" s="54">
        <v>1.1879999999999999</v>
      </c>
      <c r="M83" s="54">
        <v>0.26200000000000001</v>
      </c>
      <c r="N83" s="54">
        <v>0.46400000000000002</v>
      </c>
      <c r="O83" s="54">
        <v>0.35899999999999999</v>
      </c>
      <c r="P83" s="54">
        <v>0.251</v>
      </c>
      <c r="Q83" s="54">
        <v>0.251</v>
      </c>
      <c r="R83" s="54">
        <v>0.251</v>
      </c>
    </row>
    <row r="84" spans="1:18" outlineLevel="2" x14ac:dyDescent="0.3">
      <c r="A84" s="35" t="s">
        <v>398</v>
      </c>
      <c r="B84" s="23">
        <v>5.3810000000000002</v>
      </c>
      <c r="C84" s="23">
        <v>3.8809999999999998</v>
      </c>
      <c r="D84" s="23">
        <v>3.855</v>
      </c>
      <c r="E84" s="23">
        <v>4.6050000000000004</v>
      </c>
      <c r="F84" s="23">
        <v>2.3290000000000002</v>
      </c>
      <c r="G84" s="23">
        <v>3.105</v>
      </c>
      <c r="H84" s="23">
        <v>0.77600000000000002</v>
      </c>
      <c r="I84" s="23">
        <v>0.77600000000000002</v>
      </c>
      <c r="J84" s="55">
        <v>0</v>
      </c>
      <c r="K84" s="23">
        <v>7.6440000000000001</v>
      </c>
      <c r="L84" s="23">
        <v>1.5289999999999999</v>
      </c>
      <c r="M84" s="55">
        <v>0</v>
      </c>
      <c r="N84" s="23">
        <v>8.4000000000000005E-2</v>
      </c>
      <c r="O84" s="55">
        <v>0.08</v>
      </c>
      <c r="P84" s="23">
        <v>8.1000000000000003E-2</v>
      </c>
      <c r="Q84" s="23">
        <v>0.77300000000000002</v>
      </c>
      <c r="R84" s="55">
        <v>0.78</v>
      </c>
    </row>
    <row r="85" spans="1:18" outlineLevel="2" x14ac:dyDescent="0.3">
      <c r="A85" s="35" t="s">
        <v>400</v>
      </c>
      <c r="B85" s="23">
        <v>7.2869999999999999</v>
      </c>
      <c r="C85" s="23">
        <v>38.863999999999997</v>
      </c>
      <c r="D85" s="23">
        <v>0.92400000000000004</v>
      </c>
      <c r="E85" s="23">
        <v>0.90500000000000003</v>
      </c>
      <c r="F85" s="55">
        <v>0</v>
      </c>
      <c r="G85" s="23">
        <v>2.4940000000000002</v>
      </c>
      <c r="H85" s="55">
        <v>0</v>
      </c>
      <c r="I85" s="55">
        <v>0</v>
      </c>
      <c r="J85" s="55">
        <v>0</v>
      </c>
      <c r="K85" s="55">
        <v>0</v>
      </c>
      <c r="L85" s="23">
        <v>8.5980000000000008</v>
      </c>
      <c r="M85" s="23">
        <v>57.323</v>
      </c>
      <c r="N85" s="23">
        <v>0.245</v>
      </c>
      <c r="O85" s="23">
        <v>0.307</v>
      </c>
      <c r="P85" s="23">
        <v>0.54200000000000004</v>
      </c>
      <c r="Q85" s="23">
        <v>0.60699999999999998</v>
      </c>
      <c r="R85" s="55">
        <v>0.42</v>
      </c>
    </row>
    <row r="86" spans="1:18" outlineLevel="1" x14ac:dyDescent="0.3">
      <c r="A86" s="35" t="s">
        <v>401</v>
      </c>
      <c r="B86" s="54">
        <v>2632.2179999999998</v>
      </c>
      <c r="C86" s="54">
        <v>2809.7869999999998</v>
      </c>
      <c r="D86" s="54">
        <v>3074.3020000000001</v>
      </c>
      <c r="E86" s="54">
        <v>3521.366</v>
      </c>
      <c r="F86" s="54">
        <v>3776.7750000000001</v>
      </c>
      <c r="G86" s="54">
        <v>4292.9830000000002</v>
      </c>
      <c r="H86" s="54">
        <v>3910.1610000000001</v>
      </c>
      <c r="I86" s="54">
        <v>4390.7340000000004</v>
      </c>
      <c r="J86" s="54">
        <v>4682.4949999999999</v>
      </c>
      <c r="K86" s="54">
        <v>4837.8069999999998</v>
      </c>
      <c r="L86" s="56">
        <v>5142.55</v>
      </c>
      <c r="M86" s="54">
        <v>5492.7439999999997</v>
      </c>
      <c r="N86" s="54">
        <v>8765.1640000000007</v>
      </c>
      <c r="O86" s="54">
        <v>9124.1059999999998</v>
      </c>
      <c r="P86" s="54">
        <v>9316.8580000000002</v>
      </c>
      <c r="Q86" s="54">
        <v>9311.6869999999999</v>
      </c>
      <c r="R86" s="54">
        <v>9945.268</v>
      </c>
    </row>
    <row r="87" spans="1:18" outlineLevel="2" x14ac:dyDescent="0.3">
      <c r="A87" s="35" t="s">
        <v>268</v>
      </c>
      <c r="B87" s="54">
        <v>306.15300000000002</v>
      </c>
      <c r="C87" s="56">
        <v>304.48</v>
      </c>
      <c r="D87" s="54">
        <v>308.20699999999999</v>
      </c>
      <c r="E87" s="54">
        <v>324.48399999999998</v>
      </c>
      <c r="F87" s="54">
        <v>331.12299999999999</v>
      </c>
      <c r="G87" s="54">
        <v>285.93099999999998</v>
      </c>
      <c r="H87" s="54">
        <v>301.87700000000001</v>
      </c>
      <c r="I87" s="54">
        <v>303.36599999999999</v>
      </c>
      <c r="J87" s="54">
        <v>312.88900000000001</v>
      </c>
      <c r="K87" s="56">
        <v>260.16000000000003</v>
      </c>
      <c r="L87" s="54">
        <v>241.095</v>
      </c>
      <c r="M87" s="54">
        <v>246.85499999999999</v>
      </c>
      <c r="N87" s="54">
        <v>275.005</v>
      </c>
      <c r="O87" s="54">
        <v>275.84500000000003</v>
      </c>
      <c r="P87" s="54">
        <v>274.87400000000002</v>
      </c>
      <c r="Q87" s="56">
        <v>244.75</v>
      </c>
      <c r="R87" s="54">
        <v>247.84800000000001</v>
      </c>
    </row>
    <row r="88" spans="1:18" outlineLevel="2" x14ac:dyDescent="0.3">
      <c r="A88" s="35" t="s">
        <v>418</v>
      </c>
      <c r="B88" s="26" t="s">
        <v>419</v>
      </c>
      <c r="C88" s="26" t="s">
        <v>419</v>
      </c>
      <c r="D88" s="26" t="s">
        <v>419</v>
      </c>
      <c r="E88" s="26" t="s">
        <v>419</v>
      </c>
      <c r="F88" s="26" t="s">
        <v>419</v>
      </c>
      <c r="G88" s="26" t="s">
        <v>419</v>
      </c>
      <c r="H88" s="26" t="s">
        <v>419</v>
      </c>
      <c r="I88" s="26" t="s">
        <v>419</v>
      </c>
      <c r="J88" s="26" t="s">
        <v>419</v>
      </c>
      <c r="K88" s="26" t="s">
        <v>419</v>
      </c>
      <c r="L88" s="26" t="s">
        <v>419</v>
      </c>
      <c r="M88" s="26" t="s">
        <v>419</v>
      </c>
      <c r="N88" s="26" t="s">
        <v>419</v>
      </c>
      <c r="O88" s="26" t="s">
        <v>419</v>
      </c>
      <c r="P88" s="26" t="s">
        <v>419</v>
      </c>
      <c r="Q88" s="26" t="s">
        <v>419</v>
      </c>
      <c r="R88" s="26" t="s">
        <v>419</v>
      </c>
    </row>
    <row r="89" spans="1:18" outlineLevel="2" x14ac:dyDescent="0.3">
      <c r="A89" s="35" t="s">
        <v>402</v>
      </c>
      <c r="B89" s="54">
        <v>102.45399999999999</v>
      </c>
      <c r="C89" s="54">
        <v>102.968</v>
      </c>
      <c r="D89" s="54">
        <v>118.724</v>
      </c>
      <c r="E89" s="54">
        <v>143.35499999999999</v>
      </c>
      <c r="F89" s="54">
        <v>143.125</v>
      </c>
      <c r="G89" s="56">
        <v>196.1</v>
      </c>
      <c r="H89" s="54">
        <v>221.05099999999999</v>
      </c>
      <c r="I89" s="54">
        <v>239.982</v>
      </c>
      <c r="J89" s="56">
        <v>242.24</v>
      </c>
      <c r="K89" s="56">
        <v>260.62</v>
      </c>
      <c r="L89" s="54">
        <v>263.73399999999998</v>
      </c>
      <c r="M89" s="56">
        <v>265.88</v>
      </c>
      <c r="N89" s="54">
        <v>281.02600000000001</v>
      </c>
      <c r="O89" s="54">
        <v>301.22199999999998</v>
      </c>
      <c r="P89" s="54">
        <v>301.488</v>
      </c>
      <c r="Q89" s="54">
        <v>309.56099999999998</v>
      </c>
      <c r="R89" s="54">
        <v>293.226</v>
      </c>
    </row>
    <row r="90" spans="1:18" outlineLevel="2" x14ac:dyDescent="0.3">
      <c r="A90" s="35" t="s">
        <v>403</v>
      </c>
      <c r="B90" s="23">
        <v>146.29499999999999</v>
      </c>
      <c r="C90" s="23">
        <v>184.10900000000001</v>
      </c>
      <c r="D90" s="23">
        <v>212.21299999999999</v>
      </c>
      <c r="E90" s="23">
        <v>267.04500000000002</v>
      </c>
      <c r="F90" s="23">
        <v>303.03300000000002</v>
      </c>
      <c r="G90" s="23">
        <v>358.77699999999999</v>
      </c>
      <c r="H90" s="23">
        <v>497.26799999999997</v>
      </c>
      <c r="I90" s="23">
        <v>587.75900000000001</v>
      </c>
      <c r="J90" s="23">
        <v>686.17700000000002</v>
      </c>
      <c r="K90" s="23">
        <v>1181.287</v>
      </c>
      <c r="L90" s="23">
        <v>1301.336</v>
      </c>
      <c r="M90" s="23">
        <v>1454.4680000000001</v>
      </c>
      <c r="N90" s="23">
        <v>4413.6940000000004</v>
      </c>
      <c r="O90" s="23">
        <v>4560.6109999999999</v>
      </c>
      <c r="P90" s="23">
        <v>4703.4380000000001</v>
      </c>
      <c r="Q90" s="23">
        <v>4790.5510000000004</v>
      </c>
      <c r="R90" s="23">
        <v>5116.0860000000002</v>
      </c>
    </row>
    <row r="91" spans="1:18" outlineLevel="2" x14ac:dyDescent="0.3">
      <c r="A91" s="35" t="s">
        <v>404</v>
      </c>
      <c r="B91" s="54">
        <v>1490.6569999999999</v>
      </c>
      <c r="C91" s="54">
        <v>1554.5889999999999</v>
      </c>
      <c r="D91" s="54">
        <v>1684.0340000000001</v>
      </c>
      <c r="E91" s="54">
        <v>2008.2429999999999</v>
      </c>
      <c r="F91" s="54">
        <v>2095.9490000000001</v>
      </c>
      <c r="G91" s="54">
        <v>2519.4639999999999</v>
      </c>
      <c r="H91" s="54">
        <v>2033.5060000000001</v>
      </c>
      <c r="I91" s="54">
        <v>2272.0250000000001</v>
      </c>
      <c r="J91" s="54">
        <v>2444.5059999999999</v>
      </c>
      <c r="K91" s="54">
        <v>2093.6370000000002</v>
      </c>
      <c r="L91" s="54">
        <v>2329.902</v>
      </c>
      <c r="M91" s="54">
        <v>2368.5770000000002</v>
      </c>
      <c r="N91" s="54">
        <v>2551.4140000000002</v>
      </c>
      <c r="O91" s="54">
        <v>2838.0059999999999</v>
      </c>
      <c r="P91" s="54">
        <v>2873.154</v>
      </c>
      <c r="Q91" s="54">
        <v>2818.4720000000002</v>
      </c>
      <c r="R91" s="56">
        <v>3189.32</v>
      </c>
    </row>
    <row r="92" spans="1:18" outlineLevel="2" x14ac:dyDescent="0.3">
      <c r="A92" s="35" t="s">
        <v>405</v>
      </c>
      <c r="B92" s="23">
        <v>10.946</v>
      </c>
      <c r="C92" s="23">
        <v>15.073</v>
      </c>
      <c r="D92" s="23">
        <v>16.146999999999998</v>
      </c>
      <c r="E92" s="23">
        <v>22.117000000000001</v>
      </c>
      <c r="F92" s="23">
        <v>21.442</v>
      </c>
      <c r="G92" s="23">
        <v>21.158000000000001</v>
      </c>
      <c r="H92" s="55">
        <v>20.170000000000002</v>
      </c>
      <c r="I92" s="23">
        <v>58.713000000000001</v>
      </c>
      <c r="J92" s="23">
        <v>42.158999999999999</v>
      </c>
      <c r="K92" s="23">
        <v>42.005000000000003</v>
      </c>
      <c r="L92" s="55">
        <v>44.35</v>
      </c>
      <c r="M92" s="23">
        <v>40.706000000000003</v>
      </c>
      <c r="N92" s="23">
        <v>41.728999999999999</v>
      </c>
      <c r="O92" s="23">
        <v>44.023000000000003</v>
      </c>
      <c r="P92" s="23">
        <v>40.012</v>
      </c>
      <c r="Q92" s="23">
        <v>28.516999999999999</v>
      </c>
      <c r="R92" s="23">
        <v>34.673999999999999</v>
      </c>
    </row>
    <row r="93" spans="1:18" outlineLevel="2" x14ac:dyDescent="0.3">
      <c r="A93" s="35" t="s">
        <v>406</v>
      </c>
      <c r="B93" s="23">
        <v>2.0409999999999999</v>
      </c>
      <c r="C93" s="23">
        <v>2.4910000000000001</v>
      </c>
      <c r="D93" s="23">
        <v>2.9820000000000002</v>
      </c>
      <c r="E93" s="23">
        <v>3.589</v>
      </c>
      <c r="F93" s="23">
        <v>3.4630000000000001</v>
      </c>
      <c r="G93" s="23">
        <v>4.4059999999999997</v>
      </c>
      <c r="H93" s="23">
        <v>5.3140000000000001</v>
      </c>
      <c r="I93" s="23">
        <v>6.0789999999999997</v>
      </c>
      <c r="J93" s="23">
        <v>5.718</v>
      </c>
      <c r="K93" s="23">
        <v>5.4749999999999996</v>
      </c>
      <c r="L93" s="23">
        <v>4.3929999999999998</v>
      </c>
      <c r="M93" s="23">
        <v>3.9460000000000002</v>
      </c>
      <c r="N93" s="23">
        <v>4.5410000000000004</v>
      </c>
      <c r="O93" s="23">
        <v>5.202</v>
      </c>
      <c r="P93" s="23">
        <v>4.391</v>
      </c>
      <c r="Q93" s="23">
        <v>4.9059999999999997</v>
      </c>
      <c r="R93" s="23">
        <v>4.2770000000000001</v>
      </c>
    </row>
    <row r="94" spans="1:18" outlineLevel="2" x14ac:dyDescent="0.3">
      <c r="A94" s="35" t="s">
        <v>407</v>
      </c>
      <c r="B94" s="56">
        <v>0.06</v>
      </c>
      <c r="C94" s="54">
        <v>0.32300000000000001</v>
      </c>
      <c r="D94" s="54">
        <v>0.161</v>
      </c>
      <c r="E94" s="54">
        <v>0.14899999999999999</v>
      </c>
      <c r="F94" s="54">
        <v>0.371</v>
      </c>
      <c r="G94" s="54">
        <v>0.63200000000000001</v>
      </c>
      <c r="H94" s="54">
        <v>0.751</v>
      </c>
      <c r="I94" s="54">
        <v>1.181</v>
      </c>
      <c r="J94" s="54">
        <v>1.423</v>
      </c>
      <c r="K94" s="54">
        <v>4.532</v>
      </c>
      <c r="L94" s="54">
        <v>5.1550000000000002</v>
      </c>
      <c r="M94" s="54">
        <v>7.4219999999999997</v>
      </c>
      <c r="N94" s="54">
        <v>16.352</v>
      </c>
      <c r="O94" s="54">
        <v>15.066000000000001</v>
      </c>
      <c r="P94" s="54">
        <v>11.048</v>
      </c>
      <c r="Q94" s="54">
        <v>12.052</v>
      </c>
      <c r="R94" s="54">
        <v>10.044</v>
      </c>
    </row>
    <row r="95" spans="1:18" outlineLevel="2" x14ac:dyDescent="0.3">
      <c r="A95" s="35" t="s">
        <v>408</v>
      </c>
      <c r="B95" s="23">
        <v>45.835999999999999</v>
      </c>
      <c r="C95" s="23">
        <v>63.283999999999999</v>
      </c>
      <c r="D95" s="23">
        <v>100.03700000000001</v>
      </c>
      <c r="E95" s="23">
        <v>111.613</v>
      </c>
      <c r="F95" s="23">
        <v>156.83500000000001</v>
      </c>
      <c r="G95" s="23">
        <v>149.352</v>
      </c>
      <c r="H95" s="23">
        <v>154.40100000000001</v>
      </c>
      <c r="I95" s="23">
        <v>166.96299999999999</v>
      </c>
      <c r="J95" s="23">
        <v>156.41200000000001</v>
      </c>
      <c r="K95" s="23">
        <v>166.83500000000001</v>
      </c>
      <c r="L95" s="23">
        <v>162.67099999999999</v>
      </c>
      <c r="M95" s="23">
        <v>179.28299999999999</v>
      </c>
      <c r="N95" s="23">
        <v>196.63399999999999</v>
      </c>
      <c r="O95" s="55">
        <v>79.56</v>
      </c>
      <c r="P95" s="23">
        <v>81.753</v>
      </c>
      <c r="Q95" s="23">
        <v>66.614999999999995</v>
      </c>
      <c r="R95" s="23">
        <v>73.138999999999996</v>
      </c>
    </row>
    <row r="96" spans="1:18" outlineLevel="2" x14ac:dyDescent="0.3">
      <c r="A96" s="35" t="s">
        <v>409</v>
      </c>
      <c r="B96" s="54">
        <v>4.1520000000000001</v>
      </c>
      <c r="C96" s="56">
        <v>27.81</v>
      </c>
      <c r="D96" s="54">
        <v>34.954000000000001</v>
      </c>
      <c r="E96" s="54">
        <v>39.347999999999999</v>
      </c>
      <c r="F96" s="54">
        <v>65.736999999999995</v>
      </c>
      <c r="G96" s="54">
        <v>58.203000000000003</v>
      </c>
      <c r="H96" s="54">
        <v>20.629000000000001</v>
      </c>
      <c r="I96" s="54">
        <v>7.6369999999999996</v>
      </c>
      <c r="J96" s="54">
        <v>14.329000000000001</v>
      </c>
      <c r="K96" s="54">
        <v>15.228999999999999</v>
      </c>
      <c r="L96" s="54">
        <v>18.167000000000002</v>
      </c>
      <c r="M96" s="54">
        <v>19.346</v>
      </c>
      <c r="N96" s="54">
        <v>20.454999999999998</v>
      </c>
      <c r="O96" s="54">
        <v>34.521000000000001</v>
      </c>
      <c r="P96" s="54">
        <v>39.704000000000001</v>
      </c>
      <c r="Q96" s="54">
        <v>41.723999999999997</v>
      </c>
      <c r="R96" s="54">
        <v>31.663</v>
      </c>
    </row>
    <row r="97" spans="1:20" outlineLevel="2" x14ac:dyDescent="0.3">
      <c r="A97" s="35" t="s">
        <v>410</v>
      </c>
      <c r="B97" s="23">
        <v>358.69900000000001</v>
      </c>
      <c r="C97" s="23">
        <v>391.863</v>
      </c>
      <c r="D97" s="23">
        <v>399.35300000000001</v>
      </c>
      <c r="E97" s="23">
        <v>382.488</v>
      </c>
      <c r="F97" s="23">
        <v>401.428</v>
      </c>
      <c r="G97" s="23">
        <v>447.10500000000002</v>
      </c>
      <c r="H97" s="23">
        <v>493.00599999999997</v>
      </c>
      <c r="I97" s="23">
        <v>590.976</v>
      </c>
      <c r="J97" s="23">
        <v>602.71600000000001</v>
      </c>
      <c r="K97" s="23">
        <v>652.13400000000001</v>
      </c>
      <c r="L97" s="23">
        <v>688.20799999999997</v>
      </c>
      <c r="M97" s="23">
        <v>777.33900000000006</v>
      </c>
      <c r="N97" s="23">
        <v>803.24099999999999</v>
      </c>
      <c r="O97" s="23">
        <v>828.44600000000003</v>
      </c>
      <c r="P97" s="23">
        <v>832.28399999999999</v>
      </c>
      <c r="Q97" s="23">
        <v>830.38900000000001</v>
      </c>
      <c r="R97" s="23">
        <v>740.66200000000003</v>
      </c>
    </row>
    <row r="98" spans="1:20" ht="16.5" customHeight="1" outlineLevel="2" x14ac:dyDescent="0.3">
      <c r="A98" s="35" t="s">
        <v>411</v>
      </c>
      <c r="B98" s="23">
        <v>164.922</v>
      </c>
      <c r="C98" s="23">
        <v>162.798</v>
      </c>
      <c r="D98" s="55">
        <v>197.49</v>
      </c>
      <c r="E98" s="23">
        <v>218.934</v>
      </c>
      <c r="F98" s="23">
        <v>254.27099999999999</v>
      </c>
      <c r="G98" s="23">
        <v>251.852</v>
      </c>
      <c r="H98" s="23">
        <v>162.18799999999999</v>
      </c>
      <c r="I98" s="23">
        <v>156.05199999999999</v>
      </c>
      <c r="J98" s="23">
        <v>173.92400000000001</v>
      </c>
      <c r="K98" s="55">
        <v>155.88999999999999</v>
      </c>
      <c r="L98" s="23">
        <v>83.531999999999996</v>
      </c>
      <c r="M98" s="23">
        <v>128.928</v>
      </c>
      <c r="N98" s="23">
        <v>161.07900000000001</v>
      </c>
      <c r="O98" s="23">
        <v>141.60300000000001</v>
      </c>
      <c r="P98" s="23">
        <v>154.70599999999999</v>
      </c>
      <c r="Q98" s="55">
        <v>164.15</v>
      </c>
      <c r="R98" s="23">
        <v>204.32499999999999</v>
      </c>
    </row>
    <row r="99" spans="1:20" outlineLevel="1" x14ac:dyDescent="0.3">
      <c r="A99" s="35" t="s">
        <v>412</v>
      </c>
      <c r="B99" s="23">
        <v>202.09100000000001</v>
      </c>
      <c r="C99" s="23">
        <v>190.191</v>
      </c>
      <c r="D99" s="23">
        <v>223.60900000000001</v>
      </c>
      <c r="E99" s="23">
        <v>239.726</v>
      </c>
      <c r="F99" s="55">
        <v>272.85000000000002</v>
      </c>
      <c r="G99" s="23">
        <v>256.47500000000002</v>
      </c>
      <c r="H99" s="23">
        <v>164.55600000000001</v>
      </c>
      <c r="I99" s="23">
        <v>160.22800000000001</v>
      </c>
      <c r="J99" s="23">
        <v>206.512</v>
      </c>
      <c r="K99" s="23">
        <v>214.53700000000001</v>
      </c>
      <c r="L99" s="55">
        <v>151.19</v>
      </c>
      <c r="M99" s="23">
        <v>175.749</v>
      </c>
      <c r="N99" s="23">
        <v>204.363</v>
      </c>
      <c r="O99" s="23">
        <v>185.934</v>
      </c>
      <c r="P99" s="23">
        <v>199.232</v>
      </c>
      <c r="Q99" s="23">
        <v>238.84299999999999</v>
      </c>
      <c r="R99" s="23">
        <v>254.43899999999999</v>
      </c>
    </row>
    <row r="100" spans="1:20" outlineLevel="2" x14ac:dyDescent="0.3">
      <c r="A100" s="35" t="s">
        <v>413</v>
      </c>
      <c r="B100" s="54">
        <v>39.628</v>
      </c>
      <c r="C100" s="54">
        <v>30.736999999999998</v>
      </c>
      <c r="D100" s="56">
        <v>28.46</v>
      </c>
      <c r="E100" s="54">
        <v>23.321999999999999</v>
      </c>
      <c r="F100" s="54">
        <v>24.501999999999999</v>
      </c>
      <c r="G100" s="54">
        <v>20.434000000000001</v>
      </c>
      <c r="H100" s="54">
        <v>16.841999999999999</v>
      </c>
      <c r="I100" s="54">
        <v>21.204000000000001</v>
      </c>
      <c r="J100" s="54">
        <v>51.432000000000002</v>
      </c>
      <c r="K100" s="54">
        <v>47.112000000000002</v>
      </c>
      <c r="L100" s="54">
        <v>60.018999999999998</v>
      </c>
      <c r="M100" s="54">
        <v>54.884999999999998</v>
      </c>
      <c r="N100" s="54">
        <v>53.658000000000001</v>
      </c>
      <c r="O100" s="54">
        <v>55.238999999999997</v>
      </c>
      <c r="P100" s="54">
        <v>58.253</v>
      </c>
      <c r="Q100" s="54">
        <v>58.465000000000003</v>
      </c>
      <c r="R100" s="54">
        <v>58.441000000000003</v>
      </c>
    </row>
    <row r="101" spans="1:20" outlineLevel="2" x14ac:dyDescent="0.3">
      <c r="A101" s="35" t="s">
        <v>414</v>
      </c>
      <c r="B101" s="54">
        <v>162.46299999999999</v>
      </c>
      <c r="C101" s="54">
        <v>159.45400000000001</v>
      </c>
      <c r="D101" s="54">
        <v>195.149</v>
      </c>
      <c r="E101" s="54">
        <v>216.40299999999999</v>
      </c>
      <c r="F101" s="54">
        <v>248.34700000000001</v>
      </c>
      <c r="G101" s="56">
        <v>236.04</v>
      </c>
      <c r="H101" s="54">
        <v>147.714</v>
      </c>
      <c r="I101" s="54">
        <v>139.023</v>
      </c>
      <c r="J101" s="56">
        <v>155.08000000000001</v>
      </c>
      <c r="K101" s="54">
        <v>167.42599999999999</v>
      </c>
      <c r="L101" s="54">
        <v>91.171000000000006</v>
      </c>
      <c r="M101" s="54">
        <v>120.863</v>
      </c>
      <c r="N101" s="54">
        <v>150.70599999999999</v>
      </c>
      <c r="O101" s="54">
        <v>130.697</v>
      </c>
      <c r="P101" s="54">
        <v>140.97900000000001</v>
      </c>
      <c r="Q101" s="54">
        <v>180.376</v>
      </c>
      <c r="R101" s="54">
        <v>195.99600000000001</v>
      </c>
    </row>
    <row r="102" spans="1:20" outlineLevel="1" x14ac:dyDescent="0.3">
      <c r="A102" s="35" t="s">
        <v>221</v>
      </c>
      <c r="B102" s="23">
        <v>55783.099000000002</v>
      </c>
      <c r="C102" s="23">
        <v>58875.453999999998</v>
      </c>
      <c r="D102" s="23">
        <v>59786.688999999998</v>
      </c>
      <c r="E102" s="23">
        <v>61733.909</v>
      </c>
      <c r="F102" s="23">
        <v>62379.792000000001</v>
      </c>
      <c r="G102" s="23">
        <v>63959.279000000002</v>
      </c>
      <c r="H102" s="23">
        <v>62312.394999999997</v>
      </c>
      <c r="I102" s="23">
        <v>63101.616000000002</v>
      </c>
      <c r="J102" s="23">
        <v>62667.404999999999</v>
      </c>
      <c r="K102" s="23">
        <v>60735.267</v>
      </c>
      <c r="L102" s="23">
        <v>63039.824000000001</v>
      </c>
      <c r="M102" s="23">
        <v>63580.813999999998</v>
      </c>
      <c r="N102" s="55">
        <v>63711.05</v>
      </c>
      <c r="O102" s="23">
        <v>63646.466</v>
      </c>
      <c r="P102" s="23">
        <v>62403.235999999997</v>
      </c>
      <c r="Q102" s="23">
        <v>58248.449000000001</v>
      </c>
      <c r="R102" s="23">
        <v>59875.546000000002</v>
      </c>
    </row>
    <row r="103" spans="1:20" outlineLevel="1" x14ac:dyDescent="0.3">
      <c r="A103" s="100" t="s">
        <v>415</v>
      </c>
      <c r="B103" s="23">
        <v>9443.1219999999994</v>
      </c>
      <c r="C103" s="23">
        <v>9269.0390000000007</v>
      </c>
      <c r="D103" s="23">
        <v>9313.5460000000003</v>
      </c>
      <c r="E103" s="23">
        <v>10028.203</v>
      </c>
      <c r="F103" s="23">
        <v>10075.192999999999</v>
      </c>
      <c r="G103" s="23">
        <v>11765.404</v>
      </c>
      <c r="H103" s="23">
        <v>9739.0040000000008</v>
      </c>
      <c r="I103" s="23">
        <v>10016.038</v>
      </c>
      <c r="J103" s="23">
        <v>9072.0830000000005</v>
      </c>
      <c r="K103" s="23">
        <v>8517.1669999999995</v>
      </c>
      <c r="L103" s="23">
        <v>8460.6239999999998</v>
      </c>
      <c r="M103" s="23">
        <v>8854.4869999999992</v>
      </c>
      <c r="N103" s="55">
        <v>9236.06</v>
      </c>
      <c r="O103" s="23">
        <v>9247.3819999999996</v>
      </c>
      <c r="P103" s="23">
        <v>9116.6659999999993</v>
      </c>
      <c r="Q103" s="23">
        <v>8468.0859999999993</v>
      </c>
      <c r="R103" s="23">
        <v>9396.9390000000003</v>
      </c>
    </row>
    <row r="104" spans="1:20" outlineLevel="1" x14ac:dyDescent="0.3">
      <c r="A104" s="35"/>
      <c r="B104" s="54"/>
      <c r="C104" s="54"/>
      <c r="D104" s="54"/>
      <c r="E104" s="54"/>
      <c r="F104" s="54"/>
      <c r="G104" s="54"/>
      <c r="H104" s="54"/>
      <c r="I104" s="54"/>
      <c r="J104" s="56"/>
      <c r="K104" s="54"/>
      <c r="L104" s="54"/>
      <c r="M104" s="54"/>
      <c r="N104" s="54"/>
      <c r="O104" s="54"/>
      <c r="P104" s="56"/>
      <c r="Q104" s="54"/>
      <c r="R104" s="54"/>
    </row>
    <row r="105" spans="1:20" s="18" customFormat="1" ht="16.5" customHeight="1" outlineLevel="1" x14ac:dyDescent="0.3">
      <c r="A105" s="18" t="s">
        <v>68</v>
      </c>
    </row>
    <row r="106" spans="1:20" outlineLevel="1" x14ac:dyDescent="0.3">
      <c r="A106" s="11"/>
      <c r="B106" s="11" t="s">
        <v>29</v>
      </c>
      <c r="C106" s="11" t="s">
        <v>56</v>
      </c>
      <c r="D106" s="11" t="s">
        <v>57</v>
      </c>
      <c r="E106" s="11" t="s">
        <v>58</v>
      </c>
      <c r="F106" s="11" t="s">
        <v>59</v>
      </c>
      <c r="G106" s="11" t="s">
        <v>30</v>
      </c>
      <c r="H106" s="11" t="s">
        <v>60</v>
      </c>
      <c r="I106" s="11" t="s">
        <v>61</v>
      </c>
      <c r="J106" s="11" t="s">
        <v>62</v>
      </c>
      <c r="K106" s="11" t="s">
        <v>63</v>
      </c>
      <c r="L106" s="11" t="s">
        <v>31</v>
      </c>
      <c r="M106" s="11" t="s">
        <v>64</v>
      </c>
      <c r="N106" s="11" t="s">
        <v>65</v>
      </c>
      <c r="O106" s="11" t="s">
        <v>66</v>
      </c>
      <c r="P106" s="11" t="s">
        <v>67</v>
      </c>
      <c r="Q106" s="11" t="s">
        <v>32</v>
      </c>
      <c r="R106" s="11" t="s">
        <v>326</v>
      </c>
    </row>
    <row r="107" spans="1:20" outlineLevel="1" x14ac:dyDescent="0.3">
      <c r="A107" s="35" t="s">
        <v>34</v>
      </c>
      <c r="B107" s="23">
        <v>266316.41600000003</v>
      </c>
      <c r="C107" s="23">
        <v>265392.04300000001</v>
      </c>
      <c r="D107" s="23">
        <v>249232.845</v>
      </c>
      <c r="E107" s="23">
        <v>264260.89199999999</v>
      </c>
      <c r="F107" s="23">
        <v>262381.19699999999</v>
      </c>
      <c r="G107" s="23">
        <v>278929.49099999998</v>
      </c>
      <c r="H107" s="55">
        <v>251894.43</v>
      </c>
      <c r="I107" s="23">
        <v>263012.14799999999</v>
      </c>
      <c r="J107" s="23">
        <v>266091.30200000003</v>
      </c>
      <c r="K107" s="23">
        <v>234637.147</v>
      </c>
      <c r="L107" s="23">
        <v>245027.995</v>
      </c>
      <c r="M107" s="23">
        <v>250876.72899999999</v>
      </c>
      <c r="N107" s="23">
        <v>251713.084</v>
      </c>
      <c r="O107" s="23">
        <v>249747.125</v>
      </c>
      <c r="P107" s="23">
        <v>248189.15599999999</v>
      </c>
      <c r="Q107" s="23">
        <v>248127.81599999999</v>
      </c>
      <c r="R107" s="23">
        <v>261812.693</v>
      </c>
      <c r="T107" s="63"/>
    </row>
    <row r="108" spans="1:20" outlineLevel="1" x14ac:dyDescent="0.3">
      <c r="A108" s="35" t="s">
        <v>371</v>
      </c>
      <c r="B108" s="54">
        <v>8877.3410000000003</v>
      </c>
      <c r="C108" s="54">
        <v>9846.5239999999994</v>
      </c>
      <c r="D108" s="54">
        <v>8821.7669999999998</v>
      </c>
      <c r="E108" s="54">
        <v>9378.7950000000001</v>
      </c>
      <c r="F108" s="56">
        <v>9549.2199999999993</v>
      </c>
      <c r="G108" s="54">
        <v>11123.311</v>
      </c>
      <c r="H108" s="54">
        <v>9630.0840000000007</v>
      </c>
      <c r="I108" s="54">
        <v>9917.152</v>
      </c>
      <c r="J108" s="54">
        <v>9575.375</v>
      </c>
      <c r="K108" s="54">
        <v>8580.7839999999997</v>
      </c>
      <c r="L108" s="54">
        <v>8482.5010000000002</v>
      </c>
      <c r="M108" s="54">
        <v>8791.9959999999992</v>
      </c>
      <c r="N108" s="54">
        <v>8710.0210000000006</v>
      </c>
      <c r="O108" s="54">
        <v>8126.1170000000002</v>
      </c>
      <c r="P108" s="54">
        <v>6574.4059999999999</v>
      </c>
      <c r="Q108" s="54">
        <v>6722.4489999999996</v>
      </c>
      <c r="R108" s="54">
        <v>6435.1679999999997</v>
      </c>
    </row>
    <row r="109" spans="1:20" outlineLevel="2" x14ac:dyDescent="0.3">
      <c r="A109" s="35" t="s">
        <v>372</v>
      </c>
      <c r="B109" s="55">
        <v>349.13</v>
      </c>
      <c r="C109" s="23">
        <v>362.327</v>
      </c>
      <c r="D109" s="23">
        <v>342.84500000000003</v>
      </c>
      <c r="E109" s="55">
        <v>391.54</v>
      </c>
      <c r="F109" s="23">
        <v>384.17899999999997</v>
      </c>
      <c r="G109" s="23">
        <v>356.96699999999998</v>
      </c>
      <c r="H109" s="23">
        <v>300.21300000000002</v>
      </c>
      <c r="I109" s="23">
        <v>298.65199999999999</v>
      </c>
      <c r="J109" s="23">
        <v>328.04599999999999</v>
      </c>
      <c r="K109" s="23">
        <v>272.23899999999998</v>
      </c>
      <c r="L109" s="23">
        <v>269.108</v>
      </c>
      <c r="M109" s="23">
        <v>266.23500000000001</v>
      </c>
      <c r="N109" s="23">
        <v>227.72399999999999</v>
      </c>
      <c r="O109" s="23">
        <v>208.56800000000001</v>
      </c>
      <c r="P109" s="23">
        <v>160.018</v>
      </c>
      <c r="Q109" s="23">
        <v>124.789</v>
      </c>
      <c r="R109" s="23">
        <v>119.657</v>
      </c>
    </row>
    <row r="110" spans="1:20" outlineLevel="2" x14ac:dyDescent="0.3">
      <c r="A110" s="35" t="s">
        <v>374</v>
      </c>
      <c r="B110" s="23">
        <v>6764.7619999999997</v>
      </c>
      <c r="C110" s="23">
        <v>7562.1009999999997</v>
      </c>
      <c r="D110" s="23">
        <v>7007.0739999999996</v>
      </c>
      <c r="E110" s="55">
        <v>7337.51</v>
      </c>
      <c r="F110" s="55">
        <v>7452.35</v>
      </c>
      <c r="G110" s="23">
        <v>8531.3259999999991</v>
      </c>
      <c r="H110" s="23">
        <v>7311.5690000000004</v>
      </c>
      <c r="I110" s="23">
        <v>7764.7120000000004</v>
      </c>
      <c r="J110" s="23">
        <v>7346.768</v>
      </c>
      <c r="K110" s="23">
        <v>6769.7629999999999</v>
      </c>
      <c r="L110" s="23">
        <v>6697.3019999999997</v>
      </c>
      <c r="M110" s="23">
        <v>7051.1670000000004</v>
      </c>
      <c r="N110" s="23">
        <v>7018.8540000000003</v>
      </c>
      <c r="O110" s="23">
        <v>6593.9949999999999</v>
      </c>
      <c r="P110" s="23">
        <v>5324.3739999999998</v>
      </c>
      <c r="Q110" s="23">
        <v>5584.0169999999998</v>
      </c>
      <c r="R110" s="23">
        <v>5244.5379999999996</v>
      </c>
    </row>
    <row r="111" spans="1:20" outlineLevel="2" x14ac:dyDescent="0.3">
      <c r="A111" s="35" t="s">
        <v>375</v>
      </c>
      <c r="B111" s="54">
        <v>157.82300000000001</v>
      </c>
      <c r="C111" s="54">
        <v>159.78700000000001</v>
      </c>
      <c r="D111" s="54">
        <v>114.70099999999999</v>
      </c>
      <c r="E111" s="54">
        <v>178.857</v>
      </c>
      <c r="F111" s="54">
        <v>97.067999999999998</v>
      </c>
      <c r="G111" s="54">
        <v>110.30500000000001</v>
      </c>
      <c r="H111" s="54">
        <v>74.438000000000002</v>
      </c>
      <c r="I111" s="54">
        <v>58.662999999999997</v>
      </c>
      <c r="J111" s="54">
        <v>34.213000000000001</v>
      </c>
      <c r="K111" s="54">
        <v>51.472000000000001</v>
      </c>
      <c r="L111" s="54">
        <v>46.411000000000001</v>
      </c>
      <c r="M111" s="56">
        <v>60.62</v>
      </c>
      <c r="N111" s="54">
        <v>0.27500000000000002</v>
      </c>
      <c r="O111" s="54">
        <v>7.5999999999999998E-2</v>
      </c>
      <c r="P111" s="54">
        <v>6.5000000000000002E-2</v>
      </c>
      <c r="Q111" s="54">
        <v>6.0999999999999999E-2</v>
      </c>
      <c r="R111" s="54">
        <v>3.1E-2</v>
      </c>
    </row>
    <row r="112" spans="1:20" outlineLevel="2" x14ac:dyDescent="0.3">
      <c r="A112" s="35" t="s">
        <v>376</v>
      </c>
      <c r="B112" s="23">
        <v>705.45699999999999</v>
      </c>
      <c r="C112" s="55">
        <v>811.25</v>
      </c>
      <c r="D112" s="23">
        <v>631.99099999999999</v>
      </c>
      <c r="E112" s="23">
        <v>668.94600000000003</v>
      </c>
      <c r="F112" s="23">
        <v>694.00900000000001</v>
      </c>
      <c r="G112" s="23">
        <v>852.40700000000004</v>
      </c>
      <c r="H112" s="55">
        <v>888.76</v>
      </c>
      <c r="I112" s="55">
        <v>865.56</v>
      </c>
      <c r="J112" s="55">
        <v>907.78</v>
      </c>
      <c r="K112" s="23">
        <v>758.03800000000001</v>
      </c>
      <c r="L112" s="23">
        <v>748.69799999999998</v>
      </c>
      <c r="M112" s="23">
        <v>729.93100000000004</v>
      </c>
      <c r="N112" s="23">
        <v>764.755</v>
      </c>
      <c r="O112" s="23">
        <v>664.471</v>
      </c>
      <c r="P112" s="23">
        <v>578.274</v>
      </c>
      <c r="Q112" s="23">
        <v>528.476</v>
      </c>
      <c r="R112" s="23">
        <v>505.89299999999997</v>
      </c>
    </row>
    <row r="113" spans="1:18" outlineLevel="2" x14ac:dyDescent="0.3">
      <c r="A113" s="35" t="s">
        <v>377</v>
      </c>
      <c r="B113" s="54">
        <v>200.41499999999999</v>
      </c>
      <c r="C113" s="54">
        <v>183.06399999999999</v>
      </c>
      <c r="D113" s="54">
        <v>141.845</v>
      </c>
      <c r="E113" s="56">
        <v>117.81</v>
      </c>
      <c r="F113" s="54">
        <v>209.803</v>
      </c>
      <c r="G113" s="56">
        <v>240.02</v>
      </c>
      <c r="H113" s="54">
        <v>214.97499999999999</v>
      </c>
      <c r="I113" s="54">
        <v>191.91800000000001</v>
      </c>
      <c r="J113" s="54">
        <v>181.97399999999999</v>
      </c>
      <c r="K113" s="56">
        <v>178.62</v>
      </c>
      <c r="L113" s="54">
        <v>140.81399999999999</v>
      </c>
      <c r="M113" s="54">
        <v>134.84200000000001</v>
      </c>
      <c r="N113" s="54">
        <v>132.08699999999999</v>
      </c>
      <c r="O113" s="54">
        <v>112.624</v>
      </c>
      <c r="P113" s="54">
        <v>54.856999999999999</v>
      </c>
      <c r="Q113" s="56">
        <v>42.56</v>
      </c>
      <c r="R113" s="54">
        <v>46.427</v>
      </c>
    </row>
    <row r="114" spans="1:18" outlineLevel="2" x14ac:dyDescent="0.3">
      <c r="A114" s="35" t="s">
        <v>379</v>
      </c>
      <c r="B114" s="54">
        <v>83.066999999999993</v>
      </c>
      <c r="C114" s="54">
        <v>84.094999999999999</v>
      </c>
      <c r="D114" s="54">
        <v>88.766999999999996</v>
      </c>
      <c r="E114" s="54">
        <v>92.805000000000007</v>
      </c>
      <c r="F114" s="56">
        <v>95.36</v>
      </c>
      <c r="G114" s="54">
        <v>311.14299999999997</v>
      </c>
      <c r="H114" s="54">
        <v>224.30699999999999</v>
      </c>
      <c r="I114" s="54">
        <v>125.26600000000001</v>
      </c>
      <c r="J114" s="54">
        <v>129.166</v>
      </c>
      <c r="K114" s="54">
        <v>99.316000000000003</v>
      </c>
      <c r="L114" s="54">
        <v>136.24100000000001</v>
      </c>
      <c r="M114" s="54">
        <v>122.559</v>
      </c>
      <c r="N114" s="54">
        <v>104.184</v>
      </c>
      <c r="O114" s="54">
        <v>88.591999999999999</v>
      </c>
      <c r="P114" s="54">
        <v>60.283000000000001</v>
      </c>
      <c r="Q114" s="56">
        <v>52.95</v>
      </c>
      <c r="R114" s="54">
        <v>56.798000000000002</v>
      </c>
    </row>
    <row r="115" spans="1:18" outlineLevel="2" x14ac:dyDescent="0.3">
      <c r="A115" s="35" t="s">
        <v>380</v>
      </c>
      <c r="B115" s="23">
        <v>616.68700000000001</v>
      </c>
      <c r="C115" s="23">
        <v>683.90200000000004</v>
      </c>
      <c r="D115" s="23">
        <v>494.54300000000001</v>
      </c>
      <c r="E115" s="23">
        <v>591.32899999999995</v>
      </c>
      <c r="F115" s="23">
        <v>616.45100000000002</v>
      </c>
      <c r="G115" s="23">
        <v>721.13900000000001</v>
      </c>
      <c r="H115" s="23">
        <v>615.82299999999998</v>
      </c>
      <c r="I115" s="55">
        <v>612.38</v>
      </c>
      <c r="J115" s="23">
        <v>647.42700000000002</v>
      </c>
      <c r="K115" s="23">
        <v>451.33800000000002</v>
      </c>
      <c r="L115" s="55">
        <v>443.92</v>
      </c>
      <c r="M115" s="23">
        <v>426.64100000000002</v>
      </c>
      <c r="N115" s="23">
        <v>462.14499999999998</v>
      </c>
      <c r="O115" s="23">
        <v>457.79199999999997</v>
      </c>
      <c r="P115" s="23">
        <v>396.53500000000003</v>
      </c>
      <c r="Q115" s="23">
        <v>389.596</v>
      </c>
      <c r="R115" s="23">
        <v>461.82400000000001</v>
      </c>
    </row>
    <row r="116" spans="1:18" outlineLevel="1" x14ac:dyDescent="0.3">
      <c r="A116" s="35" t="s">
        <v>382</v>
      </c>
      <c r="B116" s="23">
        <v>60.404000000000003</v>
      </c>
      <c r="C116" s="23">
        <v>57.287999999999997</v>
      </c>
      <c r="D116" s="23">
        <v>44.884999999999998</v>
      </c>
      <c r="E116" s="55">
        <v>40.24</v>
      </c>
      <c r="F116" s="23">
        <v>35.295999999999999</v>
      </c>
      <c r="G116" s="23">
        <v>14.316000000000001</v>
      </c>
      <c r="H116" s="23">
        <v>3.6110000000000002</v>
      </c>
      <c r="I116" s="23">
        <v>2.601</v>
      </c>
      <c r="J116" s="23">
        <v>2.0419999999999998</v>
      </c>
      <c r="K116" s="55">
        <v>1.29</v>
      </c>
      <c r="L116" s="55">
        <v>0.15</v>
      </c>
      <c r="M116" s="55">
        <v>0</v>
      </c>
      <c r="N116" s="55">
        <v>0</v>
      </c>
      <c r="O116" s="55">
        <v>0</v>
      </c>
      <c r="P116" s="55">
        <v>0</v>
      </c>
      <c r="Q116" s="55">
        <v>0</v>
      </c>
      <c r="R116" s="55">
        <v>0</v>
      </c>
    </row>
    <row r="117" spans="1:18" outlineLevel="2" x14ac:dyDescent="0.3">
      <c r="A117" s="35" t="s">
        <v>384</v>
      </c>
      <c r="B117" s="23">
        <v>60.404000000000003</v>
      </c>
      <c r="C117" s="23">
        <v>57.287999999999997</v>
      </c>
      <c r="D117" s="23">
        <v>44.884999999999998</v>
      </c>
      <c r="E117" s="55">
        <v>40.24</v>
      </c>
      <c r="F117" s="23">
        <v>35.295999999999999</v>
      </c>
      <c r="G117" s="23">
        <v>14.316000000000001</v>
      </c>
      <c r="H117" s="23">
        <v>3.6110000000000002</v>
      </c>
      <c r="I117" s="23">
        <v>2.601</v>
      </c>
      <c r="J117" s="23">
        <v>2.0419999999999998</v>
      </c>
      <c r="K117" s="55">
        <v>1.29</v>
      </c>
      <c r="L117" s="55">
        <v>0.15</v>
      </c>
      <c r="M117" s="55">
        <v>0</v>
      </c>
      <c r="N117" s="55">
        <v>0</v>
      </c>
      <c r="O117" s="55">
        <v>0</v>
      </c>
      <c r="P117" s="55">
        <v>0</v>
      </c>
      <c r="Q117" s="55">
        <v>0</v>
      </c>
      <c r="R117" s="55">
        <v>0</v>
      </c>
    </row>
    <row r="118" spans="1:18" outlineLevel="1" x14ac:dyDescent="0.3">
      <c r="A118" s="35" t="s">
        <v>385</v>
      </c>
      <c r="B118" s="54">
        <v>300.161</v>
      </c>
      <c r="C118" s="54">
        <v>310.53300000000002</v>
      </c>
      <c r="D118" s="54">
        <v>296.85300000000001</v>
      </c>
      <c r="E118" s="54">
        <v>305.16800000000001</v>
      </c>
      <c r="F118" s="54">
        <v>294.02300000000002</v>
      </c>
      <c r="G118" s="54">
        <v>279.35300000000001</v>
      </c>
      <c r="H118" s="54">
        <v>267.14299999999997</v>
      </c>
      <c r="I118" s="54">
        <v>241.786</v>
      </c>
      <c r="J118" s="54">
        <v>244.01900000000001</v>
      </c>
      <c r="K118" s="54">
        <v>222.53299999999999</v>
      </c>
      <c r="L118" s="54">
        <v>218.59399999999999</v>
      </c>
      <c r="M118" s="54">
        <v>214.83199999999999</v>
      </c>
      <c r="N118" s="54">
        <v>207.446</v>
      </c>
      <c r="O118" s="54">
        <v>217.899</v>
      </c>
      <c r="P118" s="56">
        <v>201.62</v>
      </c>
      <c r="Q118" s="54">
        <v>203.09800000000001</v>
      </c>
      <c r="R118" s="56">
        <v>195.42</v>
      </c>
    </row>
    <row r="119" spans="1:18" outlineLevel="2" x14ac:dyDescent="0.3">
      <c r="A119" s="35" t="s">
        <v>386</v>
      </c>
      <c r="B119" s="23">
        <v>200.51400000000001</v>
      </c>
      <c r="C119" s="23">
        <v>211.17400000000001</v>
      </c>
      <c r="D119" s="55">
        <v>199.4</v>
      </c>
      <c r="E119" s="23">
        <v>182.489</v>
      </c>
      <c r="F119" s="23">
        <v>176.79900000000001</v>
      </c>
      <c r="G119" s="23">
        <v>176.07300000000001</v>
      </c>
      <c r="H119" s="23">
        <v>171.62799999999999</v>
      </c>
      <c r="I119" s="23">
        <v>136.03399999999999</v>
      </c>
      <c r="J119" s="23">
        <v>134.577</v>
      </c>
      <c r="K119" s="23">
        <v>134.249</v>
      </c>
      <c r="L119" s="23">
        <v>132.35499999999999</v>
      </c>
      <c r="M119" s="23">
        <v>132.626</v>
      </c>
      <c r="N119" s="23">
        <v>132.46199999999999</v>
      </c>
      <c r="O119" s="23">
        <v>132.83199999999999</v>
      </c>
      <c r="P119" s="23">
        <v>132.648</v>
      </c>
      <c r="Q119" s="23">
        <v>131.577</v>
      </c>
      <c r="R119" s="23">
        <v>131.226</v>
      </c>
    </row>
    <row r="120" spans="1:18" outlineLevel="2" x14ac:dyDescent="0.3">
      <c r="A120" s="35" t="s">
        <v>387</v>
      </c>
      <c r="B120" s="54">
        <v>99.647000000000006</v>
      </c>
      <c r="C120" s="54">
        <v>99.358999999999995</v>
      </c>
      <c r="D120" s="54">
        <v>97.453000000000003</v>
      </c>
      <c r="E120" s="54">
        <v>122.679</v>
      </c>
      <c r="F120" s="54">
        <v>117.224</v>
      </c>
      <c r="G120" s="56">
        <v>103.28</v>
      </c>
      <c r="H120" s="54">
        <v>95.516000000000005</v>
      </c>
      <c r="I120" s="54">
        <v>105.752</v>
      </c>
      <c r="J120" s="54">
        <v>109.44199999999999</v>
      </c>
      <c r="K120" s="54">
        <v>88.284000000000006</v>
      </c>
      <c r="L120" s="56">
        <v>86.24</v>
      </c>
      <c r="M120" s="54">
        <v>82.206000000000003</v>
      </c>
      <c r="N120" s="54">
        <v>74.983999999999995</v>
      </c>
      <c r="O120" s="54">
        <v>85.067999999999998</v>
      </c>
      <c r="P120" s="54">
        <v>68.971999999999994</v>
      </c>
      <c r="Q120" s="54">
        <v>71.521000000000001</v>
      </c>
      <c r="R120" s="54">
        <v>64.194000000000003</v>
      </c>
    </row>
    <row r="121" spans="1:18" outlineLevel="1" x14ac:dyDescent="0.3">
      <c r="A121" s="35" t="s">
        <v>238</v>
      </c>
      <c r="B121" s="54">
        <v>88923.519</v>
      </c>
      <c r="C121" s="54">
        <v>87134.815000000002</v>
      </c>
      <c r="D121" s="54">
        <v>80121.407000000007</v>
      </c>
      <c r="E121" s="54">
        <v>83938.626000000004</v>
      </c>
      <c r="F121" s="54">
        <v>84730.832999999999</v>
      </c>
      <c r="G121" s="54">
        <v>92180.353000000003</v>
      </c>
      <c r="H121" s="54">
        <v>80771.228000000003</v>
      </c>
      <c r="I121" s="56">
        <v>85062.74</v>
      </c>
      <c r="J121" s="54">
        <v>86508.377999999997</v>
      </c>
      <c r="K121" s="54">
        <v>70920.885999999999</v>
      </c>
      <c r="L121" s="54">
        <v>76833.895999999993</v>
      </c>
      <c r="M121" s="54">
        <v>81737.671000000002</v>
      </c>
      <c r="N121" s="54">
        <v>81410.203999999998</v>
      </c>
      <c r="O121" s="54">
        <v>80473.873000000007</v>
      </c>
      <c r="P121" s="54">
        <v>79623.462</v>
      </c>
      <c r="Q121" s="54">
        <v>78599.933999999994</v>
      </c>
      <c r="R121" s="54">
        <v>87709.744999999995</v>
      </c>
    </row>
    <row r="122" spans="1:18" outlineLevel="1" x14ac:dyDescent="0.3">
      <c r="A122" s="35" t="s">
        <v>388</v>
      </c>
      <c r="B122" s="23">
        <v>52606.552000000003</v>
      </c>
      <c r="C122" s="23">
        <v>50544.129000000001</v>
      </c>
      <c r="D122" s="23">
        <v>39674.239000000001</v>
      </c>
      <c r="E122" s="23">
        <v>45449.053999999996</v>
      </c>
      <c r="F122" s="23">
        <v>41516.874000000003</v>
      </c>
      <c r="G122" s="23">
        <v>41083.057000000001</v>
      </c>
      <c r="H122" s="23">
        <v>36193.663</v>
      </c>
      <c r="I122" s="23">
        <v>35601.928999999996</v>
      </c>
      <c r="J122" s="23">
        <v>35792.313999999998</v>
      </c>
      <c r="K122" s="55">
        <v>31221.26</v>
      </c>
      <c r="L122" s="55">
        <v>32054.46</v>
      </c>
      <c r="M122" s="23">
        <v>30787.212</v>
      </c>
      <c r="N122" s="23">
        <v>30221.252</v>
      </c>
      <c r="O122" s="23">
        <v>28508.875</v>
      </c>
      <c r="P122" s="55">
        <v>29071.42</v>
      </c>
      <c r="Q122" s="23">
        <v>30460.023000000001</v>
      </c>
      <c r="R122" s="23">
        <v>24998.342000000001</v>
      </c>
    </row>
    <row r="123" spans="1:18" outlineLevel="2" x14ac:dyDescent="0.3">
      <c r="A123" s="35" t="s">
        <v>389</v>
      </c>
      <c r="B123" s="23">
        <v>5.7489999999999997</v>
      </c>
      <c r="C123" s="23">
        <v>29.895</v>
      </c>
      <c r="D123" s="55">
        <v>0</v>
      </c>
      <c r="E123" s="55">
        <v>0</v>
      </c>
      <c r="F123" s="55">
        <v>0</v>
      </c>
      <c r="G123" s="55">
        <v>0</v>
      </c>
      <c r="H123" s="55">
        <v>0</v>
      </c>
      <c r="I123" s="55">
        <v>0</v>
      </c>
      <c r="J123" s="55">
        <v>0</v>
      </c>
      <c r="K123" s="55">
        <v>0</v>
      </c>
      <c r="L123" s="55">
        <v>0</v>
      </c>
      <c r="M123" s="55">
        <v>0</v>
      </c>
      <c r="N123" s="55">
        <v>0</v>
      </c>
      <c r="O123" s="55">
        <v>0</v>
      </c>
      <c r="P123" s="55">
        <v>0</v>
      </c>
      <c r="Q123" s="55">
        <v>0</v>
      </c>
      <c r="R123" s="55">
        <v>0</v>
      </c>
    </row>
    <row r="124" spans="1:18" outlineLevel="2" x14ac:dyDescent="0.3">
      <c r="A124" s="35" t="s">
        <v>390</v>
      </c>
      <c r="B124" s="23">
        <v>8268.2849999999999</v>
      </c>
      <c r="C124" s="23">
        <v>7591.625</v>
      </c>
      <c r="D124" s="55">
        <v>7195.49</v>
      </c>
      <c r="E124" s="23">
        <v>7107.1769999999997</v>
      </c>
      <c r="F124" s="23">
        <v>6908.0110000000004</v>
      </c>
      <c r="G124" s="23">
        <v>7036.6459999999997</v>
      </c>
      <c r="H124" s="23">
        <v>6346.8209999999999</v>
      </c>
      <c r="I124" s="23">
        <v>6095.2179999999998</v>
      </c>
      <c r="J124" s="55">
        <v>6156.49</v>
      </c>
      <c r="K124" s="23">
        <v>5590.6750000000002</v>
      </c>
      <c r="L124" s="23">
        <v>5469.7969999999996</v>
      </c>
      <c r="M124" s="23">
        <v>5715.1149999999998</v>
      </c>
      <c r="N124" s="23">
        <v>5546.6639999999998</v>
      </c>
      <c r="O124" s="23">
        <v>5826.7849999999999</v>
      </c>
      <c r="P124" s="23">
        <v>5522.0770000000002</v>
      </c>
      <c r="Q124" s="55">
        <v>5482.95</v>
      </c>
      <c r="R124" s="23">
        <v>5579.2290000000003</v>
      </c>
    </row>
    <row r="125" spans="1:18" outlineLevel="2" x14ac:dyDescent="0.3">
      <c r="A125" s="35" t="s">
        <v>420</v>
      </c>
      <c r="B125" s="56">
        <v>0</v>
      </c>
      <c r="C125" s="56">
        <v>0</v>
      </c>
      <c r="D125" s="54">
        <v>7.3490000000000002</v>
      </c>
      <c r="E125" s="56">
        <v>0</v>
      </c>
      <c r="F125" s="56">
        <v>0</v>
      </c>
      <c r="G125" s="56">
        <v>0</v>
      </c>
      <c r="H125" s="56">
        <v>0</v>
      </c>
      <c r="I125" s="56">
        <v>0</v>
      </c>
      <c r="J125" s="56">
        <v>0</v>
      </c>
      <c r="K125" s="56">
        <v>0</v>
      </c>
      <c r="L125" s="56">
        <v>0</v>
      </c>
      <c r="M125" s="56">
        <v>0</v>
      </c>
      <c r="N125" s="56">
        <v>0</v>
      </c>
      <c r="O125" s="56">
        <v>0</v>
      </c>
      <c r="P125" s="56">
        <v>0</v>
      </c>
      <c r="Q125" s="56">
        <v>0</v>
      </c>
      <c r="R125" s="56">
        <v>0</v>
      </c>
    </row>
    <row r="126" spans="1:18" outlineLevel="2" x14ac:dyDescent="0.3">
      <c r="A126" s="35" t="s">
        <v>392</v>
      </c>
      <c r="B126" s="54">
        <v>276.35399999999998</v>
      </c>
      <c r="C126" s="54">
        <v>280.35899999999998</v>
      </c>
      <c r="D126" s="54">
        <v>284.12799999999999</v>
      </c>
      <c r="E126" s="54">
        <v>281.38400000000001</v>
      </c>
      <c r="F126" s="54">
        <v>275.416</v>
      </c>
      <c r="G126" s="54">
        <v>327.91300000000001</v>
      </c>
      <c r="H126" s="54">
        <v>331.22800000000001</v>
      </c>
      <c r="I126" s="54">
        <v>335.04899999999998</v>
      </c>
      <c r="J126" s="54">
        <v>335.68400000000003</v>
      </c>
      <c r="K126" s="54">
        <v>335.14600000000002</v>
      </c>
      <c r="L126" s="54">
        <v>333.34399999999999</v>
      </c>
      <c r="M126" s="54">
        <v>332.923</v>
      </c>
      <c r="N126" s="54">
        <v>328.46899999999999</v>
      </c>
      <c r="O126" s="56">
        <v>309.08</v>
      </c>
      <c r="P126" s="56">
        <v>307.33</v>
      </c>
      <c r="Q126" s="54">
        <v>298.26499999999999</v>
      </c>
      <c r="R126" s="54">
        <v>284.73200000000003</v>
      </c>
    </row>
    <row r="127" spans="1:18" outlineLevel="2" x14ac:dyDescent="0.3">
      <c r="A127" s="35" t="s">
        <v>394</v>
      </c>
      <c r="B127" s="23">
        <v>1149.1369999999999</v>
      </c>
      <c r="C127" s="23">
        <v>1162.4159999999999</v>
      </c>
      <c r="D127" s="23">
        <v>1122.934</v>
      </c>
      <c r="E127" s="23">
        <v>1250.874</v>
      </c>
      <c r="F127" s="55">
        <v>1387.13</v>
      </c>
      <c r="G127" s="23">
        <v>1414.2080000000001</v>
      </c>
      <c r="H127" s="23">
        <v>1130.325</v>
      </c>
      <c r="I127" s="23">
        <v>969.54399999999998</v>
      </c>
      <c r="J127" s="23">
        <v>973.40800000000002</v>
      </c>
      <c r="K127" s="23">
        <v>870.72199999999998</v>
      </c>
      <c r="L127" s="23">
        <v>1009.167</v>
      </c>
      <c r="M127" s="23">
        <v>1072.336</v>
      </c>
      <c r="N127" s="23">
        <v>1025.2049999999999</v>
      </c>
      <c r="O127" s="23">
        <v>1089.413</v>
      </c>
      <c r="P127" s="23">
        <v>1074.4179999999999</v>
      </c>
      <c r="Q127" s="23">
        <v>1208.739</v>
      </c>
      <c r="R127" s="23">
        <v>1114.2470000000001</v>
      </c>
    </row>
    <row r="128" spans="1:18" outlineLevel="2" x14ac:dyDescent="0.3">
      <c r="A128" s="35" t="s">
        <v>395</v>
      </c>
      <c r="B128" s="54">
        <v>42113.752999999997</v>
      </c>
      <c r="C128" s="54">
        <v>40551.266000000003</v>
      </c>
      <c r="D128" s="54">
        <v>30360.385999999999</v>
      </c>
      <c r="E128" s="54">
        <v>36010.555</v>
      </c>
      <c r="F128" s="54">
        <v>32471.708999999999</v>
      </c>
      <c r="G128" s="54">
        <v>32014.368999999999</v>
      </c>
      <c r="H128" s="54">
        <v>28185.468000000001</v>
      </c>
      <c r="I128" s="54">
        <v>28025.867999999999</v>
      </c>
      <c r="J128" s="54">
        <v>28196.941999999999</v>
      </c>
      <c r="K128" s="56">
        <v>24347.4</v>
      </c>
      <c r="L128" s="54">
        <v>25170.719000000001</v>
      </c>
      <c r="M128" s="54">
        <v>23605.063999999998</v>
      </c>
      <c r="N128" s="54">
        <v>23258.945</v>
      </c>
      <c r="O128" s="54">
        <v>21229.077000000001</v>
      </c>
      <c r="P128" s="54">
        <v>22103.613000000001</v>
      </c>
      <c r="Q128" s="54">
        <v>23406.097000000002</v>
      </c>
      <c r="R128" s="54">
        <v>17961.821</v>
      </c>
    </row>
    <row r="129" spans="1:18" outlineLevel="2" x14ac:dyDescent="0.3">
      <c r="A129" s="35" t="s">
        <v>396</v>
      </c>
      <c r="B129" s="55">
        <v>717.19</v>
      </c>
      <c r="C129" s="23">
        <v>851.03399999999999</v>
      </c>
      <c r="D129" s="23">
        <v>593.70399999999995</v>
      </c>
      <c r="E129" s="23">
        <v>685.78200000000004</v>
      </c>
      <c r="F129" s="23">
        <v>433.76900000000001</v>
      </c>
      <c r="G129" s="55">
        <v>246.11</v>
      </c>
      <c r="H129" s="23">
        <v>167.50700000000001</v>
      </c>
      <c r="I129" s="23">
        <v>145.33099999999999</v>
      </c>
      <c r="J129" s="23">
        <v>91.105999999999995</v>
      </c>
      <c r="K129" s="23">
        <v>39.543999999999997</v>
      </c>
      <c r="L129" s="23">
        <v>28.309000000000001</v>
      </c>
      <c r="M129" s="23">
        <v>29.181999999999999</v>
      </c>
      <c r="N129" s="55">
        <v>26.57</v>
      </c>
      <c r="O129" s="55">
        <v>7.72</v>
      </c>
      <c r="P129" s="23">
        <v>5.8410000000000002</v>
      </c>
      <c r="Q129" s="23">
        <v>4.1639999999999997</v>
      </c>
      <c r="R129" s="23">
        <v>4.4989999999999997</v>
      </c>
    </row>
    <row r="130" spans="1:18" outlineLevel="2" x14ac:dyDescent="0.3">
      <c r="A130" s="35" t="s">
        <v>398</v>
      </c>
      <c r="B130" s="23">
        <v>69.778000000000006</v>
      </c>
      <c r="C130" s="23">
        <v>50.210999999999999</v>
      </c>
      <c r="D130" s="23">
        <v>56.633000000000003</v>
      </c>
      <c r="E130" s="23">
        <v>48.137</v>
      </c>
      <c r="F130" s="23">
        <v>40.838999999999999</v>
      </c>
      <c r="G130" s="23">
        <v>43.811999999999998</v>
      </c>
      <c r="H130" s="23">
        <v>32.317</v>
      </c>
      <c r="I130" s="23">
        <v>30.917999999999999</v>
      </c>
      <c r="J130" s="23">
        <v>38.683</v>
      </c>
      <c r="K130" s="23">
        <v>37.771000000000001</v>
      </c>
      <c r="L130" s="55">
        <v>43.12</v>
      </c>
      <c r="M130" s="23">
        <v>32.594999999999999</v>
      </c>
      <c r="N130" s="23">
        <v>35.401000000000003</v>
      </c>
      <c r="O130" s="55">
        <v>46.8</v>
      </c>
      <c r="P130" s="23">
        <v>58.146000000000001</v>
      </c>
      <c r="Q130" s="23">
        <v>59.805999999999997</v>
      </c>
      <c r="R130" s="23">
        <v>53.814999999999998</v>
      </c>
    </row>
    <row r="131" spans="1:18" outlineLevel="2" x14ac:dyDescent="0.3">
      <c r="A131" s="35" t="s">
        <v>400</v>
      </c>
      <c r="B131" s="23">
        <v>6.306</v>
      </c>
      <c r="C131" s="23">
        <v>27.324999999999999</v>
      </c>
      <c r="D131" s="55">
        <v>53.61</v>
      </c>
      <c r="E131" s="23">
        <v>65.144000000000005</v>
      </c>
      <c r="F131" s="55">
        <v>0</v>
      </c>
      <c r="G131" s="55">
        <v>0</v>
      </c>
      <c r="H131" s="55">
        <v>0</v>
      </c>
      <c r="I131" s="55">
        <v>0</v>
      </c>
      <c r="J131" s="55">
        <v>0</v>
      </c>
      <c r="K131" s="55">
        <v>0</v>
      </c>
      <c r="L131" s="55">
        <v>0</v>
      </c>
      <c r="M131" s="55">
        <v>0</v>
      </c>
      <c r="N131" s="55">
        <v>0</v>
      </c>
      <c r="O131" s="55">
        <v>0</v>
      </c>
      <c r="P131" s="55">
        <v>0</v>
      </c>
      <c r="Q131" s="55">
        <v>0</v>
      </c>
      <c r="R131" s="55">
        <v>0</v>
      </c>
    </row>
    <row r="132" spans="1:18" outlineLevel="1" x14ac:dyDescent="0.3">
      <c r="A132" s="35" t="s">
        <v>401</v>
      </c>
      <c r="B132" s="54">
        <v>35758.366999999998</v>
      </c>
      <c r="C132" s="56">
        <v>37250.89</v>
      </c>
      <c r="D132" s="54">
        <v>40078.127999999997</v>
      </c>
      <c r="E132" s="54">
        <v>43883.252999999997</v>
      </c>
      <c r="F132" s="54">
        <v>44742.061000000002</v>
      </c>
      <c r="G132" s="54">
        <v>47795.605000000003</v>
      </c>
      <c r="H132" s="54">
        <v>43234.898999999998</v>
      </c>
      <c r="I132" s="54">
        <v>48853.311999999998</v>
      </c>
      <c r="J132" s="56">
        <v>49801.41</v>
      </c>
      <c r="K132" s="54">
        <v>44885.682999999997</v>
      </c>
      <c r="L132" s="54">
        <v>46865.983999999997</v>
      </c>
      <c r="M132" s="54">
        <v>46733.995999999999</v>
      </c>
      <c r="N132" s="56">
        <v>48091.13</v>
      </c>
      <c r="O132" s="54">
        <v>50617.624000000003</v>
      </c>
      <c r="P132" s="54">
        <v>51337.769</v>
      </c>
      <c r="Q132" s="54">
        <v>50456.328999999998</v>
      </c>
      <c r="R132" s="54">
        <v>55608.402000000002</v>
      </c>
    </row>
    <row r="133" spans="1:18" outlineLevel="2" x14ac:dyDescent="0.3">
      <c r="A133" s="35" t="s">
        <v>268</v>
      </c>
      <c r="B133" s="54">
        <v>24.382000000000001</v>
      </c>
      <c r="C133" s="54">
        <v>23.475000000000001</v>
      </c>
      <c r="D133" s="54">
        <v>21.994</v>
      </c>
      <c r="E133" s="54">
        <v>26.198</v>
      </c>
      <c r="F133" s="54">
        <v>32.527000000000001</v>
      </c>
      <c r="G133" s="54">
        <v>41.292999999999999</v>
      </c>
      <c r="H133" s="54">
        <v>39.811999999999998</v>
      </c>
      <c r="I133" s="54">
        <v>46.786000000000001</v>
      </c>
      <c r="J133" s="54">
        <v>47.095999999999997</v>
      </c>
      <c r="K133" s="54">
        <v>39.621000000000002</v>
      </c>
      <c r="L133" s="54">
        <v>44.063000000000002</v>
      </c>
      <c r="M133" s="54">
        <v>51.134</v>
      </c>
      <c r="N133" s="54">
        <v>49.273000000000003</v>
      </c>
      <c r="O133" s="54">
        <v>45.381</v>
      </c>
      <c r="P133" s="56">
        <v>48.74</v>
      </c>
      <c r="Q133" s="54">
        <v>44.442999999999998</v>
      </c>
      <c r="R133" s="54">
        <v>63.375999999999998</v>
      </c>
    </row>
    <row r="134" spans="1:18" outlineLevel="2" x14ac:dyDescent="0.3">
      <c r="A134" s="35" t="s">
        <v>402</v>
      </c>
      <c r="B134" s="54">
        <v>625.96199999999999</v>
      </c>
      <c r="C134" s="54">
        <v>724.92700000000002</v>
      </c>
      <c r="D134" s="54">
        <v>827.38400000000001</v>
      </c>
      <c r="E134" s="54">
        <v>962.15099999999995</v>
      </c>
      <c r="F134" s="54">
        <v>1141.3109999999999</v>
      </c>
      <c r="G134" s="54">
        <v>1280.7670000000001</v>
      </c>
      <c r="H134" s="54">
        <v>1422.924</v>
      </c>
      <c r="I134" s="54">
        <v>1503.039</v>
      </c>
      <c r="J134" s="54">
        <v>1581.057</v>
      </c>
      <c r="K134" s="54">
        <v>1675.943</v>
      </c>
      <c r="L134" s="54">
        <v>1780.1959999999999</v>
      </c>
      <c r="M134" s="56">
        <v>1828.94</v>
      </c>
      <c r="N134" s="54">
        <v>1875.7080000000001</v>
      </c>
      <c r="O134" s="54">
        <v>1998.681</v>
      </c>
      <c r="P134" s="54">
        <v>2023.3230000000001</v>
      </c>
      <c r="Q134" s="54">
        <v>2109.5650000000001</v>
      </c>
      <c r="R134" s="54">
        <v>2132.3090000000002</v>
      </c>
    </row>
    <row r="135" spans="1:18" outlineLevel="2" x14ac:dyDescent="0.3">
      <c r="A135" s="35" t="s">
        <v>403</v>
      </c>
      <c r="B135" s="23">
        <v>453.50700000000001</v>
      </c>
      <c r="C135" s="23">
        <v>640.20600000000002</v>
      </c>
      <c r="D135" s="23">
        <v>881.28200000000004</v>
      </c>
      <c r="E135" s="55">
        <v>1207.1600000000001</v>
      </c>
      <c r="F135" s="55">
        <v>1556.72</v>
      </c>
      <c r="G135" s="23">
        <v>1964.819</v>
      </c>
      <c r="H135" s="23">
        <v>1803.375</v>
      </c>
      <c r="I135" s="23">
        <v>2170.5230000000001</v>
      </c>
      <c r="J135" s="23">
        <v>2508.2339999999999</v>
      </c>
      <c r="K135" s="23">
        <v>2778.1509999999998</v>
      </c>
      <c r="L135" s="23">
        <v>3191.6190000000001</v>
      </c>
      <c r="M135" s="23">
        <v>3654.482</v>
      </c>
      <c r="N135" s="23">
        <v>4628.3680000000004</v>
      </c>
      <c r="O135" s="23">
        <v>5065.2380000000003</v>
      </c>
      <c r="P135" s="23">
        <v>5692.384</v>
      </c>
      <c r="Q135" s="23">
        <v>6196.8580000000002</v>
      </c>
      <c r="R135" s="23">
        <v>7635.1149999999998</v>
      </c>
    </row>
    <row r="136" spans="1:18" outlineLevel="2" x14ac:dyDescent="0.3">
      <c r="A136" s="35" t="s">
        <v>404</v>
      </c>
      <c r="B136" s="54">
        <v>34442.813999999998</v>
      </c>
      <c r="C136" s="54">
        <v>35591.690999999999</v>
      </c>
      <c r="D136" s="54">
        <v>37970.052000000003</v>
      </c>
      <c r="E136" s="56">
        <v>41307.06</v>
      </c>
      <c r="F136" s="54">
        <v>41486.025999999998</v>
      </c>
      <c r="G136" s="54">
        <v>43950.008000000002</v>
      </c>
      <c r="H136" s="54">
        <v>39424.311000000002</v>
      </c>
      <c r="I136" s="54">
        <v>44540.203000000001</v>
      </c>
      <c r="J136" s="54">
        <v>45040.633999999998</v>
      </c>
      <c r="K136" s="54">
        <v>39737.108</v>
      </c>
      <c r="L136" s="54">
        <v>41162.669000000002</v>
      </c>
      <c r="M136" s="54">
        <v>40512.510999999999</v>
      </c>
      <c r="N136" s="54">
        <v>40833.677000000003</v>
      </c>
      <c r="O136" s="54">
        <v>42834.667999999998</v>
      </c>
      <c r="P136" s="54">
        <v>42911.627</v>
      </c>
      <c r="Q136" s="54">
        <v>41479.932000000001</v>
      </c>
      <c r="R136" s="54">
        <v>45213.044000000002</v>
      </c>
    </row>
    <row r="137" spans="1:18" outlineLevel="2" x14ac:dyDescent="0.3">
      <c r="A137" s="35" t="s">
        <v>405</v>
      </c>
      <c r="B137" s="23">
        <v>195.71600000000001</v>
      </c>
      <c r="C137" s="23">
        <v>198.68899999999999</v>
      </c>
      <c r="D137" s="23">
        <v>257.23899999999998</v>
      </c>
      <c r="E137" s="23">
        <v>236.99600000000001</v>
      </c>
      <c r="F137" s="23">
        <v>326.87799999999999</v>
      </c>
      <c r="G137" s="23">
        <v>324.25700000000001</v>
      </c>
      <c r="H137" s="23">
        <v>340.40100000000001</v>
      </c>
      <c r="I137" s="23">
        <v>338.67700000000002</v>
      </c>
      <c r="J137" s="23">
        <v>343.31400000000002</v>
      </c>
      <c r="K137" s="55">
        <v>333.7</v>
      </c>
      <c r="L137" s="23">
        <v>342.16899999999998</v>
      </c>
      <c r="M137" s="23">
        <v>315.08300000000003</v>
      </c>
      <c r="N137" s="23">
        <v>331.55599999999998</v>
      </c>
      <c r="O137" s="23">
        <v>339.72399999999999</v>
      </c>
      <c r="P137" s="23">
        <v>321.85300000000001</v>
      </c>
      <c r="Q137" s="23">
        <v>291.62700000000001</v>
      </c>
      <c r="R137" s="23">
        <v>279.07299999999998</v>
      </c>
    </row>
    <row r="138" spans="1:18" outlineLevel="2" x14ac:dyDescent="0.3">
      <c r="A138" s="35" t="s">
        <v>406</v>
      </c>
      <c r="B138" s="23">
        <v>3.7650000000000001</v>
      </c>
      <c r="C138" s="23">
        <v>4.5460000000000003</v>
      </c>
      <c r="D138" s="23">
        <v>5.4169999999999998</v>
      </c>
      <c r="E138" s="23">
        <v>6.5490000000000004</v>
      </c>
      <c r="F138" s="23">
        <v>6.5490000000000004</v>
      </c>
      <c r="G138" s="55">
        <v>10.19</v>
      </c>
      <c r="H138" s="55">
        <v>11.14</v>
      </c>
      <c r="I138" s="55">
        <v>11.42</v>
      </c>
      <c r="J138" s="23">
        <v>10.177</v>
      </c>
      <c r="K138" s="23">
        <v>9.6479999999999997</v>
      </c>
      <c r="L138" s="23">
        <v>8.9619999999999997</v>
      </c>
      <c r="M138" s="23">
        <v>8.2680000000000007</v>
      </c>
      <c r="N138" s="23">
        <v>8.6080000000000005</v>
      </c>
      <c r="O138" s="23">
        <v>9.8680000000000003</v>
      </c>
      <c r="P138" s="23">
        <v>8.5220000000000002</v>
      </c>
      <c r="Q138" s="23">
        <v>10.356</v>
      </c>
      <c r="R138" s="23">
        <v>10.837</v>
      </c>
    </row>
    <row r="139" spans="1:18" outlineLevel="2" x14ac:dyDescent="0.3">
      <c r="A139" s="35" t="s">
        <v>407</v>
      </c>
      <c r="B139" s="54">
        <v>1.7999999999999999E-2</v>
      </c>
      <c r="C139" s="54">
        <v>9.5000000000000001E-2</v>
      </c>
      <c r="D139" s="54">
        <v>0.16400000000000001</v>
      </c>
      <c r="E139" s="54">
        <v>1.042</v>
      </c>
      <c r="F139" s="54">
        <v>1.125</v>
      </c>
      <c r="G139" s="54">
        <v>0.68600000000000005</v>
      </c>
      <c r="H139" s="54">
        <v>0.36399999999999999</v>
      </c>
      <c r="I139" s="54">
        <v>3.379</v>
      </c>
      <c r="J139" s="54">
        <v>1.4259999999999999</v>
      </c>
      <c r="K139" s="54">
        <v>1.115</v>
      </c>
      <c r="L139" s="54">
        <v>1.1879999999999999</v>
      </c>
      <c r="M139" s="56">
        <v>1.48</v>
      </c>
      <c r="N139" s="54">
        <v>3.0129999999999999</v>
      </c>
      <c r="O139" s="54">
        <v>3.0129999999999999</v>
      </c>
      <c r="P139" s="54">
        <v>2.0089999999999999</v>
      </c>
      <c r="Q139" s="54">
        <v>4.0170000000000003</v>
      </c>
      <c r="R139" s="54">
        <v>5.0220000000000002</v>
      </c>
    </row>
    <row r="140" spans="1:18" outlineLevel="2" x14ac:dyDescent="0.3">
      <c r="A140" s="35" t="s">
        <v>408</v>
      </c>
      <c r="B140" s="23">
        <v>9.2999999999999999E-2</v>
      </c>
      <c r="C140" s="23">
        <v>38.558999999999997</v>
      </c>
      <c r="D140" s="23">
        <v>40.113999999999997</v>
      </c>
      <c r="E140" s="55">
        <v>2.5099999999999998</v>
      </c>
      <c r="F140" s="23">
        <v>2.9580000000000002</v>
      </c>
      <c r="G140" s="23">
        <v>2.1869999999999998</v>
      </c>
      <c r="H140" s="23">
        <v>1.4770000000000001</v>
      </c>
      <c r="I140" s="55">
        <v>5.08</v>
      </c>
      <c r="J140" s="23">
        <v>4.7169999999999996</v>
      </c>
      <c r="K140" s="23">
        <v>4.367</v>
      </c>
      <c r="L140" s="23">
        <v>5.1749999999999998</v>
      </c>
      <c r="M140" s="23">
        <v>6.1189999999999998</v>
      </c>
      <c r="N140" s="23">
        <v>6.3860000000000001</v>
      </c>
      <c r="O140" s="23">
        <v>7.2859999999999996</v>
      </c>
      <c r="P140" s="23">
        <v>11.007999999999999</v>
      </c>
      <c r="Q140" s="55">
        <v>23.68</v>
      </c>
      <c r="R140" s="23">
        <v>30.445</v>
      </c>
    </row>
    <row r="141" spans="1:18" outlineLevel="2" x14ac:dyDescent="0.3">
      <c r="A141" s="35" t="s">
        <v>409</v>
      </c>
      <c r="B141" s="56">
        <v>0</v>
      </c>
      <c r="C141" s="54">
        <v>1.7370000000000001</v>
      </c>
      <c r="D141" s="54">
        <v>2.5870000000000002</v>
      </c>
      <c r="E141" s="54">
        <v>2.9740000000000002</v>
      </c>
      <c r="F141" s="54">
        <v>12.726000000000001</v>
      </c>
      <c r="G141" s="54">
        <v>17.021000000000001</v>
      </c>
      <c r="H141" s="54">
        <v>11.888</v>
      </c>
      <c r="I141" s="54">
        <v>4.468</v>
      </c>
      <c r="J141" s="54">
        <v>1.095</v>
      </c>
      <c r="K141" s="54">
        <v>1.272</v>
      </c>
      <c r="L141" s="54">
        <v>1.3049999999999999</v>
      </c>
      <c r="M141" s="54">
        <v>1.1579999999999999</v>
      </c>
      <c r="N141" s="56">
        <v>1.74</v>
      </c>
      <c r="O141" s="56">
        <v>2.09</v>
      </c>
      <c r="P141" s="54">
        <v>2.0190000000000001</v>
      </c>
      <c r="Q141" s="54">
        <v>2.2360000000000002</v>
      </c>
      <c r="R141" s="54">
        <v>1.552</v>
      </c>
    </row>
    <row r="142" spans="1:18" outlineLevel="2" x14ac:dyDescent="0.3">
      <c r="A142" s="35" t="s">
        <v>410</v>
      </c>
      <c r="B142" s="23">
        <v>12.109</v>
      </c>
      <c r="C142" s="23">
        <v>26.966000000000001</v>
      </c>
      <c r="D142" s="23">
        <v>71.893000000000001</v>
      </c>
      <c r="E142" s="23">
        <v>130.61699999999999</v>
      </c>
      <c r="F142" s="23">
        <v>175.244</v>
      </c>
      <c r="G142" s="23">
        <v>204.374</v>
      </c>
      <c r="H142" s="23">
        <v>179.20400000000001</v>
      </c>
      <c r="I142" s="23">
        <v>229.73599999999999</v>
      </c>
      <c r="J142" s="23">
        <v>263.66199999999998</v>
      </c>
      <c r="K142" s="23">
        <v>304.75400000000002</v>
      </c>
      <c r="L142" s="23">
        <v>328.63799999999998</v>
      </c>
      <c r="M142" s="23">
        <v>354.82499999999999</v>
      </c>
      <c r="N142" s="55">
        <v>352.8</v>
      </c>
      <c r="O142" s="23">
        <v>311.67099999999999</v>
      </c>
      <c r="P142" s="55">
        <v>316.27999999999997</v>
      </c>
      <c r="Q142" s="23">
        <v>293.61099999999999</v>
      </c>
      <c r="R142" s="23">
        <v>237.62799999999999</v>
      </c>
    </row>
    <row r="143" spans="1:18" outlineLevel="1" x14ac:dyDescent="0.3">
      <c r="A143" s="35" t="s">
        <v>221</v>
      </c>
      <c r="B143" s="23">
        <v>57535.928999999996</v>
      </c>
      <c r="C143" s="23">
        <v>58934.423999999999</v>
      </c>
      <c r="D143" s="23">
        <v>58535.991999999998</v>
      </c>
      <c r="E143" s="23">
        <v>59852.565999999999</v>
      </c>
      <c r="F143" s="23">
        <v>60152.637000000002</v>
      </c>
      <c r="G143" s="23">
        <v>62776.294999999998</v>
      </c>
      <c r="H143" s="23">
        <v>60526.228000000003</v>
      </c>
      <c r="I143" s="23">
        <v>61813.091</v>
      </c>
      <c r="J143" s="23">
        <v>61544.726999999999</v>
      </c>
      <c r="K143" s="23">
        <v>58618.233999999997</v>
      </c>
      <c r="L143" s="23">
        <v>59488.019</v>
      </c>
      <c r="M143" s="23">
        <v>60514.434000000001</v>
      </c>
      <c r="N143" s="23">
        <v>60921.991999999998</v>
      </c>
      <c r="O143" s="23">
        <v>60699.591</v>
      </c>
      <c r="P143" s="23">
        <v>60522.618000000002</v>
      </c>
      <c r="Q143" s="23">
        <v>61271.582000000002</v>
      </c>
      <c r="R143" s="23">
        <v>64265.362000000001</v>
      </c>
    </row>
    <row r="144" spans="1:18" outlineLevel="1" x14ac:dyDescent="0.3">
      <c r="A144" s="100" t="s">
        <v>415</v>
      </c>
      <c r="B144" s="54">
        <v>22254.137999999999</v>
      </c>
      <c r="C144" s="54">
        <v>21313.441999999999</v>
      </c>
      <c r="D144" s="54">
        <v>21659.581999999999</v>
      </c>
      <c r="E144" s="54">
        <v>21413.184000000001</v>
      </c>
      <c r="F144" s="54">
        <v>21360.257000000001</v>
      </c>
      <c r="G144" s="54">
        <v>23677.195</v>
      </c>
      <c r="H144" s="54">
        <v>21267.579000000002</v>
      </c>
      <c r="I144" s="54">
        <v>21519.539000000001</v>
      </c>
      <c r="J144" s="54">
        <v>22623.038</v>
      </c>
      <c r="K144" s="54">
        <v>20186.481</v>
      </c>
      <c r="L144" s="54">
        <v>21084.387999999999</v>
      </c>
      <c r="M144" s="54">
        <v>22096.582999999999</v>
      </c>
      <c r="N144" s="54">
        <v>22151.030999999999</v>
      </c>
      <c r="O144" s="54">
        <v>21103.143</v>
      </c>
      <c r="P144" s="54">
        <v>20857.857</v>
      </c>
      <c r="Q144" s="56">
        <v>20414.400000000001</v>
      </c>
      <c r="R144" s="54">
        <v>22600.253000000001</v>
      </c>
    </row>
    <row r="145" spans="1:20" outlineLevel="1" x14ac:dyDescent="0.3">
      <c r="A145" s="100"/>
      <c r="B145" s="54"/>
      <c r="C145" s="54"/>
      <c r="D145" s="54"/>
      <c r="E145" s="56"/>
      <c r="F145" s="54"/>
      <c r="G145" s="54"/>
      <c r="H145" s="54"/>
      <c r="I145" s="54"/>
      <c r="J145" s="54"/>
      <c r="K145" s="54"/>
      <c r="L145" s="54"/>
      <c r="M145" s="56"/>
      <c r="N145" s="54"/>
      <c r="O145" s="56"/>
      <c r="P145" s="54"/>
      <c r="Q145" s="54"/>
      <c r="R145" s="56"/>
    </row>
    <row r="146" spans="1:20" s="18" customFormat="1" ht="16.5" customHeight="1" outlineLevel="1" x14ac:dyDescent="0.3">
      <c r="A146" s="18" t="s">
        <v>89</v>
      </c>
    </row>
    <row r="147" spans="1:20" outlineLevel="1" x14ac:dyDescent="0.3">
      <c r="A147" s="11"/>
      <c r="B147" s="11" t="s">
        <v>29</v>
      </c>
      <c r="C147" s="11" t="s">
        <v>56</v>
      </c>
      <c r="D147" s="11" t="s">
        <v>57</v>
      </c>
      <c r="E147" s="11" t="s">
        <v>58</v>
      </c>
      <c r="F147" s="11" t="s">
        <v>59</v>
      </c>
      <c r="G147" s="11" t="s">
        <v>30</v>
      </c>
      <c r="H147" s="11" t="s">
        <v>60</v>
      </c>
      <c r="I147" s="11" t="s">
        <v>61</v>
      </c>
      <c r="J147" s="11" t="s">
        <v>62</v>
      </c>
      <c r="K147" s="11" t="s">
        <v>63</v>
      </c>
      <c r="L147" s="11" t="s">
        <v>31</v>
      </c>
      <c r="M147" s="11" t="s">
        <v>64</v>
      </c>
      <c r="N147" s="11" t="s">
        <v>65</v>
      </c>
      <c r="O147" s="11" t="s">
        <v>66</v>
      </c>
      <c r="P147" s="11" t="s">
        <v>67</v>
      </c>
      <c r="Q147" s="11" t="s">
        <v>32</v>
      </c>
      <c r="R147" s="11" t="s">
        <v>326</v>
      </c>
    </row>
    <row r="148" spans="1:20" outlineLevel="1" x14ac:dyDescent="0.3">
      <c r="A148" s="35" t="s">
        <v>34</v>
      </c>
      <c r="B148" s="23">
        <v>26990.496999999999</v>
      </c>
      <c r="C148" s="23">
        <v>25348.187999999998</v>
      </c>
      <c r="D148" s="23">
        <v>24844.881000000001</v>
      </c>
      <c r="E148" s="23">
        <v>24721.659</v>
      </c>
      <c r="F148" s="55">
        <v>24105.98</v>
      </c>
      <c r="G148" s="23">
        <v>25504.738000000001</v>
      </c>
      <c r="H148" s="23">
        <v>24952.767</v>
      </c>
      <c r="I148" s="23">
        <v>24691.960999999999</v>
      </c>
      <c r="J148" s="23">
        <v>25062.485000000001</v>
      </c>
      <c r="K148" s="23">
        <v>24519.557000000001</v>
      </c>
      <c r="L148" s="23">
        <v>24531.905999999999</v>
      </c>
      <c r="M148" s="55">
        <v>24960.15</v>
      </c>
      <c r="N148" s="23">
        <v>25267.327000000001</v>
      </c>
      <c r="O148" s="23">
        <v>27616.061000000002</v>
      </c>
      <c r="P148" s="23">
        <v>28031.471000000001</v>
      </c>
      <c r="Q148" s="23">
        <v>28418.591</v>
      </c>
      <c r="R148" s="23">
        <v>28450.803</v>
      </c>
      <c r="T148" s="57"/>
    </row>
    <row r="149" spans="1:20" outlineLevel="1" x14ac:dyDescent="0.3">
      <c r="A149" s="35" t="s">
        <v>371</v>
      </c>
      <c r="B149" s="54">
        <v>1043.5650000000001</v>
      </c>
      <c r="C149" s="56">
        <v>1209.92</v>
      </c>
      <c r="D149" s="54">
        <v>1076.8720000000001</v>
      </c>
      <c r="E149" s="54">
        <v>1186.942</v>
      </c>
      <c r="F149" s="56">
        <v>1149.67</v>
      </c>
      <c r="G149" s="54">
        <v>1260.453</v>
      </c>
      <c r="H149" s="54">
        <v>1106.261</v>
      </c>
      <c r="I149" s="54">
        <v>1145.482</v>
      </c>
      <c r="J149" s="54">
        <v>1133.271</v>
      </c>
      <c r="K149" s="54">
        <v>1069.9459999999999</v>
      </c>
      <c r="L149" s="54">
        <v>972.92899999999997</v>
      </c>
      <c r="M149" s="54">
        <v>1033.3140000000001</v>
      </c>
      <c r="N149" s="54">
        <v>1020.471</v>
      </c>
      <c r="O149" s="54">
        <v>957.84100000000001</v>
      </c>
      <c r="P149" s="54">
        <v>776.61900000000003</v>
      </c>
      <c r="Q149" s="54">
        <v>791.31100000000004</v>
      </c>
      <c r="R149" s="54">
        <v>655.79899999999998</v>
      </c>
    </row>
    <row r="150" spans="1:20" outlineLevel="2" x14ac:dyDescent="0.3">
      <c r="A150" s="35" t="s">
        <v>372</v>
      </c>
      <c r="B150" s="23">
        <v>16.841999999999999</v>
      </c>
      <c r="C150" s="23">
        <v>16.841999999999999</v>
      </c>
      <c r="D150" s="23">
        <v>24.661999999999999</v>
      </c>
      <c r="E150" s="55">
        <v>31.88</v>
      </c>
      <c r="F150" s="23">
        <v>21.053000000000001</v>
      </c>
      <c r="G150" s="55">
        <v>12.03</v>
      </c>
      <c r="H150" s="23">
        <v>6.1859999999999999</v>
      </c>
      <c r="I150" s="23">
        <v>7.1520000000000001</v>
      </c>
      <c r="J150" s="23">
        <v>12.404999999999999</v>
      </c>
      <c r="K150" s="23">
        <v>10.337999999999999</v>
      </c>
      <c r="L150" s="23">
        <v>14.214</v>
      </c>
      <c r="M150" s="23">
        <v>16.344999999999999</v>
      </c>
      <c r="N150" s="23">
        <v>17.251999999999999</v>
      </c>
      <c r="O150" s="23">
        <v>15.961</v>
      </c>
      <c r="P150" s="23">
        <v>12.715999999999999</v>
      </c>
      <c r="Q150" s="23">
        <v>13.398999999999999</v>
      </c>
      <c r="R150" s="23">
        <v>13.523999999999999</v>
      </c>
    </row>
    <row r="151" spans="1:20" outlineLevel="2" x14ac:dyDescent="0.3">
      <c r="A151" s="35" t="s">
        <v>374</v>
      </c>
      <c r="B151" s="23">
        <v>915.43600000000004</v>
      </c>
      <c r="C151" s="23">
        <v>1067.502</v>
      </c>
      <c r="D151" s="23">
        <v>961.16200000000003</v>
      </c>
      <c r="E151" s="23">
        <v>1048.704</v>
      </c>
      <c r="F151" s="23">
        <v>1029.1990000000001</v>
      </c>
      <c r="G151" s="23">
        <v>1169.6880000000001</v>
      </c>
      <c r="H151" s="23">
        <v>1030.8230000000001</v>
      </c>
      <c r="I151" s="23">
        <v>1083.0740000000001</v>
      </c>
      <c r="J151" s="23">
        <v>1039.2840000000001</v>
      </c>
      <c r="K151" s="23">
        <v>967.60500000000002</v>
      </c>
      <c r="L151" s="23">
        <v>896.30899999999997</v>
      </c>
      <c r="M151" s="23">
        <v>960.17499999999995</v>
      </c>
      <c r="N151" s="23">
        <v>951.221</v>
      </c>
      <c r="O151" s="23">
        <v>894.226</v>
      </c>
      <c r="P151" s="55">
        <v>725.37</v>
      </c>
      <c r="Q151" s="23">
        <v>759.16200000000003</v>
      </c>
      <c r="R151" s="23">
        <v>617.30399999999997</v>
      </c>
    </row>
    <row r="152" spans="1:20" outlineLevel="2" x14ac:dyDescent="0.3">
      <c r="A152" s="35" t="s">
        <v>375</v>
      </c>
      <c r="B152" s="54">
        <v>1.085</v>
      </c>
      <c r="C152" s="54">
        <v>1.085</v>
      </c>
      <c r="D152" s="54">
        <v>2.1419999999999999</v>
      </c>
      <c r="E152" s="54">
        <v>0.54200000000000004</v>
      </c>
      <c r="F152" s="54">
        <v>1.3740000000000001</v>
      </c>
      <c r="G152" s="54">
        <v>0.95399999999999996</v>
      </c>
      <c r="H152" s="56">
        <v>0</v>
      </c>
      <c r="I152" s="54">
        <v>0.42599999999999999</v>
      </c>
      <c r="J152" s="54">
        <v>0.40799999999999997</v>
      </c>
      <c r="K152" s="56">
        <v>0</v>
      </c>
      <c r="L152" s="54">
        <v>0.44800000000000001</v>
      </c>
      <c r="M152" s="54">
        <v>0.434</v>
      </c>
      <c r="N152" s="56">
        <v>0</v>
      </c>
      <c r="O152" s="54">
        <v>8.6999999999999994E-2</v>
      </c>
      <c r="P152" s="54">
        <v>0.32400000000000001</v>
      </c>
      <c r="Q152" s="56">
        <v>0.13</v>
      </c>
      <c r="R152" s="54">
        <v>0.108</v>
      </c>
    </row>
    <row r="153" spans="1:20" outlineLevel="2" x14ac:dyDescent="0.3">
      <c r="A153" s="35" t="s">
        <v>376</v>
      </c>
      <c r="B153" s="23">
        <v>71.263000000000005</v>
      </c>
      <c r="C153" s="23">
        <v>80.671999999999997</v>
      </c>
      <c r="D153" s="23">
        <v>61.284999999999997</v>
      </c>
      <c r="E153" s="23">
        <v>78.554000000000002</v>
      </c>
      <c r="F153" s="23">
        <v>71.278000000000006</v>
      </c>
      <c r="G153" s="23">
        <v>51.317999999999998</v>
      </c>
      <c r="H153" s="55">
        <v>41.66</v>
      </c>
      <c r="I153" s="23">
        <v>41.124000000000002</v>
      </c>
      <c r="J153" s="23">
        <v>48.271999999999998</v>
      </c>
      <c r="K153" s="23">
        <v>41.692999999999998</v>
      </c>
      <c r="L153" s="23">
        <v>36.168999999999997</v>
      </c>
      <c r="M153" s="23">
        <v>32.298000000000002</v>
      </c>
      <c r="N153" s="23">
        <v>27.629000000000001</v>
      </c>
      <c r="O153" s="23">
        <v>25.158000000000001</v>
      </c>
      <c r="P153" s="23">
        <v>21.366</v>
      </c>
      <c r="Q153" s="55">
        <v>12.36</v>
      </c>
      <c r="R153" s="23">
        <v>12.356999999999999</v>
      </c>
    </row>
    <row r="154" spans="1:20" outlineLevel="2" x14ac:dyDescent="0.3">
      <c r="A154" s="35" t="s">
        <v>377</v>
      </c>
      <c r="B154" s="54">
        <v>33.466999999999999</v>
      </c>
      <c r="C154" s="54">
        <v>37.634999999999998</v>
      </c>
      <c r="D154" s="56">
        <v>22.76</v>
      </c>
      <c r="E154" s="54">
        <v>21.448</v>
      </c>
      <c r="F154" s="56">
        <v>21.85</v>
      </c>
      <c r="G154" s="54">
        <v>24.164000000000001</v>
      </c>
      <c r="H154" s="54">
        <v>24.158000000000001</v>
      </c>
      <c r="I154" s="54">
        <v>7.8689999999999998</v>
      </c>
      <c r="J154" s="54">
        <v>14.382</v>
      </c>
      <c r="K154" s="56">
        <v>15.76</v>
      </c>
      <c r="L154" s="54">
        <v>6.8019999999999996</v>
      </c>
      <c r="M154" s="54">
        <v>7.556</v>
      </c>
      <c r="N154" s="54">
        <v>6.3739999999999997</v>
      </c>
      <c r="O154" s="54">
        <v>5.6740000000000004</v>
      </c>
      <c r="P154" s="54">
        <v>2.9860000000000002</v>
      </c>
      <c r="Q154" s="54">
        <v>4.1849999999999996</v>
      </c>
      <c r="R154" s="54">
        <v>11.622</v>
      </c>
    </row>
    <row r="155" spans="1:20" outlineLevel="2" x14ac:dyDescent="0.3">
      <c r="A155" s="35" t="s">
        <v>379</v>
      </c>
      <c r="B155" s="56">
        <v>0</v>
      </c>
      <c r="C155" s="56">
        <v>0</v>
      </c>
      <c r="D155" s="56">
        <v>0</v>
      </c>
      <c r="E155" s="54">
        <v>1.1080000000000001</v>
      </c>
      <c r="F155" s="54">
        <v>0.55400000000000005</v>
      </c>
      <c r="G155" s="54">
        <v>0.57699999999999996</v>
      </c>
      <c r="H155" s="54">
        <v>1.867</v>
      </c>
      <c r="I155" s="54">
        <v>4.6580000000000004</v>
      </c>
      <c r="J155" s="54">
        <v>6.327</v>
      </c>
      <c r="K155" s="54">
        <v>5.7510000000000003</v>
      </c>
      <c r="L155" s="54">
        <v>3.5739999999999998</v>
      </c>
      <c r="M155" s="54">
        <v>7.9589999999999996</v>
      </c>
      <c r="N155" s="54">
        <v>7.391</v>
      </c>
      <c r="O155" s="54">
        <v>7.5919999999999996</v>
      </c>
      <c r="P155" s="54">
        <v>5.335</v>
      </c>
      <c r="Q155" s="54">
        <v>0.26300000000000001</v>
      </c>
      <c r="R155" s="54">
        <v>0.443</v>
      </c>
    </row>
    <row r="156" spans="1:20" outlineLevel="2" x14ac:dyDescent="0.3">
      <c r="A156" s="35" t="s">
        <v>380</v>
      </c>
      <c r="B156" s="55">
        <v>5.47</v>
      </c>
      <c r="C156" s="23">
        <v>6.1829999999999998</v>
      </c>
      <c r="D156" s="23">
        <v>4.8609999999999998</v>
      </c>
      <c r="E156" s="23">
        <v>4.7060000000000004</v>
      </c>
      <c r="F156" s="23">
        <v>4.3630000000000004</v>
      </c>
      <c r="G156" s="23">
        <v>1.722</v>
      </c>
      <c r="H156" s="23">
        <v>1.5660000000000001</v>
      </c>
      <c r="I156" s="23">
        <v>1.1779999999999999</v>
      </c>
      <c r="J156" s="23">
        <v>12.191000000000001</v>
      </c>
      <c r="K156" s="23">
        <v>28.800999999999998</v>
      </c>
      <c r="L156" s="23">
        <v>15.411</v>
      </c>
      <c r="M156" s="23">
        <v>8.5470000000000006</v>
      </c>
      <c r="N156" s="23">
        <v>10.605</v>
      </c>
      <c r="O156" s="23">
        <v>9.1440000000000001</v>
      </c>
      <c r="P156" s="23">
        <v>8.5210000000000008</v>
      </c>
      <c r="Q156" s="23">
        <v>1.8120000000000001</v>
      </c>
      <c r="R156" s="23">
        <v>0.441</v>
      </c>
    </row>
    <row r="157" spans="1:20" outlineLevel="1" x14ac:dyDescent="0.3">
      <c r="A157" s="35" t="s">
        <v>385</v>
      </c>
      <c r="B157" s="56">
        <v>30.27</v>
      </c>
      <c r="C157" s="56">
        <v>32.33</v>
      </c>
      <c r="D157" s="54">
        <v>35.469000000000001</v>
      </c>
      <c r="E157" s="54">
        <v>44.305999999999997</v>
      </c>
      <c r="F157" s="54">
        <v>50.637</v>
      </c>
      <c r="G157" s="54">
        <v>59.222000000000001</v>
      </c>
      <c r="H157" s="54">
        <v>49.691000000000003</v>
      </c>
      <c r="I157" s="54">
        <v>47.713000000000001</v>
      </c>
      <c r="J157" s="54">
        <v>51.890999999999998</v>
      </c>
      <c r="K157" s="54">
        <v>48.030999999999999</v>
      </c>
      <c r="L157" s="54">
        <v>51.232999999999997</v>
      </c>
      <c r="M157" s="54">
        <v>58.734000000000002</v>
      </c>
      <c r="N157" s="54">
        <v>61.823999999999998</v>
      </c>
      <c r="O157" s="54">
        <v>64.552000000000007</v>
      </c>
      <c r="P157" s="54">
        <v>63.737000000000002</v>
      </c>
      <c r="Q157" s="54">
        <v>47.322000000000003</v>
      </c>
      <c r="R157" s="56">
        <v>45.35</v>
      </c>
    </row>
    <row r="158" spans="1:20" outlineLevel="2" x14ac:dyDescent="0.3">
      <c r="A158" s="35" t="s">
        <v>386</v>
      </c>
      <c r="B158" s="55">
        <v>30.27</v>
      </c>
      <c r="C158" s="55">
        <v>32.33</v>
      </c>
      <c r="D158" s="23">
        <v>35.151000000000003</v>
      </c>
      <c r="E158" s="23">
        <v>43.988</v>
      </c>
      <c r="F158" s="23">
        <v>50.637</v>
      </c>
      <c r="G158" s="23">
        <v>58.904000000000003</v>
      </c>
      <c r="H158" s="23">
        <v>49.372999999999998</v>
      </c>
      <c r="I158" s="23">
        <v>47.395000000000003</v>
      </c>
      <c r="J158" s="23">
        <v>51.256</v>
      </c>
      <c r="K158" s="23">
        <v>47.713000000000001</v>
      </c>
      <c r="L158" s="23">
        <v>50.914999999999999</v>
      </c>
      <c r="M158" s="23">
        <v>58.415999999999997</v>
      </c>
      <c r="N158" s="23">
        <v>61.347999999999999</v>
      </c>
      <c r="O158" s="23">
        <v>63.901000000000003</v>
      </c>
      <c r="P158" s="23">
        <v>63.290999999999997</v>
      </c>
      <c r="Q158" s="23">
        <v>47.162999999999997</v>
      </c>
      <c r="R158" s="23">
        <v>45.064</v>
      </c>
    </row>
    <row r="159" spans="1:20" outlineLevel="2" x14ac:dyDescent="0.3">
      <c r="A159" s="35" t="s">
        <v>387</v>
      </c>
      <c r="B159" s="56">
        <v>0</v>
      </c>
      <c r="C159" s="56">
        <v>0</v>
      </c>
      <c r="D159" s="54">
        <v>0.318</v>
      </c>
      <c r="E159" s="54">
        <v>0.318</v>
      </c>
      <c r="F159" s="56">
        <v>0</v>
      </c>
      <c r="G159" s="54">
        <v>0.318</v>
      </c>
      <c r="H159" s="54">
        <v>0.318</v>
      </c>
      <c r="I159" s="54">
        <v>0.318</v>
      </c>
      <c r="J159" s="54">
        <v>0.63500000000000001</v>
      </c>
      <c r="K159" s="54">
        <v>0.318</v>
      </c>
      <c r="L159" s="54">
        <v>0.318</v>
      </c>
      <c r="M159" s="54">
        <v>0.318</v>
      </c>
      <c r="N159" s="54">
        <v>0.47599999999999998</v>
      </c>
      <c r="O159" s="54">
        <v>0.65100000000000002</v>
      </c>
      <c r="P159" s="54">
        <v>0.44600000000000001</v>
      </c>
      <c r="Q159" s="54">
        <v>0.159</v>
      </c>
      <c r="R159" s="54">
        <v>0.28599999999999998</v>
      </c>
    </row>
    <row r="160" spans="1:20" outlineLevel="1" x14ac:dyDescent="0.3">
      <c r="A160" s="35" t="s">
        <v>238</v>
      </c>
      <c r="B160" s="54">
        <v>4359.2830000000004</v>
      </c>
      <c r="C160" s="54">
        <v>3799.4050000000002</v>
      </c>
      <c r="D160" s="54">
        <v>3700.0140000000001</v>
      </c>
      <c r="E160" s="54">
        <v>3692.636</v>
      </c>
      <c r="F160" s="54">
        <v>3386.8879999999999</v>
      </c>
      <c r="G160" s="54">
        <v>4339.5209999999997</v>
      </c>
      <c r="H160" s="54">
        <v>4236.4970000000003</v>
      </c>
      <c r="I160" s="54">
        <v>4403.6679999999997</v>
      </c>
      <c r="J160" s="54">
        <v>4339.509</v>
      </c>
      <c r="K160" s="54">
        <v>4020.3110000000001</v>
      </c>
      <c r="L160" s="54">
        <v>3652.6489999999999</v>
      </c>
      <c r="M160" s="54">
        <v>3695.6010000000001</v>
      </c>
      <c r="N160" s="54">
        <v>3637.1030000000001</v>
      </c>
      <c r="O160" s="54">
        <v>3448.6689999999999</v>
      </c>
      <c r="P160" s="54">
        <v>3719.1469999999999</v>
      </c>
      <c r="Q160" s="54">
        <v>3582.4989999999998</v>
      </c>
      <c r="R160" s="54">
        <v>3784.462</v>
      </c>
    </row>
    <row r="161" spans="1:18" outlineLevel="1" x14ac:dyDescent="0.3">
      <c r="A161" s="35" t="s">
        <v>388</v>
      </c>
      <c r="B161" s="23">
        <v>16475.017</v>
      </c>
      <c r="C161" s="23">
        <v>15009.785</v>
      </c>
      <c r="D161" s="55">
        <v>14522.15</v>
      </c>
      <c r="E161" s="55">
        <v>14308.76</v>
      </c>
      <c r="F161" s="23">
        <v>13819.198</v>
      </c>
      <c r="G161" s="23">
        <v>13571.509</v>
      </c>
      <c r="H161" s="23">
        <v>13228.208000000001</v>
      </c>
      <c r="I161" s="55">
        <v>12584.73</v>
      </c>
      <c r="J161" s="23">
        <v>12822.786</v>
      </c>
      <c r="K161" s="23">
        <v>12519.081</v>
      </c>
      <c r="L161" s="23">
        <v>12697.154</v>
      </c>
      <c r="M161" s="23">
        <v>12740.550999999999</v>
      </c>
      <c r="N161" s="23">
        <v>12921.120999999999</v>
      </c>
      <c r="O161" s="23">
        <v>15421.084999999999</v>
      </c>
      <c r="P161" s="23">
        <v>15538.876</v>
      </c>
      <c r="Q161" s="23">
        <v>16077.593000000001</v>
      </c>
      <c r="R161" s="23">
        <v>15836.728999999999</v>
      </c>
    </row>
    <row r="162" spans="1:18" outlineLevel="2" x14ac:dyDescent="0.3">
      <c r="A162" s="35" t="s">
        <v>390</v>
      </c>
      <c r="B162" s="23">
        <v>664.93799999999999</v>
      </c>
      <c r="C162" s="23">
        <v>622.79100000000005</v>
      </c>
      <c r="D162" s="23">
        <v>588.94299999999998</v>
      </c>
      <c r="E162" s="23">
        <v>625.58199999999999</v>
      </c>
      <c r="F162" s="55">
        <v>583.47</v>
      </c>
      <c r="G162" s="23">
        <v>611.96900000000005</v>
      </c>
      <c r="H162" s="55">
        <v>582.16999999999996</v>
      </c>
      <c r="I162" s="23">
        <v>577.33399999999995</v>
      </c>
      <c r="J162" s="23">
        <v>648.19399999999996</v>
      </c>
      <c r="K162" s="23">
        <v>568.61400000000003</v>
      </c>
      <c r="L162" s="23">
        <v>604.577</v>
      </c>
      <c r="M162" s="23">
        <v>565.53399999999999</v>
      </c>
      <c r="N162" s="23">
        <v>541.149</v>
      </c>
      <c r="O162" s="23">
        <v>759.80799999999999</v>
      </c>
      <c r="P162" s="23">
        <v>815.41300000000001</v>
      </c>
      <c r="Q162" s="23">
        <v>816.84900000000005</v>
      </c>
      <c r="R162" s="23">
        <v>802.11300000000006</v>
      </c>
    </row>
    <row r="163" spans="1:18" outlineLevel="2" x14ac:dyDescent="0.3">
      <c r="A163" s="35" t="s">
        <v>392</v>
      </c>
      <c r="B163" s="54">
        <v>126.203</v>
      </c>
      <c r="C163" s="54">
        <v>126.48699999999999</v>
      </c>
      <c r="D163" s="54">
        <v>114.69499999999999</v>
      </c>
      <c r="E163" s="54">
        <v>112.693</v>
      </c>
      <c r="F163" s="56">
        <v>108.98</v>
      </c>
      <c r="G163" s="54">
        <v>102.155</v>
      </c>
      <c r="H163" s="54">
        <v>86.597999999999999</v>
      </c>
      <c r="I163" s="54">
        <v>97.216999999999999</v>
      </c>
      <c r="J163" s="54">
        <v>92.721000000000004</v>
      </c>
      <c r="K163" s="56">
        <v>88.42</v>
      </c>
      <c r="L163" s="54">
        <v>96.049000000000007</v>
      </c>
      <c r="M163" s="54">
        <v>85.349000000000004</v>
      </c>
      <c r="N163" s="54">
        <v>86.558999999999997</v>
      </c>
      <c r="O163" s="54">
        <v>138.50800000000001</v>
      </c>
      <c r="P163" s="54">
        <v>142.33799999999999</v>
      </c>
      <c r="Q163" s="54">
        <v>146.71799999999999</v>
      </c>
      <c r="R163" s="54">
        <v>178.602</v>
      </c>
    </row>
    <row r="164" spans="1:18" outlineLevel="2" x14ac:dyDescent="0.3">
      <c r="A164" s="35" t="s">
        <v>394</v>
      </c>
      <c r="B164" s="23">
        <v>8.2159999999999993</v>
      </c>
      <c r="C164" s="23">
        <v>6.1619999999999999</v>
      </c>
      <c r="D164" s="23">
        <v>6.1619999999999999</v>
      </c>
      <c r="E164" s="23">
        <v>14.395</v>
      </c>
      <c r="F164" s="23">
        <v>12.342000000000001</v>
      </c>
      <c r="G164" s="23">
        <v>8.234</v>
      </c>
      <c r="H164" s="23">
        <v>7.2069999999999999</v>
      </c>
      <c r="I164" s="23">
        <v>5.1529999999999996</v>
      </c>
      <c r="J164" s="23">
        <v>4.1260000000000003</v>
      </c>
      <c r="K164" s="23">
        <v>4.1260000000000003</v>
      </c>
      <c r="L164" s="23">
        <v>7.2069999999999999</v>
      </c>
      <c r="M164" s="23">
        <v>7.2069999999999999</v>
      </c>
      <c r="N164" s="23">
        <v>7.9660000000000002</v>
      </c>
      <c r="O164" s="23">
        <v>6.8789999999999996</v>
      </c>
      <c r="P164" s="23">
        <v>8.048</v>
      </c>
      <c r="Q164" s="23">
        <v>6.5490000000000004</v>
      </c>
      <c r="R164" s="23">
        <v>6.3579999999999997</v>
      </c>
    </row>
    <row r="165" spans="1:18" outlineLevel="2" x14ac:dyDescent="0.3">
      <c r="A165" s="35" t="s">
        <v>395</v>
      </c>
      <c r="B165" s="54">
        <v>15051.633</v>
      </c>
      <c r="C165" s="54">
        <v>13791.239</v>
      </c>
      <c r="D165" s="54">
        <v>13412.972</v>
      </c>
      <c r="E165" s="54">
        <v>13267.054</v>
      </c>
      <c r="F165" s="54">
        <v>12868.162</v>
      </c>
      <c r="G165" s="54">
        <v>12666.769</v>
      </c>
      <c r="H165" s="56">
        <v>12380.09</v>
      </c>
      <c r="I165" s="54">
        <v>11760.001</v>
      </c>
      <c r="J165" s="54">
        <v>11949.873</v>
      </c>
      <c r="K165" s="54">
        <v>11750.074000000001</v>
      </c>
      <c r="L165" s="54">
        <v>11905.511</v>
      </c>
      <c r="M165" s="54">
        <v>11996.352000000001</v>
      </c>
      <c r="N165" s="54">
        <v>12203.929</v>
      </c>
      <c r="O165" s="54">
        <v>14446.337</v>
      </c>
      <c r="P165" s="54">
        <v>14506.584000000001</v>
      </c>
      <c r="Q165" s="54">
        <v>15047.501</v>
      </c>
      <c r="R165" s="54">
        <v>14798.769</v>
      </c>
    </row>
    <row r="166" spans="1:18" outlineLevel="2" x14ac:dyDescent="0.3">
      <c r="A166" s="35" t="s">
        <v>396</v>
      </c>
      <c r="B166" s="23">
        <v>624.03300000000002</v>
      </c>
      <c r="C166" s="55">
        <v>463.11</v>
      </c>
      <c r="D166" s="23">
        <v>399.37900000000002</v>
      </c>
      <c r="E166" s="23">
        <v>289.03399999999999</v>
      </c>
      <c r="F166" s="23">
        <v>246.24199999999999</v>
      </c>
      <c r="G166" s="55">
        <v>182.38</v>
      </c>
      <c r="H166" s="23">
        <v>172.137</v>
      </c>
      <c r="I166" s="23">
        <v>145.024</v>
      </c>
      <c r="J166" s="23">
        <v>127.873</v>
      </c>
      <c r="K166" s="23">
        <v>107.848</v>
      </c>
      <c r="L166" s="23">
        <v>83.808000000000007</v>
      </c>
      <c r="M166" s="23">
        <v>86.108999999999995</v>
      </c>
      <c r="N166" s="23">
        <v>81.516999999999996</v>
      </c>
      <c r="O166" s="23">
        <v>69.555999999999997</v>
      </c>
      <c r="P166" s="23">
        <v>66.254000000000005</v>
      </c>
      <c r="Q166" s="23">
        <v>59.747</v>
      </c>
      <c r="R166" s="23">
        <v>50.646000000000001</v>
      </c>
    </row>
    <row r="167" spans="1:18" outlineLevel="2" x14ac:dyDescent="0.3">
      <c r="A167" s="35" t="s">
        <v>400</v>
      </c>
      <c r="B167" s="55">
        <v>0</v>
      </c>
      <c r="C167" s="55">
        <v>0</v>
      </c>
      <c r="D167" s="55">
        <v>0</v>
      </c>
      <c r="E167" s="55">
        <v>0</v>
      </c>
      <c r="F167" s="55">
        <v>0</v>
      </c>
      <c r="G167" s="55">
        <v>0</v>
      </c>
      <c r="H167" s="55">
        <v>0</v>
      </c>
      <c r="I167" s="55">
        <v>0</v>
      </c>
      <c r="J167" s="55">
        <v>0</v>
      </c>
      <c r="K167" s="55">
        <v>0</v>
      </c>
      <c r="L167" s="55">
        <v>0</v>
      </c>
      <c r="M167" s="55">
        <v>0</v>
      </c>
      <c r="N167" s="23">
        <v>1E-3</v>
      </c>
      <c r="O167" s="23">
        <v>1E-3</v>
      </c>
      <c r="P167" s="23">
        <v>0.24099999999999999</v>
      </c>
      <c r="Q167" s="23">
        <v>0.23200000000000001</v>
      </c>
      <c r="R167" s="23">
        <v>0.23799999999999999</v>
      </c>
    </row>
    <row r="168" spans="1:18" outlineLevel="1" x14ac:dyDescent="0.3">
      <c r="A168" s="35" t="s">
        <v>401</v>
      </c>
      <c r="B168" s="54">
        <v>1262.318</v>
      </c>
      <c r="C168" s="54">
        <v>1374.5440000000001</v>
      </c>
      <c r="D168" s="54">
        <v>1559.279</v>
      </c>
      <c r="E168" s="54">
        <v>1570.6669999999999</v>
      </c>
      <c r="F168" s="54">
        <v>1726.7619999999999</v>
      </c>
      <c r="G168" s="54">
        <v>1911.934</v>
      </c>
      <c r="H168" s="54">
        <v>1998.2439999999999</v>
      </c>
      <c r="I168" s="56">
        <v>2103.3000000000002</v>
      </c>
      <c r="J168" s="54">
        <v>2336.6390000000001</v>
      </c>
      <c r="K168" s="54">
        <v>2366.9160000000002</v>
      </c>
      <c r="L168" s="54">
        <v>2529.3229999999999</v>
      </c>
      <c r="M168" s="56">
        <v>2768.5</v>
      </c>
      <c r="N168" s="56">
        <v>2896.19</v>
      </c>
      <c r="O168" s="54">
        <v>2988.886</v>
      </c>
      <c r="P168" s="54">
        <v>3045.8609999999999</v>
      </c>
      <c r="Q168" s="54">
        <v>3142.7979999999998</v>
      </c>
      <c r="R168" s="54">
        <v>3243.5479999999998</v>
      </c>
    </row>
    <row r="169" spans="1:18" outlineLevel="2" x14ac:dyDescent="0.3">
      <c r="A169" s="35" t="s">
        <v>268</v>
      </c>
      <c r="B169" s="54">
        <v>48.198999999999998</v>
      </c>
      <c r="C169" s="54">
        <v>48.892000000000003</v>
      </c>
      <c r="D169" s="54">
        <v>48.127000000000002</v>
      </c>
      <c r="E169" s="56">
        <v>50.85</v>
      </c>
      <c r="F169" s="54">
        <v>52.598999999999997</v>
      </c>
      <c r="G169" s="54">
        <v>50.066000000000003</v>
      </c>
      <c r="H169" s="54">
        <v>53.003999999999998</v>
      </c>
      <c r="I169" s="54">
        <v>66.185000000000002</v>
      </c>
      <c r="J169" s="54">
        <v>77.314999999999998</v>
      </c>
      <c r="K169" s="54">
        <v>113.931</v>
      </c>
      <c r="L169" s="54">
        <v>131.708</v>
      </c>
      <c r="M169" s="56">
        <v>141.16999999999999</v>
      </c>
      <c r="N169" s="54">
        <v>148.53299999999999</v>
      </c>
      <c r="O169" s="54">
        <v>170.262</v>
      </c>
      <c r="P169" s="54">
        <v>215.45699999999999</v>
      </c>
      <c r="Q169" s="54">
        <v>226.50899999999999</v>
      </c>
      <c r="R169" s="56">
        <v>225.02</v>
      </c>
    </row>
    <row r="170" spans="1:18" outlineLevel="2" x14ac:dyDescent="0.3">
      <c r="A170" s="35" t="s">
        <v>402</v>
      </c>
      <c r="B170" s="54">
        <v>2.915</v>
      </c>
      <c r="C170" s="56">
        <v>3.34</v>
      </c>
      <c r="D170" s="54">
        <v>3.7210000000000001</v>
      </c>
      <c r="E170" s="54">
        <v>4.117</v>
      </c>
      <c r="F170" s="54">
        <v>5.2249999999999996</v>
      </c>
      <c r="G170" s="54">
        <v>6.0279999999999996</v>
      </c>
      <c r="H170" s="54">
        <v>6.7709999999999999</v>
      </c>
      <c r="I170" s="54">
        <v>6.016</v>
      </c>
      <c r="J170" s="54">
        <v>6.601</v>
      </c>
      <c r="K170" s="54">
        <v>6.9379999999999997</v>
      </c>
      <c r="L170" s="54">
        <v>7.7469999999999999</v>
      </c>
      <c r="M170" s="54">
        <v>7.8659999999999997</v>
      </c>
      <c r="N170" s="54">
        <v>8.1720000000000006</v>
      </c>
      <c r="O170" s="56">
        <v>8.1199999999999992</v>
      </c>
      <c r="P170" s="54">
        <v>8.2629999999999999</v>
      </c>
      <c r="Q170" s="54">
        <v>8.9440000000000008</v>
      </c>
      <c r="R170" s="54">
        <v>8.9280000000000008</v>
      </c>
    </row>
    <row r="171" spans="1:18" outlineLevel="2" x14ac:dyDescent="0.3">
      <c r="A171" s="35" t="s">
        <v>404</v>
      </c>
      <c r="B171" s="54">
        <v>1124.6880000000001</v>
      </c>
      <c r="C171" s="56">
        <v>1172.07</v>
      </c>
      <c r="D171" s="54">
        <v>1204.886</v>
      </c>
      <c r="E171" s="54">
        <v>1207.691</v>
      </c>
      <c r="F171" s="54">
        <v>1262.423</v>
      </c>
      <c r="G171" s="54">
        <v>1382.896</v>
      </c>
      <c r="H171" s="54">
        <v>1417.867</v>
      </c>
      <c r="I171" s="54">
        <v>1400.675</v>
      </c>
      <c r="J171" s="54">
        <v>1509.2139999999999</v>
      </c>
      <c r="K171" s="54">
        <v>1416.4349999999999</v>
      </c>
      <c r="L171" s="54">
        <v>1473.587</v>
      </c>
      <c r="M171" s="54">
        <v>1531.9169999999999</v>
      </c>
      <c r="N171" s="56">
        <v>1575.89</v>
      </c>
      <c r="O171" s="56">
        <v>1545.44</v>
      </c>
      <c r="P171" s="54">
        <v>1563.818</v>
      </c>
      <c r="Q171" s="54">
        <v>1564.8150000000001</v>
      </c>
      <c r="R171" s="54">
        <v>1696.9159999999999</v>
      </c>
    </row>
    <row r="172" spans="1:18" outlineLevel="2" x14ac:dyDescent="0.3">
      <c r="A172" s="35" t="s">
        <v>406</v>
      </c>
      <c r="B172" s="55">
        <v>0.4</v>
      </c>
      <c r="C172" s="55">
        <v>0.44</v>
      </c>
      <c r="D172" s="23">
        <v>0.58599999999999997</v>
      </c>
      <c r="E172" s="23">
        <v>0.72599999999999998</v>
      </c>
      <c r="F172" s="23">
        <v>0.51800000000000002</v>
      </c>
      <c r="G172" s="23">
        <v>0.64600000000000002</v>
      </c>
      <c r="H172" s="23">
        <v>0.65800000000000003</v>
      </c>
      <c r="I172" s="23">
        <v>1.9750000000000001</v>
      </c>
      <c r="J172" s="23">
        <v>1.8360000000000001</v>
      </c>
      <c r="K172" s="55">
        <v>1.81</v>
      </c>
      <c r="L172" s="55">
        <v>1.75</v>
      </c>
      <c r="M172" s="23">
        <v>1.093</v>
      </c>
      <c r="N172" s="23">
        <v>1.7110000000000001</v>
      </c>
      <c r="O172" s="55">
        <v>4.1399999999999997</v>
      </c>
      <c r="P172" s="23">
        <v>3.4689999999999999</v>
      </c>
      <c r="Q172" s="23">
        <v>3.5609999999999999</v>
      </c>
      <c r="R172" s="23">
        <v>5.4669999999999996</v>
      </c>
    </row>
    <row r="173" spans="1:18" outlineLevel="2" x14ac:dyDescent="0.3">
      <c r="A173" s="35" t="s">
        <v>407</v>
      </c>
      <c r="B173" s="54">
        <v>29.093</v>
      </c>
      <c r="C173" s="54">
        <v>29.533999999999999</v>
      </c>
      <c r="D173" s="56">
        <v>68.260000000000005</v>
      </c>
      <c r="E173" s="54">
        <v>58.298999999999999</v>
      </c>
      <c r="F173" s="54">
        <v>32.427999999999997</v>
      </c>
      <c r="G173" s="54">
        <v>16.917999999999999</v>
      </c>
      <c r="H173" s="54">
        <v>7.9589999999999996</v>
      </c>
      <c r="I173" s="54">
        <v>8.8230000000000004</v>
      </c>
      <c r="J173" s="54">
        <v>6.8140000000000001</v>
      </c>
      <c r="K173" s="54">
        <v>14.148999999999999</v>
      </c>
      <c r="L173" s="54">
        <v>14.006</v>
      </c>
      <c r="M173" s="54">
        <v>17.809000000000001</v>
      </c>
      <c r="N173" s="54">
        <v>34.302</v>
      </c>
      <c r="O173" s="54">
        <v>31.369</v>
      </c>
      <c r="P173" s="54">
        <v>22.215</v>
      </c>
      <c r="Q173" s="54">
        <v>23.196000000000002</v>
      </c>
      <c r="R173" s="56">
        <v>24.2</v>
      </c>
    </row>
    <row r="174" spans="1:18" outlineLevel="2" x14ac:dyDescent="0.3">
      <c r="A174" s="35" t="s">
        <v>408</v>
      </c>
      <c r="B174" s="23">
        <v>3.0880000000000001</v>
      </c>
      <c r="C174" s="23">
        <v>13.333</v>
      </c>
      <c r="D174" s="23">
        <v>20.378</v>
      </c>
      <c r="E174" s="23">
        <v>21.452999999999999</v>
      </c>
      <c r="F174" s="23">
        <v>27.695</v>
      </c>
      <c r="G174" s="23">
        <v>29.277000000000001</v>
      </c>
      <c r="H174" s="23">
        <v>30.673999999999999</v>
      </c>
      <c r="I174" s="23">
        <v>51.777999999999999</v>
      </c>
      <c r="J174" s="23">
        <v>64.724000000000004</v>
      </c>
      <c r="K174" s="23">
        <v>68.599000000000004</v>
      </c>
      <c r="L174" s="23">
        <v>76.216999999999999</v>
      </c>
      <c r="M174" s="23">
        <v>167.30199999999999</v>
      </c>
      <c r="N174" s="23">
        <v>213.18799999999999</v>
      </c>
      <c r="O174" s="23">
        <v>362.86700000000002</v>
      </c>
      <c r="P174" s="23">
        <v>375.93400000000003</v>
      </c>
      <c r="Q174" s="23">
        <v>435.32499999999999</v>
      </c>
      <c r="R174" s="23">
        <v>437.553</v>
      </c>
    </row>
    <row r="175" spans="1:18" outlineLevel="2" x14ac:dyDescent="0.3">
      <c r="A175" s="35" t="s">
        <v>409</v>
      </c>
      <c r="B175" s="54">
        <v>18.315999999999999</v>
      </c>
      <c r="C175" s="54">
        <v>28.507000000000001</v>
      </c>
      <c r="D175" s="54">
        <v>33.311</v>
      </c>
      <c r="E175" s="54">
        <v>27.212</v>
      </c>
      <c r="F175" s="56">
        <v>41.33</v>
      </c>
      <c r="G175" s="54">
        <v>34.875999999999998</v>
      </c>
      <c r="H175" s="54">
        <v>16.460999999999999</v>
      </c>
      <c r="I175" s="54">
        <v>6.5309999999999997</v>
      </c>
      <c r="J175" s="54">
        <v>5.476</v>
      </c>
      <c r="K175" s="54">
        <v>5.9109999999999996</v>
      </c>
      <c r="L175" s="54">
        <v>6.6859999999999999</v>
      </c>
      <c r="M175" s="54">
        <v>6.9480000000000004</v>
      </c>
      <c r="N175" s="54">
        <v>7.7110000000000003</v>
      </c>
      <c r="O175" s="54">
        <v>9.3469999999999995</v>
      </c>
      <c r="P175" s="54">
        <v>10.938000000000001</v>
      </c>
      <c r="Q175" s="54">
        <v>11.451000000000001</v>
      </c>
      <c r="R175" s="54">
        <v>7.766</v>
      </c>
    </row>
    <row r="176" spans="1:18" outlineLevel="2" x14ac:dyDescent="0.3">
      <c r="A176" s="35" t="s">
        <v>410</v>
      </c>
      <c r="B176" s="23">
        <v>35.619</v>
      </c>
      <c r="C176" s="23">
        <v>78.433000000000007</v>
      </c>
      <c r="D176" s="23">
        <v>180.00899999999999</v>
      </c>
      <c r="E176" s="23">
        <v>200.31700000000001</v>
      </c>
      <c r="F176" s="23">
        <v>304.54599999999999</v>
      </c>
      <c r="G176" s="23">
        <v>391.22399999999999</v>
      </c>
      <c r="H176" s="55">
        <v>464.85</v>
      </c>
      <c r="I176" s="23">
        <v>561.31700000000001</v>
      </c>
      <c r="J176" s="23">
        <v>664.654</v>
      </c>
      <c r="K176" s="23">
        <v>739.14200000000005</v>
      </c>
      <c r="L176" s="23">
        <v>817.62300000000005</v>
      </c>
      <c r="M176" s="23">
        <v>894.39300000000003</v>
      </c>
      <c r="N176" s="23">
        <v>906.68799999999999</v>
      </c>
      <c r="O176" s="23">
        <v>857.34199999999998</v>
      </c>
      <c r="P176" s="23">
        <v>845.76800000000003</v>
      </c>
      <c r="Q176" s="55">
        <v>869</v>
      </c>
      <c r="R176" s="23">
        <v>837.69600000000003</v>
      </c>
    </row>
    <row r="177" spans="1:18" outlineLevel="1" x14ac:dyDescent="0.3">
      <c r="A177" s="35" t="s">
        <v>412</v>
      </c>
      <c r="B177" s="23">
        <v>2.4E-2</v>
      </c>
      <c r="C177" s="23">
        <v>9.6000000000000002E-2</v>
      </c>
      <c r="D177" s="23">
        <v>2.4E-2</v>
      </c>
      <c r="E177" s="23">
        <v>2.4E-2</v>
      </c>
      <c r="F177" s="55">
        <v>0</v>
      </c>
      <c r="G177" s="55">
        <v>0</v>
      </c>
      <c r="H177" s="55">
        <v>0</v>
      </c>
      <c r="I177" s="55">
        <v>0</v>
      </c>
      <c r="J177" s="55">
        <v>0</v>
      </c>
      <c r="K177" s="55">
        <v>0</v>
      </c>
      <c r="L177" s="55">
        <v>0</v>
      </c>
      <c r="M177" s="23">
        <v>0.83599999999999997</v>
      </c>
      <c r="N177" s="55">
        <v>0</v>
      </c>
      <c r="O177" s="55">
        <v>0</v>
      </c>
      <c r="P177" s="55">
        <v>0</v>
      </c>
      <c r="Q177" s="55">
        <v>0</v>
      </c>
      <c r="R177" s="23">
        <v>0.23899999999999999</v>
      </c>
    </row>
    <row r="178" spans="1:18" outlineLevel="2" x14ac:dyDescent="0.3">
      <c r="A178" s="35" t="s">
        <v>413</v>
      </c>
      <c r="B178" s="54">
        <v>2.4E-2</v>
      </c>
      <c r="C178" s="54">
        <v>9.6000000000000002E-2</v>
      </c>
      <c r="D178" s="54">
        <v>2.4E-2</v>
      </c>
      <c r="E178" s="54">
        <v>2.4E-2</v>
      </c>
      <c r="F178" s="56">
        <v>0</v>
      </c>
      <c r="G178" s="56">
        <v>0</v>
      </c>
      <c r="H178" s="56">
        <v>0</v>
      </c>
      <c r="I178" s="56">
        <v>0</v>
      </c>
      <c r="J178" s="56">
        <v>0</v>
      </c>
      <c r="K178" s="56">
        <v>0</v>
      </c>
      <c r="L178" s="56">
        <v>0</v>
      </c>
      <c r="M178" s="54">
        <v>0.83599999999999997</v>
      </c>
      <c r="N178" s="56">
        <v>0</v>
      </c>
      <c r="O178" s="56">
        <v>0</v>
      </c>
      <c r="P178" s="56">
        <v>0</v>
      </c>
      <c r="Q178" s="56">
        <v>0</v>
      </c>
      <c r="R178" s="54">
        <v>0.23899999999999999</v>
      </c>
    </row>
    <row r="179" spans="1:18" outlineLevel="1" x14ac:dyDescent="0.3">
      <c r="A179" s="35" t="s">
        <v>221</v>
      </c>
      <c r="B179" s="23">
        <v>3443.0430000000001</v>
      </c>
      <c r="C179" s="23">
        <v>3569.0149999999999</v>
      </c>
      <c r="D179" s="55">
        <v>3622.48</v>
      </c>
      <c r="E179" s="23">
        <v>3626.5520000000001</v>
      </c>
      <c r="F179" s="23">
        <v>3679.0239999999999</v>
      </c>
      <c r="G179" s="23">
        <v>4058.8760000000002</v>
      </c>
      <c r="H179" s="23">
        <v>4046.1469999999999</v>
      </c>
      <c r="I179" s="23">
        <v>4123.5420000000004</v>
      </c>
      <c r="J179" s="23">
        <v>4100.0730000000003</v>
      </c>
      <c r="K179" s="23">
        <v>4214.7160000000003</v>
      </c>
      <c r="L179" s="23">
        <v>4388.7070000000003</v>
      </c>
      <c r="M179" s="23">
        <v>4407.0709999999999</v>
      </c>
      <c r="N179" s="23">
        <v>4476.5879999999997</v>
      </c>
      <c r="O179" s="23">
        <v>4473.777</v>
      </c>
      <c r="P179" s="23">
        <v>4587.5230000000001</v>
      </c>
      <c r="Q179" s="23">
        <v>4454.4549999999999</v>
      </c>
      <c r="R179" s="23">
        <v>4439.5159999999996</v>
      </c>
    </row>
    <row r="180" spans="1:18" outlineLevel="1" x14ac:dyDescent="0.3">
      <c r="A180" s="100" t="s">
        <v>415</v>
      </c>
      <c r="B180" s="23">
        <v>376.98200000000003</v>
      </c>
      <c r="C180" s="23">
        <v>353.08800000000002</v>
      </c>
      <c r="D180" s="23">
        <v>328.59300000000002</v>
      </c>
      <c r="E180" s="23">
        <v>291.76799999999997</v>
      </c>
      <c r="F180" s="23">
        <v>293.80500000000001</v>
      </c>
      <c r="G180" s="23">
        <v>303.22399999999999</v>
      </c>
      <c r="H180" s="23">
        <v>287.721</v>
      </c>
      <c r="I180" s="23">
        <v>283.52600000000001</v>
      </c>
      <c r="J180" s="23">
        <v>278.31400000000002</v>
      </c>
      <c r="K180" s="23">
        <v>280.553</v>
      </c>
      <c r="L180" s="23">
        <v>239.916</v>
      </c>
      <c r="M180" s="23">
        <v>255.548</v>
      </c>
      <c r="N180" s="23">
        <v>254.029</v>
      </c>
      <c r="O180" s="23">
        <v>261.24599999999998</v>
      </c>
      <c r="P180" s="23">
        <v>299.702</v>
      </c>
      <c r="Q180" s="23">
        <v>322.61200000000002</v>
      </c>
      <c r="R180" s="23">
        <v>445.16300000000001</v>
      </c>
    </row>
    <row r="181" spans="1:18" outlineLevel="1" x14ac:dyDescent="0.3"/>
    <row r="182" spans="1:18" s="18" customFormat="1" ht="16.5" customHeight="1" outlineLevel="1" x14ac:dyDescent="0.3">
      <c r="A182" s="18" t="s">
        <v>421</v>
      </c>
    </row>
    <row r="183" spans="1:18" outlineLevel="1" x14ac:dyDescent="0.3">
      <c r="A183" s="11"/>
      <c r="B183" s="11" t="s">
        <v>29</v>
      </c>
      <c r="C183" s="11" t="s">
        <v>56</v>
      </c>
      <c r="D183" s="11" t="s">
        <v>57</v>
      </c>
      <c r="E183" s="11" t="s">
        <v>58</v>
      </c>
      <c r="F183" s="11" t="s">
        <v>59</v>
      </c>
      <c r="G183" s="11" t="s">
        <v>30</v>
      </c>
      <c r="H183" s="11" t="s">
        <v>60</v>
      </c>
      <c r="I183" s="11" t="s">
        <v>61</v>
      </c>
      <c r="J183" s="11" t="s">
        <v>62</v>
      </c>
      <c r="K183" s="11" t="s">
        <v>63</v>
      </c>
      <c r="L183" s="11" t="s">
        <v>31</v>
      </c>
      <c r="M183" s="11" t="s">
        <v>64</v>
      </c>
      <c r="N183" s="11" t="s">
        <v>65</v>
      </c>
      <c r="O183" s="11" t="s">
        <v>66</v>
      </c>
      <c r="P183" s="11" t="s">
        <v>67</v>
      </c>
      <c r="Q183" s="11" t="s">
        <v>32</v>
      </c>
      <c r="R183" s="11" t="s">
        <v>326</v>
      </c>
    </row>
    <row r="184" spans="1:18" outlineLevel="1" x14ac:dyDescent="0.3">
      <c r="A184" s="35" t="s">
        <v>34</v>
      </c>
      <c r="B184" s="23">
        <v>1458.3320000000001</v>
      </c>
      <c r="C184" s="23">
        <v>1376.6320000000001</v>
      </c>
      <c r="D184" s="55">
        <v>1313.6</v>
      </c>
      <c r="E184" s="23">
        <v>1221.6559999999999</v>
      </c>
      <c r="F184" s="55">
        <v>1271.7</v>
      </c>
      <c r="G184" s="23">
        <v>1229.2529999999999</v>
      </c>
      <c r="H184" s="23">
        <v>1198.7470000000001</v>
      </c>
      <c r="I184" s="23">
        <v>1176.546</v>
      </c>
      <c r="J184" s="23">
        <v>1227.0509999999999</v>
      </c>
      <c r="K184" s="23">
        <v>1241.268</v>
      </c>
      <c r="L184" s="23">
        <v>1319.6679999999999</v>
      </c>
      <c r="M184" s="23">
        <v>1338.578</v>
      </c>
      <c r="N184" s="23">
        <v>1334.4639999999999</v>
      </c>
      <c r="O184" s="55">
        <v>1391.42</v>
      </c>
      <c r="P184" s="23">
        <v>1381.8810000000001</v>
      </c>
      <c r="Q184" s="23">
        <v>1355.261</v>
      </c>
      <c r="R184" s="23">
        <v>1432.5419999999999</v>
      </c>
    </row>
    <row r="185" spans="1:18" outlineLevel="1" x14ac:dyDescent="0.3">
      <c r="A185" s="35" t="s">
        <v>371</v>
      </c>
      <c r="B185" s="56">
        <v>0</v>
      </c>
      <c r="C185" s="56">
        <v>0</v>
      </c>
      <c r="D185" s="56">
        <v>0</v>
      </c>
      <c r="E185" s="56">
        <v>0</v>
      </c>
      <c r="F185" s="56">
        <v>0</v>
      </c>
      <c r="G185" s="56">
        <v>0</v>
      </c>
      <c r="H185" s="56">
        <v>0</v>
      </c>
      <c r="I185" s="56">
        <v>0</v>
      </c>
      <c r="J185" s="56">
        <v>0</v>
      </c>
      <c r="K185" s="56">
        <v>0</v>
      </c>
      <c r="L185" s="56">
        <v>0</v>
      </c>
      <c r="M185" s="56">
        <v>0</v>
      </c>
      <c r="N185" s="54">
        <v>1.4E-2</v>
      </c>
      <c r="O185" s="56">
        <v>0</v>
      </c>
      <c r="P185" s="56">
        <v>0</v>
      </c>
      <c r="Q185" s="54">
        <v>1.4999999999999999E-2</v>
      </c>
      <c r="R185" s="54">
        <v>6.6000000000000003E-2</v>
      </c>
    </row>
    <row r="186" spans="1:18" outlineLevel="2" x14ac:dyDescent="0.3">
      <c r="A186" s="35" t="s">
        <v>374</v>
      </c>
      <c r="B186" s="55">
        <v>0</v>
      </c>
      <c r="C186" s="55">
        <v>0</v>
      </c>
      <c r="D186" s="55">
        <v>0</v>
      </c>
      <c r="E186" s="55">
        <v>0</v>
      </c>
      <c r="F186" s="55">
        <v>0</v>
      </c>
      <c r="G186" s="55">
        <v>0</v>
      </c>
      <c r="H186" s="55">
        <v>0</v>
      </c>
      <c r="I186" s="55">
        <v>0</v>
      </c>
      <c r="J186" s="55">
        <v>0</v>
      </c>
      <c r="K186" s="55">
        <v>0</v>
      </c>
      <c r="L186" s="55">
        <v>0</v>
      </c>
      <c r="M186" s="55">
        <v>0</v>
      </c>
      <c r="N186" s="23">
        <v>1.4E-2</v>
      </c>
      <c r="O186" s="55">
        <v>0</v>
      </c>
      <c r="P186" s="55">
        <v>0</v>
      </c>
      <c r="Q186" s="55">
        <v>0</v>
      </c>
      <c r="R186" s="23">
        <v>5.0999999999999997E-2</v>
      </c>
    </row>
    <row r="187" spans="1:18" outlineLevel="2" x14ac:dyDescent="0.3">
      <c r="A187" s="35" t="s">
        <v>376</v>
      </c>
      <c r="B187" s="55">
        <v>0</v>
      </c>
      <c r="C187" s="55">
        <v>0</v>
      </c>
      <c r="D187" s="55">
        <v>0</v>
      </c>
      <c r="E187" s="55">
        <v>0</v>
      </c>
      <c r="F187" s="55">
        <v>0</v>
      </c>
      <c r="G187" s="55">
        <v>0</v>
      </c>
      <c r="H187" s="55">
        <v>0</v>
      </c>
      <c r="I187" s="55">
        <v>0</v>
      </c>
      <c r="J187" s="55">
        <v>0</v>
      </c>
      <c r="K187" s="55">
        <v>0</v>
      </c>
      <c r="L187" s="55">
        <v>0</v>
      </c>
      <c r="M187" s="55">
        <v>0</v>
      </c>
      <c r="N187" s="55">
        <v>0</v>
      </c>
      <c r="O187" s="55">
        <v>0</v>
      </c>
      <c r="P187" s="55">
        <v>0</v>
      </c>
      <c r="Q187" s="23">
        <v>1.4999999999999999E-2</v>
      </c>
      <c r="R187" s="23">
        <v>1.4999999999999999E-2</v>
      </c>
    </row>
    <row r="188" spans="1:18" outlineLevel="2" x14ac:dyDescent="0.3">
      <c r="A188" s="35" t="s">
        <v>379</v>
      </c>
      <c r="B188" s="56">
        <v>0</v>
      </c>
      <c r="C188" s="56">
        <v>0</v>
      </c>
      <c r="D188" s="56">
        <v>0</v>
      </c>
      <c r="E188" s="56">
        <v>0</v>
      </c>
      <c r="F188" s="56">
        <v>0</v>
      </c>
      <c r="G188" s="56">
        <v>0</v>
      </c>
      <c r="H188" s="56">
        <v>0</v>
      </c>
      <c r="I188" s="56">
        <v>0</v>
      </c>
      <c r="J188" s="56">
        <v>0</v>
      </c>
      <c r="K188" s="56">
        <v>0</v>
      </c>
      <c r="L188" s="56">
        <v>0</v>
      </c>
      <c r="M188" s="56">
        <v>0</v>
      </c>
      <c r="N188" s="56">
        <v>0</v>
      </c>
      <c r="O188" s="56">
        <v>0</v>
      </c>
      <c r="P188" s="56">
        <v>0</v>
      </c>
      <c r="Q188" s="56">
        <v>0</v>
      </c>
      <c r="R188" s="54">
        <v>1E-3</v>
      </c>
    </row>
    <row r="189" spans="1:18" outlineLevel="1" x14ac:dyDescent="0.3">
      <c r="A189" s="35" t="s">
        <v>238</v>
      </c>
      <c r="B189" s="54">
        <v>2.1000000000000001E-2</v>
      </c>
      <c r="C189" s="54">
        <v>6.4000000000000001E-2</v>
      </c>
      <c r="D189" s="54">
        <v>6.4000000000000001E-2</v>
      </c>
      <c r="E189" s="54">
        <v>6.4000000000000001E-2</v>
      </c>
      <c r="F189" s="54">
        <v>0.79500000000000004</v>
      </c>
      <c r="G189" s="54">
        <v>0.96699999999999997</v>
      </c>
      <c r="H189" s="54">
        <v>0.107</v>
      </c>
      <c r="I189" s="54">
        <v>0.38700000000000001</v>
      </c>
      <c r="J189" s="54">
        <v>0.51500000000000001</v>
      </c>
      <c r="K189" s="54">
        <v>0.77300000000000002</v>
      </c>
      <c r="L189" s="54">
        <v>0.83299999999999996</v>
      </c>
      <c r="M189" s="54">
        <v>0.36899999999999999</v>
      </c>
      <c r="N189" s="54">
        <v>0.32200000000000001</v>
      </c>
      <c r="O189" s="54">
        <v>0.32100000000000001</v>
      </c>
      <c r="P189" s="54">
        <v>1.6919999999999999</v>
      </c>
      <c r="Q189" s="54">
        <v>13.135</v>
      </c>
      <c r="R189" s="56">
        <v>44.58</v>
      </c>
    </row>
    <row r="190" spans="1:18" outlineLevel="1" x14ac:dyDescent="0.3">
      <c r="A190" s="35" t="s">
        <v>388</v>
      </c>
      <c r="B190" s="55">
        <v>1375.3</v>
      </c>
      <c r="C190" s="23">
        <v>1292.059</v>
      </c>
      <c r="D190" s="23">
        <v>1227.1369999999999</v>
      </c>
      <c r="E190" s="23">
        <v>1132.5219999999999</v>
      </c>
      <c r="F190" s="23">
        <v>1182.1469999999999</v>
      </c>
      <c r="G190" s="23">
        <v>1163.4349999999999</v>
      </c>
      <c r="H190" s="23">
        <v>1117.7639999999999</v>
      </c>
      <c r="I190" s="55">
        <v>1101.8800000000001</v>
      </c>
      <c r="J190" s="23">
        <v>1148.126</v>
      </c>
      <c r="K190" s="23">
        <v>1158.2360000000001</v>
      </c>
      <c r="L190" s="23">
        <v>1232.3869999999999</v>
      </c>
      <c r="M190" s="23">
        <v>1231.9559999999999</v>
      </c>
      <c r="N190" s="23">
        <v>1222.6859999999999</v>
      </c>
      <c r="O190" s="55">
        <v>1267.0899999999999</v>
      </c>
      <c r="P190" s="23">
        <v>1259.931</v>
      </c>
      <c r="Q190" s="23">
        <v>1246.9069999999999</v>
      </c>
      <c r="R190" s="23">
        <v>1288.922</v>
      </c>
    </row>
    <row r="191" spans="1:18" outlineLevel="2" x14ac:dyDescent="0.3">
      <c r="A191" s="35" t="s">
        <v>390</v>
      </c>
      <c r="B191" s="23">
        <v>2.2309999999999999</v>
      </c>
      <c r="C191" s="23">
        <v>2.2309999999999999</v>
      </c>
      <c r="D191" s="23">
        <v>2.234</v>
      </c>
      <c r="E191" s="23">
        <v>2.2330000000000001</v>
      </c>
      <c r="F191" s="23">
        <v>2.2370000000000001</v>
      </c>
      <c r="G191" s="23">
        <v>2.234</v>
      </c>
      <c r="H191" s="23">
        <v>3.5000000000000003E-2</v>
      </c>
      <c r="I191" s="23">
        <v>2.234</v>
      </c>
      <c r="J191" s="23">
        <v>4.4359999999999999</v>
      </c>
      <c r="K191" s="23">
        <v>4.4390000000000001</v>
      </c>
      <c r="L191" s="23">
        <v>4.7149999999999999</v>
      </c>
      <c r="M191" s="23">
        <v>4.7130000000000001</v>
      </c>
      <c r="N191" s="23">
        <v>4.6980000000000004</v>
      </c>
      <c r="O191" s="23">
        <v>4.734</v>
      </c>
      <c r="P191" s="23">
        <v>2.2919999999999998</v>
      </c>
      <c r="Q191" s="23">
        <v>2.2410000000000001</v>
      </c>
      <c r="R191" s="23">
        <v>2.2669999999999999</v>
      </c>
    </row>
    <row r="192" spans="1:18" outlineLevel="2" x14ac:dyDescent="0.3">
      <c r="A192" s="35" t="s">
        <v>392</v>
      </c>
      <c r="B192" s="54">
        <v>1.5369999999999999</v>
      </c>
      <c r="C192" s="54">
        <v>0.48399999999999999</v>
      </c>
      <c r="D192" s="54">
        <v>3.661</v>
      </c>
      <c r="E192" s="54">
        <v>1.544</v>
      </c>
      <c r="F192" s="54">
        <v>1.597</v>
      </c>
      <c r="G192" s="54">
        <v>1.5669999999999999</v>
      </c>
      <c r="H192" s="54">
        <v>1.5309999999999999</v>
      </c>
      <c r="I192" s="54">
        <v>11.089</v>
      </c>
      <c r="J192" s="54">
        <v>13.273999999999999</v>
      </c>
      <c r="K192" s="54">
        <v>13.321999999999999</v>
      </c>
      <c r="L192" s="54">
        <v>13.135999999999999</v>
      </c>
      <c r="M192" s="54">
        <v>12.113</v>
      </c>
      <c r="N192" s="54">
        <v>11.025</v>
      </c>
      <c r="O192" s="54">
        <v>18.715</v>
      </c>
      <c r="P192" s="56">
        <v>14.02</v>
      </c>
      <c r="Q192" s="56">
        <v>11.6</v>
      </c>
      <c r="R192" s="54">
        <v>11.281000000000001</v>
      </c>
    </row>
    <row r="193" spans="1:18" outlineLevel="2" x14ac:dyDescent="0.3">
      <c r="A193" s="35" t="s">
        <v>395</v>
      </c>
      <c r="B193" s="54">
        <v>1316.799</v>
      </c>
      <c r="C193" s="54">
        <v>1239.471</v>
      </c>
      <c r="D193" s="54">
        <v>1179.134</v>
      </c>
      <c r="E193" s="56">
        <v>1081.74</v>
      </c>
      <c r="F193" s="54">
        <v>1125.4559999999999</v>
      </c>
      <c r="G193" s="54">
        <v>1108.019</v>
      </c>
      <c r="H193" s="54">
        <v>1087.057</v>
      </c>
      <c r="I193" s="54">
        <v>1070.8920000000001</v>
      </c>
      <c r="J193" s="56">
        <v>1106.03</v>
      </c>
      <c r="K193" s="54">
        <v>1104.337</v>
      </c>
      <c r="L193" s="54">
        <v>1188.1669999999999</v>
      </c>
      <c r="M193" s="54">
        <v>1194.6130000000001</v>
      </c>
      <c r="N193" s="54">
        <v>1184.758</v>
      </c>
      <c r="O193" s="54">
        <v>1221.2249999999999</v>
      </c>
      <c r="P193" s="54">
        <v>1232.1569999999999</v>
      </c>
      <c r="Q193" s="54">
        <v>1232.9749999999999</v>
      </c>
      <c r="R193" s="54">
        <v>1272.883</v>
      </c>
    </row>
    <row r="194" spans="1:18" outlineLevel="2" x14ac:dyDescent="0.3">
      <c r="A194" s="35" t="s">
        <v>396</v>
      </c>
      <c r="B194" s="23">
        <v>54.732999999999997</v>
      </c>
      <c r="C194" s="23">
        <v>49.874000000000002</v>
      </c>
      <c r="D194" s="23">
        <v>42.109000000000002</v>
      </c>
      <c r="E194" s="23">
        <v>47.005000000000003</v>
      </c>
      <c r="F194" s="23">
        <v>52.856000000000002</v>
      </c>
      <c r="G194" s="23">
        <v>51.615000000000002</v>
      </c>
      <c r="H194" s="23">
        <v>29.138999999999999</v>
      </c>
      <c r="I194" s="23">
        <v>17.666</v>
      </c>
      <c r="J194" s="23">
        <v>24.387</v>
      </c>
      <c r="K194" s="23">
        <v>36.137</v>
      </c>
      <c r="L194" s="23">
        <v>26.367999999999999</v>
      </c>
      <c r="M194" s="23">
        <v>20.516999999999999</v>
      </c>
      <c r="N194" s="23">
        <v>22.202999999999999</v>
      </c>
      <c r="O194" s="23">
        <v>22.414999999999999</v>
      </c>
      <c r="P194" s="23">
        <v>11.465</v>
      </c>
      <c r="Q194" s="23">
        <v>9.1999999999999998E-2</v>
      </c>
      <c r="R194" s="23">
        <v>2.4940000000000002</v>
      </c>
    </row>
    <row r="195" spans="1:18" outlineLevel="1" x14ac:dyDescent="0.3">
      <c r="A195" s="35" t="s">
        <v>401</v>
      </c>
      <c r="B195" s="54">
        <v>59.786000000000001</v>
      </c>
      <c r="C195" s="54">
        <v>60.356000000000002</v>
      </c>
      <c r="D195" s="54">
        <v>62.908000000000001</v>
      </c>
      <c r="E195" s="54">
        <v>63.133000000000003</v>
      </c>
      <c r="F195" s="54">
        <v>64.456000000000003</v>
      </c>
      <c r="G195" s="54">
        <v>40.344999999999999</v>
      </c>
      <c r="H195" s="54">
        <v>46.743000000000002</v>
      </c>
      <c r="I195" s="54">
        <v>36.716999999999999</v>
      </c>
      <c r="J195" s="54">
        <v>39.768000000000001</v>
      </c>
      <c r="K195" s="54">
        <v>41.847000000000001</v>
      </c>
      <c r="L195" s="54">
        <v>43.127000000000002</v>
      </c>
      <c r="M195" s="54">
        <v>56.107999999999997</v>
      </c>
      <c r="N195" s="54">
        <v>55.393999999999998</v>
      </c>
      <c r="O195" s="54">
        <v>56.765999999999998</v>
      </c>
      <c r="P195" s="56">
        <v>55.9</v>
      </c>
      <c r="Q195" s="54">
        <v>41.027000000000001</v>
      </c>
      <c r="R195" s="56">
        <v>38.79</v>
      </c>
    </row>
    <row r="196" spans="1:18" outlineLevel="2" x14ac:dyDescent="0.3">
      <c r="A196" s="35" t="s">
        <v>268</v>
      </c>
      <c r="B196" s="54">
        <v>59.369</v>
      </c>
      <c r="C196" s="54">
        <v>59.369</v>
      </c>
      <c r="D196" s="54">
        <v>59.375999999999998</v>
      </c>
      <c r="E196" s="54">
        <v>59.375999999999998</v>
      </c>
      <c r="F196" s="54">
        <v>59.320999999999998</v>
      </c>
      <c r="G196" s="54">
        <v>36.113999999999997</v>
      </c>
      <c r="H196" s="54">
        <v>41.701999999999998</v>
      </c>
      <c r="I196" s="54">
        <v>30.916</v>
      </c>
      <c r="J196" s="54">
        <v>30.277999999999999</v>
      </c>
      <c r="K196" s="54">
        <v>29.123999999999999</v>
      </c>
      <c r="L196" s="54">
        <v>29.172000000000001</v>
      </c>
      <c r="M196" s="54">
        <v>40.335000000000001</v>
      </c>
      <c r="N196" s="54">
        <v>42.701999999999998</v>
      </c>
      <c r="O196" s="54">
        <v>41.945</v>
      </c>
      <c r="P196" s="54">
        <v>41.475999999999999</v>
      </c>
      <c r="Q196" s="54">
        <v>37.156999999999996</v>
      </c>
      <c r="R196" s="54">
        <v>35.892000000000003</v>
      </c>
    </row>
    <row r="197" spans="1:18" outlineLevel="2" x14ac:dyDescent="0.3">
      <c r="A197" s="35" t="s">
        <v>402</v>
      </c>
      <c r="B197" s="54">
        <v>0.11700000000000001</v>
      </c>
      <c r="C197" s="54">
        <v>0.11700000000000001</v>
      </c>
      <c r="D197" s="54">
        <v>0.11700000000000001</v>
      </c>
      <c r="E197" s="54">
        <v>0.11700000000000001</v>
      </c>
      <c r="F197" s="54">
        <v>0.11700000000000001</v>
      </c>
      <c r="G197" s="54">
        <v>0.11700000000000001</v>
      </c>
      <c r="H197" s="54">
        <v>0.11700000000000001</v>
      </c>
      <c r="I197" s="54">
        <v>0.11700000000000001</v>
      </c>
      <c r="J197" s="54">
        <v>0.11899999999999999</v>
      </c>
      <c r="K197" s="54">
        <v>0.11899999999999999</v>
      </c>
      <c r="L197" s="54">
        <v>0.11899999999999999</v>
      </c>
      <c r="M197" s="54">
        <v>0.11899999999999999</v>
      </c>
      <c r="N197" s="54">
        <v>1.7000000000000001E-2</v>
      </c>
      <c r="O197" s="54">
        <v>2E-3</v>
      </c>
      <c r="P197" s="54">
        <v>2E-3</v>
      </c>
      <c r="Q197" s="54">
        <v>2E-3</v>
      </c>
      <c r="R197" s="54">
        <v>2E-3</v>
      </c>
    </row>
    <row r="198" spans="1:18" outlineLevel="2" x14ac:dyDescent="0.3">
      <c r="A198" s="35" t="s">
        <v>404</v>
      </c>
      <c r="B198" s="54">
        <v>0.16700000000000001</v>
      </c>
      <c r="C198" s="54">
        <v>0.16700000000000001</v>
      </c>
      <c r="D198" s="54">
        <v>0.16700000000000001</v>
      </c>
      <c r="E198" s="54">
        <v>0.16700000000000001</v>
      </c>
      <c r="F198" s="56">
        <v>0</v>
      </c>
      <c r="G198" s="54">
        <v>4.8000000000000001E-2</v>
      </c>
      <c r="H198" s="54">
        <v>0.47799999999999998</v>
      </c>
      <c r="I198" s="54">
        <v>0.11899999999999999</v>
      </c>
      <c r="J198" s="54">
        <v>0.16700000000000001</v>
      </c>
      <c r="K198" s="54">
        <v>0.16700000000000001</v>
      </c>
      <c r="L198" s="54">
        <v>0.215</v>
      </c>
      <c r="M198" s="54">
        <v>0.16700000000000001</v>
      </c>
      <c r="N198" s="54">
        <v>0.158</v>
      </c>
      <c r="O198" s="54">
        <v>0.17499999999999999</v>
      </c>
      <c r="P198" s="54">
        <v>0.10299999999999999</v>
      </c>
      <c r="Q198" s="54">
        <v>0.127</v>
      </c>
      <c r="R198" s="54">
        <v>0.66300000000000003</v>
      </c>
    </row>
    <row r="199" spans="1:18" outlineLevel="2" x14ac:dyDescent="0.3">
      <c r="A199" s="35" t="s">
        <v>406</v>
      </c>
      <c r="B199" s="23">
        <v>1.7000000000000001E-2</v>
      </c>
      <c r="C199" s="23">
        <v>2.1000000000000001E-2</v>
      </c>
      <c r="D199" s="23">
        <v>2.5999999999999999E-2</v>
      </c>
      <c r="E199" s="23">
        <v>2.9000000000000001E-2</v>
      </c>
      <c r="F199" s="55">
        <v>0.03</v>
      </c>
      <c r="G199" s="55">
        <v>0.03</v>
      </c>
      <c r="H199" s="55">
        <v>0.03</v>
      </c>
      <c r="I199" s="23">
        <v>3.2000000000000001E-2</v>
      </c>
      <c r="J199" s="23">
        <v>0.67800000000000005</v>
      </c>
      <c r="K199" s="23">
        <v>0.67900000000000005</v>
      </c>
      <c r="L199" s="23">
        <v>0.66600000000000004</v>
      </c>
      <c r="M199" s="23">
        <v>0.66400000000000003</v>
      </c>
      <c r="N199" s="23">
        <v>0.66100000000000003</v>
      </c>
      <c r="O199" s="23">
        <v>2.1000000000000001E-2</v>
      </c>
      <c r="P199" s="23">
        <v>1.4999999999999999E-2</v>
      </c>
      <c r="Q199" s="55">
        <v>0.01</v>
      </c>
      <c r="R199" s="23">
        <v>0.157</v>
      </c>
    </row>
    <row r="200" spans="1:18" outlineLevel="2" x14ac:dyDescent="0.3">
      <c r="A200" s="35" t="s">
        <v>407</v>
      </c>
      <c r="B200" s="54">
        <v>1.7999999999999999E-2</v>
      </c>
      <c r="C200" s="54">
        <v>9.9000000000000005E-2</v>
      </c>
      <c r="D200" s="54">
        <v>5.7000000000000002E-2</v>
      </c>
      <c r="E200" s="54">
        <v>4.9000000000000002E-2</v>
      </c>
      <c r="F200" s="54">
        <v>0.14099999999999999</v>
      </c>
      <c r="G200" s="56">
        <v>0.18</v>
      </c>
      <c r="H200" s="54">
        <v>0.24099999999999999</v>
      </c>
      <c r="I200" s="54">
        <v>0.41199999999999998</v>
      </c>
      <c r="J200" s="54">
        <v>0.57499999999999996</v>
      </c>
      <c r="K200" s="54">
        <v>1.982</v>
      </c>
      <c r="L200" s="54">
        <v>1.5129999999999999</v>
      </c>
      <c r="M200" s="54">
        <v>2.2610000000000001</v>
      </c>
      <c r="N200" s="56">
        <v>0</v>
      </c>
      <c r="O200" s="56">
        <v>0</v>
      </c>
      <c r="P200" s="56">
        <v>0</v>
      </c>
      <c r="Q200" s="56">
        <v>0</v>
      </c>
      <c r="R200" s="56">
        <v>0</v>
      </c>
    </row>
    <row r="201" spans="1:18" outlineLevel="2" x14ac:dyDescent="0.3">
      <c r="A201" s="35" t="s">
        <v>408</v>
      </c>
      <c r="B201" s="23">
        <v>9.8000000000000004E-2</v>
      </c>
      <c r="C201" s="23">
        <v>0.58299999999999996</v>
      </c>
      <c r="D201" s="23">
        <v>3.165</v>
      </c>
      <c r="E201" s="23">
        <v>3.395</v>
      </c>
      <c r="F201" s="23">
        <v>4.8470000000000004</v>
      </c>
      <c r="G201" s="23">
        <v>3.855</v>
      </c>
      <c r="H201" s="23">
        <v>4.1740000000000004</v>
      </c>
      <c r="I201" s="23">
        <v>5.1210000000000004</v>
      </c>
      <c r="J201" s="55">
        <v>7.95</v>
      </c>
      <c r="K201" s="23">
        <v>9.7750000000000004</v>
      </c>
      <c r="L201" s="23">
        <v>11.443</v>
      </c>
      <c r="M201" s="23">
        <v>12.564</v>
      </c>
      <c r="N201" s="23">
        <v>11.856</v>
      </c>
      <c r="O201" s="23">
        <v>14.624000000000001</v>
      </c>
      <c r="P201" s="23">
        <v>14.305</v>
      </c>
      <c r="Q201" s="23">
        <v>3.7320000000000002</v>
      </c>
      <c r="R201" s="23">
        <v>2.077</v>
      </c>
    </row>
    <row r="202" spans="1:18" outlineLevel="1" x14ac:dyDescent="0.3">
      <c r="A202" s="35" t="s">
        <v>221</v>
      </c>
      <c r="B202" s="23">
        <v>22.527999999999999</v>
      </c>
      <c r="C202" s="23">
        <v>23.388000000000002</v>
      </c>
      <c r="D202" s="55">
        <v>23.13</v>
      </c>
      <c r="E202" s="23">
        <v>25.623999999999999</v>
      </c>
      <c r="F202" s="55">
        <v>23.99</v>
      </c>
      <c r="G202" s="23">
        <v>24.506</v>
      </c>
      <c r="H202" s="23">
        <v>34.131999999999998</v>
      </c>
      <c r="I202" s="23">
        <v>37.561999999999998</v>
      </c>
      <c r="J202" s="23">
        <v>38.642000000000003</v>
      </c>
      <c r="K202" s="55">
        <v>40.409999999999997</v>
      </c>
      <c r="L202" s="23">
        <v>43.319000000000003</v>
      </c>
      <c r="M202" s="23">
        <v>50.143999999999998</v>
      </c>
      <c r="N202" s="23">
        <v>56.045000000000002</v>
      </c>
      <c r="O202" s="23">
        <v>67.242000000000004</v>
      </c>
      <c r="P202" s="23">
        <v>64.343000000000004</v>
      </c>
      <c r="Q202" s="23">
        <v>54.161000000000001</v>
      </c>
      <c r="R202" s="55">
        <v>60.05</v>
      </c>
    </row>
    <row r="203" spans="1:18" outlineLevel="1" x14ac:dyDescent="0.3">
      <c r="A203" s="100" t="s">
        <v>415</v>
      </c>
      <c r="B203" s="54">
        <v>0.69299999999999995</v>
      </c>
      <c r="C203" s="54">
        <v>0.76500000000000001</v>
      </c>
      <c r="D203" s="54">
        <v>0.35799999999999998</v>
      </c>
      <c r="E203" s="56">
        <v>0.31</v>
      </c>
      <c r="F203" s="56">
        <v>0.31</v>
      </c>
      <c r="G203" s="56">
        <v>0</v>
      </c>
      <c r="H203" s="56">
        <v>0</v>
      </c>
      <c r="I203" s="56">
        <v>0</v>
      </c>
      <c r="J203" s="56">
        <v>0</v>
      </c>
      <c r="K203" s="56">
        <v>0</v>
      </c>
      <c r="L203" s="56">
        <v>0</v>
      </c>
      <c r="M203" s="56">
        <v>0</v>
      </c>
      <c r="N203" s="54">
        <v>1E-3</v>
      </c>
      <c r="O203" s="56">
        <v>0</v>
      </c>
      <c r="P203" s="54">
        <v>1.4E-2</v>
      </c>
      <c r="Q203" s="54">
        <v>1.6E-2</v>
      </c>
      <c r="R203" s="54">
        <v>0.13100000000000001</v>
      </c>
    </row>
    <row r="204" spans="1:18" outlineLevel="1" x14ac:dyDescent="0.3"/>
    <row r="205" spans="1:18" s="18" customFormat="1" ht="16.5" customHeight="1" outlineLevel="1" x14ac:dyDescent="0.3">
      <c r="A205" s="18" t="s">
        <v>422</v>
      </c>
    </row>
    <row r="206" spans="1:18" outlineLevel="1" x14ac:dyDescent="0.3">
      <c r="A206" s="11"/>
      <c r="B206" s="11" t="s">
        <v>29</v>
      </c>
      <c r="C206" s="11" t="s">
        <v>56</v>
      </c>
      <c r="D206" s="11" t="s">
        <v>57</v>
      </c>
      <c r="E206" s="11" t="s">
        <v>58</v>
      </c>
      <c r="F206" s="11" t="s">
        <v>59</v>
      </c>
      <c r="G206" s="11" t="s">
        <v>30</v>
      </c>
      <c r="H206" s="11" t="s">
        <v>60</v>
      </c>
      <c r="I206" s="11" t="s">
        <v>61</v>
      </c>
      <c r="J206" s="11" t="s">
        <v>62</v>
      </c>
      <c r="K206" s="11" t="s">
        <v>63</v>
      </c>
      <c r="L206" s="11" t="s">
        <v>31</v>
      </c>
      <c r="M206" s="11" t="s">
        <v>64</v>
      </c>
      <c r="N206" s="11" t="s">
        <v>65</v>
      </c>
      <c r="O206" s="11" t="s">
        <v>66</v>
      </c>
      <c r="P206" s="11" t="s">
        <v>67</v>
      </c>
      <c r="Q206" s="11" t="s">
        <v>32</v>
      </c>
      <c r="R206" s="11" t="s">
        <v>326</v>
      </c>
    </row>
    <row r="207" spans="1:18" outlineLevel="1" x14ac:dyDescent="0.3">
      <c r="A207" s="35" t="s">
        <v>34</v>
      </c>
      <c r="B207" s="23">
        <v>7208.2749999999996</v>
      </c>
      <c r="C207" s="23">
        <v>8025.116</v>
      </c>
      <c r="D207" s="23">
        <v>3513.5129999999999</v>
      </c>
      <c r="E207" s="23">
        <v>3282.7220000000002</v>
      </c>
      <c r="F207" s="23">
        <v>3264.7379999999998</v>
      </c>
      <c r="G207" s="23">
        <v>3719.366</v>
      </c>
      <c r="H207" s="55">
        <v>4195.03</v>
      </c>
      <c r="I207" s="23">
        <v>4243.5929999999998</v>
      </c>
      <c r="J207" s="55">
        <v>4080.76</v>
      </c>
      <c r="K207" s="23">
        <v>4077.857</v>
      </c>
      <c r="L207" s="23">
        <v>3609.2730000000001</v>
      </c>
      <c r="M207" s="23">
        <v>3387.8220000000001</v>
      </c>
      <c r="N207" s="23">
        <v>3404.913</v>
      </c>
      <c r="O207" s="23">
        <v>3356.9070000000002</v>
      </c>
      <c r="P207" s="23">
        <v>3381.9720000000002</v>
      </c>
      <c r="Q207" s="23">
        <v>3618.364</v>
      </c>
      <c r="R207" s="23">
        <v>3784.518</v>
      </c>
    </row>
    <row r="208" spans="1:18" outlineLevel="1" x14ac:dyDescent="0.3">
      <c r="A208" s="35" t="s">
        <v>371</v>
      </c>
      <c r="B208" s="56">
        <v>107.46</v>
      </c>
      <c r="C208" s="54">
        <v>111.801</v>
      </c>
      <c r="D208" s="54">
        <v>90.239000000000004</v>
      </c>
      <c r="E208" s="54">
        <v>92.876000000000005</v>
      </c>
      <c r="F208" s="54">
        <v>103.23699999999999</v>
      </c>
      <c r="G208" s="54">
        <v>101.70099999999999</v>
      </c>
      <c r="H208" s="54">
        <v>80.512</v>
      </c>
      <c r="I208" s="54">
        <v>74.278999999999996</v>
      </c>
      <c r="J208" s="56">
        <v>42.17</v>
      </c>
      <c r="K208" s="54">
        <v>35.956000000000003</v>
      </c>
      <c r="L208" s="54">
        <v>31.015999999999998</v>
      </c>
      <c r="M208" s="54">
        <v>34.814999999999998</v>
      </c>
      <c r="N208" s="54">
        <v>117.167</v>
      </c>
      <c r="O208" s="54">
        <v>146.28899999999999</v>
      </c>
      <c r="P208" s="54">
        <v>74.474000000000004</v>
      </c>
      <c r="Q208" s="54">
        <v>85.411000000000001</v>
      </c>
      <c r="R208" s="54">
        <v>77.787000000000006</v>
      </c>
    </row>
    <row r="209" spans="1:18" outlineLevel="2" x14ac:dyDescent="0.3">
      <c r="A209" s="35" t="s">
        <v>372</v>
      </c>
      <c r="B209" s="23">
        <v>9.7579999999999991</v>
      </c>
      <c r="C209" s="23">
        <v>32.481999999999999</v>
      </c>
      <c r="D209" s="23">
        <v>19.128</v>
      </c>
      <c r="E209" s="23">
        <v>19.876999999999999</v>
      </c>
      <c r="F209" s="23">
        <v>25.891999999999999</v>
      </c>
      <c r="G209" s="55">
        <v>33.11</v>
      </c>
      <c r="H209" s="23">
        <v>20.532</v>
      </c>
      <c r="I209" s="23">
        <v>9.3510000000000009</v>
      </c>
      <c r="J209" s="23">
        <v>9.4619999999999997</v>
      </c>
      <c r="K209" s="23">
        <v>9.4580000000000002</v>
      </c>
      <c r="L209" s="23">
        <v>9.4580000000000002</v>
      </c>
      <c r="M209" s="23">
        <v>12.611000000000001</v>
      </c>
      <c r="N209" s="23">
        <v>18.988</v>
      </c>
      <c r="O209" s="23">
        <v>15.794</v>
      </c>
      <c r="P209" s="23">
        <v>12.348000000000001</v>
      </c>
      <c r="Q209" s="23">
        <v>12.348000000000001</v>
      </c>
      <c r="R209" s="23">
        <v>6.1740000000000004</v>
      </c>
    </row>
    <row r="210" spans="1:18" outlineLevel="2" x14ac:dyDescent="0.3">
      <c r="A210" s="35" t="s">
        <v>374</v>
      </c>
      <c r="B210" s="23">
        <v>33.832999999999998</v>
      </c>
      <c r="C210" s="23">
        <v>17.585000000000001</v>
      </c>
      <c r="D210" s="23">
        <v>17.561</v>
      </c>
      <c r="E210" s="23">
        <v>18.666</v>
      </c>
      <c r="F210" s="55">
        <v>31.11</v>
      </c>
      <c r="G210" s="55">
        <v>31.11</v>
      </c>
      <c r="H210" s="23">
        <v>32.435000000000002</v>
      </c>
      <c r="I210" s="23">
        <v>51.323</v>
      </c>
      <c r="J210" s="23">
        <v>25.504000000000001</v>
      </c>
      <c r="K210" s="23">
        <v>19.417999999999999</v>
      </c>
      <c r="L210" s="23">
        <v>12.922000000000001</v>
      </c>
      <c r="M210" s="23">
        <v>12.936</v>
      </c>
      <c r="N210" s="23">
        <v>12.930999999999999</v>
      </c>
      <c r="O210" s="23">
        <v>12.945</v>
      </c>
      <c r="P210" s="23">
        <v>9.5660000000000007</v>
      </c>
      <c r="Q210" s="23">
        <v>6.9640000000000004</v>
      </c>
      <c r="R210" s="23">
        <v>12.066000000000001</v>
      </c>
    </row>
    <row r="211" spans="1:18" outlineLevel="2" x14ac:dyDescent="0.3">
      <c r="A211" s="35" t="s">
        <v>375</v>
      </c>
      <c r="B211" s="56">
        <v>0</v>
      </c>
      <c r="C211" s="56">
        <v>0</v>
      </c>
      <c r="D211" s="56">
        <v>0</v>
      </c>
      <c r="E211" s="56">
        <v>0</v>
      </c>
      <c r="F211" s="56">
        <v>0</v>
      </c>
      <c r="G211" s="56">
        <v>0</v>
      </c>
      <c r="H211" s="56">
        <v>0</v>
      </c>
      <c r="I211" s="56">
        <v>0</v>
      </c>
      <c r="J211" s="56">
        <v>0</v>
      </c>
      <c r="K211" s="56">
        <v>0</v>
      </c>
      <c r="L211" s="54">
        <v>0.44800000000000001</v>
      </c>
      <c r="M211" s="54">
        <v>0.434</v>
      </c>
      <c r="N211" s="56">
        <v>0</v>
      </c>
      <c r="O211" s="56">
        <v>0</v>
      </c>
      <c r="P211" s="56">
        <v>0</v>
      </c>
      <c r="Q211" s="56">
        <v>0</v>
      </c>
      <c r="R211" s="56">
        <v>0</v>
      </c>
    </row>
    <row r="212" spans="1:18" outlineLevel="2" x14ac:dyDescent="0.3">
      <c r="A212" s="35" t="s">
        <v>376</v>
      </c>
      <c r="B212" s="23">
        <v>4.3719999999999999</v>
      </c>
      <c r="C212" s="23">
        <v>4.1959999999999997</v>
      </c>
      <c r="D212" s="23">
        <v>2.6080000000000001</v>
      </c>
      <c r="E212" s="23">
        <v>3.3490000000000002</v>
      </c>
      <c r="F212" s="23">
        <v>3.4340000000000002</v>
      </c>
      <c r="G212" s="23">
        <v>0.124</v>
      </c>
      <c r="H212" s="23">
        <v>1.2749999999999999</v>
      </c>
      <c r="I212" s="23">
        <v>0.124</v>
      </c>
      <c r="J212" s="23">
        <v>0.124</v>
      </c>
      <c r="K212" s="55">
        <v>0</v>
      </c>
      <c r="L212" s="23">
        <v>1.1040000000000001</v>
      </c>
      <c r="M212" s="23">
        <v>2.4340000000000002</v>
      </c>
      <c r="N212" s="23">
        <v>0.35099999999999998</v>
      </c>
      <c r="O212" s="55">
        <v>0</v>
      </c>
      <c r="P212" s="23">
        <v>0.316</v>
      </c>
      <c r="Q212" s="23">
        <v>0.79300000000000004</v>
      </c>
      <c r="R212" s="23">
        <v>0.77200000000000002</v>
      </c>
    </row>
    <row r="213" spans="1:18" outlineLevel="2" x14ac:dyDescent="0.3">
      <c r="A213" s="35" t="s">
        <v>377</v>
      </c>
      <c r="B213" s="54">
        <v>3.7029999999999998</v>
      </c>
      <c r="C213" s="54">
        <v>2.508</v>
      </c>
      <c r="D213" s="54">
        <v>1.262</v>
      </c>
      <c r="E213" s="54">
        <v>1.304</v>
      </c>
      <c r="F213" s="56">
        <v>0</v>
      </c>
      <c r="G213" s="56">
        <v>0.67</v>
      </c>
      <c r="H213" s="54">
        <v>26.271000000000001</v>
      </c>
      <c r="I213" s="54">
        <v>13.481</v>
      </c>
      <c r="J213" s="56">
        <v>7.08</v>
      </c>
      <c r="K213" s="56">
        <v>7.08</v>
      </c>
      <c r="L213" s="54">
        <v>7.0839999999999996</v>
      </c>
      <c r="M213" s="56">
        <v>6.4</v>
      </c>
      <c r="N213" s="54">
        <v>84.897000000000006</v>
      </c>
      <c r="O213" s="54">
        <v>117.54900000000001</v>
      </c>
      <c r="P213" s="54">
        <v>52.244</v>
      </c>
      <c r="Q213" s="54">
        <v>65.305000000000007</v>
      </c>
      <c r="R213" s="54">
        <v>58.774999999999999</v>
      </c>
    </row>
    <row r="214" spans="1:18" outlineLevel="2" x14ac:dyDescent="0.3">
      <c r="A214" s="35" t="s">
        <v>379</v>
      </c>
      <c r="B214" s="54">
        <v>55.793999999999997</v>
      </c>
      <c r="C214" s="56">
        <v>55.03</v>
      </c>
      <c r="D214" s="56">
        <v>49.68</v>
      </c>
      <c r="E214" s="56">
        <v>49.68</v>
      </c>
      <c r="F214" s="54">
        <v>42.801000000000002</v>
      </c>
      <c r="G214" s="54">
        <v>36.686999999999998</v>
      </c>
      <c r="H214" s="56">
        <v>0</v>
      </c>
      <c r="I214" s="56">
        <v>0</v>
      </c>
      <c r="J214" s="56">
        <v>0</v>
      </c>
      <c r="K214" s="56">
        <v>0</v>
      </c>
      <c r="L214" s="56">
        <v>0</v>
      </c>
      <c r="M214" s="56">
        <v>0</v>
      </c>
      <c r="N214" s="56">
        <v>0</v>
      </c>
      <c r="O214" s="56">
        <v>0</v>
      </c>
      <c r="P214" s="56">
        <v>0</v>
      </c>
      <c r="Q214" s="56">
        <v>0</v>
      </c>
      <c r="R214" s="56">
        <v>0</v>
      </c>
    </row>
    <row r="215" spans="1:18" outlineLevel="1" x14ac:dyDescent="0.3">
      <c r="A215" s="35" t="s">
        <v>238</v>
      </c>
      <c r="B215" s="54">
        <v>224.268</v>
      </c>
      <c r="C215" s="54">
        <v>1575.2670000000001</v>
      </c>
      <c r="D215" s="54">
        <v>781.95899999999995</v>
      </c>
      <c r="E215" s="54">
        <v>613.07299999999998</v>
      </c>
      <c r="F215" s="54">
        <v>797.13699999999994</v>
      </c>
      <c r="G215" s="54">
        <v>1139.701</v>
      </c>
      <c r="H215" s="54">
        <v>671.58900000000006</v>
      </c>
      <c r="I215" s="54">
        <v>399.476</v>
      </c>
      <c r="J215" s="54">
        <v>370.06700000000001</v>
      </c>
      <c r="K215" s="54">
        <v>352.88200000000001</v>
      </c>
      <c r="L215" s="56">
        <v>174.37</v>
      </c>
      <c r="M215" s="54">
        <v>60.506</v>
      </c>
      <c r="N215" s="54">
        <v>85.051000000000002</v>
      </c>
      <c r="O215" s="54">
        <v>60.774000000000001</v>
      </c>
      <c r="P215" s="54">
        <v>147.637</v>
      </c>
      <c r="Q215" s="54">
        <v>159.61600000000001</v>
      </c>
      <c r="R215" s="54">
        <v>194.512</v>
      </c>
    </row>
    <row r="216" spans="1:18" outlineLevel="1" x14ac:dyDescent="0.3">
      <c r="A216" s="35" t="s">
        <v>388</v>
      </c>
      <c r="B216" s="23">
        <v>2277.576</v>
      </c>
      <c r="C216" s="23">
        <v>1917.7860000000001</v>
      </c>
      <c r="D216" s="55">
        <v>1977.29</v>
      </c>
      <c r="E216" s="23">
        <v>1882.0250000000001</v>
      </c>
      <c r="F216" s="23">
        <v>1629.819</v>
      </c>
      <c r="G216" s="23">
        <v>1566.2550000000001</v>
      </c>
      <c r="H216" s="23">
        <v>1784.6079999999999</v>
      </c>
      <c r="I216" s="23">
        <v>2014.162</v>
      </c>
      <c r="J216" s="23">
        <v>1903.673</v>
      </c>
      <c r="K216" s="23">
        <v>1810.4680000000001</v>
      </c>
      <c r="L216" s="23">
        <v>1750.9290000000001</v>
      </c>
      <c r="M216" s="23">
        <v>1485.8109999999999</v>
      </c>
      <c r="N216" s="23">
        <v>1465.0740000000001</v>
      </c>
      <c r="O216" s="23">
        <v>1482.8530000000001</v>
      </c>
      <c r="P216" s="23">
        <v>1444.6210000000001</v>
      </c>
      <c r="Q216" s="23">
        <v>1536.124</v>
      </c>
      <c r="R216" s="23">
        <v>1717.7349999999999</v>
      </c>
    </row>
    <row r="217" spans="1:18" outlineLevel="2" x14ac:dyDescent="0.3">
      <c r="A217" s="35" t="s">
        <v>390</v>
      </c>
      <c r="B217" s="23">
        <v>31.114999999999998</v>
      </c>
      <c r="C217" s="23">
        <v>26.869</v>
      </c>
      <c r="D217" s="23">
        <v>35.182000000000002</v>
      </c>
      <c r="E217" s="23">
        <v>27.388999999999999</v>
      </c>
      <c r="F217" s="55">
        <v>38.479999999999997</v>
      </c>
      <c r="G217" s="23">
        <v>32.991999999999997</v>
      </c>
      <c r="H217" s="23">
        <v>20.893000000000001</v>
      </c>
      <c r="I217" s="23">
        <v>108.691</v>
      </c>
      <c r="J217" s="23">
        <v>35.104999999999997</v>
      </c>
      <c r="K217" s="23">
        <v>27.361000000000001</v>
      </c>
      <c r="L217" s="23">
        <v>25.323</v>
      </c>
      <c r="M217" s="23">
        <v>22.023</v>
      </c>
      <c r="N217" s="23">
        <v>26.271000000000001</v>
      </c>
      <c r="O217" s="23">
        <v>33.786999999999999</v>
      </c>
      <c r="P217" s="23">
        <v>39.183</v>
      </c>
      <c r="Q217" s="23">
        <v>33.732999999999997</v>
      </c>
      <c r="R217" s="23">
        <v>24.716000000000001</v>
      </c>
    </row>
    <row r="218" spans="1:18" outlineLevel="2" x14ac:dyDescent="0.3">
      <c r="A218" s="35" t="s">
        <v>420</v>
      </c>
      <c r="B218" s="54">
        <v>41.988999999999997</v>
      </c>
      <c r="C218" s="56">
        <v>0</v>
      </c>
      <c r="D218" s="56">
        <v>1.05</v>
      </c>
      <c r="E218" s="56">
        <v>0</v>
      </c>
      <c r="F218" s="56">
        <v>0</v>
      </c>
      <c r="G218" s="56">
        <v>0</v>
      </c>
      <c r="H218" s="56">
        <v>0</v>
      </c>
      <c r="I218" s="56">
        <v>0</v>
      </c>
      <c r="J218" s="56">
        <v>0</v>
      </c>
      <c r="K218" s="56">
        <v>0</v>
      </c>
      <c r="L218" s="56">
        <v>0</v>
      </c>
      <c r="M218" s="56">
        <v>0</v>
      </c>
      <c r="N218" s="56">
        <v>0</v>
      </c>
      <c r="O218" s="56">
        <v>0</v>
      </c>
      <c r="P218" s="56">
        <v>0</v>
      </c>
      <c r="Q218" s="56">
        <v>0</v>
      </c>
      <c r="R218" s="56">
        <v>0</v>
      </c>
    </row>
    <row r="219" spans="1:18" outlineLevel="2" x14ac:dyDescent="0.3">
      <c r="A219" s="35" t="s">
        <v>391</v>
      </c>
      <c r="B219" s="23">
        <v>4.4969999999999999</v>
      </c>
      <c r="C219" s="23">
        <v>5.5410000000000004</v>
      </c>
      <c r="D219" s="23">
        <v>5.5410000000000004</v>
      </c>
      <c r="E219" s="23">
        <v>4.4969999999999999</v>
      </c>
      <c r="F219" s="23">
        <v>3.4609999999999999</v>
      </c>
      <c r="G219" s="23">
        <v>3.3559999999999999</v>
      </c>
      <c r="H219" s="23">
        <v>2.4169999999999998</v>
      </c>
      <c r="I219" s="23">
        <v>2.4169999999999998</v>
      </c>
      <c r="J219" s="23">
        <v>2.3119999999999998</v>
      </c>
      <c r="K219" s="23">
        <v>2.4169999999999998</v>
      </c>
      <c r="L219" s="23">
        <v>1.3660000000000001</v>
      </c>
      <c r="M219" s="23">
        <v>1.3660000000000001</v>
      </c>
      <c r="N219" s="23">
        <v>1.367</v>
      </c>
      <c r="O219" s="23">
        <v>1.5629999999999999</v>
      </c>
      <c r="P219" s="23">
        <v>1.375</v>
      </c>
      <c r="Q219" s="23">
        <v>1.294</v>
      </c>
      <c r="R219" s="23">
        <v>1.359</v>
      </c>
    </row>
    <row r="220" spans="1:18" outlineLevel="2" x14ac:dyDescent="0.3">
      <c r="A220" s="35" t="s">
        <v>392</v>
      </c>
      <c r="B220" s="54">
        <v>252.80199999999999</v>
      </c>
      <c r="C220" s="54">
        <v>236.155</v>
      </c>
      <c r="D220" s="54">
        <v>205.99799999999999</v>
      </c>
      <c r="E220" s="54">
        <v>203.99799999999999</v>
      </c>
      <c r="F220" s="56">
        <v>194.87</v>
      </c>
      <c r="G220" s="54">
        <v>122.953</v>
      </c>
      <c r="H220" s="54">
        <v>119.845</v>
      </c>
      <c r="I220" s="54">
        <v>151.50399999999999</v>
      </c>
      <c r="J220" s="54">
        <v>121.04900000000001</v>
      </c>
      <c r="K220" s="54">
        <v>96.975999999999999</v>
      </c>
      <c r="L220" s="56">
        <v>93.62</v>
      </c>
      <c r="M220" s="54">
        <v>83.448999999999998</v>
      </c>
      <c r="N220" s="54">
        <v>78.960999999999999</v>
      </c>
      <c r="O220" s="54">
        <v>67.186999999999998</v>
      </c>
      <c r="P220" s="54">
        <v>68.070999999999998</v>
      </c>
      <c r="Q220" s="54">
        <v>58.384999999999998</v>
      </c>
      <c r="R220" s="54">
        <v>64.662999999999997</v>
      </c>
    </row>
    <row r="221" spans="1:18" outlineLevel="2" x14ac:dyDescent="0.3">
      <c r="A221" s="35" t="s">
        <v>393</v>
      </c>
      <c r="B221" s="54">
        <v>918.85199999999998</v>
      </c>
      <c r="C221" s="56">
        <v>854.67</v>
      </c>
      <c r="D221" s="54">
        <v>822.71199999999999</v>
      </c>
      <c r="E221" s="54">
        <v>801.94500000000005</v>
      </c>
      <c r="F221" s="54">
        <v>784.98500000000001</v>
      </c>
      <c r="G221" s="54">
        <v>795.78800000000001</v>
      </c>
      <c r="H221" s="54">
        <v>854.80600000000004</v>
      </c>
      <c r="I221" s="54">
        <v>884.85699999999997</v>
      </c>
      <c r="J221" s="54">
        <v>1012.997</v>
      </c>
      <c r="K221" s="54">
        <v>975.20299999999997</v>
      </c>
      <c r="L221" s="56">
        <v>891.34</v>
      </c>
      <c r="M221" s="54">
        <v>758.00400000000002</v>
      </c>
      <c r="N221" s="54">
        <v>699.88400000000001</v>
      </c>
      <c r="O221" s="54">
        <v>714.73900000000003</v>
      </c>
      <c r="P221" s="54">
        <v>692.74300000000005</v>
      </c>
      <c r="Q221" s="54">
        <v>674.66200000000003</v>
      </c>
      <c r="R221" s="54">
        <v>800.56299999999999</v>
      </c>
    </row>
    <row r="222" spans="1:18" outlineLevel="2" x14ac:dyDescent="0.3">
      <c r="A222" s="35" t="s">
        <v>394</v>
      </c>
      <c r="B222" s="23">
        <v>49.281999999999996</v>
      </c>
      <c r="C222" s="23">
        <v>19.504000000000001</v>
      </c>
      <c r="D222" s="23">
        <v>6.157</v>
      </c>
      <c r="E222" s="23">
        <v>7.2030000000000003</v>
      </c>
      <c r="F222" s="23">
        <v>6.1429999999999998</v>
      </c>
      <c r="G222" s="23">
        <v>4.0940000000000003</v>
      </c>
      <c r="H222" s="23">
        <v>4.0940000000000003</v>
      </c>
      <c r="I222" s="23">
        <v>20.527000000000001</v>
      </c>
      <c r="J222" s="23">
        <v>16.422999999999998</v>
      </c>
      <c r="K222" s="23">
        <v>14.369</v>
      </c>
      <c r="L222" s="23">
        <v>16.417999999999999</v>
      </c>
      <c r="M222" s="23">
        <v>13.342000000000001</v>
      </c>
      <c r="N222" s="23">
        <v>12.811</v>
      </c>
      <c r="O222" s="23">
        <v>12.095000000000001</v>
      </c>
      <c r="P222" s="23">
        <v>11.494</v>
      </c>
      <c r="Q222" s="23">
        <v>3.3180000000000001</v>
      </c>
      <c r="R222" s="23">
        <v>4.7930000000000001</v>
      </c>
    </row>
    <row r="223" spans="1:18" outlineLevel="2" x14ac:dyDescent="0.3">
      <c r="A223" s="35" t="s">
        <v>395</v>
      </c>
      <c r="B223" s="56">
        <v>844.16</v>
      </c>
      <c r="C223" s="54">
        <v>736.77700000000004</v>
      </c>
      <c r="D223" s="54">
        <v>879.55499999999995</v>
      </c>
      <c r="E223" s="54">
        <v>813.03200000000004</v>
      </c>
      <c r="F223" s="54">
        <v>541.63900000000001</v>
      </c>
      <c r="G223" s="54">
        <v>588.85900000000004</v>
      </c>
      <c r="H223" s="54">
        <v>765.35699999999997</v>
      </c>
      <c r="I223" s="54">
        <v>827.029</v>
      </c>
      <c r="J223" s="54">
        <v>656.41700000000003</v>
      </c>
      <c r="K223" s="54">
        <v>667.21699999999998</v>
      </c>
      <c r="L223" s="54">
        <v>699.05799999999999</v>
      </c>
      <c r="M223" s="54">
        <v>582.36300000000006</v>
      </c>
      <c r="N223" s="54">
        <v>615.90700000000004</v>
      </c>
      <c r="O223" s="54">
        <v>633.92600000000004</v>
      </c>
      <c r="P223" s="54">
        <v>613.15599999999995</v>
      </c>
      <c r="Q223" s="54">
        <v>712.48099999999999</v>
      </c>
      <c r="R223" s="56">
        <v>770.85</v>
      </c>
    </row>
    <row r="224" spans="1:18" outlineLevel="2" x14ac:dyDescent="0.3">
      <c r="A224" s="35" t="s">
        <v>396</v>
      </c>
      <c r="B224" s="23">
        <v>128.15799999999999</v>
      </c>
      <c r="C224" s="23">
        <v>32.506999999999998</v>
      </c>
      <c r="D224" s="23">
        <v>16.292999999999999</v>
      </c>
      <c r="E224" s="23">
        <v>19.158999999999999</v>
      </c>
      <c r="F224" s="23">
        <v>58.319000000000003</v>
      </c>
      <c r="G224" s="23">
        <v>16.291</v>
      </c>
      <c r="H224" s="23">
        <v>13.409000000000001</v>
      </c>
      <c r="I224" s="23">
        <v>16.274999999999999</v>
      </c>
      <c r="J224" s="23">
        <v>31.725999999999999</v>
      </c>
      <c r="K224" s="23">
        <v>25.003</v>
      </c>
      <c r="L224" s="23">
        <v>21.117999999999999</v>
      </c>
      <c r="M224" s="23">
        <v>21.128</v>
      </c>
      <c r="N224" s="23">
        <v>26.251999999999999</v>
      </c>
      <c r="O224" s="23">
        <v>17.576000000000001</v>
      </c>
      <c r="P224" s="23">
        <v>17.645</v>
      </c>
      <c r="Q224" s="55">
        <v>49.26</v>
      </c>
      <c r="R224" s="23">
        <v>49.706000000000003</v>
      </c>
    </row>
    <row r="225" spans="1:18" outlineLevel="2" x14ac:dyDescent="0.3">
      <c r="A225" s="35" t="s">
        <v>398</v>
      </c>
      <c r="B225" s="55">
        <v>0</v>
      </c>
      <c r="C225" s="55">
        <v>0</v>
      </c>
      <c r="D225" s="55">
        <v>0</v>
      </c>
      <c r="E225" s="55">
        <v>0</v>
      </c>
      <c r="F225" s="55">
        <v>0</v>
      </c>
      <c r="G225" s="55">
        <v>0</v>
      </c>
      <c r="H225" s="55">
        <v>0</v>
      </c>
      <c r="I225" s="55">
        <v>0</v>
      </c>
      <c r="J225" s="23">
        <v>11.465</v>
      </c>
      <c r="K225" s="55">
        <v>0</v>
      </c>
      <c r="L225" s="23">
        <v>0.76400000000000001</v>
      </c>
      <c r="M225" s="23">
        <v>2.2930000000000001</v>
      </c>
      <c r="N225" s="55">
        <v>0</v>
      </c>
      <c r="O225" s="23">
        <v>0.96399999999999997</v>
      </c>
      <c r="P225" s="55">
        <v>0</v>
      </c>
      <c r="Q225" s="55">
        <v>0</v>
      </c>
      <c r="R225" s="55">
        <v>0</v>
      </c>
    </row>
    <row r="226" spans="1:18" outlineLevel="2" x14ac:dyDescent="0.3">
      <c r="A226" s="35" t="s">
        <v>399</v>
      </c>
      <c r="B226" s="56">
        <v>6.72</v>
      </c>
      <c r="C226" s="56">
        <v>5.76</v>
      </c>
      <c r="D226" s="56">
        <v>4.8</v>
      </c>
      <c r="E226" s="56">
        <v>4.8</v>
      </c>
      <c r="F226" s="56">
        <v>1.92</v>
      </c>
      <c r="G226" s="56">
        <v>1.92</v>
      </c>
      <c r="H226" s="56">
        <v>2.88</v>
      </c>
      <c r="I226" s="56">
        <v>1.92</v>
      </c>
      <c r="J226" s="56">
        <v>1.92</v>
      </c>
      <c r="K226" s="56">
        <v>1.92</v>
      </c>
      <c r="L226" s="56">
        <v>1.92</v>
      </c>
      <c r="M226" s="56">
        <v>0.96</v>
      </c>
      <c r="N226" s="56">
        <v>0.96</v>
      </c>
      <c r="O226" s="56">
        <v>0</v>
      </c>
      <c r="P226" s="56">
        <v>0</v>
      </c>
      <c r="Q226" s="56">
        <v>0</v>
      </c>
      <c r="R226" s="56">
        <v>0</v>
      </c>
    </row>
    <row r="227" spans="1:18" outlineLevel="2" x14ac:dyDescent="0.3">
      <c r="A227" s="35" t="s">
        <v>400</v>
      </c>
      <c r="B227" s="55">
        <v>0</v>
      </c>
      <c r="C227" s="55">
        <v>0</v>
      </c>
      <c r="D227" s="55">
        <v>0</v>
      </c>
      <c r="E227" s="55">
        <v>0</v>
      </c>
      <c r="F227" s="55">
        <v>0</v>
      </c>
      <c r="G227" s="55">
        <v>0</v>
      </c>
      <c r="H227" s="23">
        <v>0.90800000000000003</v>
      </c>
      <c r="I227" s="23">
        <v>0.94299999999999995</v>
      </c>
      <c r="J227" s="23">
        <v>14.259</v>
      </c>
      <c r="K227" s="55">
        <v>0</v>
      </c>
      <c r="L227" s="55">
        <v>0</v>
      </c>
      <c r="M227" s="23">
        <v>0.88400000000000001</v>
      </c>
      <c r="N227" s="23">
        <v>2.6629999999999998</v>
      </c>
      <c r="O227" s="23">
        <v>1.0169999999999999</v>
      </c>
      <c r="P227" s="23">
        <v>0.95099999999999996</v>
      </c>
      <c r="Q227" s="23">
        <v>2.9910000000000001</v>
      </c>
      <c r="R227" s="23">
        <v>1.085</v>
      </c>
    </row>
    <row r="228" spans="1:18" outlineLevel="1" x14ac:dyDescent="0.3">
      <c r="A228" s="35" t="s">
        <v>401</v>
      </c>
      <c r="B228" s="54">
        <v>205.31100000000001</v>
      </c>
      <c r="C228" s="56">
        <v>183.82</v>
      </c>
      <c r="D228" s="54">
        <v>161.673</v>
      </c>
      <c r="E228" s="54">
        <v>154.703</v>
      </c>
      <c r="F228" s="54">
        <v>135.55799999999999</v>
      </c>
      <c r="G228" s="54">
        <v>146.376</v>
      </c>
      <c r="H228" s="54">
        <v>1145.098</v>
      </c>
      <c r="I228" s="54">
        <v>1193.2380000000001</v>
      </c>
      <c r="J228" s="54">
        <v>1260.345</v>
      </c>
      <c r="K228" s="54">
        <v>1225.4480000000001</v>
      </c>
      <c r="L228" s="54">
        <v>1241.816</v>
      </c>
      <c r="M228" s="54">
        <v>1446.2449999999999</v>
      </c>
      <c r="N228" s="54">
        <v>1438.989</v>
      </c>
      <c r="O228" s="54">
        <v>1404.6590000000001</v>
      </c>
      <c r="P228" s="56">
        <v>1409.97</v>
      </c>
      <c r="Q228" s="56">
        <v>1524.53</v>
      </c>
      <c r="R228" s="56">
        <v>1550.85</v>
      </c>
    </row>
    <row r="229" spans="1:18" outlineLevel="2" x14ac:dyDescent="0.3">
      <c r="A229" s="35" t="s">
        <v>402</v>
      </c>
      <c r="B229" s="56">
        <v>0.92</v>
      </c>
      <c r="C229" s="56">
        <v>1.04</v>
      </c>
      <c r="D229" s="54">
        <v>1.0920000000000001</v>
      </c>
      <c r="E229" s="56">
        <v>1.23</v>
      </c>
      <c r="F229" s="54">
        <v>1.258</v>
      </c>
      <c r="G229" s="54">
        <v>0.35199999999999998</v>
      </c>
      <c r="H229" s="54">
        <v>0.33900000000000002</v>
      </c>
      <c r="I229" s="54">
        <v>0.33800000000000002</v>
      </c>
      <c r="J229" s="54">
        <v>1.1379999999999999</v>
      </c>
      <c r="K229" s="54">
        <v>4.7220000000000004</v>
      </c>
      <c r="L229" s="54">
        <v>5.0149999999999997</v>
      </c>
      <c r="M229" s="54">
        <v>5.165</v>
      </c>
      <c r="N229" s="54">
        <v>5.7240000000000002</v>
      </c>
      <c r="O229" s="54">
        <v>5.7859999999999996</v>
      </c>
      <c r="P229" s="54">
        <v>6.1310000000000002</v>
      </c>
      <c r="Q229" s="54">
        <v>6.3029999999999999</v>
      </c>
      <c r="R229" s="54">
        <v>6.2919999999999998</v>
      </c>
    </row>
    <row r="230" spans="1:18" outlineLevel="2" x14ac:dyDescent="0.3">
      <c r="A230" s="35" t="s">
        <v>403</v>
      </c>
      <c r="B230" s="23">
        <v>2.7669999999999999</v>
      </c>
      <c r="C230" s="55">
        <v>3</v>
      </c>
      <c r="D230" s="23">
        <v>9.2720000000000002</v>
      </c>
      <c r="E230" s="23">
        <v>10.032</v>
      </c>
      <c r="F230" s="23">
        <v>10.944000000000001</v>
      </c>
      <c r="G230" s="23">
        <v>11.763</v>
      </c>
      <c r="H230" s="23">
        <v>1053.5150000000001</v>
      </c>
      <c r="I230" s="23">
        <v>1095.953</v>
      </c>
      <c r="J230" s="23">
        <v>1139.9939999999999</v>
      </c>
      <c r="K230" s="23">
        <v>1123.3489999999999</v>
      </c>
      <c r="L230" s="23">
        <v>1126.674</v>
      </c>
      <c r="M230" s="23">
        <v>1312.558</v>
      </c>
      <c r="N230" s="23">
        <v>1325.6610000000001</v>
      </c>
      <c r="O230" s="55">
        <v>1396.32</v>
      </c>
      <c r="P230" s="23">
        <v>1401.2170000000001</v>
      </c>
      <c r="Q230" s="23">
        <v>1516.009</v>
      </c>
      <c r="R230" s="23">
        <v>1539.2940000000001</v>
      </c>
    </row>
    <row r="231" spans="1:18" outlineLevel="2" x14ac:dyDescent="0.3">
      <c r="A231" s="35" t="s">
        <v>404</v>
      </c>
      <c r="B231" s="54">
        <v>194.25299999999999</v>
      </c>
      <c r="C231" s="54">
        <v>179.779</v>
      </c>
      <c r="D231" s="54">
        <v>150.92699999999999</v>
      </c>
      <c r="E231" s="54">
        <v>139.86799999999999</v>
      </c>
      <c r="F231" s="56">
        <v>117.87</v>
      </c>
      <c r="G231" s="54">
        <v>123.627</v>
      </c>
      <c r="H231" s="54">
        <v>63.341999999999999</v>
      </c>
      <c r="I231" s="54">
        <v>75.881</v>
      </c>
      <c r="J231" s="54">
        <v>64.822999999999993</v>
      </c>
      <c r="K231" s="54">
        <v>63.771999999999998</v>
      </c>
      <c r="L231" s="54">
        <v>104.782</v>
      </c>
      <c r="M231" s="54">
        <v>122.83799999999999</v>
      </c>
      <c r="N231" s="56">
        <v>104.05</v>
      </c>
      <c r="O231" s="56">
        <v>0</v>
      </c>
      <c r="P231" s="56">
        <v>0</v>
      </c>
      <c r="Q231" s="56">
        <v>0</v>
      </c>
      <c r="R231" s="56">
        <v>0</v>
      </c>
    </row>
    <row r="232" spans="1:18" outlineLevel="2" x14ac:dyDescent="0.3">
      <c r="A232" s="35" t="s">
        <v>405</v>
      </c>
      <c r="B232" s="23">
        <v>7.3559999999999999</v>
      </c>
      <c r="C232" s="55">
        <v>0</v>
      </c>
      <c r="D232" s="55">
        <v>0</v>
      </c>
      <c r="E232" s="55">
        <v>0</v>
      </c>
      <c r="F232" s="55">
        <v>0</v>
      </c>
      <c r="G232" s="55">
        <v>0</v>
      </c>
      <c r="H232" s="55">
        <v>0</v>
      </c>
      <c r="I232" s="55">
        <v>0</v>
      </c>
      <c r="J232" s="55">
        <v>0</v>
      </c>
      <c r="K232" s="55">
        <v>0</v>
      </c>
      <c r="L232" s="55">
        <v>0</v>
      </c>
      <c r="M232" s="55">
        <v>0</v>
      </c>
      <c r="N232" s="55">
        <v>0</v>
      </c>
      <c r="O232" s="55">
        <v>0</v>
      </c>
      <c r="P232" s="55">
        <v>0</v>
      </c>
      <c r="Q232" s="55">
        <v>0</v>
      </c>
      <c r="R232" s="55">
        <v>0</v>
      </c>
    </row>
    <row r="233" spans="1:18" outlineLevel="2" x14ac:dyDescent="0.3">
      <c r="A233" s="35" t="s">
        <v>406</v>
      </c>
      <c r="B233" s="23">
        <v>1.4E-2</v>
      </c>
      <c r="C233" s="23">
        <v>1E-3</v>
      </c>
      <c r="D233" s="23">
        <v>1E-3</v>
      </c>
      <c r="E233" s="23">
        <v>3.2149999999999999</v>
      </c>
      <c r="F233" s="23">
        <v>3.2810000000000001</v>
      </c>
      <c r="G233" s="23">
        <v>1.6E-2</v>
      </c>
      <c r="H233" s="23">
        <v>1.2999999999999999E-2</v>
      </c>
      <c r="I233" s="23">
        <v>1.4999999999999999E-2</v>
      </c>
      <c r="J233" s="55">
        <v>0.01</v>
      </c>
      <c r="K233" s="23">
        <v>5.0000000000000001E-3</v>
      </c>
      <c r="L233" s="23">
        <v>3.0000000000000001E-3</v>
      </c>
      <c r="M233" s="23">
        <v>6.0000000000000001E-3</v>
      </c>
      <c r="N233" s="23">
        <v>6.0000000000000001E-3</v>
      </c>
      <c r="O233" s="55">
        <v>0.01</v>
      </c>
      <c r="P233" s="23">
        <v>0.10299999999999999</v>
      </c>
      <c r="Q233" s="23">
        <v>0.40200000000000002</v>
      </c>
      <c r="R233" s="55">
        <v>0.25</v>
      </c>
    </row>
    <row r="234" spans="1:18" outlineLevel="2" x14ac:dyDescent="0.3">
      <c r="A234" s="35" t="s">
        <v>407</v>
      </c>
      <c r="B234" s="56">
        <v>0</v>
      </c>
      <c r="C234" s="56">
        <v>0</v>
      </c>
      <c r="D234" s="56">
        <v>0</v>
      </c>
      <c r="E234" s="56">
        <v>0</v>
      </c>
      <c r="F234" s="56">
        <v>0</v>
      </c>
      <c r="G234" s="54">
        <v>7.024</v>
      </c>
      <c r="H234" s="54">
        <v>2.6850000000000001</v>
      </c>
      <c r="I234" s="54">
        <v>2.395</v>
      </c>
      <c r="J234" s="54">
        <v>4.7160000000000002</v>
      </c>
      <c r="K234" s="54">
        <v>1.5960000000000001</v>
      </c>
      <c r="L234" s="54">
        <v>1.7150000000000001</v>
      </c>
      <c r="M234" s="54">
        <v>1.782</v>
      </c>
      <c r="N234" s="54">
        <v>1.3939999999999999</v>
      </c>
      <c r="O234" s="56">
        <v>1.39</v>
      </c>
      <c r="P234" s="54">
        <v>1.4490000000000001</v>
      </c>
      <c r="Q234" s="54">
        <v>0.65100000000000002</v>
      </c>
      <c r="R234" s="56">
        <v>0.06</v>
      </c>
    </row>
    <row r="235" spans="1:18" outlineLevel="2" x14ac:dyDescent="0.3">
      <c r="A235" s="35" t="s">
        <v>408</v>
      </c>
      <c r="B235" s="55">
        <v>0</v>
      </c>
      <c r="C235" s="55">
        <v>0</v>
      </c>
      <c r="D235" s="55">
        <v>0</v>
      </c>
      <c r="E235" s="55">
        <v>0</v>
      </c>
      <c r="F235" s="55">
        <v>0</v>
      </c>
      <c r="G235" s="55">
        <v>0</v>
      </c>
      <c r="H235" s="55">
        <v>0</v>
      </c>
      <c r="I235" s="23">
        <v>2.6509999999999998</v>
      </c>
      <c r="J235" s="23">
        <v>0.88400000000000001</v>
      </c>
      <c r="K235" s="55">
        <v>0</v>
      </c>
      <c r="L235" s="23">
        <v>1.7629999999999999</v>
      </c>
      <c r="M235" s="23">
        <v>1.7629999999999999</v>
      </c>
      <c r="N235" s="23">
        <v>0.41199999999999998</v>
      </c>
      <c r="O235" s="23">
        <v>1.1519999999999999</v>
      </c>
      <c r="P235" s="55">
        <v>1.07</v>
      </c>
      <c r="Q235" s="23">
        <v>1.165</v>
      </c>
      <c r="R235" s="23">
        <v>4.9550000000000001</v>
      </c>
    </row>
    <row r="236" spans="1:18" outlineLevel="2" x14ac:dyDescent="0.3">
      <c r="A236" s="35" t="s">
        <v>409</v>
      </c>
      <c r="B236" s="56">
        <v>0</v>
      </c>
      <c r="C236" s="56">
        <v>0</v>
      </c>
      <c r="D236" s="56">
        <v>0</v>
      </c>
      <c r="E236" s="56">
        <v>0</v>
      </c>
      <c r="F236" s="54">
        <v>1.8460000000000001</v>
      </c>
      <c r="G236" s="54">
        <v>3.1890000000000001</v>
      </c>
      <c r="H236" s="54">
        <v>2.5110000000000001</v>
      </c>
      <c r="I236" s="56">
        <v>1.1000000000000001</v>
      </c>
      <c r="J236" s="56">
        <v>0.27</v>
      </c>
      <c r="K236" s="56">
        <v>0</v>
      </c>
      <c r="L236" s="56">
        <v>0</v>
      </c>
      <c r="M236" s="54">
        <v>0.151</v>
      </c>
      <c r="N236" s="56">
        <v>0</v>
      </c>
      <c r="O236" s="56">
        <v>0</v>
      </c>
      <c r="P236" s="56">
        <v>0</v>
      </c>
      <c r="Q236" s="56">
        <v>0</v>
      </c>
      <c r="R236" s="56">
        <v>0</v>
      </c>
    </row>
    <row r="237" spans="1:18" outlineLevel="2" x14ac:dyDescent="0.3">
      <c r="A237" s="35" t="s">
        <v>410</v>
      </c>
      <c r="B237" s="55">
        <v>0</v>
      </c>
      <c r="C237" s="55">
        <v>0</v>
      </c>
      <c r="D237" s="23">
        <v>0.38200000000000001</v>
      </c>
      <c r="E237" s="23">
        <v>0.35799999999999998</v>
      </c>
      <c r="F237" s="23">
        <v>0.35799999999999998</v>
      </c>
      <c r="G237" s="23">
        <v>0.40600000000000003</v>
      </c>
      <c r="H237" s="55">
        <v>22.69</v>
      </c>
      <c r="I237" s="23">
        <v>14.904</v>
      </c>
      <c r="J237" s="23">
        <v>48.509</v>
      </c>
      <c r="K237" s="23">
        <v>32.005000000000003</v>
      </c>
      <c r="L237" s="23">
        <v>1.863</v>
      </c>
      <c r="M237" s="23">
        <v>1.982</v>
      </c>
      <c r="N237" s="23">
        <v>1.744</v>
      </c>
      <c r="O237" s="55">
        <v>0</v>
      </c>
      <c r="P237" s="55">
        <v>0</v>
      </c>
      <c r="Q237" s="55">
        <v>0</v>
      </c>
      <c r="R237" s="55">
        <v>0</v>
      </c>
    </row>
    <row r="238" spans="1:18" outlineLevel="1" x14ac:dyDescent="0.3">
      <c r="A238" s="35" t="s">
        <v>412</v>
      </c>
      <c r="B238" s="23">
        <v>1.218</v>
      </c>
      <c r="C238" s="23">
        <v>1.696</v>
      </c>
      <c r="D238" s="55">
        <v>0</v>
      </c>
      <c r="E238" s="55">
        <v>0</v>
      </c>
      <c r="F238" s="55">
        <v>0</v>
      </c>
      <c r="G238" s="55">
        <v>0</v>
      </c>
      <c r="H238" s="55">
        <v>0</v>
      </c>
      <c r="I238" s="55">
        <v>0</v>
      </c>
      <c r="J238" s="55">
        <v>0</v>
      </c>
      <c r="K238" s="55">
        <v>0</v>
      </c>
      <c r="L238" s="55">
        <v>0</v>
      </c>
      <c r="M238" s="23">
        <v>1.123</v>
      </c>
      <c r="N238" s="23">
        <v>0.25900000000000001</v>
      </c>
      <c r="O238" s="23">
        <v>0.26200000000000001</v>
      </c>
      <c r="P238" s="23">
        <v>0.28199999999999997</v>
      </c>
      <c r="Q238" s="23">
        <v>0.26300000000000001</v>
      </c>
      <c r="R238" s="23">
        <v>0.26300000000000001</v>
      </c>
    </row>
    <row r="239" spans="1:18" outlineLevel="2" x14ac:dyDescent="0.3">
      <c r="A239" s="35" t="s">
        <v>413</v>
      </c>
      <c r="B239" s="54">
        <v>1.218</v>
      </c>
      <c r="C239" s="54">
        <v>1.696</v>
      </c>
      <c r="D239" s="56">
        <v>0</v>
      </c>
      <c r="E239" s="56">
        <v>0</v>
      </c>
      <c r="F239" s="56">
        <v>0</v>
      </c>
      <c r="G239" s="56">
        <v>0</v>
      </c>
      <c r="H239" s="56">
        <v>0</v>
      </c>
      <c r="I239" s="56">
        <v>0</v>
      </c>
      <c r="J239" s="56">
        <v>0</v>
      </c>
      <c r="K239" s="56">
        <v>0</v>
      </c>
      <c r="L239" s="56">
        <v>0</v>
      </c>
      <c r="M239" s="54">
        <v>1.123</v>
      </c>
      <c r="N239" s="54">
        <v>0.25900000000000001</v>
      </c>
      <c r="O239" s="54">
        <v>0.26200000000000001</v>
      </c>
      <c r="P239" s="54">
        <v>0.28199999999999997</v>
      </c>
      <c r="Q239" s="54">
        <v>0.26300000000000001</v>
      </c>
      <c r="R239" s="54">
        <v>0.26300000000000001</v>
      </c>
    </row>
    <row r="240" spans="1:18" outlineLevel="1" x14ac:dyDescent="0.3">
      <c r="A240" s="35" t="s">
        <v>221</v>
      </c>
      <c r="B240" s="23">
        <v>228.11699999999999</v>
      </c>
      <c r="C240" s="23">
        <v>322.786</v>
      </c>
      <c r="D240" s="23">
        <v>374.80700000000002</v>
      </c>
      <c r="E240" s="23">
        <v>409.97500000000002</v>
      </c>
      <c r="F240" s="23">
        <v>438.005</v>
      </c>
      <c r="G240" s="23">
        <v>631.12599999999998</v>
      </c>
      <c r="H240" s="55">
        <v>444.15</v>
      </c>
      <c r="I240" s="23">
        <v>473.15699999999998</v>
      </c>
      <c r="J240" s="23">
        <v>425.47199999999998</v>
      </c>
      <c r="K240" s="23">
        <v>510.46800000000002</v>
      </c>
      <c r="L240" s="55">
        <v>266.52</v>
      </c>
      <c r="M240" s="23">
        <v>225.87899999999999</v>
      </c>
      <c r="N240" s="23">
        <v>205.91300000000001</v>
      </c>
      <c r="O240" s="55">
        <v>203.29</v>
      </c>
      <c r="P240" s="23">
        <v>255.32300000000001</v>
      </c>
      <c r="Q240" s="23">
        <v>268.428</v>
      </c>
      <c r="R240" s="55">
        <v>165.66</v>
      </c>
    </row>
    <row r="241" spans="1:37" outlineLevel="1" x14ac:dyDescent="0.3">
      <c r="A241" s="100" t="s">
        <v>415</v>
      </c>
      <c r="B241" s="23">
        <v>4164.3270000000002</v>
      </c>
      <c r="C241" s="23">
        <v>3911.962</v>
      </c>
      <c r="D241" s="23">
        <v>127.544</v>
      </c>
      <c r="E241" s="23">
        <v>130.07599999999999</v>
      </c>
      <c r="F241" s="23">
        <v>160.982</v>
      </c>
      <c r="G241" s="23">
        <v>134.208</v>
      </c>
      <c r="H241" s="23">
        <v>69.075000000000003</v>
      </c>
      <c r="I241" s="55">
        <v>89.28</v>
      </c>
      <c r="J241" s="23">
        <v>79.034999999999997</v>
      </c>
      <c r="K241" s="55">
        <v>142.63999999999999</v>
      </c>
      <c r="L241" s="23">
        <v>144.62200000000001</v>
      </c>
      <c r="M241" s="23">
        <v>133.44499999999999</v>
      </c>
      <c r="N241" s="55">
        <v>92.46</v>
      </c>
      <c r="O241" s="23">
        <v>58.776000000000003</v>
      </c>
      <c r="P241" s="23">
        <v>49.662999999999997</v>
      </c>
      <c r="Q241" s="55">
        <v>43.99</v>
      </c>
      <c r="R241" s="23">
        <v>77.710999999999999</v>
      </c>
    </row>
    <row r="242" spans="1:37" ht="15.75" customHeight="1" x14ac:dyDescent="0.3"/>
    <row r="243" spans="1:37" s="5" customFormat="1" x14ac:dyDescent="0.3">
      <c r="A243" s="5" t="s">
        <v>423</v>
      </c>
    </row>
    <row r="244" spans="1:37" s="18" customFormat="1" ht="16.5" customHeight="1" outlineLevel="1" x14ac:dyDescent="0.3">
      <c r="A244" s="18" t="s">
        <v>68</v>
      </c>
    </row>
    <row r="245" spans="1:37" outlineLevel="1" x14ac:dyDescent="0.3">
      <c r="B245">
        <v>2005</v>
      </c>
      <c r="C245">
        <v>2006</v>
      </c>
      <c r="D245">
        <v>2007</v>
      </c>
      <c r="E245">
        <v>2008</v>
      </c>
      <c r="F245">
        <v>2009</v>
      </c>
      <c r="G245">
        <v>2010</v>
      </c>
      <c r="H245">
        <v>2011</v>
      </c>
      <c r="I245">
        <v>2012</v>
      </c>
      <c r="J245">
        <v>2013</v>
      </c>
      <c r="K245">
        <v>2014</v>
      </c>
      <c r="L245">
        <v>2015</v>
      </c>
      <c r="M245">
        <v>2016</v>
      </c>
      <c r="N245">
        <v>2017</v>
      </c>
      <c r="O245">
        <v>2018</v>
      </c>
      <c r="P245">
        <v>2019</v>
      </c>
      <c r="Q245">
        <v>2020</v>
      </c>
      <c r="R245">
        <v>2021</v>
      </c>
      <c r="S245">
        <v>2022</v>
      </c>
      <c r="T245">
        <v>2023</v>
      </c>
      <c r="U245">
        <v>2024</v>
      </c>
      <c r="V245">
        <v>2025</v>
      </c>
      <c r="W245">
        <v>2026</v>
      </c>
      <c r="X245">
        <v>2027</v>
      </c>
      <c r="Y245">
        <v>2028</v>
      </c>
      <c r="Z245">
        <v>2029</v>
      </c>
      <c r="AA245">
        <v>2030</v>
      </c>
      <c r="AF245" s="123" t="s">
        <v>424</v>
      </c>
      <c r="AG245" s="123"/>
      <c r="AH245" s="123"/>
      <c r="AI245" s="123"/>
      <c r="AJ245" s="123"/>
      <c r="AK245" s="123"/>
    </row>
    <row r="246" spans="1:37" outlineLevel="1" x14ac:dyDescent="0.3">
      <c r="B246">
        <v>2005</v>
      </c>
      <c r="G246">
        <v>2010</v>
      </c>
      <c r="L246">
        <v>2015</v>
      </c>
      <c r="Q246">
        <v>2020</v>
      </c>
      <c r="V246">
        <v>2025</v>
      </c>
      <c r="AA246">
        <v>2030</v>
      </c>
      <c r="AG246">
        <v>2016</v>
      </c>
      <c r="AH246">
        <v>2017</v>
      </c>
      <c r="AI246">
        <v>2018</v>
      </c>
      <c r="AJ246">
        <v>2019</v>
      </c>
      <c r="AK246" t="s">
        <v>50</v>
      </c>
    </row>
    <row r="247" spans="1:37" outlineLevel="1" x14ac:dyDescent="0.3">
      <c r="A247" t="s">
        <v>425</v>
      </c>
      <c r="B247" s="1">
        <f>B107*0.01163</f>
        <v>3097.2599180800003</v>
      </c>
      <c r="C247" s="1">
        <f t="shared" ref="C247:R247" si="0">C107*0.01163</f>
        <v>3086.5094600900002</v>
      </c>
      <c r="D247" s="1">
        <f t="shared" si="0"/>
        <v>2898.5779873500001</v>
      </c>
      <c r="E247" s="1">
        <f t="shared" si="0"/>
        <v>3073.35417396</v>
      </c>
      <c r="F247" s="1">
        <f t="shared" si="0"/>
        <v>3051.4933211099997</v>
      </c>
      <c r="G247" s="1">
        <f t="shared" si="0"/>
        <v>3243.9499803299996</v>
      </c>
      <c r="H247" s="1">
        <f t="shared" si="0"/>
        <v>2929.5322208999996</v>
      </c>
      <c r="I247" s="1">
        <f t="shared" si="0"/>
        <v>3058.83128124</v>
      </c>
      <c r="J247" s="1">
        <f t="shared" si="0"/>
        <v>3094.6418422600004</v>
      </c>
      <c r="K247" s="1">
        <f t="shared" si="0"/>
        <v>2728.8300196099999</v>
      </c>
      <c r="L247" s="1">
        <f t="shared" si="0"/>
        <v>2849.6755818500001</v>
      </c>
      <c r="M247" s="1">
        <f t="shared" si="0"/>
        <v>2917.69635827</v>
      </c>
      <c r="N247" s="1">
        <f t="shared" si="0"/>
        <v>2927.4231669199999</v>
      </c>
      <c r="O247" s="1">
        <f t="shared" si="0"/>
        <v>2904.55906375</v>
      </c>
      <c r="P247" s="1">
        <f t="shared" si="0"/>
        <v>2886.4398842799997</v>
      </c>
      <c r="Q247" s="1">
        <f t="shared" si="0"/>
        <v>2885.7265000799998</v>
      </c>
      <c r="R247" s="1">
        <f t="shared" si="0"/>
        <v>3044.8816195899999</v>
      </c>
      <c r="AC247">
        <f>R247/B247-1</f>
        <v>-1.6911173061145535E-2</v>
      </c>
      <c r="AF247" s="1"/>
      <c r="AG247" s="1">
        <f>M247-L247</f>
        <v>68.020776419999947</v>
      </c>
      <c r="AH247" s="1">
        <f>N247-M247</f>
        <v>9.726808649999839</v>
      </c>
      <c r="AI247" s="1">
        <f>O247-N247</f>
        <v>-22.864103169999908</v>
      </c>
      <c r="AJ247" s="1">
        <f>P247-O247</f>
        <v>-18.11917947000029</v>
      </c>
    </row>
    <row r="248" spans="1:37" outlineLevel="1" x14ac:dyDescent="0.3">
      <c r="A248" t="s">
        <v>426</v>
      </c>
      <c r="R248" s="1">
        <f>R247</f>
        <v>3044.8816195899999</v>
      </c>
      <c r="S248" cm="1">
        <f t="array" ref="S248">TREND($H$247:$R$247,$H$245:$R$245,S$245)</f>
        <v>2912.8721945165444</v>
      </c>
      <c r="T248" cm="1">
        <f t="array" ref="T248">TREND($H$247:$R$247,$H$245:$R$245,T$245)</f>
        <v>2910.0442642276357</v>
      </c>
      <c r="U248" cm="1">
        <f t="array" ref="U248">TREND($H$247:$R$247,$H$245:$R$245,U$245)</f>
        <v>2907.2163339387262</v>
      </c>
      <c r="V248" cm="1">
        <f t="array" ref="V248">TREND($H$247:$R$247,$H$245:$R$245,V$245)</f>
        <v>2904.3884036498175</v>
      </c>
      <c r="W248" cm="1">
        <f t="array" ref="W248">TREND($H$247:$R$247,$H$245:$R$245,W$245)</f>
        <v>2901.560473360908</v>
      </c>
      <c r="X248" cm="1">
        <f t="array" ref="X248">TREND($H$247:$R$247,$H$245:$R$245,X$245)</f>
        <v>2898.7325430719993</v>
      </c>
      <c r="Y248" cm="1">
        <f t="array" ref="Y248">TREND($H$247:$R$247,$H$245:$R$245,Y$245)</f>
        <v>2895.9046127830898</v>
      </c>
      <c r="Z248" cm="1">
        <f t="array" ref="Z248">TREND($H$247:$R$247,$H$245:$R$245,Z$245)</f>
        <v>2893.0766824941811</v>
      </c>
      <c r="AA248" cm="1">
        <f t="array" ref="AA248">TREND($H$247:$R$247,$H$245:$R$245,AA$245)</f>
        <v>2890.2487522052716</v>
      </c>
    </row>
    <row r="249" spans="1:37" outlineLevel="1" x14ac:dyDescent="0.3">
      <c r="A249" t="s">
        <v>427</v>
      </c>
      <c r="Q249">
        <f>Q267*0.01163</f>
        <v>2919.4997456443043</v>
      </c>
      <c r="V249">
        <f>V267*0.01163</f>
        <v>2615.1741414239868</v>
      </c>
      <c r="AA249">
        <f>AA267*0.01163</f>
        <v>2326.9800431577414</v>
      </c>
      <c r="AC249" s="2">
        <f>AA249/Q$247-1</f>
        <v>-0.19362419027124311</v>
      </c>
      <c r="AD249" s="2">
        <f>AA249/B$247-1</f>
        <v>-0.24869720181564792</v>
      </c>
      <c r="AK249">
        <f>(AA250-AVERAGE($M$247,$N$247,$O$247,$P$247))/9</f>
        <v>-67.953299054312382</v>
      </c>
    </row>
    <row r="250" spans="1:37" outlineLevel="1" x14ac:dyDescent="0.3">
      <c r="A250" t="s">
        <v>428</v>
      </c>
      <c r="Q250">
        <f>Q268*0.01163</f>
        <v>2919.500135664267</v>
      </c>
      <c r="V250">
        <f>V268*0.01163</f>
        <v>2588.8765398757687</v>
      </c>
      <c r="AA250">
        <f>AA268*0.01163</f>
        <v>2297.4499268161885</v>
      </c>
      <c r="AC250" s="2">
        <f>AA250/Q$247-1</f>
        <v>-0.20385735559052554</v>
      </c>
      <c r="AD250" s="2">
        <f t="shared" ref="AD250:AD252" si="1">AA250/B$247-1</f>
        <v>-0.25823147311434425</v>
      </c>
      <c r="AK250">
        <f t="shared" ref="AK250:AK252" si="2">(AA251-AVERAGE($M$247,$N$247,$O$247,$P$247))/9</f>
        <v>-55.036871102568256</v>
      </c>
    </row>
    <row r="251" spans="1:37" outlineLevel="1" x14ac:dyDescent="0.3">
      <c r="A251" t="s">
        <v>429</v>
      </c>
      <c r="Q251">
        <f>Q269*0.01163</f>
        <v>2919.5113855486811</v>
      </c>
      <c r="V251">
        <f>V269*0.01163</f>
        <v>2632.5210342882378</v>
      </c>
      <c r="AA251">
        <f>AA269*0.01163</f>
        <v>2413.6977783818857</v>
      </c>
      <c r="AC251" s="2">
        <f>AA251/Q$247-1</f>
        <v>-0.16357361714113527</v>
      </c>
      <c r="AD251" s="2">
        <f t="shared" si="1"/>
        <v>-0.22069899129481407</v>
      </c>
      <c r="AK251">
        <f t="shared" si="2"/>
        <v>-98.378846478333344</v>
      </c>
    </row>
    <row r="252" spans="1:37" outlineLevel="1" x14ac:dyDescent="0.3">
      <c r="A252" t="s">
        <v>257</v>
      </c>
      <c r="AA252">
        <f>AA270*0.01163</f>
        <v>2023.62</v>
      </c>
      <c r="AC252" s="2">
        <f>AA252/Q$247-1</f>
        <v>-0.29874851274231984</v>
      </c>
      <c r="AD252" s="2">
        <f t="shared" si="1"/>
        <v>-0.34664185327576658</v>
      </c>
      <c r="AK252">
        <f t="shared" si="2"/>
        <v>-323.22551314499998</v>
      </c>
    </row>
    <row r="253" spans="1:37" outlineLevel="1" x14ac:dyDescent="0.3"/>
    <row r="254" spans="1:37" s="18" customFormat="1" ht="16.5" customHeight="1" outlineLevel="1" x14ac:dyDescent="0.3">
      <c r="A254" s="18" t="s">
        <v>430</v>
      </c>
    </row>
    <row r="255" spans="1:37" outlineLevel="1" x14ac:dyDescent="0.3">
      <c r="B255">
        <v>2005</v>
      </c>
      <c r="C255">
        <v>2006</v>
      </c>
      <c r="D255">
        <v>2007</v>
      </c>
      <c r="E255">
        <v>2008</v>
      </c>
      <c r="F255">
        <v>2009</v>
      </c>
      <c r="G255">
        <v>2010</v>
      </c>
      <c r="H255">
        <v>2011</v>
      </c>
      <c r="I255">
        <v>2012</v>
      </c>
      <c r="J255">
        <v>2013</v>
      </c>
      <c r="K255">
        <v>2014</v>
      </c>
      <c r="L255">
        <v>2015</v>
      </c>
      <c r="M255">
        <v>2016</v>
      </c>
      <c r="N255">
        <v>2017</v>
      </c>
      <c r="O255">
        <v>2018</v>
      </c>
      <c r="P255">
        <v>2019</v>
      </c>
      <c r="Q255">
        <v>2020</v>
      </c>
      <c r="R255">
        <v>2021</v>
      </c>
      <c r="S255">
        <v>2022</v>
      </c>
      <c r="T255">
        <v>2023</v>
      </c>
      <c r="U255">
        <v>2024</v>
      </c>
      <c r="V255">
        <v>2025</v>
      </c>
      <c r="W255">
        <v>2026</v>
      </c>
      <c r="X255">
        <v>2027</v>
      </c>
      <c r="Y255">
        <v>2028</v>
      </c>
      <c r="Z255">
        <v>2029</v>
      </c>
      <c r="AA255">
        <v>2030</v>
      </c>
      <c r="AC255" t="s">
        <v>431</v>
      </c>
      <c r="AD255" t="s">
        <v>432</v>
      </c>
      <c r="AF255" s="123" t="s">
        <v>424</v>
      </c>
      <c r="AG255" s="123"/>
      <c r="AH255" s="123"/>
      <c r="AI255" s="123"/>
      <c r="AJ255" s="123"/>
      <c r="AK255" s="123"/>
    </row>
    <row r="256" spans="1:37" outlineLevel="1" x14ac:dyDescent="0.3">
      <c r="B256">
        <v>2005</v>
      </c>
      <c r="G256">
        <v>2010</v>
      </c>
      <c r="L256">
        <v>2015</v>
      </c>
      <c r="Q256">
        <v>2020</v>
      </c>
      <c r="V256">
        <v>2025</v>
      </c>
      <c r="AA256">
        <v>2030</v>
      </c>
      <c r="AG256">
        <v>2016</v>
      </c>
      <c r="AH256">
        <v>2017</v>
      </c>
      <c r="AI256">
        <v>2018</v>
      </c>
      <c r="AJ256">
        <v>2019</v>
      </c>
      <c r="AK256" t="s">
        <v>50</v>
      </c>
    </row>
    <row r="257" spans="1:37" outlineLevel="1" x14ac:dyDescent="0.3">
      <c r="A257" t="s">
        <v>425</v>
      </c>
      <c r="B257" s="1">
        <f>(B207+B184+B148+B56)*0.01163</f>
        <v>1903.1057997200001</v>
      </c>
      <c r="C257" s="1">
        <f t="shared" ref="C257:R257" si="3">(C207+C184+C148+C56)*0.01163</f>
        <v>1951.0472415799998</v>
      </c>
      <c r="D257" s="1">
        <f t="shared" si="3"/>
        <v>1813.9429393400001</v>
      </c>
      <c r="E257" s="1">
        <f t="shared" si="3"/>
        <v>1900.4174205500001</v>
      </c>
      <c r="F257" s="1">
        <f t="shared" si="3"/>
        <v>1895.5270404400001</v>
      </c>
      <c r="G257" s="1">
        <f t="shared" si="3"/>
        <v>1982.1750877699999</v>
      </c>
      <c r="H257" s="1">
        <f t="shared" si="3"/>
        <v>1845.13350612</v>
      </c>
      <c r="I257" s="1">
        <f t="shared" si="3"/>
        <v>1875.4563237100001</v>
      </c>
      <c r="J257" s="1">
        <f t="shared" si="3"/>
        <v>1896.8033515299999</v>
      </c>
      <c r="K257" s="1">
        <f t="shared" si="3"/>
        <v>1782.5836561499998</v>
      </c>
      <c r="L257" s="1">
        <f t="shared" si="3"/>
        <v>1837.31023772</v>
      </c>
      <c r="M257" s="1">
        <f t="shared" si="3"/>
        <v>1859.14786546</v>
      </c>
      <c r="N257" s="1">
        <f t="shared" si="3"/>
        <v>1906.0262439100002</v>
      </c>
      <c r="O257" s="1">
        <f t="shared" si="3"/>
        <v>1907.6325795100001</v>
      </c>
      <c r="P257" s="1">
        <f t="shared" si="3"/>
        <v>1876.6538415499999</v>
      </c>
      <c r="Q257" s="1">
        <f t="shared" si="3"/>
        <v>1798.1913254900003</v>
      </c>
      <c r="R257" s="1">
        <f t="shared" si="3"/>
        <v>1895.3930977299999</v>
      </c>
      <c r="AF257" s="1"/>
      <c r="AG257" s="1">
        <f>M257-L257</f>
        <v>21.837627740000016</v>
      </c>
      <c r="AH257" s="1">
        <f>N257-M257</f>
        <v>46.878378450000127</v>
      </c>
      <c r="AI257" s="1">
        <f>O257-N257</f>
        <v>1.6063355999999658</v>
      </c>
      <c r="AJ257" s="1">
        <f>P257-O257</f>
        <v>-30.978737960000217</v>
      </c>
    </row>
    <row r="258" spans="1:37" outlineLevel="1" x14ac:dyDescent="0.3">
      <c r="A258" t="s">
        <v>426</v>
      </c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>
        <f>R257</f>
        <v>1895.3930977299999</v>
      </c>
      <c r="S258" s="1" cm="1">
        <f t="array" ref="S258">TREND($H257:$R257,$H$245:$R$245,S$245)</f>
        <v>1872.7903637967272</v>
      </c>
      <c r="T258" s="1" cm="1">
        <f t="array" ref="T258">TREND($H257:$R257,$H$245:$R$245,T$245)</f>
        <v>1874.6140300525456</v>
      </c>
      <c r="U258" s="1" cm="1">
        <f t="array" ref="U258">TREND($H257:$R257,$H$245:$R$245,U$245)</f>
        <v>1876.4376963083635</v>
      </c>
      <c r="V258" s="1" cm="1">
        <f t="array" ref="V258">TREND($H257:$R257,$H$245:$R$245,V$245)</f>
        <v>1878.2613625641818</v>
      </c>
      <c r="W258" s="1" cm="1">
        <f t="array" ref="W258">TREND($H257:$R257,$H$245:$R$245,W$245)</f>
        <v>1880.0850288200002</v>
      </c>
      <c r="X258" s="1" cm="1">
        <f t="array" ref="X258">TREND($H257:$R257,$H$245:$R$245,X$245)</f>
        <v>1881.9086950758181</v>
      </c>
      <c r="Y258" s="1" cm="1">
        <f t="array" ref="Y258">TREND($H257:$R257,$H$245:$R$245,Y$245)</f>
        <v>1883.7323613316364</v>
      </c>
      <c r="Z258" s="1" cm="1">
        <f t="array" ref="Z258">TREND($H257:$R257,$H$245:$R$245,Z$245)</f>
        <v>1885.5560275874548</v>
      </c>
      <c r="AA258" s="1" cm="1">
        <f t="array" ref="AA258">TREND($H257:$R257,$H$245:$R$245,AA$245)</f>
        <v>1887.3796938432727</v>
      </c>
    </row>
    <row r="259" spans="1:37" outlineLevel="1" x14ac:dyDescent="0.3">
      <c r="A259" t="s">
        <v>427</v>
      </c>
      <c r="Q259">
        <f>Q274*0.01163</f>
        <v>1631.2302127542262</v>
      </c>
      <c r="V259">
        <f t="shared" ref="V259:V261" si="4">V274*0.01163</f>
        <v>1773.366349389232</v>
      </c>
      <c r="AA259">
        <f>AA274*0.01163</f>
        <v>1648.2768989622564</v>
      </c>
      <c r="AC259" s="2">
        <f>AA259/R$257-1</f>
        <v>-0.13037728113693137</v>
      </c>
      <c r="AD259" s="2">
        <f>AA259/B$257-1</f>
        <v>-0.13390159432819559</v>
      </c>
      <c r="AK259">
        <f>(AA260-AVERAGE($M$257,$N$257,$O$257,$P$257))/9</f>
        <v>-27.787290179664904</v>
      </c>
    </row>
    <row r="260" spans="1:37" outlineLevel="1" x14ac:dyDescent="0.3">
      <c r="A260" t="s">
        <v>428</v>
      </c>
      <c r="Q260">
        <f t="shared" ref="Q260:Q261" si="5">Q275*0.01163</f>
        <v>1631.2329985894744</v>
      </c>
      <c r="V260">
        <f t="shared" si="4"/>
        <v>1771.2189642881935</v>
      </c>
      <c r="AA260">
        <f>AA275*0.01163</f>
        <v>1637.2795209905159</v>
      </c>
      <c r="AC260" s="2">
        <f>AA260/R$257-1</f>
        <v>-0.136179443224</v>
      </c>
      <c r="AD260" s="2">
        <f>AA260/B$257-1</f>
        <v>-0.13968024203835361</v>
      </c>
      <c r="AK260">
        <f>(AA261-AVERAGE($M$257,$N$257,$O$257,$P$257))/9</f>
        <v>-25.506799062790734</v>
      </c>
    </row>
    <row r="261" spans="1:37" outlineLevel="1" x14ac:dyDescent="0.3">
      <c r="A261" t="s">
        <v>429</v>
      </c>
      <c r="Q261">
        <f t="shared" si="5"/>
        <v>1631.061987101295</v>
      </c>
      <c r="V261">
        <f t="shared" si="4"/>
        <v>1776.803977391219</v>
      </c>
      <c r="AA261">
        <f>AA276*0.01163</f>
        <v>1657.8039410423835</v>
      </c>
      <c r="AC261" s="2">
        <f>AA261/R$257-1</f>
        <v>-0.12535086097557435</v>
      </c>
      <c r="AD261" s="2">
        <f>AA261/B$257-1</f>
        <v>-0.1288955447005139</v>
      </c>
      <c r="AK261">
        <f>(AA262-AVERAGE($M$257,$N$257,$O$257,$P$257))/9</f>
        <v>-53.348348067500005</v>
      </c>
    </row>
    <row r="262" spans="1:37" outlineLevel="1" x14ac:dyDescent="0.3">
      <c r="A262" t="s">
        <v>257</v>
      </c>
      <c r="AA262">
        <f>AA277*0.01163</f>
        <v>1407.23</v>
      </c>
      <c r="AC262" s="2">
        <f>AA262/R$257-1</f>
        <v>-0.25755242979128912</v>
      </c>
      <c r="AD262" s="2">
        <f>AA262/B$257-1</f>
        <v>-0.26056134125226105</v>
      </c>
      <c r="AK262">
        <f>(AA263-AVERAGE($M$257,$N$257,$O$257,$P$257))/9</f>
        <v>-209.7072369563889</v>
      </c>
    </row>
    <row r="264" spans="1:37" s="5" customFormat="1" x14ac:dyDescent="0.3">
      <c r="A264" s="5" t="s">
        <v>433</v>
      </c>
    </row>
    <row r="265" spans="1:37" s="18" customFormat="1" ht="16.5" customHeight="1" x14ac:dyDescent="0.3">
      <c r="A265" s="18" t="s">
        <v>68</v>
      </c>
    </row>
    <row r="266" spans="1:37" x14ac:dyDescent="0.3">
      <c r="Q266">
        <v>2020</v>
      </c>
      <c r="V266">
        <v>2025</v>
      </c>
      <c r="AA266">
        <v>2030</v>
      </c>
    </row>
    <row r="267" spans="1:37" x14ac:dyDescent="0.3">
      <c r="A267" t="s">
        <v>434</v>
      </c>
      <c r="Q267">
        <v>251031.79240277768</v>
      </c>
      <c r="V267">
        <v>224864.50055236343</v>
      </c>
      <c r="AA267">
        <v>200084.26854322798</v>
      </c>
    </row>
    <row r="268" spans="1:37" x14ac:dyDescent="0.3">
      <c r="A268" t="s">
        <v>435</v>
      </c>
      <c r="Q268">
        <v>251031.82593845806</v>
      </c>
      <c r="V268">
        <v>222603.31383282618</v>
      </c>
      <c r="AA268">
        <v>197545.1355817875</v>
      </c>
    </row>
    <row r="269" spans="1:37" x14ac:dyDescent="0.3">
      <c r="A269" t="s">
        <v>436</v>
      </c>
      <c r="Q269">
        <v>251032.79325440078</v>
      </c>
      <c r="V269">
        <v>226356.06485711419</v>
      </c>
      <c r="AA269">
        <v>207540.65162354993</v>
      </c>
    </row>
    <row r="270" spans="1:37" x14ac:dyDescent="0.3">
      <c r="A270" t="s">
        <v>257</v>
      </c>
      <c r="AA270">
        <v>174000</v>
      </c>
    </row>
    <row r="272" spans="1:37" s="18" customFormat="1" ht="16.5" customHeight="1" x14ac:dyDescent="0.3">
      <c r="A272" s="18" t="s">
        <v>430</v>
      </c>
    </row>
    <row r="273" spans="1:47" x14ac:dyDescent="0.3">
      <c r="Q273">
        <v>2020</v>
      </c>
      <c r="V273">
        <v>2025</v>
      </c>
      <c r="AA273">
        <v>2030</v>
      </c>
    </row>
    <row r="274" spans="1:47" x14ac:dyDescent="0.3">
      <c r="A274" t="s">
        <v>434</v>
      </c>
      <c r="Q274">
        <v>140260.55139761188</v>
      </c>
      <c r="V274">
        <v>152482.05927680412</v>
      </c>
      <c r="AA274">
        <v>141726.30257629033</v>
      </c>
    </row>
    <row r="275" spans="1:47" x14ac:dyDescent="0.3">
      <c r="A275" t="s">
        <v>435</v>
      </c>
      <c r="Q275">
        <v>140260.79093632626</v>
      </c>
      <c r="V275">
        <v>152297.4173936538</v>
      </c>
      <c r="AA275">
        <v>140780.69827949407</v>
      </c>
    </row>
    <row r="276" spans="1:47" x14ac:dyDescent="0.3">
      <c r="A276" t="s">
        <v>436</v>
      </c>
      <c r="Q276">
        <v>140246.08659512424</v>
      </c>
      <c r="V276">
        <v>152777.64208007042</v>
      </c>
      <c r="AA276">
        <v>142545.48074311123</v>
      </c>
    </row>
    <row r="277" spans="1:47" x14ac:dyDescent="0.3">
      <c r="A277" t="s">
        <v>257</v>
      </c>
      <c r="AA277">
        <v>121000</v>
      </c>
    </row>
    <row r="280" spans="1:47" ht="16.5" customHeight="1" x14ac:dyDescent="0.3"/>
    <row r="281" spans="1:47" x14ac:dyDescent="0.3"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</row>
    <row r="282" spans="1:47" x14ac:dyDescent="0.3"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</row>
    <row r="283" spans="1:47" hidden="1" x14ac:dyDescent="0.3"/>
    <row r="288" spans="1:47" x14ac:dyDescent="0.3">
      <c r="N288" s="11"/>
      <c r="O288" s="11"/>
      <c r="P288" s="11"/>
      <c r="Q288" s="11"/>
    </row>
  </sheetData>
  <autoFilter ref="A147:R179" xr:uid="{4F14C41A-1C2A-446D-84A2-4B347E0E6208}"/>
  <mergeCells count="2">
    <mergeCell ref="AF245:AK245"/>
    <mergeCell ref="AF255:AK25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2F03C-0961-4DD0-800E-6DA276B54AD0}">
  <sheetPr>
    <outlinePr summaryBelow="0"/>
  </sheetPr>
  <dimension ref="A1:BD369"/>
  <sheetViews>
    <sheetView topLeftCell="A93" zoomScale="85" zoomScaleNormal="85" workbookViewId="0">
      <pane xSplit="3" topLeftCell="D1" activePane="topRight" state="frozen"/>
      <selection activeCell="S21" sqref="S20:S21"/>
      <selection pane="topRight" activeCell="S21" sqref="S20:S21"/>
    </sheetView>
  </sheetViews>
  <sheetFormatPr defaultRowHeight="16.5" outlineLevelRow="2" x14ac:dyDescent="0.3"/>
  <cols>
    <col min="1" max="1" width="30" customWidth="1"/>
    <col min="2" max="2" width="22.625" customWidth="1"/>
    <col min="3" max="3" width="9.875" customWidth="1"/>
    <col min="22" max="22" width="10.5" customWidth="1"/>
  </cols>
  <sheetData>
    <row r="1" spans="1:56" s="5" customFormat="1" x14ac:dyDescent="0.3">
      <c r="A1" s="5" t="s">
        <v>68</v>
      </c>
      <c r="B1" s="5" t="s">
        <v>27</v>
      </c>
      <c r="C1" s="5" t="s">
        <v>28</v>
      </c>
    </row>
    <row r="2" spans="1:56" s="18" customFormat="1" outlineLevel="1" x14ac:dyDescent="0.3">
      <c r="A2" s="18" t="s">
        <v>234</v>
      </c>
      <c r="V2" s="18" t="s">
        <v>437</v>
      </c>
      <c r="AN2" s="18" t="s">
        <v>438</v>
      </c>
    </row>
    <row r="3" spans="1:56" outlineLevel="1" x14ac:dyDescent="0.3">
      <c r="D3">
        <v>2005</v>
      </c>
      <c r="E3">
        <v>2006</v>
      </c>
      <c r="F3">
        <v>2007</v>
      </c>
      <c r="G3">
        <v>2008</v>
      </c>
      <c r="H3">
        <v>2009</v>
      </c>
      <c r="I3">
        <v>2010</v>
      </c>
      <c r="J3">
        <v>2011</v>
      </c>
      <c r="K3">
        <v>2012</v>
      </c>
      <c r="L3">
        <v>2013</v>
      </c>
      <c r="M3">
        <v>2014</v>
      </c>
      <c r="N3">
        <v>2015</v>
      </c>
      <c r="O3">
        <v>2016</v>
      </c>
      <c r="P3">
        <v>2017</v>
      </c>
      <c r="Q3">
        <v>2018</v>
      </c>
      <c r="R3">
        <v>2019</v>
      </c>
      <c r="S3">
        <v>2020</v>
      </c>
      <c r="T3">
        <v>2021</v>
      </c>
      <c r="V3">
        <v>2005</v>
      </c>
      <c r="W3">
        <v>2006</v>
      </c>
      <c r="X3">
        <v>2007</v>
      </c>
      <c r="Y3">
        <v>2008</v>
      </c>
      <c r="Z3">
        <v>2009</v>
      </c>
      <c r="AA3">
        <v>2010</v>
      </c>
      <c r="AB3">
        <v>2011</v>
      </c>
      <c r="AC3">
        <v>2012</v>
      </c>
      <c r="AD3">
        <v>2013</v>
      </c>
      <c r="AE3">
        <v>2014</v>
      </c>
      <c r="AF3">
        <v>2015</v>
      </c>
      <c r="AG3">
        <v>2016</v>
      </c>
      <c r="AH3">
        <v>2017</v>
      </c>
      <c r="AI3">
        <v>2018</v>
      </c>
      <c r="AJ3">
        <v>2019</v>
      </c>
      <c r="AK3">
        <v>2020</v>
      </c>
      <c r="AL3">
        <v>2021</v>
      </c>
      <c r="AN3">
        <v>2005</v>
      </c>
      <c r="AO3">
        <v>2006</v>
      </c>
      <c r="AP3">
        <v>2007</v>
      </c>
      <c r="AQ3">
        <v>2008</v>
      </c>
      <c r="AR3">
        <v>2009</v>
      </c>
      <c r="AS3">
        <v>2010</v>
      </c>
      <c r="AT3">
        <v>2011</v>
      </c>
      <c r="AU3">
        <v>2012</v>
      </c>
      <c r="AV3">
        <v>2013</v>
      </c>
      <c r="AW3">
        <v>2014</v>
      </c>
      <c r="AX3">
        <v>2015</v>
      </c>
      <c r="AY3">
        <v>2016</v>
      </c>
      <c r="AZ3">
        <v>2017</v>
      </c>
      <c r="BA3">
        <v>2018</v>
      </c>
      <c r="BB3">
        <v>2019</v>
      </c>
      <c r="BC3">
        <v>2020</v>
      </c>
      <c r="BD3">
        <v>2021</v>
      </c>
    </row>
    <row r="4" spans="1:56" outlineLevel="1" x14ac:dyDescent="0.3">
      <c r="A4" t="s">
        <v>251</v>
      </c>
      <c r="B4" t="s">
        <v>439</v>
      </c>
      <c r="D4" s="2">
        <f>('Energy balances (for buildings)'!B108+'Energy balances (for buildings)'!B116+'Energy balances (for buildings)'!B118)/'Energy balances (for buildings)'!B107</f>
        <v>3.4687707722831473E-2</v>
      </c>
      <c r="E4" s="2">
        <f>('Energy balances (for buildings)'!C108+'Energy balances (for buildings)'!C116+'Energy balances (for buildings)'!C118)/'Energy balances (for buildings)'!C107</f>
        <v>3.8487759032021916E-2</v>
      </c>
      <c r="F4" s="2">
        <f>('Energy balances (for buildings)'!D108+'Energy balances (for buildings)'!D116+'Energy balances (for buildings)'!D118)/'Energy balances (for buildings)'!D107</f>
        <v>3.6766843471212632E-2</v>
      </c>
      <c r="G4" s="2">
        <f>('Energy balances (for buildings)'!E108+'Energy balances (for buildings)'!E116+'Energy balances (for buildings)'!E118)/'Energy balances (for buildings)'!E107</f>
        <v>3.6797737744713281E-2</v>
      </c>
      <c r="H4" s="2">
        <f>('Energy balances (for buildings)'!F108+'Energy balances (for buildings)'!F116+'Energy balances (for buildings)'!F118)/'Energy balances (for buildings)'!F107</f>
        <v>3.7649569073350937E-2</v>
      </c>
      <c r="I4" s="2">
        <f>('Energy balances (for buildings)'!G108+'Energy balances (for buildings)'!G116+'Energy balances (for buildings)'!G118)/'Energy balances (for buildings)'!G107</f>
        <v>4.0931419474751776E-2</v>
      </c>
      <c r="J4" s="2">
        <f>('Energy balances (for buildings)'!H108+'Energy balances (for buildings)'!H116+'Energy balances (for buildings)'!H118)/'Energy balances (for buildings)'!H107</f>
        <v>3.93055058819681E-2</v>
      </c>
      <c r="K4" s="2">
        <f>('Energy balances (for buildings)'!I108+'Energy balances (for buildings)'!I116+'Energy balances (for buildings)'!I118)/'Energy balances (for buildings)'!I107</f>
        <v>3.8635245851837995E-2</v>
      </c>
      <c r="L4" s="2">
        <f>('Energy balances (for buildings)'!J108+'Energy balances (for buildings)'!J116+'Energy balances (for buildings)'!J118)/'Energy balances (for buildings)'!J107</f>
        <v>3.6910022710926485E-2</v>
      </c>
      <c r="M4" s="2">
        <f>('Energy balances (for buildings)'!K108+'Energy balances (for buildings)'!K116+'Energy balances (for buildings)'!K118)/'Energy balances (for buildings)'!K107</f>
        <v>3.7524352441943049E-2</v>
      </c>
      <c r="N4" s="2">
        <f>('Energy balances (for buildings)'!L108+'Energy balances (for buildings)'!L116+'Energy balances (for buildings)'!L118)/'Energy balances (for buildings)'!L107</f>
        <v>3.5511228012946025E-2</v>
      </c>
      <c r="O4" s="2">
        <f>('Energy balances (for buildings)'!M108+'Energy balances (for buildings)'!M116+'Energy balances (for buildings)'!M118)/'Energy balances (for buildings)'!M107</f>
        <v>3.590140877514391E-2</v>
      </c>
      <c r="P4" s="2">
        <f>('Energy balances (for buildings)'!N108+'Energy balances (for buildings)'!N116+'Energy balances (for buildings)'!N118)/'Energy balances (for buildings)'!N107</f>
        <v>3.5427109541910029E-2</v>
      </c>
      <c r="Q4" s="2">
        <f>('Energy balances (for buildings)'!O108+'Energy balances (for buildings)'!O116+'Energy balances (for buildings)'!O118)/'Energy balances (for buildings)'!O107</f>
        <v>3.3409858071439258E-2</v>
      </c>
      <c r="R4" s="2">
        <f>('Energy balances (for buildings)'!P108+'Energy balances (for buildings)'!P116+'Energy balances (for buildings)'!P118)/'Energy balances (for buildings)'!P107</f>
        <v>2.730186164942678E-2</v>
      </c>
      <c r="S4" s="2">
        <f>('Energy balances (for buildings)'!Q108+'Energy balances (for buildings)'!Q116+'Energy balances (for buildings)'!Q118)/'Energy balances (for buildings)'!Q107</f>
        <v>2.7911207665649224E-2</v>
      </c>
      <c r="T4" s="2">
        <f>('Energy balances (for buildings)'!R108+'Energy balances (for buildings)'!R116+'Energy balances (for buildings)'!R118)/'Energy balances (for buildings)'!R107</f>
        <v>2.5325693433816823E-2</v>
      </c>
      <c r="U4" s="2"/>
      <c r="V4" s="16">
        <f>('Energy balances (for buildings)'!B108+'Energy balances (for buildings)'!B116+'Energy balances (for buildings)'!B118)</f>
        <v>9237.9060000000009</v>
      </c>
      <c r="W4" s="16">
        <f>('Energy balances (for buildings)'!C108+'Energy balances (for buildings)'!C116+'Energy balances (for buildings)'!C118)</f>
        <v>10214.344999999999</v>
      </c>
      <c r="X4" s="16">
        <f>('Energy balances (for buildings)'!D108+'Energy balances (for buildings)'!D116+'Energy balances (for buildings)'!D118)</f>
        <v>9163.5049999999992</v>
      </c>
      <c r="Y4" s="16">
        <f>('Energy balances (for buildings)'!E108+'Energy balances (for buildings)'!E116+'Energy balances (for buildings)'!E118)</f>
        <v>9724.2029999999995</v>
      </c>
      <c r="Z4" s="16">
        <f>('Energy balances (for buildings)'!F108+'Energy balances (for buildings)'!F116+'Energy balances (for buildings)'!F118)</f>
        <v>9878.5389999999989</v>
      </c>
      <c r="AA4" s="16">
        <f>('Energy balances (for buildings)'!G108+'Energy balances (for buildings)'!G116+'Energy balances (for buildings)'!G118)</f>
        <v>11416.98</v>
      </c>
      <c r="AB4" s="16">
        <f>('Energy balances (for buildings)'!H108+'Energy balances (for buildings)'!H116+'Energy balances (for buildings)'!H118)</f>
        <v>9900.8380000000016</v>
      </c>
      <c r="AC4" s="16">
        <f>('Energy balances (for buildings)'!I108+'Energy balances (for buildings)'!I116+'Energy balances (for buildings)'!I118)</f>
        <v>10161.539000000001</v>
      </c>
      <c r="AD4" s="16">
        <f>('Energy balances (for buildings)'!J108+'Energy balances (for buildings)'!J116+'Energy balances (for buildings)'!J118)</f>
        <v>9821.4359999999997</v>
      </c>
      <c r="AE4" s="16">
        <f>('Energy balances (for buildings)'!K108+'Energy balances (for buildings)'!K116+'Energy balances (for buildings)'!K118)</f>
        <v>8804.607</v>
      </c>
      <c r="AF4" s="16">
        <f>('Energy balances (for buildings)'!L108+'Energy balances (for buildings)'!L116+'Energy balances (for buildings)'!L118)</f>
        <v>8701.244999999999</v>
      </c>
      <c r="AG4" s="16">
        <f>('Energy balances (for buildings)'!M108+'Energy balances (for buildings)'!M116+'Energy balances (for buildings)'!M118)</f>
        <v>9006.8279999999995</v>
      </c>
      <c r="AH4" s="16">
        <f>('Energy balances (for buildings)'!N108+'Energy balances (for buildings)'!N116+'Energy balances (for buildings)'!N118)</f>
        <v>8917.4670000000006</v>
      </c>
      <c r="AI4" s="16">
        <f>('Energy balances (for buildings)'!O108+'Energy balances (for buildings)'!O116+'Energy balances (for buildings)'!O118)</f>
        <v>8344.0159999999996</v>
      </c>
      <c r="AJ4" s="16">
        <f>('Energy balances (for buildings)'!P108+'Energy balances (for buildings)'!P116+'Energy balances (for buildings)'!P118)</f>
        <v>6776.0259999999998</v>
      </c>
      <c r="AK4" s="16">
        <f>('Energy balances (for buildings)'!Q108+'Energy balances (for buildings)'!Q116+'Energy balances (for buildings)'!Q118)</f>
        <v>6925.5469999999996</v>
      </c>
      <c r="AL4" s="16">
        <f>('Energy balances (for buildings)'!R108+'Energy balances (for buildings)'!R116+'Energy balances (for buildings)'!R118)</f>
        <v>6630.5879999999997</v>
      </c>
      <c r="AN4" s="16">
        <f t="shared" ref="AN4:AW10" si="0">V4*ktoe2TWh</f>
        <v>107.43684678000001</v>
      </c>
      <c r="AO4" s="16">
        <f t="shared" si="0"/>
        <v>118.79283234999998</v>
      </c>
      <c r="AP4" s="16">
        <f t="shared" si="0"/>
        <v>106.57156314999999</v>
      </c>
      <c r="AQ4" s="16">
        <f t="shared" si="0"/>
        <v>113.09248088999999</v>
      </c>
      <c r="AR4" s="16">
        <f t="shared" si="0"/>
        <v>114.88740856999998</v>
      </c>
      <c r="AS4" s="16">
        <f t="shared" si="0"/>
        <v>132.77947739999999</v>
      </c>
      <c r="AT4" s="16">
        <f t="shared" si="0"/>
        <v>115.14674594000002</v>
      </c>
      <c r="AU4" s="16">
        <f t="shared" si="0"/>
        <v>118.17869857000001</v>
      </c>
      <c r="AV4" s="16">
        <f t="shared" si="0"/>
        <v>114.22330067999999</v>
      </c>
      <c r="AW4" s="16">
        <f t="shared" si="0"/>
        <v>102.39757940999999</v>
      </c>
      <c r="AX4" s="16">
        <f t="shared" ref="AX4:BD10" si="1">AF4*ktoe2TWh</f>
        <v>101.19547934999999</v>
      </c>
      <c r="AY4" s="16">
        <f t="shared" si="1"/>
        <v>104.74940964</v>
      </c>
      <c r="AZ4" s="16">
        <f t="shared" si="1"/>
        <v>103.71014121</v>
      </c>
      <c r="BA4" s="16">
        <f t="shared" si="1"/>
        <v>97.040906079999999</v>
      </c>
      <c r="BB4" s="16">
        <f t="shared" si="1"/>
        <v>78.805182379999991</v>
      </c>
      <c r="BC4" s="16">
        <f t="shared" si="1"/>
        <v>80.544111609999987</v>
      </c>
      <c r="BD4" s="16">
        <f t="shared" si="1"/>
        <v>77.113738439999992</v>
      </c>
    </row>
    <row r="5" spans="1:56" outlineLevel="1" x14ac:dyDescent="0.3">
      <c r="A5" t="s">
        <v>237</v>
      </c>
      <c r="B5" t="s">
        <v>439</v>
      </c>
      <c r="D5" s="2">
        <f>'Energy balances (for buildings)'!B122/'Energy balances (for buildings)'!B107</f>
        <v>0.19753401908202309</v>
      </c>
      <c r="E5" s="2">
        <f>'Energy balances (for buildings)'!C122/'Energy balances (for buildings)'!C107</f>
        <v>0.19045080790157676</v>
      </c>
      <c r="F5" s="2">
        <f>'Energy balances (for buildings)'!D122/'Energy balances (for buildings)'!D107</f>
        <v>0.15918543561142595</v>
      </c>
      <c r="G5" s="2">
        <f>'Energy balances (for buildings)'!E122/'Energy balances (for buildings)'!E107</f>
        <v>0.1719855467679266</v>
      </c>
      <c r="H5" s="2">
        <f>'Energy balances (for buildings)'!F122/'Energy balances (for buildings)'!F107</f>
        <v>0.1582311326981255</v>
      </c>
      <c r="I5" s="2">
        <f>'Energy balances (for buildings)'!G122/'Energy balances (for buildings)'!G107</f>
        <v>0.14728832312679338</v>
      </c>
      <c r="J5" s="2">
        <f>'Energy balances (for buildings)'!H122/'Energy balances (for buildings)'!H107</f>
        <v>0.14368584092947193</v>
      </c>
      <c r="K5" s="2">
        <f>'Energy balances (for buildings)'!I122/'Energy balances (for buildings)'!I107</f>
        <v>0.13536229893077029</v>
      </c>
      <c r="L5" s="2">
        <f>'Energy balances (for buildings)'!J122/'Energy balances (for buildings)'!J107</f>
        <v>0.13451140165415854</v>
      </c>
      <c r="M5" s="2">
        <f>'Energy balances (for buildings)'!K122/'Energy balances (for buildings)'!K107</f>
        <v>0.13306188043617834</v>
      </c>
      <c r="N5" s="2">
        <f>'Energy balances (for buildings)'!L122/'Energy balances (for buildings)'!L107</f>
        <v>0.13081958247260686</v>
      </c>
      <c r="O5" s="2">
        <f>'Energy balances (for buildings)'!M122/'Energy balances (for buildings)'!M107</f>
        <v>0.12271848458292041</v>
      </c>
      <c r="P5" s="2">
        <f>'Energy balances (for buildings)'!N122/'Energy balances (for buildings)'!N107</f>
        <v>0.12006230077416238</v>
      </c>
      <c r="Q5" s="2">
        <f>'Energy balances (for buildings)'!O122/'Energy balances (for buildings)'!O107</f>
        <v>0.11415096369978232</v>
      </c>
      <c r="R5" s="2">
        <f>'Energy balances (for buildings)'!P122/'Energy balances (for buildings)'!P107</f>
        <v>0.11713412652082188</v>
      </c>
      <c r="S5" s="2">
        <f>'Energy balances (for buildings)'!Q122/'Energy balances (for buildings)'!Q107</f>
        <v>0.12275940477386865</v>
      </c>
      <c r="T5" s="2">
        <f>'Energy balances (for buildings)'!R122/'Energy balances (for buildings)'!R107</f>
        <v>9.5481780174806116E-2</v>
      </c>
      <c r="U5" s="2"/>
      <c r="V5" s="16">
        <f>'Energy balances (for buildings)'!B122</f>
        <v>52606.552000000003</v>
      </c>
      <c r="W5" s="16">
        <f>'Energy balances (for buildings)'!C122</f>
        <v>50544.129000000001</v>
      </c>
      <c r="X5" s="16">
        <f>'Energy balances (for buildings)'!D122</f>
        <v>39674.239000000001</v>
      </c>
      <c r="Y5" s="16">
        <f>'Energy balances (for buildings)'!E122</f>
        <v>45449.053999999996</v>
      </c>
      <c r="Z5" s="16">
        <f>'Energy balances (for buildings)'!F122</f>
        <v>41516.874000000003</v>
      </c>
      <c r="AA5" s="16">
        <f>'Energy balances (for buildings)'!G122</f>
        <v>41083.057000000001</v>
      </c>
      <c r="AB5" s="16">
        <f>'Energy balances (for buildings)'!H122</f>
        <v>36193.663</v>
      </c>
      <c r="AC5" s="16">
        <f>'Energy balances (for buildings)'!I122</f>
        <v>35601.928999999996</v>
      </c>
      <c r="AD5" s="16">
        <f>'Energy balances (for buildings)'!J122</f>
        <v>35792.313999999998</v>
      </c>
      <c r="AE5" s="16">
        <f>'Energy balances (for buildings)'!K122</f>
        <v>31221.26</v>
      </c>
      <c r="AF5" s="16">
        <f>'Energy balances (for buildings)'!L122</f>
        <v>32054.46</v>
      </c>
      <c r="AG5" s="16">
        <f>'Energy balances (for buildings)'!M122</f>
        <v>30787.212</v>
      </c>
      <c r="AH5" s="16">
        <f>'Energy balances (for buildings)'!N122</f>
        <v>30221.252</v>
      </c>
      <c r="AI5" s="16">
        <f>'Energy balances (for buildings)'!O122</f>
        <v>28508.875</v>
      </c>
      <c r="AJ5" s="16">
        <f>'Energy balances (for buildings)'!P122</f>
        <v>29071.42</v>
      </c>
      <c r="AK5" s="16">
        <f>'Energy balances (for buildings)'!Q122</f>
        <v>30460.023000000001</v>
      </c>
      <c r="AL5" s="16">
        <f>'Energy balances (for buildings)'!R122</f>
        <v>24998.342000000001</v>
      </c>
      <c r="AN5" s="16">
        <f t="shared" si="0"/>
        <v>611.81419976000006</v>
      </c>
      <c r="AO5" s="16">
        <f t="shared" si="0"/>
        <v>587.82822026999997</v>
      </c>
      <c r="AP5" s="16">
        <f t="shared" si="0"/>
        <v>461.41139957000001</v>
      </c>
      <c r="AQ5" s="16">
        <f t="shared" si="0"/>
        <v>528.5724980199999</v>
      </c>
      <c r="AR5" s="16">
        <f t="shared" si="0"/>
        <v>482.84124462000005</v>
      </c>
      <c r="AS5" s="16">
        <f t="shared" si="0"/>
        <v>477.79595290999998</v>
      </c>
      <c r="AT5" s="16">
        <f t="shared" si="0"/>
        <v>420.93230068999998</v>
      </c>
      <c r="AU5" s="16">
        <f t="shared" si="0"/>
        <v>414.05043426999993</v>
      </c>
      <c r="AV5" s="16">
        <f t="shared" si="0"/>
        <v>416.26461181999997</v>
      </c>
      <c r="AW5" s="16">
        <f t="shared" si="0"/>
        <v>363.10325379999995</v>
      </c>
      <c r="AX5" s="16">
        <f t="shared" si="1"/>
        <v>372.79336979999999</v>
      </c>
      <c r="AY5" s="16">
        <f t="shared" si="1"/>
        <v>358.05527555999998</v>
      </c>
      <c r="AZ5" s="16">
        <f t="shared" si="1"/>
        <v>351.47316075999998</v>
      </c>
      <c r="BA5" s="16">
        <f t="shared" si="1"/>
        <v>331.55821624999999</v>
      </c>
      <c r="BB5" s="16">
        <f t="shared" si="1"/>
        <v>338.10061459999997</v>
      </c>
      <c r="BC5" s="16">
        <f t="shared" si="1"/>
        <v>354.25006748999999</v>
      </c>
      <c r="BD5" s="16">
        <f t="shared" si="1"/>
        <v>290.73071745999999</v>
      </c>
    </row>
    <row r="6" spans="1:56" outlineLevel="1" x14ac:dyDescent="0.3">
      <c r="A6" t="s">
        <v>238</v>
      </c>
      <c r="B6" t="s">
        <v>439</v>
      </c>
      <c r="D6" s="2">
        <f>'Energy balances (for buildings)'!B121/'Energy balances (for buildings)'!B107</f>
        <v>0.33390175617262735</v>
      </c>
      <c r="E6" s="2">
        <f>'Energy balances (for buildings)'!C121/'Energy balances (for buildings)'!C107</f>
        <v>0.32832489631198175</v>
      </c>
      <c r="F6" s="2">
        <f>'Energy balances (for buildings)'!D121/'Energy balances (for buildings)'!D107</f>
        <v>0.32147210372693857</v>
      </c>
      <c r="G6" s="2">
        <f>'Energy balances (for buildings)'!E121/'Energy balances (for buildings)'!E107</f>
        <v>0.31763544489965623</v>
      </c>
      <c r="H6" s="2">
        <f>'Energy balances (for buildings)'!F121/'Energy balances (for buildings)'!F107</f>
        <v>0.32293027842235206</v>
      </c>
      <c r="I6" s="2">
        <f>'Energy balances (for buildings)'!G121/'Energy balances (for buildings)'!G107</f>
        <v>0.33047904927342375</v>
      </c>
      <c r="J6" s="2">
        <f>'Energy balances (for buildings)'!H121/'Energy balances (for buildings)'!H107</f>
        <v>0.32065507760532858</v>
      </c>
      <c r="K6" s="2">
        <f>'Energy balances (for buildings)'!I121/'Energy balances (for buildings)'!I107</f>
        <v>0.32341753279015845</v>
      </c>
      <c r="L6" s="2">
        <f>'Energy balances (for buildings)'!J121/'Energy balances (for buildings)'!J107</f>
        <v>0.32510787594252138</v>
      </c>
      <c r="M6" s="2">
        <f>'Energy balances (for buildings)'!K121/'Energy balances (for buildings)'!K107</f>
        <v>0.30225770687537384</v>
      </c>
      <c r="N6" s="2">
        <f>'Energy balances (for buildings)'!L121/'Energy balances (for buildings)'!L107</f>
        <v>0.31357190838540711</v>
      </c>
      <c r="O6" s="2">
        <f>'Energy balances (for buildings)'!M121/'Energy balances (for buildings)'!M107</f>
        <v>0.3258081023529289</v>
      </c>
      <c r="P6" s="2">
        <f>'Energy balances (for buildings)'!N121/'Energy balances (for buildings)'!N107</f>
        <v>0.32342460195672623</v>
      </c>
      <c r="Q6" s="2">
        <f>'Energy balances (for buildings)'!O121/'Energy balances (for buildings)'!O107</f>
        <v>0.32222141896528339</v>
      </c>
      <c r="R6" s="2">
        <f>'Energy balances (for buildings)'!P121/'Energy balances (for buildings)'!P107</f>
        <v>0.32081765087270775</v>
      </c>
      <c r="S6" s="2">
        <f>'Energy balances (for buildings)'!Q121/'Energy balances (for buildings)'!Q107</f>
        <v>0.31677195756238791</v>
      </c>
      <c r="T6" s="2">
        <f>'Energy balances (for buildings)'!R121/'Energy balances (for buildings)'!R107</f>
        <v>0.33500952148259672</v>
      </c>
      <c r="U6" s="2"/>
      <c r="V6" s="16">
        <f>'Energy balances (for buildings)'!B121</f>
        <v>88923.519</v>
      </c>
      <c r="W6" s="16">
        <f>'Energy balances (for buildings)'!C121</f>
        <v>87134.815000000002</v>
      </c>
      <c r="X6" s="16">
        <f>'Energy balances (for buildings)'!D121</f>
        <v>80121.407000000007</v>
      </c>
      <c r="Y6" s="16">
        <f>'Energy balances (for buildings)'!E121</f>
        <v>83938.626000000004</v>
      </c>
      <c r="Z6" s="16">
        <f>'Energy balances (for buildings)'!F121</f>
        <v>84730.832999999999</v>
      </c>
      <c r="AA6" s="16">
        <f>'Energy balances (for buildings)'!G121</f>
        <v>92180.353000000003</v>
      </c>
      <c r="AB6" s="16">
        <f>'Energy balances (for buildings)'!H121</f>
        <v>80771.228000000003</v>
      </c>
      <c r="AC6" s="16">
        <f>'Energy balances (for buildings)'!I121</f>
        <v>85062.74</v>
      </c>
      <c r="AD6" s="16">
        <f>'Energy balances (for buildings)'!J121</f>
        <v>86508.377999999997</v>
      </c>
      <c r="AE6" s="16">
        <f>'Energy balances (for buildings)'!K121</f>
        <v>70920.885999999999</v>
      </c>
      <c r="AF6" s="16">
        <f>'Energy balances (for buildings)'!L121</f>
        <v>76833.895999999993</v>
      </c>
      <c r="AG6" s="16">
        <f>'Energy balances (for buildings)'!M121</f>
        <v>81737.671000000002</v>
      </c>
      <c r="AH6" s="16">
        <f>'Energy balances (for buildings)'!N121</f>
        <v>81410.203999999998</v>
      </c>
      <c r="AI6" s="16">
        <f>'Energy balances (for buildings)'!O121</f>
        <v>80473.873000000007</v>
      </c>
      <c r="AJ6" s="16">
        <f>'Energy balances (for buildings)'!P121</f>
        <v>79623.462</v>
      </c>
      <c r="AK6" s="16">
        <f>'Energy balances (for buildings)'!Q121</f>
        <v>78599.933999999994</v>
      </c>
      <c r="AL6" s="16">
        <f>'Energy balances (for buildings)'!R121</f>
        <v>87709.744999999995</v>
      </c>
      <c r="AN6" s="16">
        <f t="shared" si="0"/>
        <v>1034.18052597</v>
      </c>
      <c r="AO6" s="16">
        <f t="shared" si="0"/>
        <v>1013.37789845</v>
      </c>
      <c r="AP6" s="16">
        <f t="shared" si="0"/>
        <v>931.81196341000009</v>
      </c>
      <c r="AQ6" s="16">
        <f t="shared" si="0"/>
        <v>976.20622037999999</v>
      </c>
      <c r="AR6" s="16">
        <f t="shared" si="0"/>
        <v>985.41958778999992</v>
      </c>
      <c r="AS6" s="16">
        <f t="shared" si="0"/>
        <v>1072.05750539</v>
      </c>
      <c r="AT6" s="16">
        <f t="shared" si="0"/>
        <v>939.36938164000003</v>
      </c>
      <c r="AU6" s="16">
        <f t="shared" si="0"/>
        <v>989.27966620000007</v>
      </c>
      <c r="AV6" s="16">
        <f t="shared" si="0"/>
        <v>1006.0924361399999</v>
      </c>
      <c r="AW6" s="16">
        <f t="shared" si="0"/>
        <v>824.80990417999999</v>
      </c>
      <c r="AX6" s="16">
        <f t="shared" si="1"/>
        <v>893.57821047999994</v>
      </c>
      <c r="AY6" s="16">
        <f t="shared" si="1"/>
        <v>950.60911372999999</v>
      </c>
      <c r="AZ6" s="16">
        <f t="shared" si="1"/>
        <v>946.80067251999992</v>
      </c>
      <c r="BA6" s="16">
        <f t="shared" si="1"/>
        <v>935.91114299000003</v>
      </c>
      <c r="BB6" s="16">
        <f t="shared" si="1"/>
        <v>926.02086306000001</v>
      </c>
      <c r="BC6" s="16">
        <f t="shared" si="1"/>
        <v>914.11723241999994</v>
      </c>
      <c r="BD6" s="16">
        <f t="shared" si="1"/>
        <v>1020.06433435</v>
      </c>
    </row>
    <row r="7" spans="1:56" outlineLevel="1" x14ac:dyDescent="0.3">
      <c r="A7" t="s">
        <v>221</v>
      </c>
      <c r="B7" t="s">
        <v>439</v>
      </c>
      <c r="D7" s="2">
        <f>'Energy balances (for buildings)'!B143/'Energy balances (for buildings)'!B107</f>
        <v>0.21604349391664984</v>
      </c>
      <c r="E7" s="2">
        <f>'Energy balances (for buildings)'!C143/'Energy balances (for buildings)'!C107</f>
        <v>0.22206552741296767</v>
      </c>
      <c r="F7" s="2">
        <f>'Energy balances (for buildings)'!D143/'Energy balances (for buildings)'!D107</f>
        <v>0.23486467844958395</v>
      </c>
      <c r="G7" s="2">
        <f>'Energy balances (for buildings)'!E143/'Energy balances (for buildings)'!E107</f>
        <v>0.22649044112058775</v>
      </c>
      <c r="H7" s="2">
        <f>'Energy balances (for buildings)'!F143/'Energy balances (for buildings)'!F107</f>
        <v>0.22925666049156718</v>
      </c>
      <c r="I7" s="2">
        <f>'Energy balances (for buildings)'!G143/'Energy balances (for buildings)'!G107</f>
        <v>0.22506151922099912</v>
      </c>
      <c r="J7" s="2">
        <f>'Energy balances (for buildings)'!H143/'Energy balances (for buildings)'!H107</f>
        <v>0.24028410632184286</v>
      </c>
      <c r="K7" s="2">
        <f>'Energy balances (for buildings)'!I143/'Energy balances (for buildings)'!I107</f>
        <v>0.23501990866216568</v>
      </c>
      <c r="L7" s="2">
        <f>'Energy balances (for buildings)'!J143/'Energy balances (for buildings)'!J107</f>
        <v>0.23129176541065591</v>
      </c>
      <c r="M7" s="2">
        <f>'Energy balances (for buildings)'!K143/'Energy balances (for buildings)'!K107</f>
        <v>0.24982503729471275</v>
      </c>
      <c r="N7" s="2">
        <f>'Energy balances (for buildings)'!L143/'Energy balances (for buildings)'!L107</f>
        <v>0.24278049942823882</v>
      </c>
      <c r="O7" s="2">
        <f>'Energy balances (for buildings)'!M143/'Energy balances (for buildings)'!M107</f>
        <v>0.24121182638665542</v>
      </c>
      <c r="P7" s="2">
        <f>'Energy balances (for buildings)'!N143/'Energy balances (for buildings)'!N107</f>
        <v>0.24202950054038508</v>
      </c>
      <c r="Q7" s="2">
        <f>'Energy balances (for buildings)'!O143/'Energy balances (for buildings)'!O107</f>
        <v>0.24304420321154849</v>
      </c>
      <c r="R7" s="2">
        <f>'Energy balances (for buildings)'!P143/'Energy balances (for buildings)'!P107</f>
        <v>0.24385681862748268</v>
      </c>
      <c r="S7" s="2">
        <f>'Energy balances (for buildings)'!Q143/'Energy balances (for buildings)'!Q107</f>
        <v>0.24693556324213164</v>
      </c>
      <c r="T7" s="2">
        <f>'Energy balances (for buildings)'!R143/'Energy balances (for buildings)'!R107</f>
        <v>0.24546312580803711</v>
      </c>
      <c r="U7" s="2"/>
      <c r="V7" s="16">
        <f>'Energy balances (for buildings)'!B143</f>
        <v>57535.928999999996</v>
      </c>
      <c r="W7" s="16">
        <f>'Energy balances (for buildings)'!C143</f>
        <v>58934.423999999999</v>
      </c>
      <c r="X7" s="16">
        <f>'Energy balances (for buildings)'!D143</f>
        <v>58535.991999999998</v>
      </c>
      <c r="Y7" s="16">
        <f>'Energy balances (for buildings)'!E143</f>
        <v>59852.565999999999</v>
      </c>
      <c r="Z7" s="16">
        <f>'Energy balances (for buildings)'!F143</f>
        <v>60152.637000000002</v>
      </c>
      <c r="AA7" s="16">
        <f>'Energy balances (for buildings)'!G143</f>
        <v>62776.294999999998</v>
      </c>
      <c r="AB7" s="16">
        <f>'Energy balances (for buildings)'!H143</f>
        <v>60526.228000000003</v>
      </c>
      <c r="AC7" s="16">
        <f>'Energy balances (for buildings)'!I143</f>
        <v>61813.091</v>
      </c>
      <c r="AD7" s="16">
        <f>'Energy balances (for buildings)'!J143</f>
        <v>61544.726999999999</v>
      </c>
      <c r="AE7" s="16">
        <f>'Energy balances (for buildings)'!K143</f>
        <v>58618.233999999997</v>
      </c>
      <c r="AF7" s="16">
        <f>'Energy balances (for buildings)'!L143</f>
        <v>59488.019</v>
      </c>
      <c r="AG7" s="16">
        <f>'Energy balances (for buildings)'!M143</f>
        <v>60514.434000000001</v>
      </c>
      <c r="AH7" s="16">
        <f>'Energy balances (for buildings)'!N143</f>
        <v>60921.991999999998</v>
      </c>
      <c r="AI7" s="16">
        <f>'Energy balances (for buildings)'!O143</f>
        <v>60699.591</v>
      </c>
      <c r="AJ7" s="16">
        <f>'Energy balances (for buildings)'!P143</f>
        <v>60522.618000000002</v>
      </c>
      <c r="AK7" s="16">
        <f>'Energy balances (for buildings)'!Q143</f>
        <v>61271.582000000002</v>
      </c>
      <c r="AL7" s="16">
        <f>'Energy balances (for buildings)'!R143</f>
        <v>64265.362000000001</v>
      </c>
      <c r="AN7" s="16">
        <f t="shared" si="0"/>
        <v>669.14285426999993</v>
      </c>
      <c r="AO7" s="16">
        <f t="shared" si="0"/>
        <v>685.40735111999993</v>
      </c>
      <c r="AP7" s="16">
        <f t="shared" si="0"/>
        <v>680.77358695999999</v>
      </c>
      <c r="AQ7" s="16">
        <f t="shared" si="0"/>
        <v>696.08534257999997</v>
      </c>
      <c r="AR7" s="16">
        <f t="shared" si="0"/>
        <v>699.57516830999998</v>
      </c>
      <c r="AS7" s="16">
        <f t="shared" si="0"/>
        <v>730.08831084999997</v>
      </c>
      <c r="AT7" s="16">
        <f t="shared" si="0"/>
        <v>703.92003164000005</v>
      </c>
      <c r="AU7" s="16">
        <f t="shared" si="0"/>
        <v>718.88624832999994</v>
      </c>
      <c r="AV7" s="16">
        <f t="shared" si="0"/>
        <v>715.76517501000001</v>
      </c>
      <c r="AW7" s="16">
        <f t="shared" si="0"/>
        <v>681.73006141999997</v>
      </c>
      <c r="AX7" s="16">
        <f t="shared" si="1"/>
        <v>691.84566097000004</v>
      </c>
      <c r="AY7" s="16">
        <f t="shared" si="1"/>
        <v>703.78286742</v>
      </c>
      <c r="AZ7" s="16">
        <f t="shared" si="1"/>
        <v>708.52276696000001</v>
      </c>
      <c r="BA7" s="16">
        <f t="shared" si="1"/>
        <v>705.93624333000002</v>
      </c>
      <c r="BB7" s="16">
        <f t="shared" si="1"/>
        <v>703.87804733999997</v>
      </c>
      <c r="BC7" s="16">
        <f t="shared" si="1"/>
        <v>712.58849866000003</v>
      </c>
      <c r="BD7" s="16">
        <f t="shared" si="1"/>
        <v>747.40616006000005</v>
      </c>
    </row>
    <row r="8" spans="1:56" outlineLevel="1" x14ac:dyDescent="0.3">
      <c r="A8" t="s">
        <v>223</v>
      </c>
      <c r="B8" t="s">
        <v>439</v>
      </c>
      <c r="D8" s="2">
        <f>'Energy balances (for buildings)'!B144/'Energy balances (for buildings)'!B107</f>
        <v>8.3562772187501938E-2</v>
      </c>
      <c r="E8" s="2">
        <f>'Energy balances (for buildings)'!C144/'Energy balances (for buildings)'!C107</f>
        <v>8.0309272874469706E-2</v>
      </c>
      <c r="F8" s="2">
        <f>'Energy balances (for buildings)'!D144/'Energy balances (for buildings)'!D107</f>
        <v>8.690500644086456E-2</v>
      </c>
      <c r="G8" s="2">
        <f>'Energy balances (for buildings)'!E144/'Energy balances (for buildings)'!E107</f>
        <v>8.1030468935221797E-2</v>
      </c>
      <c r="H8" s="2">
        <f>'Energy balances (for buildings)'!F144/'Energy balances (for buildings)'!F107</f>
        <v>8.1409252050938699E-2</v>
      </c>
      <c r="I8" s="2">
        <f>'Energy balances (for buildings)'!G144/'Energy balances (for buildings)'!G107</f>
        <v>8.4885950621836542E-2</v>
      </c>
      <c r="J8" s="2">
        <f>'Energy balances (for buildings)'!H144/'Energy balances (for buildings)'!H107</f>
        <v>8.4430525121178754E-2</v>
      </c>
      <c r="K8" s="2">
        <f>'Energy balances (for buildings)'!I144/'Energy balances (for buildings)'!I107</f>
        <v>8.1819562950377497E-2</v>
      </c>
      <c r="L8" s="2">
        <f>'Energy balances (for buildings)'!J144/'Energy balances (for buildings)'!J107</f>
        <v>8.5019832779051147E-2</v>
      </c>
      <c r="M8" s="2">
        <f>'Energy balances (for buildings)'!K144/'Energy balances (for buildings)'!K107</f>
        <v>8.6032758487299535E-2</v>
      </c>
      <c r="N8" s="2">
        <f>'Energy balances (for buildings)'!L144/'Energy balances (for buildings)'!L107</f>
        <v>8.6048894127383285E-2</v>
      </c>
      <c r="O8" s="2">
        <f>'Energy balances (for buildings)'!M144/'Energy balances (for buildings)'!M107</f>
        <v>8.8077451775130558E-2</v>
      </c>
      <c r="P8" s="2">
        <f>'Energy balances (for buildings)'!N144/'Energy balances (for buildings)'!N107</f>
        <v>8.8001110820286152E-2</v>
      </c>
      <c r="Q8" s="2">
        <f>'Energy balances (for buildings)'!O144/'Energy balances (for buildings)'!O107</f>
        <v>8.4498041769249591E-2</v>
      </c>
      <c r="R8" s="2">
        <f>'Energy balances (for buildings)'!P144/'Energy balances (for buildings)'!P107</f>
        <v>8.404016249606007E-2</v>
      </c>
      <c r="S8" s="2">
        <f>'Energy balances (for buildings)'!Q144/'Energy balances (for buildings)'!Q107</f>
        <v>8.2273726215363135E-2</v>
      </c>
      <c r="T8" s="2">
        <f>'Energy balances (for buildings)'!R144/'Energy balances (for buildings)'!R107</f>
        <v>8.6322220443299902E-2</v>
      </c>
      <c r="U8" s="2"/>
      <c r="V8" s="16">
        <f>'Energy balances (for buildings)'!B144</f>
        <v>22254.137999999999</v>
      </c>
      <c r="W8" s="16">
        <f>'Energy balances (for buildings)'!C144</f>
        <v>21313.441999999999</v>
      </c>
      <c r="X8" s="16">
        <f>'Energy balances (for buildings)'!D144</f>
        <v>21659.581999999999</v>
      </c>
      <c r="Y8" s="16">
        <f>'Energy balances (for buildings)'!E144</f>
        <v>21413.184000000001</v>
      </c>
      <c r="Z8" s="16">
        <f>'Energy balances (for buildings)'!F144</f>
        <v>21360.257000000001</v>
      </c>
      <c r="AA8" s="16">
        <f>'Energy balances (for buildings)'!G144</f>
        <v>23677.195</v>
      </c>
      <c r="AB8" s="16">
        <f>'Energy balances (for buildings)'!H144</f>
        <v>21267.579000000002</v>
      </c>
      <c r="AC8" s="16">
        <f>'Energy balances (for buildings)'!I144</f>
        <v>21519.539000000001</v>
      </c>
      <c r="AD8" s="16">
        <f>'Energy balances (for buildings)'!J144</f>
        <v>22623.038</v>
      </c>
      <c r="AE8" s="16">
        <f>'Energy balances (for buildings)'!K144</f>
        <v>20186.481</v>
      </c>
      <c r="AF8" s="16">
        <f>'Energy balances (for buildings)'!L144</f>
        <v>21084.387999999999</v>
      </c>
      <c r="AG8" s="16">
        <f>'Energy balances (for buildings)'!M144</f>
        <v>22096.582999999999</v>
      </c>
      <c r="AH8" s="16">
        <f>'Energy balances (for buildings)'!N144</f>
        <v>22151.030999999999</v>
      </c>
      <c r="AI8" s="16">
        <f>'Energy balances (for buildings)'!O144</f>
        <v>21103.143</v>
      </c>
      <c r="AJ8" s="16">
        <f>'Energy balances (for buildings)'!P144</f>
        <v>20857.857</v>
      </c>
      <c r="AK8" s="16">
        <f>'Energy balances (for buildings)'!Q144</f>
        <v>20414.400000000001</v>
      </c>
      <c r="AL8" s="16">
        <f>'Energy balances (for buildings)'!R144</f>
        <v>22600.253000000001</v>
      </c>
      <c r="AN8" s="16">
        <f t="shared" si="0"/>
        <v>258.81562493999996</v>
      </c>
      <c r="AO8" s="16">
        <f t="shared" si="0"/>
        <v>247.87533045999999</v>
      </c>
      <c r="AP8" s="16">
        <f t="shared" si="0"/>
        <v>251.90093865999998</v>
      </c>
      <c r="AQ8" s="16">
        <f t="shared" si="0"/>
        <v>249.03532992000001</v>
      </c>
      <c r="AR8" s="16">
        <f t="shared" si="0"/>
        <v>248.41978891000002</v>
      </c>
      <c r="AS8" s="16">
        <f t="shared" si="0"/>
        <v>275.36577784999997</v>
      </c>
      <c r="AT8" s="16">
        <f t="shared" si="0"/>
        <v>247.34194377</v>
      </c>
      <c r="AU8" s="16">
        <f t="shared" si="0"/>
        <v>250.27223857000001</v>
      </c>
      <c r="AV8" s="16">
        <f t="shared" si="0"/>
        <v>263.10593194</v>
      </c>
      <c r="AW8" s="16">
        <f t="shared" si="0"/>
        <v>234.76877403</v>
      </c>
      <c r="AX8" s="16">
        <f t="shared" si="1"/>
        <v>245.21143243999998</v>
      </c>
      <c r="AY8" s="16">
        <f t="shared" si="1"/>
        <v>256.98326028999998</v>
      </c>
      <c r="AZ8" s="16">
        <f t="shared" si="1"/>
        <v>257.61649052999996</v>
      </c>
      <c r="BA8" s="16">
        <f t="shared" si="1"/>
        <v>245.42955308999998</v>
      </c>
      <c r="BB8" s="16">
        <f t="shared" si="1"/>
        <v>242.57687690999998</v>
      </c>
      <c r="BC8" s="16">
        <f t="shared" si="1"/>
        <v>237.41947200000001</v>
      </c>
      <c r="BD8" s="16">
        <f t="shared" si="1"/>
        <v>262.84094239000001</v>
      </c>
    </row>
    <row r="9" spans="1:56" outlineLevel="1" x14ac:dyDescent="0.3">
      <c r="A9" t="s">
        <v>239</v>
      </c>
      <c r="B9" t="s">
        <v>439</v>
      </c>
      <c r="D9" s="2">
        <f>('Energy balances (for buildings)'!B136+'Energy balances (for buildings)'!B137+'Energy balances (for buildings)'!B138+'Energy balances (for buildings)'!B139+'Energy balances (for buildings)'!B140+'Energy balances (for buildings)'!B141+'Energy balances (for buildings)'!B142)/'Energy balances (for buildings)'!B107</f>
        <v>0.13012534308061577</v>
      </c>
      <c r="E9" s="2">
        <f>('Energy balances (for buildings)'!C136+'Energy balances (for buildings)'!C137+'Energy balances (for buildings)'!C138+'Energy balances (for buildings)'!C139+'Energy balances (for buildings)'!C140+'Energy balances (for buildings)'!C141+'Energy balances (for buildings)'!C142)/'Energy balances (for buildings)'!C107</f>
        <v>0.1351294582709098</v>
      </c>
      <c r="F9" s="2">
        <f>('Energy balances (for buildings)'!D136+'Energy balances (for buildings)'!D137+'Energy balances (for buildings)'!D138+'Energy balances (for buildings)'!D139+'Energy balances (for buildings)'!D140+'Energy balances (for buildings)'!D141+'Energy balances (for buildings)'!D142)/'Energy balances (for buildings)'!D107</f>
        <v>0.15386200803509667</v>
      </c>
      <c r="G9" s="2">
        <f>('Energy balances (for buildings)'!E136+'Energy balances (for buildings)'!E137+'Energy balances (for buildings)'!E138+'Energy balances (for buildings)'!E139+'Energy balances (for buildings)'!E140+'Energy balances (for buildings)'!E141+'Energy balances (for buildings)'!E142)/'Energy balances (for buildings)'!E107</f>
        <v>0.15775224129645335</v>
      </c>
      <c r="H9" s="2">
        <f>('Energy balances (for buildings)'!F136+'Energy balances (for buildings)'!F137+'Energy balances (for buildings)'!F138+'Energy balances (for buildings)'!F139+'Energy balances (for buildings)'!F140+'Energy balances (for buildings)'!F141+'Energy balances (for buildings)'!F142)/'Energy balances (for buildings)'!F107</f>
        <v>0.16011629827269977</v>
      </c>
      <c r="I9" s="2">
        <f>('Energy balances (for buildings)'!G136+'Energy balances (for buildings)'!G137+'Energy balances (for buildings)'!G138+'Energy balances (for buildings)'!G139+'Energy balances (for buildings)'!G140+'Energy balances (for buildings)'!G141+'Energy balances (for buildings)'!G142)/'Energy balances (for buildings)'!G107</f>
        <v>0.15956979966668353</v>
      </c>
      <c r="J9" s="2">
        <f>('Energy balances (for buildings)'!H136+'Energy balances (for buildings)'!H137+'Energy balances (for buildings)'!H138+'Energy balances (for buildings)'!H139+'Energy balances (for buildings)'!H140+'Energy balances (for buildings)'!H141+'Energy balances (for buildings)'!H142)/'Energy balances (for buildings)'!H107</f>
        <v>0.15867276223614787</v>
      </c>
      <c r="K9" s="2">
        <f>('Energy balances (for buildings)'!I136+'Energy balances (for buildings)'!I137+'Energy balances (for buildings)'!I138+'Energy balances (for buildings)'!I139+'Energy balances (for buildings)'!I140+'Energy balances (for buildings)'!I141+'Energy balances (for buildings)'!I142)/'Energy balances (for buildings)'!I107</f>
        <v>0.17160029809725749</v>
      </c>
      <c r="L9" s="2">
        <f>('Energy balances (for buildings)'!J136+'Energy balances (for buildings)'!J137+'Energy balances (for buildings)'!J138+'Energy balances (for buildings)'!J139+'Energy balances (for buildings)'!J140+'Energy balances (for buildings)'!J141+'Energy balances (for buildings)'!J142)/'Energy balances (for buildings)'!J107</f>
        <v>0.17161412138153989</v>
      </c>
      <c r="M9" s="2">
        <f>('Energy balances (for buildings)'!K136+'Energy balances (for buildings)'!K137+'Energy balances (for buildings)'!K138+'Energy balances (for buildings)'!K139+'Energy balances (for buildings)'!K140+'Energy balances (for buildings)'!K141+'Energy balances (for buildings)'!K142)/'Energy balances (for buildings)'!K107</f>
        <v>0.17214650159379918</v>
      </c>
      <c r="N9" s="2">
        <f>('Energy balances (for buildings)'!L136+'Energy balances (for buildings)'!L137+'Energy balances (for buildings)'!L138+'Energy balances (for buildings)'!L139+'Energy balances (for buildings)'!L140+'Energy balances (for buildings)'!L141+'Energy balances (for buildings)'!L142)/'Energy balances (for buildings)'!L107</f>
        <v>0.17079724298441901</v>
      </c>
      <c r="O9" s="2">
        <f>('Energy balances (for buildings)'!M136+'Energy balances (for buildings)'!M137+'Energy balances (for buildings)'!M138+'Energy balances (for buildings)'!M139+'Energy balances (for buildings)'!M140+'Energy balances (for buildings)'!M141+'Energy balances (for buildings)'!M142)/'Energy balances (for buildings)'!M107</f>
        <v>0.1642218637185755</v>
      </c>
      <c r="P9" s="2">
        <f>('Energy balances (for buildings)'!N136+'Energy balances (for buildings)'!N137+'Energy balances (for buildings)'!N138+'Energy balances (for buildings)'!N139+'Energy balances (for buildings)'!N140+'Energy balances (for buildings)'!N141+'Energy balances (for buildings)'!N142)/'Energy balances (for buildings)'!N107</f>
        <v>0.16502034514820849</v>
      </c>
      <c r="Q9" s="2">
        <f>('Energy balances (for buildings)'!O136+'Energy balances (for buildings)'!O137+'Energy balances (for buildings)'!O138+'Energy balances (for buildings)'!O139+'Energy balances (for buildings)'!O140+'Energy balances (for buildings)'!O141+'Energy balances (for buildings)'!O142)/'Energy balances (for buildings)'!O107</f>
        <v>0.17420949290207044</v>
      </c>
      <c r="R9" s="2">
        <f>('Energy balances (for buildings)'!P136+'Energy balances (for buildings)'!P137+'Energy balances (for buildings)'!P138+'Energy balances (for buildings)'!P139+'Energy balances (for buildings)'!P140+'Energy balances (for buildings)'!P141+'Energy balances (for buildings)'!P142)/'Energy balances (for buildings)'!P107</f>
        <v>0.17556495498135302</v>
      </c>
      <c r="S9" s="2">
        <f>('Energy balances (for buildings)'!Q136+'Energy balances (for buildings)'!Q137+'Energy balances (for buildings)'!Q138+'Energy balances (for buildings)'!Q139+'Energy balances (for buildings)'!Q140+'Energy balances (for buildings)'!Q141+'Energy balances (for buildings)'!Q142)/'Energy balances (for buildings)'!Q107</f>
        <v>0.16969261922653603</v>
      </c>
      <c r="T9" s="2">
        <f>('Energy balances (for buildings)'!R136+'Energy balances (for buildings)'!R137+'Energy balances (for buildings)'!R138+'Energy balances (for buildings)'!R139+'Energy balances (for buildings)'!R140+'Energy balances (for buildings)'!R141+'Energy balances (for buildings)'!R142)/'Energy balances (for buildings)'!R107</f>
        <v>0.17484866938823321</v>
      </c>
      <c r="U9" s="2"/>
      <c r="V9" s="16">
        <f>('Energy balances (for buildings)'!B136+'Energy balances (for buildings)'!B137+'Energy balances (for buildings)'!B138+'Energy balances (for buildings)'!B139+'Energy balances (for buildings)'!B140+'Energy balances (for buildings)'!B141+'Energy balances (for buildings)'!B142)</f>
        <v>34654.514999999992</v>
      </c>
      <c r="W9" s="16">
        <f>('Energy balances (for buildings)'!C136+'Energy balances (for buildings)'!C137+'Energy balances (for buildings)'!C138+'Energy balances (for buildings)'!C139+'Energy balances (for buildings)'!C140+'Energy balances (for buildings)'!C141+'Energy balances (for buildings)'!C142)</f>
        <v>35862.283000000003</v>
      </c>
      <c r="X9" s="16">
        <f>('Energy balances (for buildings)'!D136+'Energy balances (for buildings)'!D137+'Energy balances (for buildings)'!D138+'Energy balances (for buildings)'!D139+'Energy balances (for buildings)'!D140+'Energy balances (for buildings)'!D141+'Energy balances (for buildings)'!D142)</f>
        <v>38347.466</v>
      </c>
      <c r="Y9" s="16">
        <f>('Energy balances (for buildings)'!E136+'Energy balances (for buildings)'!E137+'Energy balances (for buildings)'!E138+'Energy balances (for buildings)'!E139+'Energy balances (for buildings)'!E140+'Energy balances (for buildings)'!E141+'Energy balances (for buildings)'!E142)</f>
        <v>41687.748</v>
      </c>
      <c r="Z9" s="16">
        <f>('Energy balances (for buildings)'!F136+'Energy balances (for buildings)'!F137+'Energy balances (for buildings)'!F138+'Energy balances (for buildings)'!F139+'Energy balances (for buildings)'!F140+'Energy balances (for buildings)'!F141+'Energy balances (for buildings)'!F142)</f>
        <v>42011.505999999994</v>
      </c>
      <c r="AA9" s="16">
        <f>('Energy balances (for buildings)'!G136+'Energy balances (for buildings)'!G137+'Energy balances (for buildings)'!G138+'Energy balances (for buildings)'!G139+'Energy balances (for buildings)'!G140+'Energy balances (for buildings)'!G141+'Energy balances (for buildings)'!G142)</f>
        <v>44508.723000000005</v>
      </c>
      <c r="AB9" s="16">
        <f>('Energy balances (for buildings)'!H136+'Energy balances (for buildings)'!H137+'Energy balances (for buildings)'!H138+'Energy balances (for buildings)'!H139+'Energy balances (for buildings)'!H140+'Energy balances (for buildings)'!H141+'Energy balances (for buildings)'!H142)</f>
        <v>39968.784999999996</v>
      </c>
      <c r="AC9" s="16">
        <f>('Energy balances (for buildings)'!I136+'Energy balances (for buildings)'!I137+'Energy balances (for buildings)'!I138+'Energy balances (for buildings)'!I139+'Energy balances (for buildings)'!I140+'Energy balances (for buildings)'!I141+'Energy balances (for buildings)'!I142)</f>
        <v>45132.963000000003</v>
      </c>
      <c r="AD9" s="16">
        <f>('Energy balances (for buildings)'!J136+'Energy balances (for buildings)'!J137+'Energy balances (for buildings)'!J138+'Energy balances (for buildings)'!J139+'Energy balances (for buildings)'!J140+'Energy balances (for buildings)'!J141+'Energy balances (for buildings)'!J142)</f>
        <v>45665.024999999994</v>
      </c>
      <c r="AE9" s="16">
        <f>('Energy balances (for buildings)'!K136+'Energy balances (for buildings)'!K137+'Energy balances (for buildings)'!K138+'Energy balances (for buildings)'!K139+'Energy balances (for buildings)'!K140+'Energy balances (for buildings)'!K141+'Energy balances (for buildings)'!K142)</f>
        <v>40391.963999999993</v>
      </c>
      <c r="AF9" s="16">
        <f>('Energy balances (for buildings)'!L136+'Energy balances (for buildings)'!L137+'Energy balances (for buildings)'!L138+'Energy balances (for buildings)'!L139+'Energy balances (for buildings)'!L140+'Energy balances (for buildings)'!L141+'Energy balances (for buildings)'!L142)</f>
        <v>41850.106000000007</v>
      </c>
      <c r="AG9" s="16">
        <f>('Energy balances (for buildings)'!M136+'Energy balances (for buildings)'!M137+'Energy balances (for buildings)'!M138+'Energy balances (for buildings)'!M139+'Energy balances (for buildings)'!M140+'Energy balances (for buildings)'!M141+'Energy balances (for buildings)'!M142)</f>
        <v>41199.443999999996</v>
      </c>
      <c r="AH9" s="16">
        <f>('Energy balances (for buildings)'!N136+'Energy balances (for buildings)'!N137+'Energy balances (for buildings)'!N138+'Energy balances (for buildings)'!N139+'Energy balances (for buildings)'!N140+'Energy balances (for buildings)'!N141+'Energy balances (for buildings)'!N142)</f>
        <v>41537.78</v>
      </c>
      <c r="AI9" s="16">
        <f>('Energy balances (for buildings)'!O136+'Energy balances (for buildings)'!O137+'Energy balances (for buildings)'!O138+'Energy balances (for buildings)'!O139+'Energy balances (for buildings)'!O140+'Energy balances (for buildings)'!O141+'Energy balances (for buildings)'!O142)</f>
        <v>43508.32</v>
      </c>
      <c r="AJ9" s="16">
        <f>('Energy balances (for buildings)'!P136+'Energy balances (for buildings)'!P137+'Energy balances (for buildings)'!P138+'Energy balances (for buildings)'!P139+'Energy balances (for buildings)'!P140+'Energy balances (for buildings)'!P141+'Energy balances (for buildings)'!P142)</f>
        <v>43573.317999999999</v>
      </c>
      <c r="AK9" s="16">
        <f>('Energy balances (for buildings)'!Q136+'Energy balances (for buildings)'!Q137+'Energy balances (for buildings)'!Q138+'Energy balances (for buildings)'!Q139+'Energy balances (for buildings)'!Q140+'Energy balances (for buildings)'!Q141+'Energy balances (for buildings)'!Q142)</f>
        <v>42105.458999999995</v>
      </c>
      <c r="AL9" s="16">
        <f>('Energy balances (for buildings)'!R136+'Energy balances (for buildings)'!R137+'Energy balances (for buildings)'!R138+'Energy balances (for buildings)'!R139+'Energy balances (for buildings)'!R140+'Energy balances (for buildings)'!R141+'Energy balances (for buildings)'!R142)</f>
        <v>45777.600999999995</v>
      </c>
      <c r="AN9" s="16">
        <f t="shared" si="0"/>
        <v>403.03200944999992</v>
      </c>
      <c r="AO9" s="16">
        <f t="shared" si="0"/>
        <v>417.07835129</v>
      </c>
      <c r="AP9" s="16">
        <f t="shared" si="0"/>
        <v>445.98102957999998</v>
      </c>
      <c r="AQ9" s="16">
        <f t="shared" si="0"/>
        <v>484.82850923999996</v>
      </c>
      <c r="AR9" s="16">
        <f t="shared" si="0"/>
        <v>488.59381477999995</v>
      </c>
      <c r="AS9" s="16">
        <f t="shared" si="0"/>
        <v>517.63644849000002</v>
      </c>
      <c r="AT9" s="16">
        <f t="shared" si="0"/>
        <v>464.83696954999994</v>
      </c>
      <c r="AU9" s="16">
        <f t="shared" si="0"/>
        <v>524.89635969000005</v>
      </c>
      <c r="AV9" s="16">
        <f t="shared" si="0"/>
        <v>531.08424074999994</v>
      </c>
      <c r="AW9" s="16">
        <f t="shared" si="0"/>
        <v>469.75854131999989</v>
      </c>
      <c r="AX9" s="16">
        <f t="shared" si="1"/>
        <v>486.71673278000009</v>
      </c>
      <c r="AY9" s="16">
        <f t="shared" si="1"/>
        <v>479.14953371999997</v>
      </c>
      <c r="AZ9" s="16">
        <f t="shared" si="1"/>
        <v>483.08438139999998</v>
      </c>
      <c r="BA9" s="16">
        <f t="shared" si="1"/>
        <v>506.00176160000001</v>
      </c>
      <c r="BB9" s="16">
        <f t="shared" si="1"/>
        <v>506.75768833999996</v>
      </c>
      <c r="BC9" s="16">
        <f t="shared" si="1"/>
        <v>489.68648816999996</v>
      </c>
      <c r="BD9" s="16">
        <f t="shared" si="1"/>
        <v>532.39349962999995</v>
      </c>
    </row>
    <row r="10" spans="1:56" outlineLevel="1" x14ac:dyDescent="0.3">
      <c r="A10" t="s">
        <v>240</v>
      </c>
      <c r="B10" t="s">
        <v>439</v>
      </c>
      <c r="D10" s="2">
        <f>('Energy balances (for buildings)'!B133+'Energy balances (for buildings)'!B134+'Energy balances (for buildings)'!B135)/'Energy balances (for buildings)'!B107</f>
        <v>4.1448853081591476E-3</v>
      </c>
      <c r="E10" s="2">
        <f>('Energy balances (for buildings)'!C133+'Energy balances (for buildings)'!C134+'Energy balances (for buildings)'!C135)/'Energy balances (for buildings)'!C107</f>
        <v>5.2322895001038145E-3</v>
      </c>
      <c r="F10" s="2">
        <f>('Energy balances (for buildings)'!D133+'Energy balances (for buildings)'!D134+'Energy balances (for buildings)'!D135)/'Energy balances (for buildings)'!D107</f>
        <v>6.9439483387512589E-3</v>
      </c>
      <c r="G10" s="2">
        <f>('Energy balances (for buildings)'!E133+'Energy balances (for buildings)'!E134+'Energy balances (for buildings)'!E135)/'Energy balances (for buildings)'!E107</f>
        <v>8.3081116671626168E-3</v>
      </c>
      <c r="H10" s="2">
        <f>('Energy balances (for buildings)'!F133+'Energy balances (for buildings)'!F134+'Energy balances (for buildings)'!F135)/'Energy balances (for buildings)'!F107</f>
        <v>1.0406835669706927E-2</v>
      </c>
      <c r="I10" s="2">
        <f>('Energy balances (for buildings)'!G133+'Energy balances (for buildings)'!G134+'Energy balances (for buildings)'!G135)/'Energy balances (for buildings)'!G107</f>
        <v>1.1783906349293128E-2</v>
      </c>
      <c r="J10" s="2">
        <f>('Energy balances (for buildings)'!H133+'Energy balances (for buildings)'!H134+'Energy balances (for buildings)'!H135)/'Energy balances (for buildings)'!H107</f>
        <v>1.2966189843896112E-2</v>
      </c>
      <c r="K10" s="2">
        <f>('Energy balances (for buildings)'!I133+'Energy balances (for buildings)'!I134+'Energy balances (for buildings)'!I135)/'Energy balances (for buildings)'!I107</f>
        <v>1.4145156519538406E-2</v>
      </c>
      <c r="L10" s="2">
        <f>('Energy balances (for buildings)'!J133+'Energy balances (for buildings)'!J134+'Energy balances (for buildings)'!J135)/'Energy balances (for buildings)'!J107</f>
        <v>1.5544991395472219E-2</v>
      </c>
      <c r="M10" s="2">
        <f>('Energy balances (for buildings)'!K133+'Energy balances (for buildings)'!K134+'Energy balances (for buildings)'!K135)/'Energy balances (for buildings)'!K107</f>
        <v>1.9151762870693277E-2</v>
      </c>
      <c r="N10" s="2">
        <f>('Energy balances (for buildings)'!L133+'Energy balances (for buildings)'!L134+'Energy balances (for buildings)'!L135)/'Energy balances (for buildings)'!L107</f>
        <v>2.0470632345499954E-2</v>
      </c>
      <c r="O10" s="2">
        <f>('Energy balances (for buildings)'!M133+'Energy balances (for buildings)'!M134+'Energy balances (for buildings)'!M135)/'Energy balances (for buildings)'!M107</f>
        <v>2.2060858422623966E-2</v>
      </c>
      <c r="P10" s="2">
        <f>('Energy balances (for buildings)'!N133+'Energy balances (for buildings)'!N134+'Energy balances (for buildings)'!N135)/'Energy balances (for buildings)'!N107</f>
        <v>2.6034995463326809E-2</v>
      </c>
      <c r="Q10" s="2">
        <f>('Energy balances (for buildings)'!O133+'Energy balances (for buildings)'!O134+'Energy balances (for buildings)'!O135)/'Energy balances (for buildings)'!O107</f>
        <v>2.8465993352275828E-2</v>
      </c>
      <c r="R10" s="2">
        <f>('Energy balances (for buildings)'!P133+'Energy balances (for buildings)'!P134+'Energy balances (for buildings)'!P135)/'Energy balances (for buildings)'!P107</f>
        <v>3.1284392618668645E-2</v>
      </c>
      <c r="S10" s="2">
        <f>('Energy balances (for buildings)'!Q133+'Energy balances (for buildings)'!Q134+'Energy balances (for buildings)'!Q135)/'Energy balances (for buildings)'!Q107</f>
        <v>3.3655501163158588E-2</v>
      </c>
      <c r="T10" s="2">
        <f>('Energy balances (for buildings)'!R133+'Energy balances (for buildings)'!R134+'Energy balances (for buildings)'!R135)/'Energy balances (for buildings)'!R107</f>
        <v>3.7548981630161071E-2</v>
      </c>
      <c r="U10" s="2"/>
      <c r="V10" s="16">
        <f>('Energy balances (for buildings)'!B133+'Energy balances (for buildings)'!B134+'Energy balances (for buildings)'!B135)</f>
        <v>1103.8509999999999</v>
      </c>
      <c r="W10" s="16">
        <f>('Energy balances (for buildings)'!C133+'Energy balances (for buildings)'!C134+'Energy balances (for buildings)'!C135)</f>
        <v>1388.6080000000002</v>
      </c>
      <c r="X10" s="16">
        <f>('Energy balances (for buildings)'!D133+'Energy balances (for buildings)'!D134+'Energy balances (for buildings)'!D135)</f>
        <v>1730.66</v>
      </c>
      <c r="Y10" s="16">
        <f>('Energy balances (for buildings)'!E133+'Energy balances (for buildings)'!E134+'Energy balances (for buildings)'!E135)</f>
        <v>2195.509</v>
      </c>
      <c r="Z10" s="16">
        <f>('Energy balances (for buildings)'!F133+'Energy balances (for buildings)'!F134+'Energy balances (for buildings)'!F135)</f>
        <v>2730.558</v>
      </c>
      <c r="AA10" s="16">
        <f>('Energy balances (for buildings)'!G133+'Energy balances (for buildings)'!G134+'Energy balances (for buildings)'!G135)</f>
        <v>3286.8789999999999</v>
      </c>
      <c r="AB10" s="16">
        <f>('Energy balances (for buildings)'!H133+'Energy balances (for buildings)'!H134+'Energy balances (for buildings)'!H135)</f>
        <v>3266.1109999999999</v>
      </c>
      <c r="AC10" s="16">
        <f>('Energy balances (for buildings)'!I133+'Energy balances (for buildings)'!I134+'Energy balances (for buildings)'!I135)</f>
        <v>3720.348</v>
      </c>
      <c r="AD10" s="16">
        <f>('Energy balances (for buildings)'!J133+'Energy balances (for buildings)'!J134+'Energy balances (for buildings)'!J135)</f>
        <v>4136.3869999999997</v>
      </c>
      <c r="AE10" s="16">
        <f>('Energy balances (for buildings)'!K133+'Energy balances (for buildings)'!K134+'Energy balances (for buildings)'!K135)</f>
        <v>4493.7150000000001</v>
      </c>
      <c r="AF10" s="16">
        <f>('Energy balances (for buildings)'!L133+'Energy balances (for buildings)'!L134+'Energy balances (for buildings)'!L135)</f>
        <v>5015.8780000000006</v>
      </c>
      <c r="AG10" s="16">
        <f>('Energy balances (for buildings)'!M133+'Energy balances (for buildings)'!M134+'Energy balances (for buildings)'!M135)</f>
        <v>5534.5560000000005</v>
      </c>
      <c r="AH10" s="16">
        <f>('Energy balances (for buildings)'!N133+'Energy balances (for buildings)'!N134+'Energy balances (for buildings)'!N135)</f>
        <v>6553.3490000000002</v>
      </c>
      <c r="AI10" s="16">
        <f>('Energy balances (for buildings)'!O133+'Energy balances (for buildings)'!O134+'Energy balances (for buildings)'!O135)</f>
        <v>7109.3</v>
      </c>
      <c r="AJ10" s="16">
        <f>('Energy balances (for buildings)'!P133+'Energy balances (for buildings)'!P134+'Energy balances (for buildings)'!P135)</f>
        <v>7764.4470000000001</v>
      </c>
      <c r="AK10" s="16">
        <f>('Energy balances (for buildings)'!Q133+'Energy balances (for buildings)'!Q134+'Energy balances (for buildings)'!Q135)</f>
        <v>8350.866</v>
      </c>
      <c r="AL10" s="16">
        <f>('Energy balances (for buildings)'!R133+'Energy balances (for buildings)'!R134+'Energy balances (for buildings)'!R135)</f>
        <v>9830.7999999999993</v>
      </c>
      <c r="AN10" s="16">
        <f t="shared" si="0"/>
        <v>12.837787129999999</v>
      </c>
      <c r="AO10" s="16">
        <f t="shared" si="0"/>
        <v>16.14951104</v>
      </c>
      <c r="AP10" s="16">
        <f t="shared" si="0"/>
        <v>20.127575799999999</v>
      </c>
      <c r="AQ10" s="16">
        <f t="shared" si="0"/>
        <v>25.533769669999998</v>
      </c>
      <c r="AR10" s="16">
        <f t="shared" si="0"/>
        <v>31.756389540000001</v>
      </c>
      <c r="AS10" s="16">
        <f t="shared" si="0"/>
        <v>38.22640277</v>
      </c>
      <c r="AT10" s="16">
        <f t="shared" si="0"/>
        <v>37.98487093</v>
      </c>
      <c r="AU10" s="16">
        <f t="shared" si="0"/>
        <v>43.267647239999995</v>
      </c>
      <c r="AV10" s="16">
        <f t="shared" si="0"/>
        <v>48.106180809999998</v>
      </c>
      <c r="AW10" s="16">
        <f t="shared" si="0"/>
        <v>52.26190545</v>
      </c>
      <c r="AX10" s="16">
        <f t="shared" si="1"/>
        <v>58.334661140000009</v>
      </c>
      <c r="AY10" s="16">
        <f t="shared" si="1"/>
        <v>64.366886280000003</v>
      </c>
      <c r="AZ10" s="16">
        <f t="shared" si="1"/>
        <v>76.215448870000003</v>
      </c>
      <c r="BA10" s="16">
        <f t="shared" si="1"/>
        <v>82.681158999999994</v>
      </c>
      <c r="BB10" s="16">
        <f t="shared" si="1"/>
        <v>90.300518609999997</v>
      </c>
      <c r="BC10" s="16">
        <f t="shared" si="1"/>
        <v>97.120571580000004</v>
      </c>
      <c r="BD10" s="16">
        <f t="shared" si="1"/>
        <v>114.33220399999999</v>
      </c>
    </row>
    <row r="11" spans="1:56" outlineLevel="1" x14ac:dyDescent="0.3"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</row>
    <row r="12" spans="1:56" s="18" customFormat="1" outlineLevel="1" x14ac:dyDescent="0.3">
      <c r="A12" s="18" t="s">
        <v>440</v>
      </c>
    </row>
    <row r="13" spans="1:56" s="58" customFormat="1" outlineLevel="1" x14ac:dyDescent="0.3">
      <c r="A13" s="58" t="s">
        <v>434</v>
      </c>
    </row>
    <row r="14" spans="1:56" outlineLevel="1" x14ac:dyDescent="0.3">
      <c r="N14">
        <v>2015</v>
      </c>
      <c r="AC14">
        <v>2030</v>
      </c>
      <c r="AD14">
        <v>2031</v>
      </c>
      <c r="AE14">
        <v>2032</v>
      </c>
      <c r="AF14">
        <v>2033</v>
      </c>
      <c r="AG14">
        <v>2034</v>
      </c>
      <c r="AH14">
        <v>2035</v>
      </c>
      <c r="AI14">
        <v>2036</v>
      </c>
      <c r="AJ14">
        <v>2037</v>
      </c>
      <c r="AK14">
        <v>2038</v>
      </c>
      <c r="AL14">
        <v>2039</v>
      </c>
      <c r="AM14">
        <v>2040</v>
      </c>
      <c r="AN14">
        <v>2041</v>
      </c>
      <c r="AO14">
        <v>2042</v>
      </c>
      <c r="AP14">
        <v>2043</v>
      </c>
      <c r="AQ14">
        <v>2044</v>
      </c>
      <c r="AR14">
        <v>2045</v>
      </c>
      <c r="AS14">
        <v>2046</v>
      </c>
      <c r="AT14">
        <v>2047</v>
      </c>
      <c r="AU14">
        <v>2048</v>
      </c>
      <c r="AV14">
        <v>2049</v>
      </c>
      <c r="AW14">
        <v>2050</v>
      </c>
    </row>
    <row r="15" spans="1:56" outlineLevel="1" x14ac:dyDescent="0.3">
      <c r="A15" t="s">
        <v>242</v>
      </c>
      <c r="B15" t="s">
        <v>441</v>
      </c>
      <c r="N15" s="21">
        <v>8.4511659999999988</v>
      </c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>
        <v>0.24901518725719585</v>
      </c>
      <c r="AM15" s="60"/>
      <c r="AO15" s="60"/>
      <c r="AW15" s="60">
        <v>0</v>
      </c>
    </row>
    <row r="16" spans="1:56" outlineLevel="1" x14ac:dyDescent="0.3">
      <c r="A16" t="s">
        <v>244</v>
      </c>
      <c r="B16" t="s">
        <v>441</v>
      </c>
      <c r="N16" s="21">
        <v>31.966491999999999</v>
      </c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>
        <v>5.8139191163989477</v>
      </c>
      <c r="AM16" s="60"/>
      <c r="AO16" s="60"/>
      <c r="AW16" s="60">
        <v>4.8092688991948025E-2</v>
      </c>
    </row>
    <row r="17" spans="1:49" outlineLevel="1" x14ac:dyDescent="0.3">
      <c r="A17" t="s">
        <v>238</v>
      </c>
      <c r="B17" t="s">
        <v>441</v>
      </c>
      <c r="N17" s="21">
        <v>75.694299999999998</v>
      </c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>
        <v>42.05337239941867</v>
      </c>
      <c r="AM17" s="60"/>
      <c r="AO17" s="60"/>
      <c r="AW17" s="60">
        <v>1.9875026661716308</v>
      </c>
    </row>
    <row r="18" spans="1:49" outlineLevel="1" x14ac:dyDescent="0.3">
      <c r="A18" t="s">
        <v>245</v>
      </c>
      <c r="B18" t="s">
        <v>441</v>
      </c>
      <c r="N18" s="21">
        <v>0</v>
      </c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>
        <v>0</v>
      </c>
      <c r="AM18" s="60"/>
      <c r="AO18" s="60"/>
      <c r="AW18" s="60">
        <v>13.099553706694225</v>
      </c>
    </row>
    <row r="19" spans="1:49" outlineLevel="1" x14ac:dyDescent="0.3">
      <c r="A19" t="s">
        <v>246</v>
      </c>
      <c r="B19" t="s">
        <v>441</v>
      </c>
      <c r="N19" s="21">
        <v>0</v>
      </c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>
        <v>0</v>
      </c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W19" s="60">
        <v>3.5004625588575333</v>
      </c>
    </row>
    <row r="20" spans="1:49" outlineLevel="1" x14ac:dyDescent="0.3">
      <c r="A20" t="s">
        <v>247</v>
      </c>
      <c r="B20" t="s">
        <v>441</v>
      </c>
      <c r="N20" s="21">
        <v>21.131826</v>
      </c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>
        <v>19.711283887844754</v>
      </c>
      <c r="AM20" s="60"/>
      <c r="AO20" s="60"/>
      <c r="AW20" s="60">
        <v>16.661680341433261</v>
      </c>
    </row>
    <row r="21" spans="1:49" outlineLevel="1" x14ac:dyDescent="0.3">
      <c r="A21" t="s">
        <v>248</v>
      </c>
      <c r="B21" t="s">
        <v>441</v>
      </c>
      <c r="N21" s="21">
        <v>42.015706000000023</v>
      </c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>
        <v>36.038487938746101</v>
      </c>
      <c r="AM21" s="60"/>
      <c r="AO21" s="60"/>
      <c r="AW21" s="60">
        <v>31.262538528711257</v>
      </c>
    </row>
    <row r="22" spans="1:49" outlineLevel="1" x14ac:dyDescent="0.3">
      <c r="A22" t="s">
        <v>249</v>
      </c>
      <c r="B22" t="s">
        <v>441</v>
      </c>
      <c r="N22" s="21">
        <v>5.219214</v>
      </c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>
        <v>24.045357465895904</v>
      </c>
      <c r="AM22" s="60"/>
      <c r="AO22" s="60"/>
      <c r="AW22" s="60">
        <v>32.797224481946387</v>
      </c>
    </row>
    <row r="23" spans="1:49" outlineLevel="1" x14ac:dyDescent="0.3">
      <c r="A23" t="s">
        <v>221</v>
      </c>
      <c r="B23" t="s">
        <v>441</v>
      </c>
      <c r="N23" s="21">
        <v>59.380578</v>
      </c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>
        <v>74.118930863725993</v>
      </c>
      <c r="AM23" s="60"/>
      <c r="AO23" s="60"/>
      <c r="AW23" s="60">
        <v>77.175910025774996</v>
      </c>
    </row>
    <row r="24" spans="1:49" outlineLevel="1" x14ac:dyDescent="0.3">
      <c r="A24" t="s">
        <v>242</v>
      </c>
      <c r="B24" t="s">
        <v>441</v>
      </c>
      <c r="N24" s="2">
        <f>N15/SUM(N$15:N$23)</f>
        <v>3.4655912748894249E-2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>
        <f>AC15/SUM(AC$15:AC$23)</f>
        <v>1.2325631593325414E-3</v>
      </c>
      <c r="AW24" s="2">
        <f>AW15/SUM(AW$15:AW$23)</f>
        <v>0</v>
      </c>
    </row>
    <row r="25" spans="1:49" outlineLevel="1" x14ac:dyDescent="0.3">
      <c r="A25" t="s">
        <v>244</v>
      </c>
      <c r="B25" t="s">
        <v>441</v>
      </c>
      <c r="N25" s="2">
        <f t="shared" ref="N25:N32" si="2">N16/SUM(N$15:N$23)</f>
        <v>0.13108581202170519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>
        <f t="shared" ref="AC25:AC32" si="3">AC16/SUM(AC$15:AC$23)</f>
        <v>2.8777451661255917E-2</v>
      </c>
      <c r="AW25" s="2">
        <f t="shared" ref="AW25:AW32" si="4">AW16/SUM(AW$15:AW$23)</f>
        <v>2.7242894261892976E-4</v>
      </c>
    </row>
    <row r="26" spans="1:49" outlineLevel="1" x14ac:dyDescent="0.3">
      <c r="A26" t="s">
        <v>238</v>
      </c>
      <c r="B26" t="s">
        <v>441</v>
      </c>
      <c r="N26" s="2">
        <f t="shared" si="2"/>
        <v>0.31040155363042526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>
        <f t="shared" si="3"/>
        <v>0.20815371992423537</v>
      </c>
      <c r="AW26" s="2">
        <f t="shared" si="4"/>
        <v>1.1258535572591806E-2</v>
      </c>
    </row>
    <row r="27" spans="1:49" outlineLevel="1" x14ac:dyDescent="0.3">
      <c r="A27" t="s">
        <v>245</v>
      </c>
      <c r="B27" t="s">
        <v>441</v>
      </c>
      <c r="N27" s="2">
        <f t="shared" si="2"/>
        <v>0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>
        <f t="shared" si="3"/>
        <v>0</v>
      </c>
      <c r="AW27" s="2">
        <f t="shared" si="4"/>
        <v>7.4204575370948447E-2</v>
      </c>
    </row>
    <row r="28" spans="1:49" outlineLevel="1" x14ac:dyDescent="0.3">
      <c r="A28" t="s">
        <v>246</v>
      </c>
      <c r="B28" t="s">
        <v>441</v>
      </c>
      <c r="N28" s="2">
        <f t="shared" si="2"/>
        <v>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>
        <f t="shared" si="3"/>
        <v>0</v>
      </c>
      <c r="AW28" s="2">
        <f t="shared" si="4"/>
        <v>1.9828945596000531E-2</v>
      </c>
    </row>
    <row r="29" spans="1:49" outlineLevel="1" x14ac:dyDescent="0.3">
      <c r="A29" t="s">
        <v>247</v>
      </c>
      <c r="B29" t="s">
        <v>441</v>
      </c>
      <c r="N29" s="2">
        <f t="shared" si="2"/>
        <v>8.66558198100493E-2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>
        <f t="shared" si="3"/>
        <v>9.7565946121225905E-2</v>
      </c>
      <c r="AW29" s="2">
        <f t="shared" si="4"/>
        <v>9.4382827261566521E-2</v>
      </c>
    </row>
    <row r="30" spans="1:49" outlineLevel="1" x14ac:dyDescent="0.3">
      <c r="A30" t="s">
        <v>248</v>
      </c>
      <c r="B30" t="s">
        <v>441</v>
      </c>
      <c r="N30" s="2">
        <f t="shared" si="2"/>
        <v>0.17229488111098443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>
        <f t="shared" si="3"/>
        <v>0.17838153985953312</v>
      </c>
      <c r="AW30" s="2">
        <f t="shared" si="4"/>
        <v>0.17709178865807024</v>
      </c>
    </row>
    <row r="31" spans="1:49" outlineLevel="1" x14ac:dyDescent="0.3">
      <c r="A31" t="s">
        <v>249</v>
      </c>
      <c r="B31" t="s">
        <v>441</v>
      </c>
      <c r="N31" s="2">
        <f t="shared" si="2"/>
        <v>2.1402564451083718E-2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>
        <f t="shared" si="3"/>
        <v>0.11901853092532021</v>
      </c>
      <c r="AW31" s="2">
        <f t="shared" si="4"/>
        <v>0.18578526952294702</v>
      </c>
    </row>
    <row r="32" spans="1:49" outlineLevel="1" x14ac:dyDescent="0.3">
      <c r="A32" t="s">
        <v>221</v>
      </c>
      <c r="B32" t="s">
        <v>441</v>
      </c>
      <c r="N32" s="2">
        <f t="shared" si="2"/>
        <v>0.2435034562268579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>
        <f t="shared" si="3"/>
        <v>0.36687024834909693</v>
      </c>
      <c r="AW32" s="2">
        <f t="shared" si="4"/>
        <v>0.43717562907525653</v>
      </c>
    </row>
    <row r="33" spans="1:49" outlineLevel="1" x14ac:dyDescent="0.3"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</row>
    <row r="34" spans="1:49" s="58" customFormat="1" outlineLevel="1" x14ac:dyDescent="0.3">
      <c r="A34" s="58" t="s">
        <v>435</v>
      </c>
    </row>
    <row r="35" spans="1:49" outlineLevel="1" x14ac:dyDescent="0.3">
      <c r="N35">
        <v>2015</v>
      </c>
      <c r="AC35">
        <v>2030</v>
      </c>
    </row>
    <row r="36" spans="1:49" outlineLevel="1" x14ac:dyDescent="0.3">
      <c r="A36" t="s">
        <v>242</v>
      </c>
      <c r="B36" t="s">
        <v>441</v>
      </c>
      <c r="N36" s="21">
        <v>8.4511659999999988</v>
      </c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>
        <v>0.23366072090194739</v>
      </c>
      <c r="AW36" s="60">
        <v>3.9723358135163658E-3</v>
      </c>
    </row>
    <row r="37" spans="1:49" outlineLevel="1" x14ac:dyDescent="0.3">
      <c r="A37" t="s">
        <v>244</v>
      </c>
      <c r="B37" t="s">
        <v>441</v>
      </c>
      <c r="N37" s="21">
        <v>31.966491999999999</v>
      </c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>
        <v>5.2296398517218226</v>
      </c>
      <c r="AW37" s="60">
        <v>0.15391439169134688</v>
      </c>
    </row>
    <row r="38" spans="1:49" outlineLevel="1" x14ac:dyDescent="0.3">
      <c r="A38" t="s">
        <v>238</v>
      </c>
      <c r="B38" t="s">
        <v>441</v>
      </c>
      <c r="N38" s="21">
        <v>75.694299999999998</v>
      </c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>
        <v>40.654350532917832</v>
      </c>
      <c r="AW38" s="60">
        <v>1.7109643839623967</v>
      </c>
    </row>
    <row r="39" spans="1:49" outlineLevel="1" x14ac:dyDescent="0.3">
      <c r="A39" t="s">
        <v>245</v>
      </c>
      <c r="B39" t="s">
        <v>441</v>
      </c>
      <c r="N39" s="21">
        <v>0</v>
      </c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>
        <v>0</v>
      </c>
      <c r="AW39" s="60">
        <v>11.089857758820386</v>
      </c>
    </row>
    <row r="40" spans="1:49" outlineLevel="1" x14ac:dyDescent="0.3">
      <c r="A40" t="s">
        <v>246</v>
      </c>
      <c r="B40" t="s">
        <v>441</v>
      </c>
      <c r="N40" s="21">
        <v>0</v>
      </c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>
        <v>0</v>
      </c>
      <c r="AW40" s="60">
        <v>2.9634316356876029</v>
      </c>
    </row>
    <row r="41" spans="1:49" outlineLevel="1" x14ac:dyDescent="0.3">
      <c r="A41" t="s">
        <v>247</v>
      </c>
      <c r="B41" t="s">
        <v>441</v>
      </c>
      <c r="N41" s="21">
        <v>21.131826</v>
      </c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>
        <v>17.431606339967527</v>
      </c>
      <c r="AW41" s="60">
        <v>12.969870407912858</v>
      </c>
    </row>
    <row r="42" spans="1:49" outlineLevel="1" x14ac:dyDescent="0.3">
      <c r="A42" t="s">
        <v>248</v>
      </c>
      <c r="B42" t="s">
        <v>441</v>
      </c>
      <c r="N42" s="21">
        <v>42.015706000000023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>
        <v>32.219073547807987</v>
      </c>
      <c r="AW42" s="60">
        <v>24.411940071628543</v>
      </c>
    </row>
    <row r="43" spans="1:49" outlineLevel="1" x14ac:dyDescent="0.3">
      <c r="A43" t="s">
        <v>249</v>
      </c>
      <c r="B43" t="s">
        <v>441</v>
      </c>
      <c r="N43" s="21">
        <v>5.219214</v>
      </c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>
        <v>29.162637604616691</v>
      </c>
      <c r="AW43" s="60">
        <v>36.127436504184743</v>
      </c>
    </row>
    <row r="44" spans="1:49" outlineLevel="1" x14ac:dyDescent="0.3">
      <c r="A44" t="s">
        <v>221</v>
      </c>
      <c r="B44" t="s">
        <v>441</v>
      </c>
      <c r="N44" s="21">
        <v>59.380578</v>
      </c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>
        <v>73.949697485424352</v>
      </c>
      <c r="AW44" s="60">
        <v>78.315601959292835</v>
      </c>
    </row>
    <row r="45" spans="1:49" outlineLevel="1" x14ac:dyDescent="0.3">
      <c r="A45" t="s">
        <v>242</v>
      </c>
      <c r="B45" t="s">
        <v>441</v>
      </c>
      <c r="N45" s="2">
        <f>N36/SUM(N$36:N$44)</f>
        <v>3.4655912748894249E-2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>
        <f t="shared" ref="AC45:AC53" si="5">AC36/SUM(AC$36:AC$44)</f>
        <v>1.1748790141521933E-3</v>
      </c>
      <c r="AW45" s="2">
        <f t="shared" ref="AW45:AW53" si="6">AW36/SUM(AW$36:AW$44)</f>
        <v>2.3680519254410879E-5</v>
      </c>
    </row>
    <row r="46" spans="1:49" outlineLevel="1" x14ac:dyDescent="0.3">
      <c r="A46" t="s">
        <v>244</v>
      </c>
      <c r="B46" t="s">
        <v>441</v>
      </c>
      <c r="N46" s="2">
        <f t="shared" ref="N46:N53" si="7">N37/SUM(N$36:N$44)</f>
        <v>0.13108581202170519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>
        <f t="shared" si="5"/>
        <v>2.6295365732181775E-2</v>
      </c>
      <c r="AW46" s="2">
        <f t="shared" si="6"/>
        <v>9.1753892094824558E-4</v>
      </c>
    </row>
    <row r="47" spans="1:49" outlineLevel="1" x14ac:dyDescent="0.3">
      <c r="A47" t="s">
        <v>238</v>
      </c>
      <c r="B47" t="s">
        <v>441</v>
      </c>
      <c r="N47" s="2">
        <f t="shared" si="7"/>
        <v>0.31040155363042526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>
        <f t="shared" si="5"/>
        <v>0.20441580035677326</v>
      </c>
      <c r="AW47" s="2">
        <f t="shared" si="6"/>
        <v>1.0199672671220362E-2</v>
      </c>
    </row>
    <row r="48" spans="1:49" outlineLevel="1" x14ac:dyDescent="0.3">
      <c r="A48" t="s">
        <v>245</v>
      </c>
      <c r="B48" t="s">
        <v>441</v>
      </c>
      <c r="N48" s="2">
        <f t="shared" si="7"/>
        <v>0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>
        <f t="shared" si="5"/>
        <v>0</v>
      </c>
      <c r="AW48" s="2">
        <f t="shared" si="6"/>
        <v>6.611062168833981E-2</v>
      </c>
    </row>
    <row r="49" spans="1:49" outlineLevel="1" x14ac:dyDescent="0.3">
      <c r="A49" t="s">
        <v>246</v>
      </c>
      <c r="B49" t="s">
        <v>441</v>
      </c>
      <c r="N49" s="2">
        <f t="shared" si="7"/>
        <v>0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>
        <f t="shared" si="5"/>
        <v>0</v>
      </c>
      <c r="AW49" s="2">
        <f t="shared" si="6"/>
        <v>1.7666079405786746E-2</v>
      </c>
    </row>
    <row r="50" spans="1:49" outlineLevel="1" x14ac:dyDescent="0.3">
      <c r="A50" t="s">
        <v>247</v>
      </c>
      <c r="B50" t="s">
        <v>441</v>
      </c>
      <c r="N50" s="2">
        <f t="shared" si="7"/>
        <v>8.66558198100493E-2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>
        <f t="shared" si="5"/>
        <v>8.7648571795617899E-2</v>
      </c>
      <c r="AW50" s="2">
        <f t="shared" si="6"/>
        <v>7.7318051730856999E-2</v>
      </c>
    </row>
    <row r="51" spans="1:49" outlineLevel="1" x14ac:dyDescent="0.3">
      <c r="A51" t="s">
        <v>248</v>
      </c>
      <c r="B51" t="s">
        <v>441</v>
      </c>
      <c r="N51" s="2">
        <f t="shared" si="7"/>
        <v>0.17229488111098443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>
        <f t="shared" si="5"/>
        <v>0.16200203962663617</v>
      </c>
      <c r="AW51" s="2">
        <f t="shared" si="6"/>
        <v>0.14552833497528331</v>
      </c>
    </row>
    <row r="52" spans="1:49" outlineLevel="1" x14ac:dyDescent="0.3">
      <c r="A52" t="s">
        <v>249</v>
      </c>
      <c r="B52" t="s">
        <v>441</v>
      </c>
      <c r="N52" s="2">
        <f t="shared" si="7"/>
        <v>2.1402564451083718E-2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>
        <f t="shared" si="5"/>
        <v>0.14663384922692063</v>
      </c>
      <c r="AW52" s="2">
        <f t="shared" si="6"/>
        <v>0.21536861330778034</v>
      </c>
    </row>
    <row r="53" spans="1:49" outlineLevel="1" x14ac:dyDescent="0.3">
      <c r="A53" t="s">
        <v>221</v>
      </c>
      <c r="B53" t="s">
        <v>441</v>
      </c>
      <c r="N53" s="2">
        <f t="shared" si="7"/>
        <v>0.2435034562268579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>
        <f t="shared" si="5"/>
        <v>0.371829494247718</v>
      </c>
      <c r="AW53" s="2">
        <f t="shared" si="6"/>
        <v>0.46686740678052985</v>
      </c>
    </row>
    <row r="54" spans="1:49" outlineLevel="1" x14ac:dyDescent="0.3"/>
    <row r="55" spans="1:49" s="58" customFormat="1" outlineLevel="1" x14ac:dyDescent="0.3">
      <c r="A55" s="58" t="s">
        <v>442</v>
      </c>
    </row>
    <row r="56" spans="1:49" outlineLevel="1" x14ac:dyDescent="0.3">
      <c r="N56">
        <v>2015</v>
      </c>
      <c r="AC56">
        <v>2030</v>
      </c>
    </row>
    <row r="57" spans="1:49" outlineLevel="1" x14ac:dyDescent="0.3">
      <c r="A57" t="s">
        <v>242</v>
      </c>
      <c r="B57" t="s">
        <v>441</v>
      </c>
      <c r="N57" s="21">
        <v>8.4511659999999988</v>
      </c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>
        <v>0.52973623486336974</v>
      </c>
      <c r="AW57" s="60">
        <v>0</v>
      </c>
    </row>
    <row r="58" spans="1:49" outlineLevel="1" x14ac:dyDescent="0.3">
      <c r="A58" t="s">
        <v>244</v>
      </c>
      <c r="B58" t="s">
        <v>441</v>
      </c>
      <c r="N58" s="21">
        <v>31.966491999999999</v>
      </c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>
        <v>5.6566097217007778</v>
      </c>
      <c r="AW58" s="60">
        <v>4.8521034355151149E-2</v>
      </c>
    </row>
    <row r="59" spans="1:49" outlineLevel="1" x14ac:dyDescent="0.3">
      <c r="A59" t="s">
        <v>238</v>
      </c>
      <c r="B59" t="s">
        <v>441</v>
      </c>
      <c r="N59" s="21">
        <v>75.694299999999998</v>
      </c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>
        <v>43.095779493736174</v>
      </c>
      <c r="AW59" s="60">
        <v>2.3322104260971059</v>
      </c>
    </row>
    <row r="60" spans="1:49" outlineLevel="1" x14ac:dyDescent="0.3">
      <c r="A60" t="s">
        <v>245</v>
      </c>
      <c r="B60" t="s">
        <v>441</v>
      </c>
      <c r="N60" s="21">
        <v>0</v>
      </c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>
        <v>0</v>
      </c>
      <c r="AW60" s="60">
        <v>15.908125687162652</v>
      </c>
    </row>
    <row r="61" spans="1:49" outlineLevel="1" x14ac:dyDescent="0.3">
      <c r="A61" t="s">
        <v>246</v>
      </c>
      <c r="B61" t="s">
        <v>441</v>
      </c>
      <c r="N61" s="21">
        <v>0</v>
      </c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>
        <v>0</v>
      </c>
      <c r="AW61" s="60">
        <v>4.2509691243187699</v>
      </c>
    </row>
    <row r="62" spans="1:49" outlineLevel="1" x14ac:dyDescent="0.3">
      <c r="A62" t="s">
        <v>247</v>
      </c>
      <c r="B62" t="s">
        <v>441</v>
      </c>
      <c r="N62" s="21">
        <v>21.131826</v>
      </c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>
        <v>21.338680065695719</v>
      </c>
      <c r="AW62" s="60">
        <v>20.459792083214431</v>
      </c>
    </row>
    <row r="63" spans="1:49" outlineLevel="1" x14ac:dyDescent="0.3">
      <c r="A63" t="s">
        <v>248</v>
      </c>
      <c r="B63" t="s">
        <v>441</v>
      </c>
      <c r="N63" s="21">
        <v>42.015706000000023</v>
      </c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>
        <v>35.870347113104351</v>
      </c>
      <c r="AW63" s="60">
        <v>33.086554930876261</v>
      </c>
    </row>
    <row r="64" spans="1:49" outlineLevel="1" x14ac:dyDescent="0.3">
      <c r="A64" t="s">
        <v>249</v>
      </c>
      <c r="B64" t="s">
        <v>441</v>
      </c>
      <c r="N64" s="21">
        <v>5.219214</v>
      </c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>
        <v>23.594475915769351</v>
      </c>
      <c r="AW64" s="60">
        <v>33.782365347777358</v>
      </c>
    </row>
    <row r="65" spans="1:49" outlineLevel="1" x14ac:dyDescent="0.3">
      <c r="A65" t="s">
        <v>221</v>
      </c>
      <c r="B65" t="s">
        <v>441</v>
      </c>
      <c r="N65" s="21">
        <v>59.380578</v>
      </c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>
        <v>76.808642823245336</v>
      </c>
      <c r="AW65" s="60">
        <v>82.93138843975251</v>
      </c>
    </row>
    <row r="66" spans="1:49" outlineLevel="1" x14ac:dyDescent="0.3">
      <c r="A66" t="s">
        <v>242</v>
      </c>
      <c r="B66" t="s">
        <v>441</v>
      </c>
      <c r="N66" s="2">
        <f>N57/SUM(N$57:N$65)</f>
        <v>3.4655912748894249E-2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>
        <f t="shared" ref="AC66:AC74" si="8">AC57/SUM(AC$57:AC$65)</f>
        <v>2.5604200220741757E-3</v>
      </c>
      <c r="AD66" s="2"/>
      <c r="AW66" s="2">
        <f t="shared" ref="AW66:AW74" si="9">AW57/SUM(AW$57:AW$65)</f>
        <v>0</v>
      </c>
    </row>
    <row r="67" spans="1:49" outlineLevel="1" x14ac:dyDescent="0.3">
      <c r="A67" t="s">
        <v>244</v>
      </c>
      <c r="B67" t="s">
        <v>441</v>
      </c>
      <c r="N67" s="2">
        <f t="shared" ref="N67:N74" si="10">N58/SUM(N$57:N$65)</f>
        <v>0.13108581202170519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>
        <f t="shared" si="8"/>
        <v>2.734058166181072E-2</v>
      </c>
      <c r="AD67" s="2"/>
      <c r="AW67" s="2">
        <f t="shared" si="9"/>
        <v>2.5166521114211885E-4</v>
      </c>
    </row>
    <row r="68" spans="1:49" outlineLevel="1" x14ac:dyDescent="0.3">
      <c r="A68" t="s">
        <v>238</v>
      </c>
      <c r="B68" t="s">
        <v>441</v>
      </c>
      <c r="N68" s="2">
        <f t="shared" si="10"/>
        <v>0.31040155363042526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>
        <f t="shared" si="8"/>
        <v>0.2082985633616618</v>
      </c>
      <c r="AD68" s="2"/>
      <c r="AW68" s="2">
        <f t="shared" si="9"/>
        <v>1.209653168181622E-2</v>
      </c>
    </row>
    <row r="69" spans="1:49" outlineLevel="1" x14ac:dyDescent="0.3">
      <c r="A69" t="s">
        <v>245</v>
      </c>
      <c r="B69" t="s">
        <v>441</v>
      </c>
      <c r="N69" s="2">
        <f t="shared" si="10"/>
        <v>0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>
        <f t="shared" si="8"/>
        <v>0</v>
      </c>
      <c r="AD69" s="2"/>
      <c r="AW69" s="2">
        <f t="shared" si="9"/>
        <v>8.2511056558095139E-2</v>
      </c>
    </row>
    <row r="70" spans="1:49" outlineLevel="1" x14ac:dyDescent="0.3">
      <c r="A70" t="s">
        <v>246</v>
      </c>
      <c r="B70" t="s">
        <v>441</v>
      </c>
      <c r="N70" s="2">
        <f t="shared" si="10"/>
        <v>0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>
        <f t="shared" si="8"/>
        <v>0</v>
      </c>
      <c r="AD70" s="2"/>
      <c r="AW70" s="2">
        <f t="shared" si="9"/>
        <v>2.2048603383013739E-2</v>
      </c>
    </row>
    <row r="71" spans="1:49" outlineLevel="1" x14ac:dyDescent="0.3">
      <c r="A71" t="s">
        <v>247</v>
      </c>
      <c r="B71" t="s">
        <v>441</v>
      </c>
      <c r="N71" s="2">
        <f t="shared" si="10"/>
        <v>8.66558198100493E-2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>
        <f t="shared" si="8"/>
        <v>0.10313809041009663</v>
      </c>
      <c r="AD71" s="2"/>
      <c r="AW71" s="2">
        <f t="shared" si="9"/>
        <v>0.10611929368318125</v>
      </c>
    </row>
    <row r="72" spans="1:49" outlineLevel="1" x14ac:dyDescent="0.3">
      <c r="A72" t="s">
        <v>248</v>
      </c>
      <c r="B72" t="s">
        <v>441</v>
      </c>
      <c r="N72" s="2">
        <f t="shared" si="10"/>
        <v>0.17229488111098443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>
        <f t="shared" si="8"/>
        <v>0.17337525527365766</v>
      </c>
      <c r="AD72" s="2"/>
      <c r="AW72" s="2">
        <f t="shared" si="9"/>
        <v>0.17161082700126518</v>
      </c>
    </row>
    <row r="73" spans="1:49" outlineLevel="1" x14ac:dyDescent="0.3">
      <c r="A73" t="s">
        <v>249</v>
      </c>
      <c r="B73" t="s">
        <v>441</v>
      </c>
      <c r="N73" s="2">
        <f t="shared" si="10"/>
        <v>2.1402564451083718E-2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>
        <f t="shared" si="8"/>
        <v>0.11404122385674496</v>
      </c>
      <c r="AD73" s="2"/>
      <c r="AW73" s="2">
        <f t="shared" si="9"/>
        <v>0.17521980355775341</v>
      </c>
    </row>
    <row r="74" spans="1:49" outlineLevel="1" x14ac:dyDescent="0.3">
      <c r="A74" t="s">
        <v>221</v>
      </c>
      <c r="B74" t="s">
        <v>441</v>
      </c>
      <c r="N74" s="2">
        <f t="shared" si="10"/>
        <v>0.2435034562268579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>
        <f t="shared" si="8"/>
        <v>0.37124586541395405</v>
      </c>
      <c r="AD74" s="2"/>
      <c r="AW74" s="2">
        <f t="shared" si="9"/>
        <v>0.43014221892373289</v>
      </c>
    </row>
    <row r="75" spans="1:49" outlineLevel="1" x14ac:dyDescent="0.3"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</row>
    <row r="76" spans="1:49" outlineLevel="1" x14ac:dyDescent="0.3"/>
    <row r="77" spans="1:49" s="18" customFormat="1" outlineLevel="1" x14ac:dyDescent="0.3">
      <c r="A77" s="18" t="s">
        <v>443</v>
      </c>
    </row>
    <row r="78" spans="1:49" outlineLevel="1" x14ac:dyDescent="0.3">
      <c r="D78">
        <v>2005</v>
      </c>
      <c r="E78">
        <v>2006</v>
      </c>
      <c r="F78">
        <v>2007</v>
      </c>
      <c r="G78">
        <v>2008</v>
      </c>
      <c r="H78">
        <v>2009</v>
      </c>
      <c r="I78">
        <v>2010</v>
      </c>
      <c r="J78">
        <v>2011</v>
      </c>
      <c r="K78">
        <v>2012</v>
      </c>
      <c r="L78">
        <v>2013</v>
      </c>
      <c r="M78">
        <v>2014</v>
      </c>
      <c r="N78">
        <v>2015</v>
      </c>
      <c r="O78">
        <v>2016</v>
      </c>
      <c r="P78">
        <v>2017</v>
      </c>
      <c r="Q78">
        <v>2018</v>
      </c>
      <c r="R78">
        <v>2019</v>
      </c>
      <c r="S78">
        <v>2020</v>
      </c>
      <c r="T78">
        <v>2021</v>
      </c>
      <c r="U78">
        <v>2022</v>
      </c>
      <c r="V78">
        <v>2023</v>
      </c>
      <c r="W78">
        <v>2024</v>
      </c>
      <c r="X78">
        <v>2025</v>
      </c>
      <c r="Y78">
        <v>2026</v>
      </c>
      <c r="Z78">
        <v>2027</v>
      </c>
      <c r="AA78">
        <v>2028</v>
      </c>
      <c r="AB78">
        <v>2029</v>
      </c>
      <c r="AC78">
        <v>2030</v>
      </c>
      <c r="AH78">
        <f>AH14</f>
        <v>2035</v>
      </c>
      <c r="AM78">
        <f>AM14</f>
        <v>2040</v>
      </c>
      <c r="AR78">
        <f>AR14</f>
        <v>2045</v>
      </c>
      <c r="AW78">
        <f>AW14</f>
        <v>2050</v>
      </c>
    </row>
    <row r="79" spans="1:49" outlineLevel="1" x14ac:dyDescent="0.3">
      <c r="D79">
        <v>2005</v>
      </c>
      <c r="I79">
        <v>2010</v>
      </c>
      <c r="N79">
        <v>2015</v>
      </c>
      <c r="S79">
        <v>2020</v>
      </c>
      <c r="X79">
        <v>2025</v>
      </c>
      <c r="AC79">
        <v>2030</v>
      </c>
    </row>
    <row r="80" spans="1:49" outlineLevel="1" x14ac:dyDescent="0.3">
      <c r="A80" t="s">
        <v>238</v>
      </c>
      <c r="D80" s="45">
        <f>D6</f>
        <v>0.33390175617262735</v>
      </c>
      <c r="E80" s="45">
        <f t="shared" ref="E80:T80" si="11">E6</f>
        <v>0.32832489631198175</v>
      </c>
      <c r="F80" s="45">
        <f t="shared" si="11"/>
        <v>0.32147210372693857</v>
      </c>
      <c r="G80" s="45">
        <f t="shared" si="11"/>
        <v>0.31763544489965623</v>
      </c>
      <c r="H80" s="45">
        <f t="shared" si="11"/>
        <v>0.32293027842235206</v>
      </c>
      <c r="I80" s="45">
        <f t="shared" si="11"/>
        <v>0.33047904927342375</v>
      </c>
      <c r="J80" s="45">
        <f t="shared" si="11"/>
        <v>0.32065507760532858</v>
      </c>
      <c r="K80" s="45">
        <f t="shared" si="11"/>
        <v>0.32341753279015845</v>
      </c>
      <c r="L80" s="45">
        <f t="shared" si="11"/>
        <v>0.32510787594252138</v>
      </c>
      <c r="M80" s="45">
        <f t="shared" si="11"/>
        <v>0.30225770687537384</v>
      </c>
      <c r="N80" s="45">
        <f t="shared" si="11"/>
        <v>0.31357190838540711</v>
      </c>
      <c r="O80" s="45">
        <f t="shared" si="11"/>
        <v>0.3258081023529289</v>
      </c>
      <c r="P80" s="45">
        <f t="shared" si="11"/>
        <v>0.32342460195672623</v>
      </c>
      <c r="Q80" s="45">
        <f t="shared" si="11"/>
        <v>0.32222141896528339</v>
      </c>
      <c r="R80" s="45">
        <f t="shared" si="11"/>
        <v>0.32081765087270775</v>
      </c>
      <c r="S80" s="45">
        <f t="shared" si="11"/>
        <v>0.31677195756238791</v>
      </c>
      <c r="T80" s="45">
        <f t="shared" si="11"/>
        <v>0.33500952148259672</v>
      </c>
      <c r="AI80" s="123" t="s">
        <v>444</v>
      </c>
      <c r="AJ80" s="123"/>
      <c r="AK80" s="123"/>
      <c r="AL80" s="123"/>
      <c r="AM80" s="123"/>
      <c r="AN80" s="123"/>
    </row>
    <row r="81" spans="1:49" outlineLevel="1" x14ac:dyDescent="0.3">
      <c r="A81" t="s">
        <v>445</v>
      </c>
      <c r="D81" s="45">
        <f>D4+D5</f>
        <v>0.23222172680485456</v>
      </c>
      <c r="E81" s="45">
        <f t="shared" ref="E81:T81" si="12">E4+E5</f>
        <v>0.22893856693359868</v>
      </c>
      <c r="F81" s="45">
        <f t="shared" si="12"/>
        <v>0.19595227908263857</v>
      </c>
      <c r="G81" s="45">
        <f t="shared" si="12"/>
        <v>0.20878328451263989</v>
      </c>
      <c r="H81" s="45">
        <f t="shared" si="12"/>
        <v>0.19588070177147643</v>
      </c>
      <c r="I81" s="45">
        <f t="shared" si="12"/>
        <v>0.18821974260154517</v>
      </c>
      <c r="J81" s="45">
        <f t="shared" si="12"/>
        <v>0.18299134681144003</v>
      </c>
      <c r="K81" s="45">
        <f t="shared" si="12"/>
        <v>0.17399754478260829</v>
      </c>
      <c r="L81" s="45">
        <f t="shared" si="12"/>
        <v>0.17142142436508501</v>
      </c>
      <c r="M81" s="45">
        <f t="shared" si="12"/>
        <v>0.17058623287812139</v>
      </c>
      <c r="N81" s="45">
        <f t="shared" si="12"/>
        <v>0.16633081048555287</v>
      </c>
      <c r="O81" s="45">
        <f t="shared" si="12"/>
        <v>0.15861989335806431</v>
      </c>
      <c r="P81" s="45">
        <f t="shared" si="12"/>
        <v>0.15548941031607241</v>
      </c>
      <c r="Q81" s="45">
        <f t="shared" si="12"/>
        <v>0.1475608217712216</v>
      </c>
      <c r="R81" s="45">
        <f t="shared" si="12"/>
        <v>0.14443598817024866</v>
      </c>
      <c r="S81" s="45">
        <f t="shared" si="12"/>
        <v>0.15067061243951788</v>
      </c>
      <c r="T81" s="45">
        <f t="shared" si="12"/>
        <v>0.12080747360862294</v>
      </c>
      <c r="AI81">
        <v>2017</v>
      </c>
      <c r="AJ81">
        <v>2018</v>
      </c>
      <c r="AK81">
        <v>2019</v>
      </c>
      <c r="AL81">
        <v>2020</v>
      </c>
      <c r="AM81">
        <v>2021</v>
      </c>
      <c r="AN81" t="s">
        <v>446</v>
      </c>
    </row>
    <row r="82" spans="1:49" outlineLevel="1" x14ac:dyDescent="0.3">
      <c r="A82" t="s">
        <v>221</v>
      </c>
      <c r="D82" s="45">
        <f>D7</f>
        <v>0.21604349391664984</v>
      </c>
      <c r="E82" s="45">
        <f t="shared" ref="E82:T84" si="13">E7</f>
        <v>0.22206552741296767</v>
      </c>
      <c r="F82" s="45">
        <f t="shared" si="13"/>
        <v>0.23486467844958395</v>
      </c>
      <c r="G82" s="45">
        <f t="shared" si="13"/>
        <v>0.22649044112058775</v>
      </c>
      <c r="H82" s="45">
        <f t="shared" si="13"/>
        <v>0.22925666049156718</v>
      </c>
      <c r="I82" s="45">
        <f t="shared" si="13"/>
        <v>0.22506151922099912</v>
      </c>
      <c r="J82" s="45">
        <f t="shared" si="13"/>
        <v>0.24028410632184286</v>
      </c>
      <c r="K82" s="45">
        <f t="shared" si="13"/>
        <v>0.23501990866216568</v>
      </c>
      <c r="L82" s="45">
        <f t="shared" si="13"/>
        <v>0.23129176541065591</v>
      </c>
      <c r="M82" s="45">
        <f t="shared" si="13"/>
        <v>0.24982503729471275</v>
      </c>
      <c r="N82" s="45">
        <f t="shared" si="13"/>
        <v>0.24278049942823882</v>
      </c>
      <c r="O82" s="45">
        <f t="shared" si="13"/>
        <v>0.24121182638665542</v>
      </c>
      <c r="P82" s="45">
        <f t="shared" si="13"/>
        <v>0.24202950054038508</v>
      </c>
      <c r="Q82" s="45">
        <f t="shared" si="13"/>
        <v>0.24304420321154849</v>
      </c>
      <c r="R82" s="45">
        <f t="shared" si="13"/>
        <v>0.24385681862748268</v>
      </c>
      <c r="S82" s="45">
        <f t="shared" si="13"/>
        <v>0.24693556324213164</v>
      </c>
      <c r="T82" s="45">
        <f t="shared" si="13"/>
        <v>0.24546312580803711</v>
      </c>
      <c r="AI82" s="50">
        <f>(P80+P81)-(O80+O81)</f>
        <v>-5.5139834381945918E-3</v>
      </c>
      <c r="AJ82" s="50">
        <f>(Q80+Q81)-(P80+P81)</f>
        <v>-9.1317715362936314E-3</v>
      </c>
      <c r="AK82" s="50">
        <f>(R80+R81)-(Q80+Q81)</f>
        <v>-4.5286016935485729E-3</v>
      </c>
      <c r="AL82" s="50">
        <f>(S80+S81)-(R80+R81)</f>
        <v>2.1889309589493977E-3</v>
      </c>
      <c r="AM82" s="50">
        <f>(T80+T81)-(S80+S81)</f>
        <v>-1.1625574910686165E-2</v>
      </c>
    </row>
    <row r="83" spans="1:49" outlineLevel="1" x14ac:dyDescent="0.3">
      <c r="A83" t="s">
        <v>223</v>
      </c>
      <c r="D83" s="45">
        <f>D8</f>
        <v>8.3562772187501938E-2</v>
      </c>
      <c r="E83" s="45">
        <f t="shared" si="13"/>
        <v>8.0309272874469706E-2</v>
      </c>
      <c r="F83" s="45">
        <f t="shared" si="13"/>
        <v>8.690500644086456E-2</v>
      </c>
      <c r="G83" s="45">
        <f t="shared" si="13"/>
        <v>8.1030468935221797E-2</v>
      </c>
      <c r="H83" s="45">
        <f t="shared" si="13"/>
        <v>8.1409252050938699E-2</v>
      </c>
      <c r="I83" s="45">
        <f t="shared" si="13"/>
        <v>8.4885950621836542E-2</v>
      </c>
      <c r="J83" s="45">
        <f t="shared" si="13"/>
        <v>8.4430525121178754E-2</v>
      </c>
      <c r="K83" s="45">
        <f t="shared" si="13"/>
        <v>8.1819562950377497E-2</v>
      </c>
      <c r="L83" s="45">
        <f t="shared" si="13"/>
        <v>8.5019832779051147E-2</v>
      </c>
      <c r="M83" s="45">
        <f t="shared" si="13"/>
        <v>8.6032758487299535E-2</v>
      </c>
      <c r="N83" s="45">
        <f t="shared" si="13"/>
        <v>8.6048894127383285E-2</v>
      </c>
      <c r="O83" s="45">
        <f t="shared" si="13"/>
        <v>8.8077451775130558E-2</v>
      </c>
      <c r="P83" s="45">
        <f t="shared" si="13"/>
        <v>8.8001110820286152E-2</v>
      </c>
      <c r="Q83" s="45">
        <f t="shared" si="13"/>
        <v>8.4498041769249591E-2</v>
      </c>
      <c r="R83" s="45">
        <f t="shared" si="13"/>
        <v>8.404016249606007E-2</v>
      </c>
      <c r="S83" s="45">
        <f t="shared" si="13"/>
        <v>8.2273726215363135E-2</v>
      </c>
      <c r="T83" s="45">
        <f t="shared" si="13"/>
        <v>8.6322220443299902E-2</v>
      </c>
      <c r="AN83" s="31">
        <f>((AC92+AC93)-(T80+T81))/9</f>
        <v>-2.4481414016488852E-2</v>
      </c>
    </row>
    <row r="84" spans="1:49" outlineLevel="1" x14ac:dyDescent="0.3">
      <c r="A84" t="s">
        <v>222</v>
      </c>
      <c r="D84" s="45">
        <f>D9</f>
        <v>0.13012534308061577</v>
      </c>
      <c r="E84" s="45">
        <f>E9</f>
        <v>0.1351294582709098</v>
      </c>
      <c r="F84" s="45">
        <f t="shared" si="13"/>
        <v>0.15386200803509667</v>
      </c>
      <c r="G84" s="45">
        <f t="shared" si="13"/>
        <v>0.15775224129645335</v>
      </c>
      <c r="H84" s="45">
        <f t="shared" si="13"/>
        <v>0.16011629827269977</v>
      </c>
      <c r="I84" s="45">
        <f t="shared" si="13"/>
        <v>0.15956979966668353</v>
      </c>
      <c r="J84" s="45">
        <f t="shared" si="13"/>
        <v>0.15867276223614787</v>
      </c>
      <c r="K84" s="45">
        <f t="shared" si="13"/>
        <v>0.17160029809725749</v>
      </c>
      <c r="L84" s="45">
        <f t="shared" si="13"/>
        <v>0.17161412138153989</v>
      </c>
      <c r="M84" s="45">
        <f t="shared" si="13"/>
        <v>0.17214650159379918</v>
      </c>
      <c r="N84" s="45">
        <f t="shared" si="13"/>
        <v>0.17079724298441901</v>
      </c>
      <c r="O84" s="45">
        <f t="shared" si="13"/>
        <v>0.1642218637185755</v>
      </c>
      <c r="P84" s="45">
        <f t="shared" si="13"/>
        <v>0.16502034514820849</v>
      </c>
      <c r="Q84" s="45">
        <f t="shared" si="13"/>
        <v>0.17420949290207044</v>
      </c>
      <c r="R84" s="45">
        <f t="shared" si="13"/>
        <v>0.17556495498135302</v>
      </c>
      <c r="S84" s="45">
        <f t="shared" si="13"/>
        <v>0.16969261922653603</v>
      </c>
      <c r="T84" s="45">
        <f t="shared" si="13"/>
        <v>0.17484866938823321</v>
      </c>
    </row>
    <row r="85" spans="1:49" outlineLevel="1" x14ac:dyDescent="0.3">
      <c r="A85" t="s">
        <v>447</v>
      </c>
      <c r="D85" s="45">
        <f>D10</f>
        <v>4.1448853081591476E-3</v>
      </c>
      <c r="E85" s="45">
        <f t="shared" ref="E85:T85" si="14">E10</f>
        <v>5.2322895001038145E-3</v>
      </c>
      <c r="F85" s="45">
        <f t="shared" si="14"/>
        <v>6.9439483387512589E-3</v>
      </c>
      <c r="G85" s="45">
        <f t="shared" si="14"/>
        <v>8.3081116671626168E-3</v>
      </c>
      <c r="H85" s="45">
        <f t="shared" si="14"/>
        <v>1.0406835669706927E-2</v>
      </c>
      <c r="I85" s="45">
        <f t="shared" si="14"/>
        <v>1.1783906349293128E-2</v>
      </c>
      <c r="J85" s="45">
        <f t="shared" si="14"/>
        <v>1.2966189843896112E-2</v>
      </c>
      <c r="K85" s="45">
        <f t="shared" si="14"/>
        <v>1.4145156519538406E-2</v>
      </c>
      <c r="L85" s="45">
        <f t="shared" si="14"/>
        <v>1.5544991395472219E-2</v>
      </c>
      <c r="M85" s="45">
        <f t="shared" si="14"/>
        <v>1.9151762870693277E-2</v>
      </c>
      <c r="N85" s="45">
        <f t="shared" si="14"/>
        <v>2.0470632345499954E-2</v>
      </c>
      <c r="O85" s="45">
        <f t="shared" si="14"/>
        <v>2.2060858422623966E-2</v>
      </c>
      <c r="P85" s="45">
        <f t="shared" si="14"/>
        <v>2.6034995463326809E-2</v>
      </c>
      <c r="Q85" s="45">
        <f t="shared" si="14"/>
        <v>2.8465993352275828E-2</v>
      </c>
      <c r="R85" s="45">
        <f t="shared" si="14"/>
        <v>3.1284392618668645E-2</v>
      </c>
      <c r="S85" s="45">
        <f t="shared" si="14"/>
        <v>3.3655501163158588E-2</v>
      </c>
      <c r="T85" s="45">
        <f t="shared" si="14"/>
        <v>3.7548981630161071E-2</v>
      </c>
      <c r="AH85" t="s">
        <v>448</v>
      </c>
      <c r="AI85" t="s">
        <v>449</v>
      </c>
    </row>
    <row r="86" spans="1:49" outlineLevel="1" x14ac:dyDescent="0.3">
      <c r="A86" t="s">
        <v>450</v>
      </c>
      <c r="D86" s="45">
        <f t="shared" ref="D86:T91" si="15">D80</f>
        <v>0.33390175617262735</v>
      </c>
      <c r="E86" s="45">
        <f t="shared" si="15"/>
        <v>0.32832489631198175</v>
      </c>
      <c r="F86" s="45">
        <f t="shared" si="15"/>
        <v>0.32147210372693857</v>
      </c>
      <c r="G86" s="45">
        <f t="shared" si="15"/>
        <v>0.31763544489965623</v>
      </c>
      <c r="H86" s="45">
        <f t="shared" si="15"/>
        <v>0.32293027842235206</v>
      </c>
      <c r="I86" s="45">
        <f t="shared" si="15"/>
        <v>0.33047904927342375</v>
      </c>
      <c r="J86" s="45">
        <f t="shared" si="15"/>
        <v>0.32065507760532858</v>
      </c>
      <c r="K86" s="45">
        <f t="shared" si="15"/>
        <v>0.32341753279015845</v>
      </c>
      <c r="L86" s="45">
        <f t="shared" si="15"/>
        <v>0.32510787594252138</v>
      </c>
      <c r="M86" s="45">
        <f t="shared" si="15"/>
        <v>0.30225770687537384</v>
      </c>
      <c r="N86" s="45">
        <f t="shared" si="15"/>
        <v>0.31357190838540711</v>
      </c>
      <c r="O86" s="45">
        <f t="shared" si="15"/>
        <v>0.3258081023529289</v>
      </c>
      <c r="P86" s="45">
        <f t="shared" si="15"/>
        <v>0.32342460195672623</v>
      </c>
      <c r="Q86" s="45">
        <f t="shared" si="15"/>
        <v>0.32222141896528339</v>
      </c>
      <c r="R86" s="45">
        <f t="shared" si="15"/>
        <v>0.32081765087270775</v>
      </c>
      <c r="S86" s="45">
        <f t="shared" si="15"/>
        <v>0.31677195756238791</v>
      </c>
      <c r="T86" s="45">
        <f t="shared" si="15"/>
        <v>0.33500952148259672</v>
      </c>
      <c r="U86" s="2" cm="1">
        <f t="array" ref="U86">TREND($J80:$T80,$J$78:$T$78,U$78)</f>
        <v>0.32530208830923568</v>
      </c>
      <c r="V86" s="2" cm="1">
        <f t="array" ref="V86">TREND($J80:$T80,$J$78:$T$78,V$78)</f>
        <v>0.32604844613666262</v>
      </c>
      <c r="W86" s="2" cm="1">
        <f t="array" ref="W86">TREND($J80:$T80,$J$78:$T$78,W$78)</f>
        <v>0.32679480396408955</v>
      </c>
      <c r="X86" s="2" cm="1">
        <f t="array" ref="X86">TREND($J80:$T80,$J$78:$T$78,X$78)</f>
        <v>0.32754116179151649</v>
      </c>
      <c r="Y86" s="2" cm="1">
        <f t="array" ref="Y86">TREND($J80:$T80,$J$78:$T$78,Y$78)</f>
        <v>0.3282875196189432</v>
      </c>
      <c r="Z86" s="2" cm="1">
        <f t="array" ref="Z86">TREND($J80:$T80,$J$78:$T$78,Z$78)</f>
        <v>0.32903387744637014</v>
      </c>
      <c r="AA86" s="2" cm="1">
        <f t="array" ref="AA86">TREND($J80:$T80,$J$78:$T$78,AA$78)</f>
        <v>0.32978023527379707</v>
      </c>
      <c r="AB86" s="2" cm="1">
        <f t="array" ref="AB86">TREND($J80:$T80,$J$78:$T$78,AB$78)</f>
        <v>0.33052659310122379</v>
      </c>
      <c r="AC86" s="2" cm="1">
        <f t="array" ref="AC86">TREND($J80:$T80,$J$78:$T$78,AC$78)</f>
        <v>0.33127295092865072</v>
      </c>
      <c r="AG86" t="s">
        <v>238</v>
      </c>
      <c r="AH86" s="45">
        <f>AC86</f>
        <v>0.33127295092865072</v>
      </c>
      <c r="AI86" s="45">
        <f>AC92</f>
        <v>0.20635718185921753</v>
      </c>
    </row>
    <row r="87" spans="1:49" outlineLevel="1" x14ac:dyDescent="0.3">
      <c r="A87" t="s">
        <v>451</v>
      </c>
      <c r="D87" s="45">
        <f t="shared" si="15"/>
        <v>0.23222172680485456</v>
      </c>
      <c r="E87" s="45">
        <f t="shared" si="15"/>
        <v>0.22893856693359868</v>
      </c>
      <c r="F87" s="45">
        <f t="shared" si="15"/>
        <v>0.19595227908263857</v>
      </c>
      <c r="G87" s="45">
        <f t="shared" si="15"/>
        <v>0.20878328451263989</v>
      </c>
      <c r="H87" s="45">
        <f t="shared" si="15"/>
        <v>0.19588070177147643</v>
      </c>
      <c r="I87" s="45">
        <f t="shared" si="15"/>
        <v>0.18821974260154517</v>
      </c>
      <c r="J87" s="45">
        <f t="shared" si="15"/>
        <v>0.18299134681144003</v>
      </c>
      <c r="K87" s="45">
        <f t="shared" si="15"/>
        <v>0.17399754478260829</v>
      </c>
      <c r="L87" s="45">
        <f t="shared" si="15"/>
        <v>0.17142142436508501</v>
      </c>
      <c r="M87" s="45">
        <f t="shared" si="15"/>
        <v>0.17058623287812139</v>
      </c>
      <c r="N87" s="45">
        <f t="shared" si="15"/>
        <v>0.16633081048555287</v>
      </c>
      <c r="O87" s="45">
        <f t="shared" si="15"/>
        <v>0.15861989335806431</v>
      </c>
      <c r="P87" s="45">
        <f t="shared" si="15"/>
        <v>0.15548941031607241</v>
      </c>
      <c r="Q87" s="45">
        <f t="shared" si="15"/>
        <v>0.1475608217712216</v>
      </c>
      <c r="R87" s="45">
        <f t="shared" si="15"/>
        <v>0.14443598817024866</v>
      </c>
      <c r="S87" s="45">
        <f t="shared" si="15"/>
        <v>0.15067061243951788</v>
      </c>
      <c r="T87" s="45">
        <f t="shared" si="15"/>
        <v>0.12080747360862294</v>
      </c>
      <c r="U87" s="2" cm="1">
        <f t="array" ref="U87">TREND($J81:$T81,$J$78:$T$78,U$78)</f>
        <v>0.12887874392491128</v>
      </c>
      <c r="V87" s="2" cm="1">
        <f t="array" ref="V87">TREND($J81:$T81,$J$78:$T$78,V$78)</f>
        <v>0.12395078368532708</v>
      </c>
      <c r="W87" s="2" cm="1">
        <f t="array" ref="W87">TREND($J81:$T81,$J$78:$T$78,W$78)</f>
        <v>0.11902282344574289</v>
      </c>
      <c r="X87" s="2" cm="1">
        <f t="array" ref="X87">TREND($J81:$T81,$J$78:$T$78,X$78)</f>
        <v>0.11409486320615869</v>
      </c>
      <c r="Y87" s="2" cm="1">
        <f t="array" ref="Y87">TREND($J81:$T81,$J$78:$T$78,Y$78)</f>
        <v>0.1091669029665745</v>
      </c>
      <c r="Z87" s="2" cm="1">
        <f t="array" ref="Z87">TREND($J81:$T81,$J$78:$T$78,Z$78)</f>
        <v>0.1042389427269903</v>
      </c>
      <c r="AA87" s="2" cm="1">
        <f t="array" ref="AA87">TREND($J81:$T81,$J$78:$T$78,AA$78)</f>
        <v>9.9310982487406108E-2</v>
      </c>
      <c r="AB87" s="2" cm="1">
        <f t="array" ref="AB87">TREND($J81:$T81,$J$78:$T$78,AB$78)</f>
        <v>9.4383022247823689E-2</v>
      </c>
      <c r="AC87" s="2" cm="1">
        <f t="array" ref="AC87">TREND($J81:$T81,$J$78:$T$78,AC$78)</f>
        <v>8.9455062008239494E-2</v>
      </c>
      <c r="AG87" t="s">
        <v>452</v>
      </c>
      <c r="AH87" s="45">
        <f t="shared" ref="AH87:AH91" si="16">AC87</f>
        <v>8.9455062008239494E-2</v>
      </c>
      <c r="AI87" s="45">
        <f t="shared" ref="AI87:AI90" si="17">AC93</f>
        <v>2.912708708360244E-2</v>
      </c>
    </row>
    <row r="88" spans="1:49" outlineLevel="1" x14ac:dyDescent="0.3">
      <c r="A88" t="s">
        <v>453</v>
      </c>
      <c r="D88" s="45">
        <f t="shared" si="15"/>
        <v>0.21604349391664984</v>
      </c>
      <c r="E88" s="45">
        <f t="shared" si="15"/>
        <v>0.22206552741296767</v>
      </c>
      <c r="F88" s="45">
        <f t="shared" si="15"/>
        <v>0.23486467844958395</v>
      </c>
      <c r="G88" s="45">
        <f t="shared" si="15"/>
        <v>0.22649044112058775</v>
      </c>
      <c r="H88" s="45">
        <f t="shared" si="15"/>
        <v>0.22925666049156718</v>
      </c>
      <c r="I88" s="45">
        <f t="shared" si="15"/>
        <v>0.22506151922099912</v>
      </c>
      <c r="J88" s="45">
        <f t="shared" si="15"/>
        <v>0.24028410632184286</v>
      </c>
      <c r="K88" s="45">
        <f t="shared" si="15"/>
        <v>0.23501990866216568</v>
      </c>
      <c r="L88" s="45">
        <f t="shared" si="15"/>
        <v>0.23129176541065591</v>
      </c>
      <c r="M88" s="45">
        <f t="shared" si="15"/>
        <v>0.24982503729471275</v>
      </c>
      <c r="N88" s="45">
        <f t="shared" si="15"/>
        <v>0.24278049942823882</v>
      </c>
      <c r="O88" s="45">
        <f t="shared" si="15"/>
        <v>0.24121182638665542</v>
      </c>
      <c r="P88" s="45">
        <f t="shared" si="15"/>
        <v>0.24202950054038508</v>
      </c>
      <c r="Q88" s="45">
        <f t="shared" si="15"/>
        <v>0.24304420321154849</v>
      </c>
      <c r="R88" s="45">
        <f t="shared" si="15"/>
        <v>0.24385681862748268</v>
      </c>
      <c r="S88" s="45">
        <f t="shared" si="15"/>
        <v>0.24693556324213164</v>
      </c>
      <c r="T88" s="45">
        <f t="shared" si="15"/>
        <v>0.24546312580803711</v>
      </c>
      <c r="U88" s="2" cm="1">
        <f t="array" ref="U88">TREND($J82:$T82,$J$78:$T$78,U$78)</f>
        <v>0.24726422544928517</v>
      </c>
      <c r="V88" s="2" cm="1">
        <f t="array" ref="V88">TREND($J82:$T82,$J$78:$T$78,V$78)</f>
        <v>0.24814550007062275</v>
      </c>
      <c r="W88" s="2" cm="1">
        <f t="array" ref="W88">TREND($J82:$T82,$J$78:$T$78,W$78)</f>
        <v>0.24902677469196033</v>
      </c>
      <c r="X88" s="2" cm="1">
        <f t="array" ref="X88">TREND($J82:$T82,$J$78:$T$78,X$78)</f>
        <v>0.24990804931329791</v>
      </c>
      <c r="Y88" s="2" cm="1">
        <f t="array" ref="Y88">TREND($J82:$T82,$J$78:$T$78,Y$78)</f>
        <v>0.25078932393463549</v>
      </c>
      <c r="Z88" s="2" cm="1">
        <f t="array" ref="Z88">TREND($J82:$T82,$J$78:$T$78,Z$78)</f>
        <v>0.25167059855597307</v>
      </c>
      <c r="AA88" s="2" cm="1">
        <f t="array" ref="AA88">TREND($J82:$T82,$J$78:$T$78,AA$78)</f>
        <v>0.25255187317731065</v>
      </c>
      <c r="AB88" s="2" cm="1">
        <f t="array" ref="AB88">TREND($J82:$T82,$J$78:$T$78,AB$78)</f>
        <v>0.25343314779864801</v>
      </c>
      <c r="AC88" s="2" cm="1">
        <f t="array" ref="AC88">TREND($J82:$T82,$J$78:$T$78,AC$78)</f>
        <v>0.25431442241998559</v>
      </c>
      <c r="AG88" t="s">
        <v>221</v>
      </c>
      <c r="AH88" s="45">
        <f t="shared" si="16"/>
        <v>0.25431442241998559</v>
      </c>
      <c r="AI88" s="45">
        <f t="shared" si="17"/>
        <v>0.37153767983083602</v>
      </c>
    </row>
    <row r="89" spans="1:49" outlineLevel="1" x14ac:dyDescent="0.3">
      <c r="A89" t="s">
        <v>454</v>
      </c>
      <c r="D89" s="45">
        <f t="shared" si="15"/>
        <v>8.3562772187501938E-2</v>
      </c>
      <c r="E89" s="45">
        <f t="shared" si="15"/>
        <v>8.0309272874469706E-2</v>
      </c>
      <c r="F89" s="45">
        <f t="shared" si="15"/>
        <v>8.690500644086456E-2</v>
      </c>
      <c r="G89" s="45">
        <f t="shared" si="15"/>
        <v>8.1030468935221797E-2</v>
      </c>
      <c r="H89" s="45">
        <f t="shared" si="15"/>
        <v>8.1409252050938699E-2</v>
      </c>
      <c r="I89" s="45">
        <f t="shared" si="15"/>
        <v>8.4885950621836542E-2</v>
      </c>
      <c r="J89" s="45">
        <f t="shared" si="15"/>
        <v>8.4430525121178754E-2</v>
      </c>
      <c r="K89" s="45">
        <f t="shared" si="15"/>
        <v>8.1819562950377497E-2</v>
      </c>
      <c r="L89" s="45">
        <f t="shared" si="15"/>
        <v>8.5019832779051147E-2</v>
      </c>
      <c r="M89" s="45">
        <f t="shared" si="15"/>
        <v>8.6032758487299535E-2</v>
      </c>
      <c r="N89" s="45">
        <f t="shared" si="15"/>
        <v>8.6048894127383285E-2</v>
      </c>
      <c r="O89" s="45">
        <f t="shared" si="15"/>
        <v>8.8077451775130558E-2</v>
      </c>
      <c r="P89" s="45">
        <f t="shared" si="15"/>
        <v>8.8001110820286152E-2</v>
      </c>
      <c r="Q89" s="45">
        <f t="shared" si="15"/>
        <v>8.4498041769249591E-2</v>
      </c>
      <c r="R89" s="45">
        <f t="shared" si="15"/>
        <v>8.404016249606007E-2</v>
      </c>
      <c r="S89" s="45">
        <f t="shared" si="15"/>
        <v>8.2273726215363135E-2</v>
      </c>
      <c r="T89" s="45">
        <f t="shared" si="15"/>
        <v>8.6322220443299902E-2</v>
      </c>
      <c r="U89" s="2" cm="1">
        <f t="array" ref="U89">TREND($J83:$T83,$J$78:$T$78,U$78)</f>
        <v>8.5535966202882396E-2</v>
      </c>
      <c r="V89" s="2" cm="1">
        <f t="array" ref="V89">TREND($J83:$T83,$J$78:$T$78,V$78)</f>
        <v>8.5601592585413111E-2</v>
      </c>
      <c r="W89" s="2" cm="1">
        <f t="array" ref="W89">TREND($J83:$T83,$J$78:$T$78,W$78)</f>
        <v>8.5667218967943798E-2</v>
      </c>
      <c r="X89" s="2" cm="1">
        <f t="array" ref="X89">TREND($J83:$T83,$J$78:$T$78,X$78)</f>
        <v>8.5732845350474512E-2</v>
      </c>
      <c r="Y89" s="2" cm="1">
        <f t="array" ref="Y89">TREND($J83:$T83,$J$78:$T$78,Y$78)</f>
        <v>8.5798471733005227E-2</v>
      </c>
      <c r="Z89" s="2" cm="1">
        <f t="array" ref="Z89">TREND($J83:$T83,$J$78:$T$78,Z$78)</f>
        <v>8.5864098115535942E-2</v>
      </c>
      <c r="AA89" s="2" cm="1">
        <f t="array" ref="AA89">TREND($J83:$T83,$J$78:$T$78,AA$78)</f>
        <v>8.5929724498066656E-2</v>
      </c>
      <c r="AB89" s="2" cm="1">
        <f t="array" ref="AB89">TREND($J83:$T83,$J$78:$T$78,AB$78)</f>
        <v>8.5995350880597371E-2</v>
      </c>
      <c r="AC89" s="2" cm="1">
        <f t="array" ref="AC89">TREND($J83:$T83,$J$78:$T$78,AC$78)</f>
        <v>8.6060977263128058E-2</v>
      </c>
      <c r="AG89" t="s">
        <v>223</v>
      </c>
      <c r="AH89" s="45">
        <f t="shared" si="16"/>
        <v>8.6060977263128058E-2</v>
      </c>
      <c r="AI89" s="45">
        <f t="shared" si="17"/>
        <v>9.6117536108980148E-2</v>
      </c>
    </row>
    <row r="90" spans="1:49" outlineLevel="1" x14ac:dyDescent="0.3">
      <c r="A90" t="s">
        <v>455</v>
      </c>
      <c r="D90" s="45">
        <f t="shared" si="15"/>
        <v>0.13012534308061577</v>
      </c>
      <c r="E90" s="45">
        <f t="shared" si="15"/>
        <v>0.1351294582709098</v>
      </c>
      <c r="F90" s="45">
        <f t="shared" si="15"/>
        <v>0.15386200803509667</v>
      </c>
      <c r="G90" s="45">
        <f t="shared" si="15"/>
        <v>0.15775224129645335</v>
      </c>
      <c r="H90" s="45">
        <f t="shared" si="15"/>
        <v>0.16011629827269977</v>
      </c>
      <c r="I90" s="45">
        <f t="shared" si="15"/>
        <v>0.15956979966668353</v>
      </c>
      <c r="J90" s="45">
        <f t="shared" si="15"/>
        <v>0.15867276223614787</v>
      </c>
      <c r="K90" s="45">
        <f t="shared" si="15"/>
        <v>0.17160029809725749</v>
      </c>
      <c r="L90" s="45">
        <f t="shared" si="15"/>
        <v>0.17161412138153989</v>
      </c>
      <c r="M90" s="45">
        <f t="shared" si="15"/>
        <v>0.17214650159379918</v>
      </c>
      <c r="N90" s="45">
        <f t="shared" si="15"/>
        <v>0.17079724298441901</v>
      </c>
      <c r="O90" s="45">
        <f t="shared" si="15"/>
        <v>0.1642218637185755</v>
      </c>
      <c r="P90" s="45">
        <f t="shared" si="15"/>
        <v>0.16502034514820849</v>
      </c>
      <c r="Q90" s="45">
        <f t="shared" si="15"/>
        <v>0.17420949290207044</v>
      </c>
      <c r="R90" s="45">
        <f t="shared" si="15"/>
        <v>0.17556495498135302</v>
      </c>
      <c r="S90" s="45">
        <f t="shared" si="15"/>
        <v>0.16969261922653603</v>
      </c>
      <c r="T90" s="45">
        <f t="shared" si="15"/>
        <v>0.17484866938823321</v>
      </c>
      <c r="U90" s="2" cm="1">
        <f t="array" ref="U90">TREND($J84:$T84,$J$78:$T$78,U$78)</f>
        <v>0.1744053741065934</v>
      </c>
      <c r="V90" s="2" cm="1">
        <f t="array" ref="V90">TREND($J84:$T84,$J$78:$T$78,V$78)</f>
        <v>0.17516401415984162</v>
      </c>
      <c r="W90" s="2" cm="1">
        <f t="array" ref="W90">TREND($J84:$T84,$J$78:$T$78,W$78)</f>
        <v>0.17592265421309006</v>
      </c>
      <c r="X90" s="2" cm="1">
        <f t="array" ref="X90">TREND($J84:$T84,$J$78:$T$78,X$78)</f>
        <v>0.17668129426633827</v>
      </c>
      <c r="Y90" s="2" cm="1">
        <f t="array" ref="Y90">TREND($J84:$T84,$J$78:$T$78,Y$78)</f>
        <v>0.17743993431958649</v>
      </c>
      <c r="Z90" s="2" cm="1">
        <f t="array" ref="Z90">TREND($J84:$T84,$J$78:$T$78,Z$78)</f>
        <v>0.17819857437283493</v>
      </c>
      <c r="AA90" s="2" cm="1">
        <f t="array" ref="AA90">TREND($J84:$T84,$J$78:$T$78,AA$78)</f>
        <v>0.17895721442608314</v>
      </c>
      <c r="AB90" s="2" cm="1">
        <f t="array" ref="AB90">TREND($J84:$T84,$J$78:$T$78,AB$78)</f>
        <v>0.17971585447933136</v>
      </c>
      <c r="AC90" s="2" cm="1">
        <f t="array" ref="AC90">TREND($J84:$T84,$J$78:$T$78,AC$78)</f>
        <v>0.1804744945325798</v>
      </c>
      <c r="AG90" t="s">
        <v>222</v>
      </c>
      <c r="AH90" s="45">
        <f t="shared" si="16"/>
        <v>0.1804744945325798</v>
      </c>
      <c r="AI90" s="45">
        <f t="shared" si="17"/>
        <v>0.17125294491994233</v>
      </c>
    </row>
    <row r="91" spans="1:49" outlineLevel="1" x14ac:dyDescent="0.3">
      <c r="A91" t="s">
        <v>456</v>
      </c>
      <c r="D91" s="45">
        <f t="shared" si="15"/>
        <v>4.1448853081591476E-3</v>
      </c>
      <c r="E91" s="45">
        <f t="shared" si="15"/>
        <v>5.2322895001038145E-3</v>
      </c>
      <c r="F91" s="45">
        <f t="shared" si="15"/>
        <v>6.9439483387512589E-3</v>
      </c>
      <c r="G91" s="45">
        <f t="shared" si="15"/>
        <v>8.3081116671626168E-3</v>
      </c>
      <c r="H91" s="45">
        <f t="shared" si="15"/>
        <v>1.0406835669706927E-2</v>
      </c>
      <c r="I91" s="45">
        <f t="shared" si="15"/>
        <v>1.1783906349293128E-2</v>
      </c>
      <c r="J91" s="45">
        <f t="shared" si="15"/>
        <v>1.2966189843896112E-2</v>
      </c>
      <c r="K91" s="45">
        <f t="shared" si="15"/>
        <v>1.4145156519538406E-2</v>
      </c>
      <c r="L91" s="45">
        <f t="shared" si="15"/>
        <v>1.5544991395472219E-2</v>
      </c>
      <c r="M91" s="45">
        <f t="shared" si="15"/>
        <v>1.9151762870693277E-2</v>
      </c>
      <c r="N91" s="45">
        <f t="shared" si="15"/>
        <v>2.0470632345499954E-2</v>
      </c>
      <c r="O91" s="45">
        <f t="shared" si="15"/>
        <v>2.2060858422623966E-2</v>
      </c>
      <c r="P91" s="45">
        <f t="shared" si="15"/>
        <v>2.6034995463326809E-2</v>
      </c>
      <c r="Q91" s="45">
        <f t="shared" si="15"/>
        <v>2.8465993352275828E-2</v>
      </c>
      <c r="R91" s="45">
        <f t="shared" si="15"/>
        <v>3.1284392618668645E-2</v>
      </c>
      <c r="S91" s="45">
        <f t="shared" si="15"/>
        <v>3.3655501163158588E-2</v>
      </c>
      <c r="T91" s="45">
        <f t="shared" si="15"/>
        <v>3.7548981630161071E-2</v>
      </c>
      <c r="U91" s="2" cm="1">
        <f t="array" ref="U91">TREND($J85:$T85,$J$78:$T$78,U$78)</f>
        <v>3.8613570434468336E-2</v>
      </c>
      <c r="V91" s="2" cm="1">
        <f t="array" ref="V91">TREND($J85:$T85,$J$78:$T$78,V$78)</f>
        <v>4.1089628300435166E-2</v>
      </c>
      <c r="W91" s="2" cm="1">
        <f t="array" ref="W91">TREND($J85:$T85,$J$78:$T$78,W$78)</f>
        <v>4.3565686166401996E-2</v>
      </c>
      <c r="X91" s="2" cm="1">
        <f t="array" ref="X91">TREND($J85:$T85,$J$78:$T$78,X$78)</f>
        <v>4.6041744032369714E-2</v>
      </c>
      <c r="Y91" s="2" cm="1">
        <f t="array" ref="Y91">TREND($J85:$T85,$J$78:$T$78,Y$78)</f>
        <v>4.8517801898336543E-2</v>
      </c>
      <c r="Z91" s="2" cm="1">
        <f t="array" ref="Z91">TREND($J85:$T85,$J$78:$T$78,Z$78)</f>
        <v>5.0993859764303373E-2</v>
      </c>
      <c r="AA91" s="2" cm="1">
        <f t="array" ref="AA91">TREND($J85:$T85,$J$78:$T$78,AA$78)</f>
        <v>5.3469917630271091E-2</v>
      </c>
      <c r="AB91" s="2" cm="1">
        <f t="array" ref="AB91">TREND($J85:$T85,$J$78:$T$78,AB$78)</f>
        <v>5.5945975496237921E-2</v>
      </c>
      <c r="AC91" s="2" cm="1">
        <f t="array" ref="AC91">TREND($J85:$T85,$J$78:$T$78,AC$78)</f>
        <v>5.8422033362204751E-2</v>
      </c>
      <c r="AG91" t="s">
        <v>447</v>
      </c>
      <c r="AH91" s="45">
        <f t="shared" si="16"/>
        <v>5.8422033362204751E-2</v>
      </c>
      <c r="AI91" s="45">
        <f>AC97</f>
        <v>0.12656453466966194</v>
      </c>
    </row>
    <row r="92" spans="1:49" outlineLevel="1" x14ac:dyDescent="0.3">
      <c r="A92" t="s">
        <v>457</v>
      </c>
      <c r="AC92" s="45">
        <f>AVERAGE(AC47,AC68)</f>
        <v>0.20635718185921753</v>
      </c>
      <c r="AW92" s="45">
        <f>AVERAGE(AW47,AW68)</f>
        <v>1.1148102176518291E-2</v>
      </c>
    </row>
    <row r="93" spans="1:49" outlineLevel="1" x14ac:dyDescent="0.3">
      <c r="A93" t="s">
        <v>458</v>
      </c>
      <c r="AC93" s="45">
        <f>AVERAGE(AC67+AC66,AC45+AC46,AC24+AC25)</f>
        <v>2.912708708360244E-2</v>
      </c>
      <c r="AW93" s="45">
        <f>AVERAGE(AW67+AW66,AW45+AW46,AW24+AW25)</f>
        <v>4.8843786465456842E-4</v>
      </c>
    </row>
    <row r="94" spans="1:49" outlineLevel="1" x14ac:dyDescent="0.3">
      <c r="A94" t="s">
        <v>459</v>
      </c>
      <c r="AC94" s="45">
        <f>AVERAGE(AC74,AC53,AC347)</f>
        <v>0.37153767983083602</v>
      </c>
      <c r="AW94" s="45">
        <f>AVERAGE(AW74,AW53,AW347)</f>
        <v>0.4485048128521314</v>
      </c>
    </row>
    <row r="95" spans="1:49" outlineLevel="1" x14ac:dyDescent="0.3">
      <c r="A95" t="s">
        <v>460</v>
      </c>
      <c r="AC95" s="45">
        <f>AVERAGE(AC71,AC50,AC29)</f>
        <v>9.6117536108980148E-2</v>
      </c>
      <c r="AW95" s="45">
        <f>AVERAGE(AW71,AW50,AW29)</f>
        <v>9.2606724225201595E-2</v>
      </c>
    </row>
    <row r="96" spans="1:49" outlineLevel="1" x14ac:dyDescent="0.3">
      <c r="A96" t="s">
        <v>461</v>
      </c>
      <c r="AC96" s="45">
        <f>AVERAGE(AC72,AC51,AC30)</f>
        <v>0.17125294491994233</v>
      </c>
      <c r="AH96" s="2"/>
      <c r="AI96" s="2"/>
      <c r="AJ96" s="2"/>
      <c r="AK96" s="2"/>
      <c r="AL96" s="2"/>
      <c r="AM96" s="2"/>
      <c r="AW96" s="45">
        <f>AVERAGE(AW72,AW51,AW30)</f>
        <v>0.16474365021153956</v>
      </c>
    </row>
    <row r="97" spans="1:49" outlineLevel="1" x14ac:dyDescent="0.3">
      <c r="A97" t="s">
        <v>462</v>
      </c>
      <c r="AC97" s="45">
        <f>AVERAGE(AC73,AC52,AC31)</f>
        <v>0.12656453466966194</v>
      </c>
      <c r="AH97" s="2"/>
      <c r="AI97" s="2"/>
      <c r="AJ97" s="2"/>
      <c r="AK97" s="2"/>
      <c r="AL97" s="2"/>
      <c r="AM97" s="2"/>
      <c r="AW97" s="45">
        <f>AVERAGE(AW73,AW52,AW31)</f>
        <v>0.19212456212949358</v>
      </c>
    </row>
    <row r="98" spans="1:49" outlineLevel="1" x14ac:dyDescent="0.3">
      <c r="A98" t="s">
        <v>463</v>
      </c>
      <c r="D98" s="45">
        <f>D80+D81</f>
        <v>0.56612348297748194</v>
      </c>
      <c r="E98" s="45">
        <f t="shared" ref="E98:S98" si="18">E80+E81</f>
        <v>0.5572634632455804</v>
      </c>
      <c r="F98" s="45">
        <f t="shared" si="18"/>
        <v>0.51742438280957714</v>
      </c>
      <c r="G98" s="45">
        <f t="shared" si="18"/>
        <v>0.52641872941229617</v>
      </c>
      <c r="H98" s="45">
        <f t="shared" si="18"/>
        <v>0.51881098019382854</v>
      </c>
      <c r="I98" s="45">
        <f t="shared" si="18"/>
        <v>0.51869879187496892</v>
      </c>
      <c r="J98" s="45">
        <f t="shared" si="18"/>
        <v>0.50364642441676866</v>
      </c>
      <c r="K98" s="45">
        <f t="shared" si="18"/>
        <v>0.49741507757276671</v>
      </c>
      <c r="L98" s="45">
        <f t="shared" si="18"/>
        <v>0.49652930030760639</v>
      </c>
      <c r="M98" s="45">
        <f t="shared" si="18"/>
        <v>0.47284393975349526</v>
      </c>
      <c r="N98" s="45">
        <f t="shared" si="18"/>
        <v>0.47990271887095998</v>
      </c>
      <c r="O98" s="45">
        <f t="shared" si="18"/>
        <v>0.48442799571099321</v>
      </c>
      <c r="P98" s="45">
        <f t="shared" si="18"/>
        <v>0.47891401227279862</v>
      </c>
      <c r="Q98" s="45">
        <f t="shared" si="18"/>
        <v>0.46978224073650499</v>
      </c>
      <c r="R98" s="45">
        <f t="shared" si="18"/>
        <v>0.46525363904295641</v>
      </c>
      <c r="S98" s="45">
        <f t="shared" si="18"/>
        <v>0.46744257000190581</v>
      </c>
      <c r="T98" s="45">
        <f>T80+T81</f>
        <v>0.45581699509121965</v>
      </c>
      <c r="AC98" s="45"/>
      <c r="AH98" s="2"/>
      <c r="AI98" s="2"/>
      <c r="AJ98" s="2"/>
      <c r="AK98" s="2"/>
      <c r="AL98" s="2"/>
      <c r="AM98" s="2"/>
    </row>
    <row r="99" spans="1:49" outlineLevel="1" x14ac:dyDescent="0.3">
      <c r="A99" t="s">
        <v>464</v>
      </c>
      <c r="D99" s="45">
        <f>D82</f>
        <v>0.21604349391664984</v>
      </c>
      <c r="E99" s="45">
        <f t="shared" ref="E99:S99" si="19">E82</f>
        <v>0.22206552741296767</v>
      </c>
      <c r="F99" s="45">
        <f t="shared" si="19"/>
        <v>0.23486467844958395</v>
      </c>
      <c r="G99" s="45">
        <f t="shared" si="19"/>
        <v>0.22649044112058775</v>
      </c>
      <c r="H99" s="45">
        <f t="shared" si="19"/>
        <v>0.22925666049156718</v>
      </c>
      <c r="I99" s="45">
        <f t="shared" si="19"/>
        <v>0.22506151922099912</v>
      </c>
      <c r="J99" s="45">
        <f t="shared" si="19"/>
        <v>0.24028410632184286</v>
      </c>
      <c r="K99" s="45">
        <f t="shared" si="19"/>
        <v>0.23501990866216568</v>
      </c>
      <c r="L99" s="45">
        <f t="shared" si="19"/>
        <v>0.23129176541065591</v>
      </c>
      <c r="M99" s="45">
        <f t="shared" si="19"/>
        <v>0.24982503729471275</v>
      </c>
      <c r="N99" s="45">
        <f t="shared" si="19"/>
        <v>0.24278049942823882</v>
      </c>
      <c r="O99" s="45">
        <f t="shared" si="19"/>
        <v>0.24121182638665542</v>
      </c>
      <c r="P99" s="45">
        <f t="shared" si="19"/>
        <v>0.24202950054038508</v>
      </c>
      <c r="Q99" s="45">
        <f t="shared" si="19"/>
        <v>0.24304420321154849</v>
      </c>
      <c r="R99" s="45">
        <f t="shared" si="19"/>
        <v>0.24385681862748268</v>
      </c>
      <c r="S99" s="45">
        <f t="shared" si="19"/>
        <v>0.24693556324213164</v>
      </c>
      <c r="T99" s="45">
        <f>T82</f>
        <v>0.24546312580803711</v>
      </c>
      <c r="AC99" s="45"/>
      <c r="AH99" s="2"/>
      <c r="AI99" s="2"/>
      <c r="AJ99" s="2"/>
      <c r="AK99" s="2"/>
      <c r="AL99" s="2"/>
      <c r="AM99" s="2"/>
    </row>
    <row r="100" spans="1:49" outlineLevel="1" x14ac:dyDescent="0.3">
      <c r="A100" t="s">
        <v>465</v>
      </c>
      <c r="D100" s="45">
        <f>D85+D84+D83</f>
        <v>0.21783300057627686</v>
      </c>
      <c r="E100" s="45">
        <f t="shared" ref="E100:S100" si="20">E85+E84+E83</f>
        <v>0.22067102064548333</v>
      </c>
      <c r="F100" s="45">
        <f t="shared" si="20"/>
        <v>0.2477109628147125</v>
      </c>
      <c r="G100" s="45">
        <f t="shared" si="20"/>
        <v>0.24709082189883774</v>
      </c>
      <c r="H100" s="45">
        <f t="shared" si="20"/>
        <v>0.25193238599334539</v>
      </c>
      <c r="I100" s="45">
        <f t="shared" si="20"/>
        <v>0.25623965663781323</v>
      </c>
      <c r="J100" s="45">
        <f t="shared" si="20"/>
        <v>0.25606947720122275</v>
      </c>
      <c r="K100" s="45">
        <f t="shared" si="20"/>
        <v>0.26756501756717338</v>
      </c>
      <c r="L100" s="45">
        <f t="shared" si="20"/>
        <v>0.27217894555606326</v>
      </c>
      <c r="M100" s="45">
        <f t="shared" si="20"/>
        <v>0.27733102295179202</v>
      </c>
      <c r="N100" s="45">
        <f t="shared" si="20"/>
        <v>0.27731676945730221</v>
      </c>
      <c r="O100" s="45">
        <f t="shared" si="20"/>
        <v>0.27436017391633</v>
      </c>
      <c r="P100" s="45">
        <f t="shared" si="20"/>
        <v>0.27905645143182145</v>
      </c>
      <c r="Q100" s="45">
        <f t="shared" si="20"/>
        <v>0.28717352802359586</v>
      </c>
      <c r="R100" s="45">
        <f t="shared" si="20"/>
        <v>0.29088951009608172</v>
      </c>
      <c r="S100" s="45">
        <f t="shared" si="20"/>
        <v>0.28562184660505774</v>
      </c>
      <c r="T100" s="45">
        <f>T85+T84+T83</f>
        <v>0.29871987146169421</v>
      </c>
      <c r="AC100" s="45"/>
      <c r="AH100" s="2"/>
      <c r="AI100" s="2"/>
      <c r="AJ100" s="2"/>
      <c r="AK100" s="2"/>
      <c r="AL100" s="2"/>
      <c r="AM100" s="2"/>
    </row>
    <row r="101" spans="1:49" outlineLevel="1" x14ac:dyDescent="0.3">
      <c r="A101" t="s">
        <v>466</v>
      </c>
      <c r="C101" t="s">
        <v>434</v>
      </c>
      <c r="AC101" s="45">
        <f>AC24+AC25+AC26</f>
        <v>0.23816373474482383</v>
      </c>
      <c r="AH101" s="2"/>
      <c r="AI101" s="2"/>
      <c r="AJ101" s="2"/>
      <c r="AK101" s="2"/>
      <c r="AL101" s="2"/>
      <c r="AM101" s="2"/>
      <c r="AW101" s="45">
        <f>AW24+AW25+AW26</f>
        <v>1.1530964515210735E-2</v>
      </c>
    </row>
    <row r="102" spans="1:49" outlineLevel="1" x14ac:dyDescent="0.3">
      <c r="A102" t="s">
        <v>467</v>
      </c>
      <c r="C102" t="s">
        <v>434</v>
      </c>
      <c r="AC102" s="45">
        <f>AC32</f>
        <v>0.36687024834909693</v>
      </c>
      <c r="AH102" s="2"/>
      <c r="AI102" s="2"/>
      <c r="AJ102" s="2"/>
      <c r="AK102" s="2"/>
      <c r="AL102" s="2"/>
      <c r="AM102" s="2"/>
      <c r="AW102" s="45">
        <f>AW32</f>
        <v>0.43717562907525653</v>
      </c>
    </row>
    <row r="103" spans="1:49" outlineLevel="1" x14ac:dyDescent="0.3">
      <c r="A103" t="s">
        <v>468</v>
      </c>
      <c r="C103" t="s">
        <v>434</v>
      </c>
      <c r="AC103" s="45">
        <f>AC31+AC30+AC29</f>
        <v>0.39496601690607924</v>
      </c>
      <c r="AH103" s="2"/>
      <c r="AI103" s="2"/>
      <c r="AJ103" s="2"/>
      <c r="AK103" s="2"/>
      <c r="AL103" s="2"/>
      <c r="AM103" s="2"/>
      <c r="AW103" s="45">
        <f>AW31+AW30+AW29</f>
        <v>0.45725988544258378</v>
      </c>
    </row>
    <row r="104" spans="1:49" outlineLevel="1" x14ac:dyDescent="0.3">
      <c r="AC104" s="45"/>
      <c r="AH104" s="2"/>
      <c r="AI104" s="2"/>
      <c r="AJ104" s="2"/>
      <c r="AK104" s="2"/>
      <c r="AL104" s="2"/>
      <c r="AM104" s="2"/>
    </row>
    <row r="105" spans="1:49" outlineLevel="1" x14ac:dyDescent="0.3">
      <c r="AC105" s="45"/>
      <c r="AH105" s="2"/>
      <c r="AI105" s="2"/>
      <c r="AJ105" s="2"/>
      <c r="AK105" s="2"/>
      <c r="AL105" s="2"/>
      <c r="AM105" s="2"/>
    </row>
    <row r="106" spans="1:49" outlineLevel="1" x14ac:dyDescent="0.3">
      <c r="AC106" s="45"/>
      <c r="AH106" s="2"/>
      <c r="AI106" s="2"/>
      <c r="AJ106" s="2"/>
      <c r="AK106" s="2"/>
      <c r="AL106" s="2"/>
      <c r="AM106" s="2"/>
    </row>
    <row r="107" spans="1:49" outlineLevel="1" x14ac:dyDescent="0.3">
      <c r="AC107" s="45"/>
      <c r="AH107" s="2"/>
      <c r="AI107" s="2"/>
      <c r="AJ107" s="2"/>
      <c r="AK107" s="2"/>
      <c r="AL107" s="2"/>
      <c r="AM107" s="2"/>
    </row>
    <row r="108" spans="1:49" outlineLevel="1" x14ac:dyDescent="0.3">
      <c r="AC108" s="45"/>
      <c r="AH108" s="2"/>
      <c r="AI108" s="2"/>
      <c r="AJ108" s="2"/>
      <c r="AK108" s="2"/>
      <c r="AL108" s="2"/>
      <c r="AM108" s="2"/>
    </row>
    <row r="109" spans="1:49" outlineLevel="1" x14ac:dyDescent="0.3">
      <c r="AA109" s="11"/>
      <c r="AB109" s="11"/>
      <c r="AC109" s="97"/>
      <c r="AD109" s="11"/>
      <c r="AH109" s="2"/>
      <c r="AI109" s="2"/>
      <c r="AJ109" s="2"/>
      <c r="AK109" s="2"/>
      <c r="AL109" s="2"/>
      <c r="AM109" s="2"/>
    </row>
    <row r="110" spans="1:49" outlineLevel="1" x14ac:dyDescent="0.3">
      <c r="AA110" s="11"/>
      <c r="AB110" s="11" t="s">
        <v>48</v>
      </c>
      <c r="AC110" s="97" t="s">
        <v>50</v>
      </c>
      <c r="AD110" s="11" t="s">
        <v>469</v>
      </c>
      <c r="AH110" s="2"/>
      <c r="AI110" s="2"/>
      <c r="AJ110" s="2"/>
      <c r="AK110" s="2"/>
      <c r="AL110" s="2"/>
      <c r="AM110" s="2"/>
    </row>
    <row r="111" spans="1:49" outlineLevel="1" x14ac:dyDescent="0.3">
      <c r="AA111" s="11" t="s">
        <v>470</v>
      </c>
      <c r="AB111" s="98">
        <f>(T80+T81-P80-P81)/4</f>
        <v>-5.7742542953947498E-3</v>
      </c>
      <c r="AC111" s="99">
        <f>(AC92+AC93-T80-T81)/9</f>
        <v>-2.4481414016488852E-2</v>
      </c>
      <c r="AD111" s="98">
        <f>(AW92-AC92-AC93)/20</f>
        <v>-1.1216808338315084E-2</v>
      </c>
      <c r="AH111" s="2"/>
      <c r="AI111" s="2"/>
      <c r="AJ111" s="2"/>
      <c r="AK111" s="2"/>
      <c r="AL111" s="2"/>
      <c r="AM111" s="2"/>
    </row>
    <row r="112" spans="1:49" outlineLevel="1" x14ac:dyDescent="0.3">
      <c r="AA112" s="11" t="s">
        <v>146</v>
      </c>
      <c r="AB112" s="99">
        <f>(T206+T207-P206-P207)/4</f>
        <v>-5.7615359999161134E-4</v>
      </c>
      <c r="AC112" s="99">
        <f>(AC218+AC219-T206-T207)/9</f>
        <v>-1.8960233214546793E-2</v>
      </c>
      <c r="AD112" s="99">
        <f>(AW152-AC218-AC219)/20</f>
        <v>-1.0259940407654797E-2</v>
      </c>
      <c r="AH112" s="2"/>
      <c r="AI112" s="2"/>
      <c r="AJ112" s="2"/>
      <c r="AK112" s="2"/>
      <c r="AL112" s="2"/>
      <c r="AM112" s="2"/>
    </row>
    <row r="113" spans="1:40" outlineLevel="1" x14ac:dyDescent="0.3">
      <c r="AC113" s="45"/>
      <c r="AH113" s="2"/>
      <c r="AI113" s="2"/>
      <c r="AJ113" s="2"/>
      <c r="AK113" s="2"/>
      <c r="AL113" s="2"/>
      <c r="AM113" s="2"/>
    </row>
    <row r="114" spans="1:40" outlineLevel="1" x14ac:dyDescent="0.3">
      <c r="AC114" s="45"/>
      <c r="AH114" s="2"/>
      <c r="AI114" s="2"/>
      <c r="AJ114" s="2"/>
      <c r="AK114" s="2"/>
      <c r="AL114" s="2"/>
      <c r="AM114" s="2"/>
    </row>
    <row r="115" spans="1:40" outlineLevel="1" x14ac:dyDescent="0.3">
      <c r="AC115" s="45"/>
      <c r="AH115" s="2"/>
      <c r="AI115" s="2"/>
      <c r="AJ115" s="2"/>
      <c r="AK115" s="2"/>
      <c r="AL115" s="2"/>
      <c r="AM115" s="2"/>
    </row>
    <row r="116" spans="1:40" outlineLevel="1" x14ac:dyDescent="0.3">
      <c r="AC116" s="45"/>
      <c r="AH116" s="2"/>
      <c r="AI116" s="2"/>
      <c r="AJ116" s="2"/>
      <c r="AK116" s="2"/>
      <c r="AL116" s="2"/>
      <c r="AM116" s="2"/>
    </row>
    <row r="117" spans="1:40" outlineLevel="1" x14ac:dyDescent="0.3">
      <c r="AC117" s="45"/>
      <c r="AH117" s="2"/>
      <c r="AI117" s="2"/>
      <c r="AJ117" s="2"/>
      <c r="AK117" s="2"/>
      <c r="AL117" s="2"/>
      <c r="AM117" s="2"/>
    </row>
    <row r="118" spans="1:40" outlineLevel="1" x14ac:dyDescent="0.3">
      <c r="AC118" s="45"/>
      <c r="AH118" s="2"/>
      <c r="AI118" s="2"/>
      <c r="AJ118" s="2"/>
      <c r="AK118" s="2"/>
      <c r="AL118" s="2"/>
      <c r="AM118" s="2"/>
    </row>
    <row r="119" spans="1:40" outlineLevel="1" x14ac:dyDescent="0.3">
      <c r="AC119" s="45"/>
      <c r="AH119" s="2"/>
      <c r="AI119" s="2"/>
      <c r="AJ119" s="2"/>
      <c r="AK119" s="2"/>
      <c r="AL119" s="2"/>
      <c r="AM119" s="2"/>
    </row>
    <row r="120" spans="1:40" outlineLevel="1" x14ac:dyDescent="0.3">
      <c r="AC120" s="45"/>
      <c r="AH120" s="2"/>
      <c r="AI120" s="2"/>
      <c r="AJ120" s="2"/>
      <c r="AK120" s="2"/>
      <c r="AL120" s="2"/>
      <c r="AM120" s="2"/>
    </row>
    <row r="121" spans="1:40" outlineLevel="1" x14ac:dyDescent="0.3">
      <c r="AC121" s="45"/>
      <c r="AH121" s="2"/>
      <c r="AI121" s="2"/>
      <c r="AJ121" s="2"/>
      <c r="AK121" s="2"/>
      <c r="AL121" s="2"/>
      <c r="AM121" s="2"/>
    </row>
    <row r="122" spans="1:40" outlineLevel="1" x14ac:dyDescent="0.3">
      <c r="AC122" s="45"/>
      <c r="AH122" s="2"/>
      <c r="AI122" s="2"/>
      <c r="AJ122" s="2"/>
      <c r="AK122" s="2"/>
      <c r="AL122" s="2"/>
      <c r="AM122" s="2"/>
    </row>
    <row r="123" spans="1:40" outlineLevel="1" x14ac:dyDescent="0.3">
      <c r="AC123" s="45"/>
      <c r="AH123" s="2"/>
      <c r="AI123" s="2"/>
      <c r="AJ123" s="2"/>
      <c r="AK123" s="2"/>
      <c r="AL123" s="2"/>
      <c r="AM123" s="2"/>
    </row>
    <row r="124" spans="1:40" outlineLevel="1" x14ac:dyDescent="0.3">
      <c r="AC124" s="45"/>
      <c r="AH124" s="2"/>
      <c r="AI124" s="2"/>
      <c r="AJ124" s="2"/>
      <c r="AK124" s="2"/>
      <c r="AL124" s="2"/>
      <c r="AM124" s="2"/>
    </row>
    <row r="125" spans="1:40" outlineLevel="1" x14ac:dyDescent="0.3">
      <c r="AC125" s="45"/>
      <c r="AH125" s="2"/>
      <c r="AI125" s="2"/>
      <c r="AJ125" s="2"/>
      <c r="AK125" s="2"/>
      <c r="AL125" s="2"/>
      <c r="AM125" s="2"/>
    </row>
    <row r="127" spans="1:40" s="5" customFormat="1" x14ac:dyDescent="0.3">
      <c r="A127" s="5" t="s">
        <v>38</v>
      </c>
    </row>
    <row r="128" spans="1:40" s="18" customFormat="1" outlineLevel="1" x14ac:dyDescent="0.3">
      <c r="A128" s="18" t="s">
        <v>234</v>
      </c>
      <c r="V128" s="18" t="s">
        <v>437</v>
      </c>
      <c r="AN128" s="18" t="s">
        <v>438</v>
      </c>
    </row>
    <row r="129" spans="1:56" outlineLevel="1" x14ac:dyDescent="0.3">
      <c r="D129">
        <v>2005</v>
      </c>
      <c r="E129">
        <v>2006</v>
      </c>
      <c r="F129">
        <v>2007</v>
      </c>
      <c r="G129">
        <v>2008</v>
      </c>
      <c r="H129">
        <v>2009</v>
      </c>
      <c r="I129">
        <v>2010</v>
      </c>
      <c r="J129">
        <v>2011</v>
      </c>
      <c r="K129">
        <v>2012</v>
      </c>
      <c r="L129">
        <v>2013</v>
      </c>
      <c r="M129">
        <v>2014</v>
      </c>
      <c r="N129">
        <v>2015</v>
      </c>
      <c r="O129">
        <v>2016</v>
      </c>
      <c r="P129">
        <v>2017</v>
      </c>
      <c r="Q129">
        <v>2018</v>
      </c>
      <c r="R129">
        <v>2019</v>
      </c>
      <c r="S129">
        <v>2020</v>
      </c>
      <c r="T129">
        <v>2021</v>
      </c>
      <c r="V129">
        <v>2005</v>
      </c>
      <c r="W129">
        <v>2006</v>
      </c>
      <c r="X129">
        <v>2007</v>
      </c>
      <c r="Y129">
        <v>2008</v>
      </c>
      <c r="Z129">
        <v>2009</v>
      </c>
      <c r="AA129">
        <v>2010</v>
      </c>
      <c r="AB129">
        <v>2011</v>
      </c>
      <c r="AC129">
        <v>2012</v>
      </c>
      <c r="AD129">
        <v>2013</v>
      </c>
      <c r="AE129">
        <v>2014</v>
      </c>
      <c r="AF129">
        <v>2015</v>
      </c>
      <c r="AG129">
        <v>2016</v>
      </c>
      <c r="AH129">
        <v>2017</v>
      </c>
      <c r="AI129">
        <v>2018</v>
      </c>
      <c r="AJ129">
        <v>2019</v>
      </c>
      <c r="AK129">
        <v>2020</v>
      </c>
      <c r="AL129">
        <v>2021</v>
      </c>
      <c r="AN129">
        <v>2005</v>
      </c>
      <c r="AO129">
        <v>2006</v>
      </c>
      <c r="AP129">
        <v>2007</v>
      </c>
      <c r="AQ129">
        <v>2008</v>
      </c>
      <c r="AR129">
        <v>2009</v>
      </c>
      <c r="AS129">
        <v>2010</v>
      </c>
      <c r="AT129">
        <v>2011</v>
      </c>
      <c r="AU129">
        <v>2012</v>
      </c>
      <c r="AV129">
        <v>2013</v>
      </c>
      <c r="AW129">
        <v>2014</v>
      </c>
      <c r="AX129">
        <v>2015</v>
      </c>
      <c r="AY129">
        <v>2016</v>
      </c>
      <c r="AZ129">
        <v>2017</v>
      </c>
      <c r="BA129">
        <v>2018</v>
      </c>
      <c r="BB129">
        <v>2019</v>
      </c>
      <c r="BC129">
        <v>2020</v>
      </c>
      <c r="BD129">
        <v>2021</v>
      </c>
    </row>
    <row r="130" spans="1:56" outlineLevel="1" x14ac:dyDescent="0.3">
      <c r="A130" t="s">
        <v>251</v>
      </c>
      <c r="B130" t="s">
        <v>439</v>
      </c>
      <c r="D130" s="2">
        <f>('Energy balances (for buildings)'!B57+'Energy balances (for buildings)'!B66+'Energy balances (for buildings)'!B71+'Energy balances (for buildings)'!B99)/'Energy balances (for buildings)'!B56</f>
        <v>1.066932519584618E-2</v>
      </c>
      <c r="E130" s="2">
        <f>('Energy balances (for buildings)'!C57+'Energy balances (for buildings)'!C66+'Energy balances (for buildings)'!C71+'Energy balances (for buildings)'!C99)/'Energy balances (for buildings)'!C56</f>
        <v>1.2142266370638645E-2</v>
      </c>
      <c r="F130" s="2">
        <f>('Energy balances (for buildings)'!D57+'Energy balances (for buildings)'!D66+'Energy balances (for buildings)'!D71+'Energy balances (for buildings)'!D99)/'Energy balances (for buildings)'!D56</f>
        <v>1.2579923024583306E-2</v>
      </c>
      <c r="G130" s="2">
        <f>('Energy balances (for buildings)'!E57+'Energy balances (for buildings)'!E66+'Energy balances (for buildings)'!E71+'Energy balances (for buildings)'!E99)/'Energy balances (for buildings)'!E56</f>
        <v>1.2591111634982765E-2</v>
      </c>
      <c r="H130" s="2">
        <f>('Energy balances (for buildings)'!F57+'Energy balances (for buildings)'!F66+'Energy balances (for buildings)'!F71+'Energy balances (for buildings)'!F99)/'Energy balances (for buildings)'!F56</f>
        <v>1.4299136162601603E-2</v>
      </c>
      <c r="I130" s="2">
        <f>('Energy balances (for buildings)'!G57+'Energy balances (for buildings)'!G66+'Energy balances (for buildings)'!G71+'Energy balances (for buildings)'!G99)/'Energy balances (for buildings)'!G56</f>
        <v>1.316163184418179E-2</v>
      </c>
      <c r="J130" s="2">
        <f>('Energy balances (for buildings)'!H57+'Energy balances (for buildings)'!H66+'Energy balances (for buildings)'!H71+'Energy balances (for buildings)'!H99)/'Energy balances (for buildings)'!H56</f>
        <v>1.219669668803687E-2</v>
      </c>
      <c r="K130" s="2">
        <f>('Energy balances (for buildings)'!I57+'Energy balances (for buildings)'!I66+'Energy balances (for buildings)'!I71+'Energy balances (for buildings)'!I99)/'Energy balances (for buildings)'!I56</f>
        <v>1.0082279717367198E-2</v>
      </c>
      <c r="L130" s="2">
        <f>('Energy balances (for buildings)'!J57+'Energy balances (for buildings)'!J66+'Energy balances (for buildings)'!J71+'Energy balances (for buildings)'!J99)/'Energy balances (for buildings)'!J56</f>
        <v>1.0111558496681513E-2</v>
      </c>
      <c r="M130" s="2">
        <f>('Energy balances (for buildings)'!K57+'Energy balances (for buildings)'!K66+'Energy balances (for buildings)'!K71+'Energy balances (for buildings)'!K99)/'Energy balances (for buildings)'!K56</f>
        <v>9.5284336311075354E-3</v>
      </c>
      <c r="N130" s="2">
        <f>('Energy balances (for buildings)'!L57+'Energy balances (for buildings)'!L66+'Energy balances (for buildings)'!L71+'Energy balances (for buildings)'!L99)/'Energy balances (for buildings)'!L56</f>
        <v>9.4399291338100495E-3</v>
      </c>
      <c r="O130" s="2">
        <f>('Energy balances (for buildings)'!M57+'Energy balances (for buildings)'!M66+'Energy balances (for buildings)'!M71+'Energy balances (for buildings)'!M99)/'Energy balances (for buildings)'!M56</f>
        <v>8.2917297219960578E-3</v>
      </c>
      <c r="P130" s="2">
        <f>('Energy balances (for buildings)'!N57+'Energy balances (for buildings)'!N66+'Energy balances (for buildings)'!N71+'Energy balances (for buildings)'!N99)/'Energy balances (for buildings)'!N56</f>
        <v>8.1643803296025021E-3</v>
      </c>
      <c r="Q130" s="2">
        <f>('Energy balances (for buildings)'!O57+'Energy balances (for buildings)'!O66+'Energy balances (for buildings)'!O71+'Energy balances (for buildings)'!O99)/'Energy balances (for buildings)'!O56</f>
        <v>7.7223361621243537E-3</v>
      </c>
      <c r="R130" s="2">
        <f>('Energy balances (for buildings)'!P57+'Energy balances (for buildings)'!P66+'Energy balances (for buildings)'!P71+'Energy balances (for buildings)'!P99)/'Energy balances (for buildings)'!P56</f>
        <v>7.2110634243187713E-3</v>
      </c>
      <c r="S130" s="2">
        <f>('Energy balances (for buildings)'!Q57+'Energy balances (for buildings)'!Q66+'Energy balances (for buildings)'!Q71+'Energy balances (for buildings)'!Q99)/'Energy balances (for buildings)'!Q56</f>
        <v>7.4050434414581201E-3</v>
      </c>
      <c r="T130" s="2">
        <f>('Energy balances (for buildings)'!R57+'Energy balances (for buildings)'!R66+'Energy balances (for buildings)'!R71+'Energy balances (for buildings)'!R99)/'Energy balances (for buildings)'!R56</f>
        <v>8.2583637179625049E-3</v>
      </c>
      <c r="U130" s="2"/>
      <c r="V130" s="12">
        <f>('Energy balances (for buildings)'!B57+'Energy balances (for buildings)'!B66+'Energy balances (for buildings)'!B71+'Energy balances (for buildings)'!B99)</f>
        <v>1365.4659999999999</v>
      </c>
      <c r="W130" s="12">
        <f>('Energy balances (for buildings)'!C57+'Energy balances (for buildings)'!C66+'Energy balances (for buildings)'!C71+'Energy balances (for buildings)'!C99)</f>
        <v>1615.0420000000001</v>
      </c>
      <c r="X130" s="12">
        <f>('Energy balances (for buildings)'!D57+'Energy balances (for buildings)'!D66+'Energy balances (for buildings)'!D71+'Energy balances (for buildings)'!D99)</f>
        <v>1588.8319999999997</v>
      </c>
      <c r="Y130" s="12">
        <f>('Energy balances (for buildings)'!E57+'Energy balances (for buildings)'!E66+'Energy balances (for buildings)'!E71+'Energy balances (for buildings)'!E99)</f>
        <v>1689.4809999999998</v>
      </c>
      <c r="Z130" s="12">
        <f>('Energy balances (for buildings)'!F57+'Energy balances (for buildings)'!F66+'Energy balances (for buildings)'!F71+'Energy balances (for buildings)'!F99)</f>
        <v>1920.9969999999998</v>
      </c>
      <c r="AA130" s="12">
        <f>('Energy balances (for buildings)'!G57+'Energy balances (for buildings)'!G66+'Energy balances (for buildings)'!G71+'Energy balances (for buildings)'!G99)</f>
        <v>1842.4050000000002</v>
      </c>
      <c r="AB130" s="12">
        <f>('Energy balances (for buildings)'!H57+'Energy balances (for buildings)'!H66+'Energy balances (for buildings)'!H71+'Energy balances (for buildings)'!H99)</f>
        <v>1564.9140000000002</v>
      </c>
      <c r="AC130" s="12">
        <f>('Energy balances (for buildings)'!I57+'Energy balances (for buildings)'!I66+'Energy balances (for buildings)'!I71+'Energy balances (for buildings)'!I99)</f>
        <v>1322.2720000000002</v>
      </c>
      <c r="AD130" s="12">
        <f>('Energy balances (for buildings)'!J57+'Energy balances (for buildings)'!J66+'Energy balances (for buildings)'!J71+'Energy balances (for buildings)'!J99)</f>
        <v>1342.0609999999999</v>
      </c>
      <c r="AE130" s="12">
        <f>('Energy balances (for buildings)'!K57+'Energy balances (for buildings)'!K66+'Energy balances (for buildings)'!K71+'Energy balances (for buildings)'!K99)</f>
        <v>1176.1510000000001</v>
      </c>
      <c r="AF130" s="12">
        <f>('Energy balances (for buildings)'!L57+'Energy balances (for buildings)'!L66+'Energy balances (for buildings)'!L71+'Energy balances (for buildings)'!L99)</f>
        <v>1213.2139999999999</v>
      </c>
      <c r="AG130" s="12">
        <f>('Energy balances (for buildings)'!M57+'Energy balances (for buildings)'!M66+'Energy balances (for buildings)'!M71+'Energy balances (for buildings)'!M99)</f>
        <v>1079.346</v>
      </c>
      <c r="AH130" s="12">
        <f>('Energy balances (for buildings)'!N57+'Energy balances (for buildings)'!N66+'Energy balances (for buildings)'!N71+'Energy balances (for buildings)'!N99)</f>
        <v>1093.0639999999999</v>
      </c>
      <c r="AI130" s="12">
        <f>('Energy balances (for buildings)'!O57+'Energy balances (for buildings)'!O66+'Energy balances (for buildings)'!O71+'Energy balances (for buildings)'!O99)</f>
        <v>1016.742</v>
      </c>
      <c r="AJ130" s="12">
        <f>('Energy balances (for buildings)'!P57+'Energy balances (for buildings)'!P66+'Energy balances (for buildings)'!P71+'Energy balances (for buildings)'!P99)</f>
        <v>927.11099999999988</v>
      </c>
      <c r="AK130" s="12">
        <f>('Energy balances (for buildings)'!Q57+'Energy balances (for buildings)'!Q66+'Energy balances (for buildings)'!Q71+'Energy balances (for buildings)'!Q99)</f>
        <v>897.67199999999991</v>
      </c>
      <c r="AL130" s="12">
        <f>('Energy balances (for buildings)'!R57+'Energy balances (for buildings)'!R66+'Energy balances (for buildings)'!R71+'Energy balances (for buildings)'!R99)</f>
        <v>1067.8610000000001</v>
      </c>
      <c r="AN130" s="16">
        <f t="shared" ref="AN130:AW136" si="21">V130*ktoe2TWh</f>
        <v>15.880369579999998</v>
      </c>
      <c r="AO130" s="16">
        <f t="shared" si="21"/>
        <v>18.78293846</v>
      </c>
      <c r="AP130" s="16">
        <f t="shared" si="21"/>
        <v>18.478116159999995</v>
      </c>
      <c r="AQ130" s="16">
        <f t="shared" si="21"/>
        <v>19.648664029999996</v>
      </c>
      <c r="AR130" s="16">
        <f t="shared" si="21"/>
        <v>22.341195109999997</v>
      </c>
      <c r="AS130" s="16">
        <f t="shared" si="21"/>
        <v>21.427170150000002</v>
      </c>
      <c r="AT130" s="16">
        <f t="shared" si="21"/>
        <v>18.19994982</v>
      </c>
      <c r="AU130" s="16">
        <f t="shared" si="21"/>
        <v>15.378023360000002</v>
      </c>
      <c r="AV130" s="16">
        <f t="shared" si="21"/>
        <v>15.608169429999998</v>
      </c>
      <c r="AW130" s="16">
        <f t="shared" si="21"/>
        <v>13.678636130000001</v>
      </c>
      <c r="AX130" s="16">
        <f t="shared" ref="AX130:BD136" si="22">AF130*ktoe2TWh</f>
        <v>14.109678819999999</v>
      </c>
      <c r="AY130" s="16">
        <f t="shared" si="22"/>
        <v>12.552793980000001</v>
      </c>
      <c r="AZ130" s="16">
        <f t="shared" si="22"/>
        <v>12.712334319999998</v>
      </c>
      <c r="BA130" s="16">
        <f t="shared" si="22"/>
        <v>11.824709459999999</v>
      </c>
      <c r="BB130" s="16">
        <f t="shared" si="22"/>
        <v>10.782300929999998</v>
      </c>
      <c r="BC130" s="16">
        <f t="shared" si="22"/>
        <v>10.439925359999998</v>
      </c>
      <c r="BD130" s="16">
        <f t="shared" si="22"/>
        <v>12.419223430000001</v>
      </c>
    </row>
    <row r="131" spans="1:56" outlineLevel="1" x14ac:dyDescent="0.3">
      <c r="A131" t="s">
        <v>237</v>
      </c>
      <c r="B131" t="s">
        <v>439</v>
      </c>
      <c r="D131" s="2">
        <f>'Energy balances (for buildings)'!B75/'Energy balances (for buildings)'!B56</f>
        <v>0.17236560339564125</v>
      </c>
      <c r="E131" s="2">
        <f>'Energy balances (for buildings)'!C75/'Energy balances (for buildings)'!C56</f>
        <v>0.15954384007269234</v>
      </c>
      <c r="F131" s="2">
        <f>'Energy balances (for buildings)'!D75/'Energy balances (for buildings)'!D56</f>
        <v>0.13680061375612845</v>
      </c>
      <c r="G131" s="2">
        <f>'Energy balances (for buildings)'!E75/'Energy balances (for buildings)'!E56</f>
        <v>0.14681230606712536</v>
      </c>
      <c r="H131" s="2">
        <f>'Energy balances (for buildings)'!F75/'Energy balances (for buildings)'!F56</f>
        <v>0.13459995889643248</v>
      </c>
      <c r="I131" s="2">
        <f>'Energy balances (for buildings)'!G75/'Energy balances (for buildings)'!G56</f>
        <v>0.12688012264801654</v>
      </c>
      <c r="J131" s="2">
        <f>'Energy balances (for buildings)'!H75/'Energy balances (for buildings)'!H56</f>
        <v>0.12313511611815406</v>
      </c>
      <c r="K131" s="2">
        <f>'Energy balances (for buildings)'!I75/'Energy balances (for buildings)'!I56</f>
        <v>0.12056233335016163</v>
      </c>
      <c r="L131" s="2">
        <f>'Energy balances (for buildings)'!J75/'Energy balances (for buildings)'!J56</f>
        <v>0.12320780866154253</v>
      </c>
      <c r="M131" s="2">
        <f>'Energy balances (for buildings)'!K75/'Energy balances (for buildings)'!K56</f>
        <v>0.11855108824357395</v>
      </c>
      <c r="N131" s="2">
        <f>'Energy balances (for buildings)'!L75/'Energy balances (for buildings)'!L56</f>
        <v>0.11412216632171096</v>
      </c>
      <c r="O131" s="2">
        <f>'Energy balances (for buildings)'!M75/'Energy balances (for buildings)'!M56</f>
        <v>0.11241413167034427</v>
      </c>
      <c r="P131" s="2">
        <f>'Energy balances (for buildings)'!N75/'Energy balances (for buildings)'!N56</f>
        <v>0.10955195764737785</v>
      </c>
      <c r="Q131" s="2">
        <f>'Energy balances (for buildings)'!O75/'Energy balances (for buildings)'!O56</f>
        <v>8.206074548689414E-2</v>
      </c>
      <c r="R131" s="2">
        <f>'Energy balances (for buildings)'!P75/'Energy balances (for buildings)'!P56</f>
        <v>8.2704805985688759E-2</v>
      </c>
      <c r="S131" s="2">
        <f>'Energy balances (for buildings)'!Q75/'Energy balances (for buildings)'!Q56</f>
        <v>8.0320500144826446E-2</v>
      </c>
      <c r="T131" s="2">
        <f>'Energy balances (for buildings)'!R75/'Energy balances (for buildings)'!R56</f>
        <v>8.386918632959578E-2</v>
      </c>
      <c r="U131" s="2"/>
      <c r="V131" s="12">
        <f>'Energy balances (for buildings)'!B75</f>
        <v>22059.442999999999</v>
      </c>
      <c r="W131" s="12">
        <f>'Energy balances (for buildings)'!C75</f>
        <v>21220.915000000001</v>
      </c>
      <c r="X131" s="12">
        <f>'Energy balances (for buildings)'!D75</f>
        <v>17277.784</v>
      </c>
      <c r="Y131" s="12">
        <f>'Energy balances (for buildings)'!E75</f>
        <v>19699.341</v>
      </c>
      <c r="Z131" s="12">
        <f>'Energy balances (for buildings)'!F75</f>
        <v>18082.638999999999</v>
      </c>
      <c r="AA131" s="12">
        <f>'Energy balances (for buildings)'!G75</f>
        <v>17761.062999999998</v>
      </c>
      <c r="AB131" s="12">
        <f>'Energy balances (for buildings)'!H75</f>
        <v>15799.021000000001</v>
      </c>
      <c r="AC131" s="12">
        <f>'Energy balances (for buildings)'!I75</f>
        <v>15811.522999999999</v>
      </c>
      <c r="AD131" s="12">
        <f>'Energy balances (for buildings)'!J75</f>
        <v>16352.81</v>
      </c>
      <c r="AE131" s="12">
        <f>'Energy balances (for buildings)'!K75</f>
        <v>14633.463</v>
      </c>
      <c r="AF131" s="12">
        <f>'Energy balances (for buildings)'!L75</f>
        <v>14666.912</v>
      </c>
      <c r="AG131" s="12">
        <f>'Energy balances (for buildings)'!M75</f>
        <v>14633.103999999999</v>
      </c>
      <c r="AH131" s="12">
        <f>'Energy balances (for buildings)'!N75</f>
        <v>14667.040999999999</v>
      </c>
      <c r="AI131" s="12">
        <f>'Energy balances (for buildings)'!O75</f>
        <v>10804.322</v>
      </c>
      <c r="AJ131" s="12">
        <f>'Energy balances (for buildings)'!P75</f>
        <v>10633.18</v>
      </c>
      <c r="AK131" s="12">
        <f>'Energy balances (for buildings)'!Q75</f>
        <v>9736.8050000000003</v>
      </c>
      <c r="AL131" s="12">
        <f>'Energy balances (for buildings)'!R75</f>
        <v>10844.84</v>
      </c>
      <c r="AN131" s="16">
        <f t="shared" si="21"/>
        <v>256.55132208999999</v>
      </c>
      <c r="AO131" s="16">
        <f t="shared" si="21"/>
        <v>246.79924145000001</v>
      </c>
      <c r="AP131" s="16">
        <f t="shared" si="21"/>
        <v>200.94062792</v>
      </c>
      <c r="AQ131" s="16">
        <f t="shared" si="21"/>
        <v>229.10333582999999</v>
      </c>
      <c r="AR131" s="16">
        <f t="shared" si="21"/>
        <v>210.30109156999998</v>
      </c>
      <c r="AS131" s="16">
        <f t="shared" si="21"/>
        <v>206.56116268999997</v>
      </c>
      <c r="AT131" s="16">
        <f t="shared" si="21"/>
        <v>183.74261423000002</v>
      </c>
      <c r="AU131" s="16">
        <f t="shared" si="21"/>
        <v>183.88801248999999</v>
      </c>
      <c r="AV131" s="16">
        <f t="shared" si="21"/>
        <v>190.18318029999998</v>
      </c>
      <c r="AW131" s="16">
        <f t="shared" si="21"/>
        <v>170.18717469000001</v>
      </c>
      <c r="AX131" s="16">
        <f t="shared" si="22"/>
        <v>170.57618656</v>
      </c>
      <c r="AY131" s="16">
        <f t="shared" si="22"/>
        <v>170.18299951999998</v>
      </c>
      <c r="AZ131" s="16">
        <f t="shared" si="22"/>
        <v>170.57768682999998</v>
      </c>
      <c r="BA131" s="16">
        <f t="shared" si="22"/>
        <v>125.65426486</v>
      </c>
      <c r="BB131" s="16">
        <f t="shared" si="22"/>
        <v>123.6638834</v>
      </c>
      <c r="BC131" s="16">
        <f t="shared" si="22"/>
        <v>113.23904215</v>
      </c>
      <c r="BD131" s="16">
        <f t="shared" si="22"/>
        <v>126.1254892</v>
      </c>
    </row>
    <row r="132" spans="1:56" outlineLevel="1" x14ac:dyDescent="0.3">
      <c r="A132" t="s">
        <v>238</v>
      </c>
      <c r="B132" t="s">
        <v>439</v>
      </c>
      <c r="D132" s="2">
        <f>'Energy balances (for buildings)'!B74/'Energy balances (for buildings)'!B56</f>
        <v>0.28674039037497423</v>
      </c>
      <c r="E132" s="2">
        <f>'Energy balances (for buildings)'!C74/'Energy balances (for buildings)'!C56</f>
        <v>0.29486290234120116</v>
      </c>
      <c r="F132" s="2">
        <f>'Energy balances (for buildings)'!D74/'Energy balances (for buildings)'!D56</f>
        <v>0.27916184055389059</v>
      </c>
      <c r="G132" s="2">
        <f>'Energy balances (for buildings)'!E74/'Energy balances (for buildings)'!E56</f>
        <v>0.27953515254323791</v>
      </c>
      <c r="H132" s="2">
        <f>'Energy balances (for buildings)'!F74/'Energy balances (for buildings)'!F56</f>
        <v>0.28366204649764776</v>
      </c>
      <c r="I132" s="2">
        <f>'Energy balances (for buildings)'!G74/'Energy balances (for buildings)'!G56</f>
        <v>0.28833418812747164</v>
      </c>
      <c r="J132" s="2">
        <f>'Energy balances (for buildings)'!H74/'Energy balances (for buildings)'!H56</f>
        <v>0.27263557743582195</v>
      </c>
      <c r="K132" s="2">
        <f>'Energy balances (for buildings)'!I74/'Energy balances (for buildings)'!I56</f>
        <v>0.27835656992315033</v>
      </c>
      <c r="L132" s="2">
        <f>'Energy balances (for buildings)'!J74/'Energy balances (for buildings)'!J56</f>
        <v>0.29089060435175823</v>
      </c>
      <c r="M132" s="2">
        <f>'Energy balances (for buildings)'!K74/'Energy balances (for buildings)'!K56</f>
        <v>0.27168807252326377</v>
      </c>
      <c r="N132" s="2">
        <f>'Energy balances (for buildings)'!L74/'Energy balances (for buildings)'!L56</f>
        <v>0.28008435178076657</v>
      </c>
      <c r="O132" s="2">
        <f>'Energy balances (for buildings)'!M74/'Energy balances (for buildings)'!M56</f>
        <v>0.28063693134663564</v>
      </c>
      <c r="P132" s="2">
        <f>'Energy balances (for buildings)'!N74/'Energy balances (for buildings)'!N56</f>
        <v>0.27195332894992275</v>
      </c>
      <c r="Q132" s="2">
        <f>'Energy balances (for buildings)'!O74/'Energy balances (for buildings)'!O56</f>
        <v>0.28727600615236737</v>
      </c>
      <c r="R132" s="2">
        <f>'Energy balances (for buildings)'!P74/'Energy balances (for buildings)'!P56</f>
        <v>0.28133633645814488</v>
      </c>
      <c r="S132" s="2">
        <f>'Energy balances (for buildings)'!Q74/'Energy balances (for buildings)'!Q56</f>
        <v>0.28510519337908574</v>
      </c>
      <c r="T132" s="2">
        <f>'Energy balances (for buildings)'!R74/'Energy balances (for buildings)'!R56</f>
        <v>0.29523750247937836</v>
      </c>
      <c r="U132" s="2"/>
      <c r="V132" s="12">
        <f>'Energy balances (for buildings)'!B74</f>
        <v>36697.19</v>
      </c>
      <c r="W132" s="12">
        <f>'Energy balances (for buildings)'!C74</f>
        <v>39219.694000000003</v>
      </c>
      <c r="X132" s="12">
        <f>'Energy balances (for buildings)'!D74</f>
        <v>35257.868000000002</v>
      </c>
      <c r="Y132" s="12">
        <f>'Energy balances (for buildings)'!E74</f>
        <v>37508.152000000002</v>
      </c>
      <c r="Z132" s="12">
        <f>'Energy balances (for buildings)'!F74</f>
        <v>38108.171999999999</v>
      </c>
      <c r="AA132" s="12">
        <f>'Energy balances (for buildings)'!G74</f>
        <v>40361.891000000003</v>
      </c>
      <c r="AB132" s="12">
        <f>'Energy balances (for buildings)'!H74</f>
        <v>34980.883999999998</v>
      </c>
      <c r="AC132" s="12">
        <f>'Energy balances (for buildings)'!I74</f>
        <v>36505.94</v>
      </c>
      <c r="AD132" s="12">
        <f>'Energy balances (for buildings)'!J74</f>
        <v>38608.582000000002</v>
      </c>
      <c r="AE132" s="12">
        <f>'Energy balances (for buildings)'!K74</f>
        <v>33536.067999999999</v>
      </c>
      <c r="AF132" s="12">
        <f>'Energy balances (for buildings)'!L74</f>
        <v>35996.271999999997</v>
      </c>
      <c r="AG132" s="12">
        <f>'Energy balances (for buildings)'!M74</f>
        <v>36530.9</v>
      </c>
      <c r="AH132" s="12">
        <f>'Energy balances (for buildings)'!N74</f>
        <v>36409.67</v>
      </c>
      <c r="AI132" s="12">
        <f>'Energy balances (for buildings)'!O74</f>
        <v>37823.474000000002</v>
      </c>
      <c r="AJ132" s="12">
        <f>'Energy balances (for buildings)'!P74</f>
        <v>36170.811000000002</v>
      </c>
      <c r="AK132" s="12">
        <f>'Energy balances (for buildings)'!Q74</f>
        <v>34561.707999999999</v>
      </c>
      <c r="AL132" s="12">
        <f>'Energy balances (for buildings)'!R74</f>
        <v>38176.160000000003</v>
      </c>
      <c r="AN132" s="16">
        <f t="shared" si="21"/>
        <v>426.78831969999999</v>
      </c>
      <c r="AO132" s="16">
        <f t="shared" si="21"/>
        <v>456.12504122000001</v>
      </c>
      <c r="AP132" s="16">
        <f t="shared" si="21"/>
        <v>410.04900484000001</v>
      </c>
      <c r="AQ132" s="16">
        <f t="shared" si="21"/>
        <v>436.21980776000004</v>
      </c>
      <c r="AR132" s="16">
        <f t="shared" si="21"/>
        <v>443.19804035999999</v>
      </c>
      <c r="AS132" s="16">
        <f t="shared" si="21"/>
        <v>469.40879233000004</v>
      </c>
      <c r="AT132" s="16">
        <f t="shared" si="21"/>
        <v>406.82768091999998</v>
      </c>
      <c r="AU132" s="16">
        <f t="shared" si="21"/>
        <v>424.56408220000003</v>
      </c>
      <c r="AV132" s="16">
        <f t="shared" si="21"/>
        <v>449.01780866000001</v>
      </c>
      <c r="AW132" s="16">
        <f t="shared" si="21"/>
        <v>390.02447083999999</v>
      </c>
      <c r="AX132" s="16">
        <f t="shared" si="22"/>
        <v>418.63664335999994</v>
      </c>
      <c r="AY132" s="16">
        <f t="shared" si="22"/>
        <v>424.85436700000002</v>
      </c>
      <c r="AZ132" s="16">
        <f t="shared" si="22"/>
        <v>423.44446209999995</v>
      </c>
      <c r="BA132" s="16">
        <f t="shared" si="22"/>
        <v>439.88700262000003</v>
      </c>
      <c r="BB132" s="16">
        <f t="shared" si="22"/>
        <v>420.66653193000002</v>
      </c>
      <c r="BC132" s="16">
        <f t="shared" si="22"/>
        <v>401.95266404</v>
      </c>
      <c r="BD132" s="16">
        <f t="shared" si="22"/>
        <v>443.98874080000002</v>
      </c>
    </row>
    <row r="133" spans="1:56" outlineLevel="1" x14ac:dyDescent="0.3">
      <c r="A133" t="s">
        <v>221</v>
      </c>
      <c r="B133" t="s">
        <v>439</v>
      </c>
      <c r="D133" s="2">
        <f>'Energy balances (for buildings)'!B102/'Energy balances (for buildings)'!B56</f>
        <v>0.4358717270610048</v>
      </c>
      <c r="E133" s="2">
        <f>'Energy balances (for buildings)'!C102/'Energy balances (for buildings)'!C56</f>
        <v>0.44263953826605279</v>
      </c>
      <c r="F133" s="2">
        <f>'Energy balances (for buildings)'!D102/'Energy balances (for buildings)'!D56</f>
        <v>0.47337411728534018</v>
      </c>
      <c r="G133" s="2">
        <f>'Energy balances (for buildings)'!E102/'Energy balances (for buildings)'!E56</f>
        <v>0.46008125565358077</v>
      </c>
      <c r="H133" s="2">
        <f>'Energy balances (for buildings)'!F102/'Energy balances (for buildings)'!F56</f>
        <v>0.46433031368751032</v>
      </c>
      <c r="I133" s="2">
        <f>'Energy balances (for buildings)'!G102/'Energy balances (for buildings)'!G56</f>
        <v>0.4569074026705896</v>
      </c>
      <c r="J133" s="2">
        <f>'Energy balances (for buildings)'!H102/'Energy balances (for buildings)'!H56</f>
        <v>0.48565312964172158</v>
      </c>
      <c r="K133" s="2">
        <f>'Energy balances (for buildings)'!I102/'Energy balances (for buildings)'!I56</f>
        <v>0.48114770873911977</v>
      </c>
      <c r="L133" s="2">
        <f>'Energy balances (for buildings)'!J102/'Energy balances (for buildings)'!J56</f>
        <v>0.47215821895780563</v>
      </c>
      <c r="M133" s="2">
        <f>'Energy balances (for buildings)'!K102/'Energy balances (for buildings)'!K56</f>
        <v>0.49203882892340833</v>
      </c>
      <c r="N133" s="2">
        <f>'Energy balances (for buildings)'!L102/'Energy balances (for buildings)'!L56</f>
        <v>0.49050824600429771</v>
      </c>
      <c r="O133" s="2">
        <f>'Energy balances (for buildings)'!M102/'Energy balances (for buildings)'!M56</f>
        <v>0.48843922633937875</v>
      </c>
      <c r="P133" s="2">
        <f>'Energy balances (for buildings)'!N102/'Energy balances (for buildings)'!N56</f>
        <v>0.47587446242701398</v>
      </c>
      <c r="Q133" s="2">
        <f>'Energy balances (for buildings)'!O102/'Energy balances (for buildings)'!O56</f>
        <v>0.4834062190636545</v>
      </c>
      <c r="R133" s="2">
        <f>'Energy balances (for buildings)'!P102/'Energy balances (for buildings)'!P56</f>
        <v>0.48537197021579132</v>
      </c>
      <c r="S133" s="2">
        <f>'Energy balances (for buildings)'!Q102/'Energy balances (for buildings)'!Q56</f>
        <v>0.48050100174958987</v>
      </c>
      <c r="T133" s="2">
        <f>'Energy balances (for buildings)'!R102/'Energy balances (for buildings)'!R56</f>
        <v>0.4630509370410521</v>
      </c>
      <c r="U133" s="2"/>
      <c r="V133" s="12">
        <f>'Energy balances (for buildings)'!B102</f>
        <v>55783.099000000002</v>
      </c>
      <c r="W133" s="12">
        <f>'Energy balances (for buildings)'!C102</f>
        <v>58875.453999999998</v>
      </c>
      <c r="X133" s="12">
        <f>'Energy balances (for buildings)'!D102</f>
        <v>59786.688999999998</v>
      </c>
      <c r="Y133" s="12">
        <f>'Energy balances (for buildings)'!E102</f>
        <v>61733.909</v>
      </c>
      <c r="Z133" s="12">
        <f>'Energy balances (for buildings)'!F102</f>
        <v>62379.792000000001</v>
      </c>
      <c r="AA133" s="12">
        <f>'Energy balances (for buildings)'!G102</f>
        <v>63959.279000000002</v>
      </c>
      <c r="AB133" s="12">
        <f>'Energy balances (for buildings)'!H102</f>
        <v>62312.394999999997</v>
      </c>
      <c r="AC133" s="12">
        <f>'Energy balances (for buildings)'!I102</f>
        <v>63101.616000000002</v>
      </c>
      <c r="AD133" s="12">
        <f>'Energy balances (for buildings)'!J102</f>
        <v>62667.404999999999</v>
      </c>
      <c r="AE133" s="12">
        <f>'Energy balances (for buildings)'!K102</f>
        <v>60735.267</v>
      </c>
      <c r="AF133" s="12">
        <f>'Energy balances (for buildings)'!L102</f>
        <v>63039.824000000001</v>
      </c>
      <c r="AG133" s="12">
        <f>'Energy balances (for buildings)'!M102</f>
        <v>63580.813999999998</v>
      </c>
      <c r="AH133" s="12">
        <f>'Energy balances (for buildings)'!N102</f>
        <v>63711.05</v>
      </c>
      <c r="AI133" s="12">
        <f>'Energy balances (for buildings)'!O102</f>
        <v>63646.466</v>
      </c>
      <c r="AJ133" s="12">
        <f>'Energy balances (for buildings)'!P102</f>
        <v>62403.235999999997</v>
      </c>
      <c r="AK133" s="12">
        <f>'Energy balances (for buildings)'!Q102</f>
        <v>58248.449000000001</v>
      </c>
      <c r="AL133" s="12">
        <f>'Energy balances (for buildings)'!R102</f>
        <v>59875.546000000002</v>
      </c>
      <c r="AN133" s="16">
        <f t="shared" si="21"/>
        <v>648.75744137000004</v>
      </c>
      <c r="AO133" s="16">
        <f t="shared" si="21"/>
        <v>684.72153001999993</v>
      </c>
      <c r="AP133" s="16">
        <f t="shared" si="21"/>
        <v>695.31919306999998</v>
      </c>
      <c r="AQ133" s="16">
        <f t="shared" si="21"/>
        <v>717.96536166999999</v>
      </c>
      <c r="AR133" s="16">
        <f t="shared" si="21"/>
        <v>725.47698095999999</v>
      </c>
      <c r="AS133" s="16">
        <f t="shared" si="21"/>
        <v>743.84641477000002</v>
      </c>
      <c r="AT133" s="16">
        <f t="shared" si="21"/>
        <v>724.69315384999993</v>
      </c>
      <c r="AU133" s="16">
        <f t="shared" si="21"/>
        <v>733.87179407999997</v>
      </c>
      <c r="AV133" s="16">
        <f t="shared" si="21"/>
        <v>728.82192014999998</v>
      </c>
      <c r="AW133" s="16">
        <f t="shared" si="21"/>
        <v>706.35115521</v>
      </c>
      <c r="AX133" s="16">
        <f t="shared" si="22"/>
        <v>733.15315311999996</v>
      </c>
      <c r="AY133" s="16">
        <f t="shared" si="22"/>
        <v>739.44486682000002</v>
      </c>
      <c r="AZ133" s="16">
        <f t="shared" si="22"/>
        <v>740.95951149999996</v>
      </c>
      <c r="BA133" s="16">
        <f t="shared" si="22"/>
        <v>740.20839957999999</v>
      </c>
      <c r="BB133" s="16">
        <f t="shared" si="22"/>
        <v>725.74963467999999</v>
      </c>
      <c r="BC133" s="16">
        <f t="shared" si="22"/>
        <v>677.42946186999995</v>
      </c>
      <c r="BD133" s="16">
        <f t="shared" si="22"/>
        <v>696.35259998000004</v>
      </c>
    </row>
    <row r="134" spans="1:56" outlineLevel="1" x14ac:dyDescent="0.3">
      <c r="A134" t="s">
        <v>223</v>
      </c>
      <c r="B134" t="s">
        <v>439</v>
      </c>
      <c r="D134" s="2">
        <f>'Energy balances (for buildings)'!B103/'Energy balances (for buildings)'!B56</f>
        <v>7.378560834326843E-2</v>
      </c>
      <c r="E134" s="2">
        <f>'Energy balances (for buildings)'!C103/'Energy balances (for buildings)'!C56</f>
        <v>6.9686819623166488E-2</v>
      </c>
      <c r="F134" s="2">
        <f>'Energy balances (for buildings)'!D103/'Energy balances (for buildings)'!D56</f>
        <v>7.3742026700063815E-2</v>
      </c>
      <c r="G134" s="2">
        <f>'Energy balances (for buildings)'!E103/'Energy balances (for buildings)'!E56</f>
        <v>7.4736693381736205E-2</v>
      </c>
      <c r="H134" s="2">
        <f>'Energy balances (for buildings)'!F103/'Energy balances (for buildings)'!F56</f>
        <v>7.4995721790034303E-2</v>
      </c>
      <c r="I134" s="2">
        <f>'Energy balances (for buildings)'!G103/'Energy balances (for buildings)'!G56</f>
        <v>8.4048792717162521E-2</v>
      </c>
      <c r="J134" s="2">
        <f>'Energy balances (for buildings)'!H103/'Energy balances (for buildings)'!H56</f>
        <v>7.5904284728475699E-2</v>
      </c>
      <c r="K134" s="2">
        <f>'Energy balances (for buildings)'!I103/'Energy balances (for buildings)'!I56</f>
        <v>7.6371954314830154E-2</v>
      </c>
      <c r="L134" s="2">
        <f>'Energy balances (for buildings)'!J103/'Energy balances (for buildings)'!J56</f>
        <v>6.835225667182783E-2</v>
      </c>
      <c r="M134" s="2">
        <f>'Energy balances (for buildings)'!K103/'Energy balances (for buildings)'!K56</f>
        <v>6.9000715456229059E-2</v>
      </c>
      <c r="N134" s="2">
        <f>'Energy balances (for buildings)'!L103/'Energy balances (for buildings)'!L56</f>
        <v>6.5831494680915759E-2</v>
      </c>
      <c r="O134" s="2">
        <f>'Energy balances (for buildings)'!M103/'Energy balances (for buildings)'!M56</f>
        <v>6.8021758575033134E-2</v>
      </c>
      <c r="P134" s="2">
        <f>'Energy balances (for buildings)'!N103/'Energy balances (for buildings)'!N56</f>
        <v>6.8986542953595117E-2</v>
      </c>
      <c r="Q134" s="2">
        <f>'Energy balances (for buildings)'!O103/'Energy balances (for buildings)'!O56</f>
        <v>7.0235509523141393E-2</v>
      </c>
      <c r="R134" s="2">
        <f>'Energy balances (for buildings)'!P103/'Energy balances (for buildings)'!P56</f>
        <v>7.090936979965777E-2</v>
      </c>
      <c r="S134" s="2">
        <f>'Energy balances (for buildings)'!Q103/'Energy balances (for buildings)'!Q56</f>
        <v>6.9854629191958006E-2</v>
      </c>
      <c r="T134" s="2">
        <f>'Energy balances (for buildings)'!R103/'Energy balances (for buildings)'!R56</f>
        <v>7.2671761678258548E-2</v>
      </c>
      <c r="U134" s="2"/>
      <c r="V134" s="12">
        <f>'Energy balances (for buildings)'!B103</f>
        <v>9443.1219999999994</v>
      </c>
      <c r="W134" s="12">
        <f>'Energy balances (for buildings)'!C103</f>
        <v>9269.0390000000007</v>
      </c>
      <c r="X134" s="12">
        <f>'Energy balances (for buildings)'!D103</f>
        <v>9313.5460000000003</v>
      </c>
      <c r="Y134" s="12">
        <f>'Energy balances (for buildings)'!E103</f>
        <v>10028.203</v>
      </c>
      <c r="Z134" s="12">
        <f>'Energy balances (for buildings)'!F103</f>
        <v>10075.192999999999</v>
      </c>
      <c r="AA134" s="12">
        <f>'Energy balances (for buildings)'!G103</f>
        <v>11765.404</v>
      </c>
      <c r="AB134" s="12">
        <f>'Energy balances (for buildings)'!H103</f>
        <v>9739.0040000000008</v>
      </c>
      <c r="AC134" s="12">
        <f>'Energy balances (for buildings)'!I103</f>
        <v>10016.038</v>
      </c>
      <c r="AD134" s="12">
        <f>'Energy balances (for buildings)'!J103</f>
        <v>9072.0830000000005</v>
      </c>
      <c r="AE134" s="12">
        <f>'Energy balances (for buildings)'!K103</f>
        <v>8517.1669999999995</v>
      </c>
      <c r="AF134" s="12">
        <f>'Energy balances (for buildings)'!L103</f>
        <v>8460.6239999999998</v>
      </c>
      <c r="AG134" s="12">
        <f>'Energy balances (for buildings)'!M103</f>
        <v>8854.4869999999992</v>
      </c>
      <c r="AH134" s="12">
        <f>'Energy balances (for buildings)'!N103</f>
        <v>9236.06</v>
      </c>
      <c r="AI134" s="12">
        <f>'Energy balances (for buildings)'!O103</f>
        <v>9247.3819999999996</v>
      </c>
      <c r="AJ134" s="12">
        <f>'Energy balances (for buildings)'!P103</f>
        <v>9116.6659999999993</v>
      </c>
      <c r="AK134" s="12">
        <f>'Energy balances (for buildings)'!Q103</f>
        <v>8468.0859999999993</v>
      </c>
      <c r="AL134" s="12">
        <f>'Energy balances (for buildings)'!R103</f>
        <v>9396.9390000000003</v>
      </c>
      <c r="AN134" s="16">
        <f t="shared" si="21"/>
        <v>109.82350885999999</v>
      </c>
      <c r="AO134" s="16">
        <f t="shared" si="21"/>
        <v>107.79892357</v>
      </c>
      <c r="AP134" s="16">
        <f t="shared" si="21"/>
        <v>108.31653998</v>
      </c>
      <c r="AQ134" s="16">
        <f t="shared" si="21"/>
        <v>116.62800089</v>
      </c>
      <c r="AR134" s="16">
        <f t="shared" si="21"/>
        <v>117.17449458999999</v>
      </c>
      <c r="AS134" s="16">
        <f t="shared" si="21"/>
        <v>136.83164852000002</v>
      </c>
      <c r="AT134" s="16">
        <f t="shared" si="21"/>
        <v>113.26461652</v>
      </c>
      <c r="AU134" s="16">
        <f t="shared" si="21"/>
        <v>116.48652194</v>
      </c>
      <c r="AV134" s="16">
        <f t="shared" si="21"/>
        <v>105.50832529</v>
      </c>
      <c r="AW134" s="16">
        <f t="shared" si="21"/>
        <v>99.054652209999986</v>
      </c>
      <c r="AX134" s="16">
        <f t="shared" si="22"/>
        <v>98.397057119999999</v>
      </c>
      <c r="AY134" s="16">
        <f t="shared" si="22"/>
        <v>102.97768380999999</v>
      </c>
      <c r="AZ134" s="16">
        <f t="shared" si="22"/>
        <v>107.41537779999999</v>
      </c>
      <c r="BA134" s="16">
        <f t="shared" si="22"/>
        <v>107.54705265999999</v>
      </c>
      <c r="BB134" s="16">
        <f t="shared" si="22"/>
        <v>106.02682557999999</v>
      </c>
      <c r="BC134" s="16">
        <f t="shared" si="22"/>
        <v>98.483840179999987</v>
      </c>
      <c r="BD134" s="16">
        <f t="shared" si="22"/>
        <v>109.28640057</v>
      </c>
    </row>
    <row r="135" spans="1:56" outlineLevel="1" x14ac:dyDescent="0.3">
      <c r="A135" t="s">
        <v>239</v>
      </c>
      <c r="B135" t="s">
        <v>439</v>
      </c>
      <c r="D135" s="2">
        <f>SUM('Energy balances (for buildings)'!B91:B98)/'Energy balances (for buildings)'!B56</f>
        <v>1.6231475504010218E-2</v>
      </c>
      <c r="E135" s="2">
        <f>SUM('Energy balances (for buildings)'!C91:C98)/'Energy balances (for buildings)'!C56</f>
        <v>1.6677183425327716E-2</v>
      </c>
      <c r="F135" s="2">
        <f>SUM('Energy balances (for buildings)'!D91:D98)/'Energy balances (for buildings)'!D56</f>
        <v>1.9280893255358807E-2</v>
      </c>
      <c r="G135" s="2">
        <f>SUM('Energy balances (for buildings)'!E91:E98)/'Energy balances (for buildings)'!E56</f>
        <v>2.0766669373469372E-2</v>
      </c>
      <c r="H135" s="2">
        <f>SUM('Energy balances (for buildings)'!F91:F98)/'Energy balances (for buildings)'!F56</f>
        <v>2.2327052943434511E-2</v>
      </c>
      <c r="I135" s="2">
        <f>SUM('Energy balances (for buildings)'!G91:G98)/'Energy balances (for buildings)'!G56</f>
        <v>2.4661362147189534E-2</v>
      </c>
      <c r="J135" s="2">
        <f>SUM('Energy balances (for buildings)'!H91:H98)/'Energy balances (for buildings)'!H56</f>
        <v>2.2523938404310054E-2</v>
      </c>
      <c r="K135" s="2">
        <f>SUM('Energy balances (for buildings)'!I91:I98)/'Energy balances (for buildings)'!I56</f>
        <v>2.4854539085757528E-2</v>
      </c>
      <c r="L135" s="2">
        <f>SUM('Energy balances (for buildings)'!J91:J98)/'Energy balances (for buildings)'!J56</f>
        <v>2.5927110353791642E-2</v>
      </c>
      <c r="M135" s="2">
        <f>SUM('Energy balances (for buildings)'!K91:K98)/'Energy balances (for buildings)'!K56</f>
        <v>2.5403763538107138E-2</v>
      </c>
      <c r="N135" s="2">
        <f>SUM('Energy balances (for buildings)'!L91:L98)/'Energy balances (for buildings)'!L56</f>
        <v>2.5960112464579958E-2</v>
      </c>
      <c r="O135" s="2">
        <f>SUM('Energy balances (for buildings)'!M91:M98)/'Energy balances (for buildings)'!M56</f>
        <v>2.7083884913821923E-2</v>
      </c>
      <c r="P135" s="2">
        <f>SUM('Energy balances (for buildings)'!N91:N98)/'Energy balances (for buildings)'!N56</f>
        <v>2.8349169399127752E-2</v>
      </c>
      <c r="Q135" s="2">
        <f>SUM('Energy balances (for buildings)'!O91:O98)/'Energy balances (for buildings)'!O56</f>
        <v>3.0277621441593742E-2</v>
      </c>
      <c r="R135" s="2">
        <f>SUM('Energy balances (for buildings)'!P91:P98)/'Energy balances (for buildings)'!P56</f>
        <v>3.1400164618123345E-2</v>
      </c>
      <c r="S135" s="2">
        <f>SUM('Energy balances (for buildings)'!Q91:Q98)/'Energy balances (for buildings)'!Q56</f>
        <v>3.2722989521408834E-2</v>
      </c>
      <c r="T135" s="2">
        <f>SUM('Energy balances (for buildings)'!R91:R98)/'Energy balances (for buildings)'!R56</f>
        <v>3.3162295928449381E-2</v>
      </c>
      <c r="U135" s="2"/>
      <c r="V135" s="12">
        <f>SUM('Energy balances (for buildings)'!B91:T98)</f>
        <v>55631.144</v>
      </c>
      <c r="W135" s="12">
        <f>SUM('Energy balances (for buildings)'!C91:U98)</f>
        <v>53553.830999999984</v>
      </c>
      <c r="X135" s="12">
        <f>SUM('Energy balances (for buildings)'!D91:V98)</f>
        <v>51335.599999999991</v>
      </c>
      <c r="Y135" s="12">
        <f>SUM('Energy balances (for buildings)'!E91:W98)</f>
        <v>48900.442000000003</v>
      </c>
      <c r="Z135" s="12">
        <f>SUM('Energy balances (for buildings)'!F91:X98)</f>
        <v>46113.961000000003</v>
      </c>
      <c r="AA135" s="12">
        <f>SUM('Energy balances (for buildings)'!G91:Y98)</f>
        <v>43114.465000000004</v>
      </c>
      <c r="AB135" s="12">
        <f>SUM('Energy balances (for buildings)'!H91:Z98)</f>
        <v>39662.292999999998</v>
      </c>
      <c r="AC135" s="12">
        <f>SUM('Energy balances (for buildings)'!I91:AA98)</f>
        <v>36772.327999999994</v>
      </c>
      <c r="AD135" s="12">
        <f>SUM('Energy balances (for buildings)'!J91:AB98)</f>
        <v>33512.70199999999</v>
      </c>
      <c r="AE135" s="12">
        <f>SUM('Energy balances (for buildings)'!K91:AC98)</f>
        <v>30071.514999999992</v>
      </c>
      <c r="AF135" s="12">
        <f>SUM('Energy balances (for buildings)'!L91:AD98)</f>
        <v>26935.777999999991</v>
      </c>
      <c r="AG135" s="12">
        <f>SUM('Energy balances (for buildings)'!M91:AE98)</f>
        <v>23599.399999999994</v>
      </c>
      <c r="AH135" s="12">
        <f>SUM('Energy balances (for buildings)'!N91:AF98)</f>
        <v>20073.853000000003</v>
      </c>
      <c r="AI135" s="12">
        <f>SUM('Energy balances (for buildings)'!O91:AG98)</f>
        <v>16278.407999999999</v>
      </c>
      <c r="AJ135" s="12">
        <f>SUM('Energy balances (for buildings)'!P91:AH98)</f>
        <v>12291.981000000002</v>
      </c>
      <c r="AK135" s="12">
        <f>SUM('Energy balances (for buildings)'!Q91:AI98)</f>
        <v>8254.9290000000001</v>
      </c>
      <c r="AL135" s="12">
        <f>SUM('Energy balances (for buildings)'!R91:AJ98)</f>
        <v>4288.1040000000003</v>
      </c>
      <c r="AN135" s="16">
        <f t="shared" si="21"/>
        <v>646.99020471999995</v>
      </c>
      <c r="AO135" s="16">
        <f t="shared" si="21"/>
        <v>622.83105452999985</v>
      </c>
      <c r="AP135" s="16">
        <f t="shared" si="21"/>
        <v>597.03302799999983</v>
      </c>
      <c r="AQ135" s="16">
        <f t="shared" si="21"/>
        <v>568.71214046</v>
      </c>
      <c r="AR135" s="16">
        <f t="shared" si="21"/>
        <v>536.30536643000005</v>
      </c>
      <c r="AS135" s="16">
        <f t="shared" si="21"/>
        <v>501.42122795000006</v>
      </c>
      <c r="AT135" s="16">
        <f t="shared" si="21"/>
        <v>461.27246758999996</v>
      </c>
      <c r="AU135" s="16">
        <f t="shared" si="21"/>
        <v>427.66217463999993</v>
      </c>
      <c r="AV135" s="16">
        <f t="shared" si="21"/>
        <v>389.75272425999987</v>
      </c>
      <c r="AW135" s="16">
        <f t="shared" si="21"/>
        <v>349.7317194499999</v>
      </c>
      <c r="AX135" s="16">
        <f t="shared" si="22"/>
        <v>313.2630981399999</v>
      </c>
      <c r="AY135" s="16">
        <f t="shared" si="22"/>
        <v>274.4610219999999</v>
      </c>
      <c r="AZ135" s="16">
        <f t="shared" si="22"/>
        <v>233.45891039000003</v>
      </c>
      <c r="BA135" s="16">
        <f t="shared" si="22"/>
        <v>189.31788503999999</v>
      </c>
      <c r="BB135" s="16">
        <f t="shared" si="22"/>
        <v>142.95573903000002</v>
      </c>
      <c r="BC135" s="16">
        <f t="shared" si="22"/>
        <v>96.00482427</v>
      </c>
      <c r="BD135" s="16">
        <f t="shared" si="22"/>
        <v>49.870649520000001</v>
      </c>
    </row>
    <row r="136" spans="1:56" outlineLevel="1" x14ac:dyDescent="0.3">
      <c r="A136" t="s">
        <v>240</v>
      </c>
      <c r="B136" t="s">
        <v>439</v>
      </c>
      <c r="D136" s="2">
        <f>SUM('Energy balances (for buildings)'!B87:B90)/'Energy balances (for buildings)'!B56</f>
        <v>4.3358310568153572E-3</v>
      </c>
      <c r="E136" s="2">
        <f>SUM('Energy balances (for buildings)'!C87:C90)/'Energy balances (for buildings)'!C56</f>
        <v>4.4474649373922688E-3</v>
      </c>
      <c r="F136" s="2">
        <f>SUM('Energy balances (for buildings)'!D87:D90)/'Energy balances (for buildings)'!D56</f>
        <v>5.0605616714821172E-3</v>
      </c>
      <c r="G136" s="2">
        <f>SUM('Energy balances (for buildings)'!E87:E90)/'Energy balances (for buildings)'!E56</f>
        <v>5.4768337038195013E-3</v>
      </c>
      <c r="H136" s="2">
        <f>SUM('Energy balances (for buildings)'!F87:F90)/'Energy balances (for buildings)'!F56</f>
        <v>5.7857700223389917E-3</v>
      </c>
      <c r="I136" s="2">
        <f>SUM('Energy balances (for buildings)'!G87:G90)/'Energy balances (for buildings)'!G56</f>
        <v>6.0064998453883932E-3</v>
      </c>
      <c r="J136" s="2">
        <f>SUM('Energy balances (for buildings)'!H87:H90)/'Energy balances (for buildings)'!H56</f>
        <v>7.9512491896349957E-3</v>
      </c>
      <c r="K136" s="2">
        <f>SUM('Energy balances (for buildings)'!I87:I90)/'Energy balances (for buildings)'!I56</f>
        <v>8.6246529944459666E-3</v>
      </c>
      <c r="L136" s="2">
        <f>SUM('Energy balances (for buildings)'!J87:J90)/'Energy balances (for buildings)'!J56</f>
        <v>9.3524349722417573E-3</v>
      </c>
      <c r="M136" s="2">
        <f>SUM('Energy balances (for buildings)'!K87:K90)/'Energy balances (for buildings)'!K56</f>
        <v>1.3789073380202294E-2</v>
      </c>
      <c r="N136" s="2">
        <f>SUM('Energy balances (for buildings)'!L87:L90)/'Energy balances (for buildings)'!L56</f>
        <v>1.4053637366505851E-2</v>
      </c>
      <c r="O136" s="2">
        <f>SUM('Energy balances (for buildings)'!M87:M90)/'Energy balances (for buildings)'!M56</f>
        <v>1.5112406572405708E-2</v>
      </c>
      <c r="P136" s="2">
        <f>SUM('Energy balances (for buildings)'!N87:N90)/'Energy balances (for buildings)'!N56</f>
        <v>3.7120173231881944E-2</v>
      </c>
      <c r="Q136" s="2">
        <f>SUM('Energy balances (for buildings)'!O87:O90)/'Energy balances (for buildings)'!O56</f>
        <v>3.9021577360579901E-2</v>
      </c>
      <c r="R136" s="2">
        <f>SUM('Energy balances (for buildings)'!P87:P90)/'Energy balances (for buildings)'!P56</f>
        <v>4.106625060830716E-2</v>
      </c>
      <c r="S136" s="2">
        <f>SUM('Energy balances (for buildings)'!Q87:Q90)/'Energy balances (for buildings)'!Q56</f>
        <v>4.4090642571672882E-2</v>
      </c>
      <c r="T136" s="2">
        <f>SUM('Energy balances (for buildings)'!R87:R90)/'Energy balances (for buildings)'!R56</f>
        <v>4.3749968292417042E-2</v>
      </c>
      <c r="U136" s="2"/>
      <c r="V136" s="12">
        <f>SUM('Energy balances (for buildings)'!B87:T90)</f>
        <v>39395.845000000001</v>
      </c>
      <c r="W136" s="12">
        <f>SUM('Energy balances (for buildings)'!C87:U90)</f>
        <v>38840.943000000007</v>
      </c>
      <c r="X136" s="12">
        <f>SUM('Energy balances (for buildings)'!D87:V90)</f>
        <v>38249.385999999999</v>
      </c>
      <c r="Y136" s="12">
        <f>SUM('Energy balances (for buildings)'!E87:W90)</f>
        <v>37610.242000000006</v>
      </c>
      <c r="Z136" s="12">
        <f>SUM('Energy balances (for buildings)'!F87:X90)</f>
        <v>36875.358</v>
      </c>
      <c r="AA136" s="12">
        <f>SUM('Energy balances (for buildings)'!G87:Y90)</f>
        <v>36098.077000000005</v>
      </c>
      <c r="AB136" s="12">
        <f>SUM('Energy balances (for buildings)'!H87:Z90)</f>
        <v>35257.269</v>
      </c>
      <c r="AC136" s="12">
        <f>SUM('Energy balances (for buildings)'!I87:AA90)</f>
        <v>34237.073000000004</v>
      </c>
      <c r="AD136" s="12">
        <f>SUM('Energy balances (for buildings)'!J87:AB90)</f>
        <v>33105.966</v>
      </c>
      <c r="AE136" s="12">
        <f>SUM('Energy balances (for buildings)'!K87:AC90)</f>
        <v>31864.66</v>
      </c>
      <c r="AF136" s="12">
        <f>SUM('Energy balances (for buildings)'!L87:AD90)</f>
        <v>30162.592999999997</v>
      </c>
      <c r="AG136" s="12">
        <f>SUM('Energy balances (for buildings)'!M87:AE90)</f>
        <v>28356.428000000004</v>
      </c>
      <c r="AH136" s="12">
        <f>SUM('Energy balances (for buildings)'!N87:AF90)</f>
        <v>26389.225000000002</v>
      </c>
      <c r="AI136" s="12">
        <f>SUM('Energy balances (for buildings)'!O87:AG90)</f>
        <v>21419.5</v>
      </c>
      <c r="AJ136" s="12">
        <f>SUM('Energy balances (for buildings)'!P87:AH90)</f>
        <v>16281.822</v>
      </c>
      <c r="AK136" s="12">
        <f>SUM('Energy balances (for buildings)'!Q87:AI90)</f>
        <v>11002.022000000001</v>
      </c>
      <c r="AL136" s="12">
        <f>SUM('Energy balances (for buildings)'!R87:AJ90)</f>
        <v>5657.16</v>
      </c>
      <c r="AN136" s="16">
        <f t="shared" si="21"/>
        <v>458.17367734999999</v>
      </c>
      <c r="AO136" s="16">
        <f t="shared" si="21"/>
        <v>451.72016709000007</v>
      </c>
      <c r="AP136" s="16">
        <f t="shared" si="21"/>
        <v>444.84035917999995</v>
      </c>
      <c r="AQ136" s="16">
        <f t="shared" si="21"/>
        <v>437.40711446000006</v>
      </c>
      <c r="AR136" s="16">
        <f t="shared" si="21"/>
        <v>428.86041353999997</v>
      </c>
      <c r="AS136" s="16">
        <f t="shared" si="21"/>
        <v>419.82063551000005</v>
      </c>
      <c r="AT136" s="16">
        <f t="shared" si="21"/>
        <v>410.04203846999997</v>
      </c>
      <c r="AU136" s="16">
        <f t="shared" si="21"/>
        <v>398.17715899000001</v>
      </c>
      <c r="AV136" s="16">
        <f t="shared" si="21"/>
        <v>385.02238457999999</v>
      </c>
      <c r="AW136" s="16">
        <f t="shared" si="21"/>
        <v>370.58599579999998</v>
      </c>
      <c r="AX136" s="16">
        <f t="shared" si="22"/>
        <v>350.79095658999995</v>
      </c>
      <c r="AY136" s="16">
        <f t="shared" si="22"/>
        <v>329.78525764000005</v>
      </c>
      <c r="AZ136" s="16">
        <f t="shared" si="22"/>
        <v>306.90668675000001</v>
      </c>
      <c r="BA136" s="16">
        <f t="shared" si="22"/>
        <v>249.10878499999998</v>
      </c>
      <c r="BB136" s="16">
        <f t="shared" si="22"/>
        <v>189.35758985999999</v>
      </c>
      <c r="BC136" s="16">
        <f t="shared" si="22"/>
        <v>127.95351586000001</v>
      </c>
      <c r="BD136" s="16">
        <f t="shared" si="22"/>
        <v>65.7927708</v>
      </c>
    </row>
    <row r="137" spans="1:56" outlineLevel="1" x14ac:dyDescent="0.3"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</row>
    <row r="138" spans="1:56" s="18" customFormat="1" outlineLevel="1" x14ac:dyDescent="0.3">
      <c r="A138" s="18" t="s">
        <v>440</v>
      </c>
    </row>
    <row r="139" spans="1:56" s="58" customFormat="1" outlineLevel="1" x14ac:dyDescent="0.3">
      <c r="A139" s="58" t="s">
        <v>434</v>
      </c>
    </row>
    <row r="140" spans="1:56" outlineLevel="1" x14ac:dyDescent="0.3">
      <c r="N140">
        <v>2015</v>
      </c>
      <c r="AC140">
        <v>2030</v>
      </c>
      <c r="AD140">
        <v>2031</v>
      </c>
      <c r="AE140">
        <v>2032</v>
      </c>
      <c r="AF140">
        <v>2033</v>
      </c>
      <c r="AG140">
        <v>2034</v>
      </c>
      <c r="AH140">
        <v>2035</v>
      </c>
      <c r="AI140">
        <v>2036</v>
      </c>
      <c r="AJ140">
        <v>2037</v>
      </c>
      <c r="AK140">
        <v>2038</v>
      </c>
      <c r="AL140">
        <v>2039</v>
      </c>
      <c r="AM140">
        <v>2040</v>
      </c>
      <c r="AN140">
        <v>2041</v>
      </c>
      <c r="AO140">
        <v>2042</v>
      </c>
      <c r="AP140">
        <v>2043</v>
      </c>
      <c r="AQ140">
        <v>2044</v>
      </c>
      <c r="AR140">
        <v>2045</v>
      </c>
      <c r="AS140">
        <v>2046</v>
      </c>
      <c r="AT140">
        <v>2047</v>
      </c>
      <c r="AU140">
        <v>2048</v>
      </c>
      <c r="AV140">
        <v>2049</v>
      </c>
      <c r="AW140">
        <v>2050</v>
      </c>
    </row>
    <row r="141" spans="1:56" outlineLevel="2" x14ac:dyDescent="0.3">
      <c r="A141" t="s">
        <v>242</v>
      </c>
      <c r="B141" t="s">
        <v>441</v>
      </c>
      <c r="N141" s="21">
        <v>1.0490119999999998</v>
      </c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>
        <v>4.556857471989615E-2</v>
      </c>
      <c r="AW141" s="60">
        <v>0</v>
      </c>
    </row>
    <row r="142" spans="1:56" outlineLevel="2" x14ac:dyDescent="0.3">
      <c r="A142" t="s">
        <v>244</v>
      </c>
      <c r="B142" t="s">
        <v>441</v>
      </c>
      <c r="N142" s="21">
        <v>14.607473000000001</v>
      </c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>
        <v>3.2431130605046632</v>
      </c>
      <c r="AW142" s="60">
        <v>2.3685866191223278E-3</v>
      </c>
    </row>
    <row r="143" spans="1:56" outlineLevel="2" x14ac:dyDescent="0.3">
      <c r="A143" t="s">
        <v>238</v>
      </c>
      <c r="B143" t="s">
        <v>441</v>
      </c>
      <c r="N143" s="21">
        <v>38.131186999999997</v>
      </c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>
        <v>22.029676557387241</v>
      </c>
      <c r="AW143" s="60">
        <v>1.241537721732028</v>
      </c>
    </row>
    <row r="144" spans="1:56" outlineLevel="2" x14ac:dyDescent="0.3">
      <c r="A144" t="s">
        <v>245</v>
      </c>
      <c r="B144" t="s">
        <v>441</v>
      </c>
      <c r="N144" s="21">
        <v>0</v>
      </c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>
        <v>0</v>
      </c>
      <c r="AW144" s="60">
        <v>8.1829274201894613</v>
      </c>
    </row>
    <row r="145" spans="1:49" outlineLevel="2" x14ac:dyDescent="0.3">
      <c r="A145" t="s">
        <v>246</v>
      </c>
      <c r="B145" t="s">
        <v>441</v>
      </c>
      <c r="N145" s="21">
        <v>0</v>
      </c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>
        <v>0</v>
      </c>
      <c r="AW145" s="60">
        <v>2.1866417511295833</v>
      </c>
    </row>
    <row r="146" spans="1:49" outlineLevel="2" x14ac:dyDescent="0.3">
      <c r="A146" t="s">
        <v>247</v>
      </c>
      <c r="B146" t="s">
        <v>441</v>
      </c>
      <c r="N146" s="21">
        <v>8.4014299999999995</v>
      </c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>
        <v>8.7121543812757007</v>
      </c>
      <c r="AW146" s="60">
        <v>6.1286859505404676</v>
      </c>
    </row>
    <row r="147" spans="1:49" outlineLevel="2" x14ac:dyDescent="0.3">
      <c r="A147" t="s">
        <v>248</v>
      </c>
      <c r="B147" t="s">
        <v>441</v>
      </c>
      <c r="N147" s="21">
        <v>3.7003300000000081</v>
      </c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>
        <v>4.6587826233975482</v>
      </c>
      <c r="AW147" s="60">
        <v>5.2036059827273702</v>
      </c>
    </row>
    <row r="148" spans="1:49" outlineLevel="2" x14ac:dyDescent="0.3">
      <c r="A148" t="s">
        <v>249</v>
      </c>
      <c r="B148" t="s">
        <v>441</v>
      </c>
      <c r="N148" s="21">
        <v>1.614242</v>
      </c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>
        <v>17.493427026663895</v>
      </c>
      <c r="AW148" s="60">
        <v>20.756771146048322</v>
      </c>
    </row>
    <row r="149" spans="1:49" outlineLevel="2" x14ac:dyDescent="0.3">
      <c r="A149" t="s">
        <v>221</v>
      </c>
      <c r="B149" t="s">
        <v>441</v>
      </c>
      <c r="N149" s="21">
        <v>62.530097999999995</v>
      </c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>
        <v>63.298824679356613</v>
      </c>
      <c r="AW149" s="60">
        <v>64.031065453693515</v>
      </c>
    </row>
    <row r="150" spans="1:49" outlineLevel="1" x14ac:dyDescent="0.3">
      <c r="A150" t="s">
        <v>242</v>
      </c>
      <c r="B150" t="s">
        <v>441</v>
      </c>
      <c r="N150" s="2">
        <f>N141/SUM(N$15:N$23)</f>
        <v>4.3017103609777696E-3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>
        <f>AC141/SUM(AC$141:AC$149)</f>
        <v>3.8138587841329212E-4</v>
      </c>
      <c r="AW150" s="2">
        <f>AW141/SUM(AW$141:AW$149)</f>
        <v>0</v>
      </c>
    </row>
    <row r="151" spans="1:49" outlineLevel="1" x14ac:dyDescent="0.3">
      <c r="A151" t="s">
        <v>244</v>
      </c>
      <c r="B151" t="s">
        <v>441</v>
      </c>
      <c r="N151" s="2">
        <f t="shared" ref="N151:N158" si="23">N142/SUM(N$15:N$23)</f>
        <v>5.9901238452756536E-2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>
        <f t="shared" ref="AC151:AC158" si="24">AC142/SUM(AC$141:AC$149)</f>
        <v>2.7143212860553781E-2</v>
      </c>
      <c r="AW151" s="2">
        <f t="shared" ref="AW151:AW158" si="25">AW142/SUM(AW$141:AW$149)</f>
        <v>2.1985587884385202E-5</v>
      </c>
    </row>
    <row r="152" spans="1:49" outlineLevel="1" x14ac:dyDescent="0.3">
      <c r="A152" t="s">
        <v>238</v>
      </c>
      <c r="B152" t="s">
        <v>441</v>
      </c>
      <c r="N152" s="2">
        <f t="shared" si="23"/>
        <v>0.15636553461188324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>
        <f t="shared" si="24"/>
        <v>0.18437722919017355</v>
      </c>
      <c r="AW152" s="2">
        <f t="shared" si="25"/>
        <v>1.1524145442919586E-2</v>
      </c>
    </row>
    <row r="153" spans="1:49" outlineLevel="1" x14ac:dyDescent="0.3">
      <c r="A153" t="s">
        <v>245</v>
      </c>
      <c r="B153" t="s">
        <v>441</v>
      </c>
      <c r="N153" s="2">
        <f t="shared" si="23"/>
        <v>0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>
        <f t="shared" si="24"/>
        <v>0</v>
      </c>
      <c r="AW153" s="2">
        <f t="shared" si="25"/>
        <v>7.5955199820720368E-2</v>
      </c>
    </row>
    <row r="154" spans="1:49" outlineLevel="1" x14ac:dyDescent="0.3">
      <c r="A154" t="s">
        <v>246</v>
      </c>
      <c r="B154" t="s">
        <v>441</v>
      </c>
      <c r="N154" s="2">
        <f t="shared" si="23"/>
        <v>0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>
        <f t="shared" si="24"/>
        <v>0</v>
      </c>
      <c r="AW154" s="2">
        <f t="shared" si="25"/>
        <v>2.0296747437059871E-2</v>
      </c>
    </row>
    <row r="155" spans="1:49" outlineLevel="1" x14ac:dyDescent="0.3">
      <c r="A155" t="s">
        <v>247</v>
      </c>
      <c r="B155" t="s">
        <v>441</v>
      </c>
      <c r="N155" s="2">
        <f t="shared" si="23"/>
        <v>3.4451959060553615E-2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>
        <f t="shared" si="24"/>
        <v>7.2916317264676053E-2</v>
      </c>
      <c r="AW155" s="2">
        <f t="shared" si="25"/>
        <v>5.6887412304698751E-2</v>
      </c>
    </row>
    <row r="156" spans="1:49" outlineLevel="1" x14ac:dyDescent="0.3">
      <c r="A156" t="s">
        <v>248</v>
      </c>
      <c r="B156" t="s">
        <v>441</v>
      </c>
      <c r="N156" s="2">
        <f t="shared" si="23"/>
        <v>1.5174037951936593E-2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>
        <f t="shared" si="24"/>
        <v>3.8991649707781441E-2</v>
      </c>
      <c r="AW156" s="2">
        <f t="shared" si="25"/>
        <v>4.8300676751841735E-2</v>
      </c>
    </row>
    <row r="157" spans="1:49" outlineLevel="1" x14ac:dyDescent="0.3">
      <c r="A157" t="s">
        <v>249</v>
      </c>
      <c r="B157" t="s">
        <v>441</v>
      </c>
      <c r="N157" s="2">
        <f t="shared" si="23"/>
        <v>6.6195634907183888E-3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>
        <f t="shared" si="24"/>
        <v>0.14641111937411588</v>
      </c>
      <c r="AW157" s="2">
        <f t="shared" si="25"/>
        <v>0.19266756492807316</v>
      </c>
    </row>
    <row r="158" spans="1:49" outlineLevel="1" x14ac:dyDescent="0.3">
      <c r="A158" t="s">
        <v>221</v>
      </c>
      <c r="B158" t="s">
        <v>441</v>
      </c>
      <c r="N158" s="2">
        <f t="shared" si="23"/>
        <v>0.25641877351217657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>
        <f t="shared" si="24"/>
        <v>0.529779085724286</v>
      </c>
      <c r="AW158" s="2">
        <f t="shared" si="25"/>
        <v>0.5943462677268021</v>
      </c>
    </row>
    <row r="159" spans="1:49" outlineLevel="1" x14ac:dyDescent="0.3"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</row>
    <row r="160" spans="1:49" s="58" customFormat="1" outlineLevel="1" x14ac:dyDescent="0.3">
      <c r="A160" s="58" t="s">
        <v>435</v>
      </c>
    </row>
    <row r="161" spans="1:49" outlineLevel="1" x14ac:dyDescent="0.3">
      <c r="N161">
        <v>2015</v>
      </c>
      <c r="AC161">
        <v>2030</v>
      </c>
    </row>
    <row r="162" spans="1:49" outlineLevel="2" x14ac:dyDescent="0.3">
      <c r="A162" t="s">
        <v>242</v>
      </c>
      <c r="N162" s="21">
        <v>1.0490119999999998</v>
      </c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>
        <v>4.7298915515844517E-2</v>
      </c>
      <c r="AW162" s="60">
        <v>1.4436000277823479E-4</v>
      </c>
    </row>
    <row r="163" spans="1:49" outlineLevel="2" x14ac:dyDescent="0.3">
      <c r="A163" t="s">
        <v>244</v>
      </c>
      <c r="N163" s="21">
        <v>14.607473000000001</v>
      </c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>
        <v>3.8148799176403902</v>
      </c>
      <c r="AW163" s="60">
        <v>2.6355569391560144E-2</v>
      </c>
    </row>
    <row r="164" spans="1:49" outlineLevel="2" x14ac:dyDescent="0.3">
      <c r="A164" t="s">
        <v>238</v>
      </c>
      <c r="N164" s="21">
        <v>38.131186999999997</v>
      </c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>
        <v>23.966325527023113</v>
      </c>
      <c r="AW164" s="60">
        <v>1.2502901525006287</v>
      </c>
    </row>
    <row r="165" spans="1:49" outlineLevel="2" x14ac:dyDescent="0.3">
      <c r="A165" t="s">
        <v>245</v>
      </c>
      <c r="N165" s="21">
        <v>0</v>
      </c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>
        <v>0</v>
      </c>
      <c r="AW165" s="60">
        <v>8.1039325414680814</v>
      </c>
    </row>
    <row r="166" spans="1:49" outlineLevel="2" x14ac:dyDescent="0.3">
      <c r="A166" t="s">
        <v>246</v>
      </c>
      <c r="N166" s="21">
        <v>0</v>
      </c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>
        <v>0</v>
      </c>
      <c r="AW166" s="60">
        <v>2.1655327407390699</v>
      </c>
    </row>
    <row r="167" spans="1:49" outlineLevel="2" x14ac:dyDescent="0.3">
      <c r="A167" t="s">
        <v>247</v>
      </c>
      <c r="N167" s="21">
        <v>8.4014299999999995</v>
      </c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>
        <v>7.6536611541450856</v>
      </c>
      <c r="AW167" s="60">
        <v>4.7633901218152817</v>
      </c>
    </row>
    <row r="168" spans="1:49" outlineLevel="2" x14ac:dyDescent="0.3">
      <c r="A168" t="s">
        <v>248</v>
      </c>
      <c r="N168" s="21">
        <v>3.7003300000000081</v>
      </c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>
        <v>3.6155338345005821</v>
      </c>
      <c r="AW168" s="60">
        <v>4.531088202051202</v>
      </c>
    </row>
    <row r="169" spans="1:49" outlineLevel="2" x14ac:dyDescent="0.3">
      <c r="A169" t="s">
        <v>249</v>
      </c>
      <c r="N169" s="21">
        <v>1.614242</v>
      </c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>
        <v>18.489005593631475</v>
      </c>
      <c r="AW169" s="60">
        <v>22.33679391172771</v>
      </c>
    </row>
    <row r="170" spans="1:49" outlineLevel="2" x14ac:dyDescent="0.3">
      <c r="A170" t="s">
        <v>221</v>
      </c>
      <c r="N170" s="21">
        <v>62.530097999999995</v>
      </c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>
        <v>61.692122532285289</v>
      </c>
      <c r="AW170" s="60">
        <v>63.539054114491037</v>
      </c>
    </row>
    <row r="171" spans="1:49" outlineLevel="1" x14ac:dyDescent="0.3">
      <c r="A171" t="s">
        <v>242</v>
      </c>
      <c r="B171" t="s">
        <v>441</v>
      </c>
      <c r="N171" s="2">
        <f>N162/SUM(N$36:N$44)</f>
        <v>4.3017103609777696E-3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>
        <f>AC162/SUM(AC$162:AC$170)</f>
        <v>3.9654074840616985E-4</v>
      </c>
      <c r="AW171" s="2">
        <f>AW162/SUM(AW$162:AW$170)</f>
        <v>1.3527420055944592E-6</v>
      </c>
    </row>
    <row r="172" spans="1:49" outlineLevel="1" x14ac:dyDescent="0.3">
      <c r="A172" t="s">
        <v>244</v>
      </c>
      <c r="B172" t="s">
        <v>441</v>
      </c>
      <c r="N172" s="2">
        <f t="shared" ref="N172:N179" si="26">N163/SUM(N$36:N$44)</f>
        <v>5.9901238452756536E-2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>
        <f t="shared" ref="AC172:AC179" si="27">AC163/SUM(AC$162:AC$170)</f>
        <v>3.1982875740862067E-2</v>
      </c>
      <c r="AW172" s="2">
        <f t="shared" ref="AW172:AW179" si="28">AW163/SUM(AW$162:AW$170)</f>
        <v>2.4696789353829463E-4</v>
      </c>
    </row>
    <row r="173" spans="1:49" outlineLevel="1" x14ac:dyDescent="0.3">
      <c r="A173" t="s">
        <v>238</v>
      </c>
      <c r="B173" t="s">
        <v>441</v>
      </c>
      <c r="N173" s="2">
        <f t="shared" si="26"/>
        <v>0.15636553461188324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>
        <f t="shared" si="27"/>
        <v>0.200926904081935</v>
      </c>
      <c r="AW173" s="2">
        <f t="shared" si="28"/>
        <v>1.171598764144457E-2</v>
      </c>
    </row>
    <row r="174" spans="1:49" outlineLevel="1" x14ac:dyDescent="0.3">
      <c r="A174" t="s">
        <v>245</v>
      </c>
      <c r="B174" t="s">
        <v>441</v>
      </c>
      <c r="N174" s="2">
        <f t="shared" si="26"/>
        <v>0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>
        <f t="shared" si="27"/>
        <v>0</v>
      </c>
      <c r="AW174" s="2">
        <f t="shared" si="28"/>
        <v>7.5938831728815673E-2</v>
      </c>
    </row>
    <row r="175" spans="1:49" outlineLevel="1" x14ac:dyDescent="0.3">
      <c r="A175" t="s">
        <v>246</v>
      </c>
      <c r="B175" t="s">
        <v>441</v>
      </c>
      <c r="N175" s="2">
        <f t="shared" si="26"/>
        <v>0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>
        <f t="shared" si="27"/>
        <v>0</v>
      </c>
      <c r="AW175" s="2">
        <f t="shared" si="28"/>
        <v>2.0292373555769308E-2</v>
      </c>
    </row>
    <row r="176" spans="1:49" outlineLevel="1" x14ac:dyDescent="0.3">
      <c r="A176" t="s">
        <v>247</v>
      </c>
      <c r="B176" t="s">
        <v>441</v>
      </c>
      <c r="N176" s="2">
        <f t="shared" si="26"/>
        <v>3.4451959060553615E-2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>
        <f t="shared" si="27"/>
        <v>6.4166133388306554E-2</v>
      </c>
      <c r="AW176" s="2">
        <f t="shared" si="28"/>
        <v>4.4635894865643136E-2</v>
      </c>
    </row>
    <row r="177" spans="1:49" outlineLevel="1" x14ac:dyDescent="0.3">
      <c r="A177" t="s">
        <v>248</v>
      </c>
      <c r="B177" t="s">
        <v>441</v>
      </c>
      <c r="N177" s="2">
        <f t="shared" si="26"/>
        <v>1.5174037951936593E-2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>
        <f t="shared" si="27"/>
        <v>3.0311614483854644E-2</v>
      </c>
      <c r="AW177" s="2">
        <f t="shared" si="28"/>
        <v>4.2459083014732842E-2</v>
      </c>
    </row>
    <row r="178" spans="1:49" outlineLevel="1" x14ac:dyDescent="0.3">
      <c r="A178" t="s">
        <v>249</v>
      </c>
      <c r="B178" t="s">
        <v>441</v>
      </c>
      <c r="N178" s="2">
        <f t="shared" si="26"/>
        <v>6.6195634907183888E-3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>
        <f t="shared" si="27"/>
        <v>0.15500660079465206</v>
      </c>
      <c r="AW178" s="2">
        <f t="shared" si="28"/>
        <v>0.20930949579654839</v>
      </c>
    </row>
    <row r="179" spans="1:49" outlineLevel="1" x14ac:dyDescent="0.3">
      <c r="A179" t="s">
        <v>221</v>
      </c>
      <c r="B179" t="s">
        <v>441</v>
      </c>
      <c r="N179" s="2">
        <f t="shared" si="26"/>
        <v>0.25641877351217657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>
        <f t="shared" si="27"/>
        <v>0.5172093307619835</v>
      </c>
      <c r="AW179" s="2">
        <f t="shared" si="28"/>
        <v>0.59540001276150212</v>
      </c>
    </row>
    <row r="180" spans="1:49" outlineLevel="1" x14ac:dyDescent="0.3"/>
    <row r="181" spans="1:49" s="58" customFormat="1" outlineLevel="1" x14ac:dyDescent="0.3">
      <c r="A181" s="58" t="s">
        <v>442</v>
      </c>
    </row>
    <row r="182" spans="1:49" outlineLevel="1" x14ac:dyDescent="0.3">
      <c r="N182">
        <v>2015</v>
      </c>
      <c r="AC182">
        <v>2030</v>
      </c>
    </row>
    <row r="183" spans="1:49" ht="12.75" customHeight="1" outlineLevel="2" x14ac:dyDescent="0.3">
      <c r="A183" t="s">
        <v>242</v>
      </c>
      <c r="N183" s="21">
        <v>1.0490119999999998</v>
      </c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>
        <v>4.8215769179694425E-2</v>
      </c>
      <c r="AW183" s="60">
        <v>0</v>
      </c>
    </row>
    <row r="184" spans="1:49" outlineLevel="2" x14ac:dyDescent="0.3">
      <c r="A184" t="s">
        <v>244</v>
      </c>
      <c r="N184" s="21">
        <v>14.607473000000001</v>
      </c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>
        <v>2.9617453434311853</v>
      </c>
      <c r="AW184" s="60">
        <v>1.0087573984022295E-2</v>
      </c>
    </row>
    <row r="185" spans="1:49" outlineLevel="2" x14ac:dyDescent="0.3">
      <c r="A185" t="s">
        <v>238</v>
      </c>
      <c r="N185" s="21">
        <v>38.131186999999997</v>
      </c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>
        <v>20.758217440583895</v>
      </c>
      <c r="AW185" s="60">
        <v>1.3025564911240917</v>
      </c>
    </row>
    <row r="186" spans="1:49" outlineLevel="2" x14ac:dyDescent="0.3">
      <c r="A186" t="s">
        <v>245</v>
      </c>
      <c r="N186" s="21">
        <v>0</v>
      </c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>
        <v>0</v>
      </c>
      <c r="AW186" s="60">
        <v>8.8848039368849161</v>
      </c>
    </row>
    <row r="187" spans="1:49" outlineLevel="2" x14ac:dyDescent="0.3">
      <c r="A187" t="s">
        <v>246</v>
      </c>
      <c r="N187" s="21">
        <v>0</v>
      </c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>
        <v>0</v>
      </c>
      <c r="AW187" s="60">
        <v>2.3741971841347733</v>
      </c>
    </row>
    <row r="188" spans="1:49" outlineLevel="2" x14ac:dyDescent="0.3">
      <c r="A188" t="s">
        <v>247</v>
      </c>
      <c r="N188" s="21">
        <v>8.4014299999999995</v>
      </c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>
        <v>9.0865453416953343</v>
      </c>
      <c r="AW188" s="60">
        <v>7.2940615012879908</v>
      </c>
    </row>
    <row r="189" spans="1:49" outlineLevel="2" x14ac:dyDescent="0.3">
      <c r="A189" t="s">
        <v>248</v>
      </c>
      <c r="N189" s="21">
        <v>3.7003300000000081</v>
      </c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>
        <v>4.3588346333164427</v>
      </c>
      <c r="AW189" s="60">
        <v>4.6267256671256005</v>
      </c>
    </row>
    <row r="190" spans="1:49" outlineLevel="2" x14ac:dyDescent="0.3">
      <c r="A190" t="s">
        <v>249</v>
      </c>
      <c r="N190" s="21">
        <v>1.614242</v>
      </c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>
        <v>16.653097148052225</v>
      </c>
      <c r="AW190" s="60">
        <v>19.051052690111774</v>
      </c>
    </row>
    <row r="191" spans="1:49" outlineLevel="2" x14ac:dyDescent="0.3">
      <c r="A191" t="s">
        <v>221</v>
      </c>
      <c r="N191" s="21">
        <v>62.530097999999995</v>
      </c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>
        <v>64.341384570038642</v>
      </c>
      <c r="AW191" s="60">
        <v>65.858823416138506</v>
      </c>
    </row>
    <row r="192" spans="1:49" outlineLevel="1" x14ac:dyDescent="0.3">
      <c r="A192" t="s">
        <v>242</v>
      </c>
      <c r="B192" t="s">
        <v>441</v>
      </c>
      <c r="N192" s="2">
        <f>N183/SUM(N$57:N$65)</f>
        <v>4.3017103609777696E-3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>
        <f>AC183/SUM(AC$183:AC$191)</f>
        <v>4.0788908334181325E-4</v>
      </c>
      <c r="AD192" s="2"/>
      <c r="AW192" s="2">
        <f>AW183/SUM(AW$183:AW$191)</f>
        <v>0</v>
      </c>
    </row>
    <row r="193" spans="1:49" outlineLevel="1" x14ac:dyDescent="0.3">
      <c r="A193" t="s">
        <v>244</v>
      </c>
      <c r="B193" t="s">
        <v>441</v>
      </c>
      <c r="N193" s="2">
        <f t="shared" ref="N193:N200" si="29">N184/SUM(N$57:N$65)</f>
        <v>5.9901238452756536E-2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>
        <f t="shared" ref="AC193:AC200" si="30">AC184/SUM(AC$183:AC$191)</f>
        <v>2.5055362877686779E-2</v>
      </c>
      <c r="AD193" s="2"/>
      <c r="AW193" s="2">
        <f t="shared" ref="AW193:AW200" si="31">AW184/SUM(AW$183:AW$191)</f>
        <v>9.2206226047209479E-5</v>
      </c>
    </row>
    <row r="194" spans="1:49" outlineLevel="1" x14ac:dyDescent="0.3">
      <c r="A194" t="s">
        <v>238</v>
      </c>
      <c r="B194" t="s">
        <v>441</v>
      </c>
      <c r="N194" s="2">
        <f t="shared" si="29"/>
        <v>0.15636553461188324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>
        <f t="shared" si="30"/>
        <v>0.17560749165058673</v>
      </c>
      <c r="AD194" s="2"/>
      <c r="AW194" s="2">
        <f t="shared" si="31"/>
        <v>1.1906115231479879E-2</v>
      </c>
    </row>
    <row r="195" spans="1:49" outlineLevel="1" x14ac:dyDescent="0.3">
      <c r="A195" t="s">
        <v>245</v>
      </c>
      <c r="B195" t="s">
        <v>441</v>
      </c>
      <c r="N195" s="2">
        <f t="shared" si="29"/>
        <v>0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>
        <f t="shared" si="30"/>
        <v>0</v>
      </c>
      <c r="AD195" s="2"/>
      <c r="AW195" s="2">
        <f t="shared" si="31"/>
        <v>8.1212216285811836E-2</v>
      </c>
    </row>
    <row r="196" spans="1:49" outlineLevel="1" x14ac:dyDescent="0.3">
      <c r="A196" t="s">
        <v>246</v>
      </c>
      <c r="B196" t="s">
        <v>441</v>
      </c>
      <c r="N196" s="2">
        <f t="shared" si="29"/>
        <v>0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>
        <f t="shared" si="30"/>
        <v>0</v>
      </c>
      <c r="AD196" s="2"/>
      <c r="AW196" s="2">
        <f t="shared" si="31"/>
        <v>2.1701527303563745E-2</v>
      </c>
    </row>
    <row r="197" spans="1:49" outlineLevel="1" x14ac:dyDescent="0.3">
      <c r="A197" t="s">
        <v>247</v>
      </c>
      <c r="B197" t="s">
        <v>441</v>
      </c>
      <c r="N197" s="2">
        <f t="shared" si="29"/>
        <v>3.4451959060553615E-2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>
        <f t="shared" si="30"/>
        <v>7.6869097252290741E-2</v>
      </c>
      <c r="AD197" s="2"/>
      <c r="AW197" s="2">
        <f t="shared" si="31"/>
        <v>6.6671915829839043E-2</v>
      </c>
    </row>
    <row r="198" spans="1:49" outlineLevel="1" x14ac:dyDescent="0.3">
      <c r="A198" t="s">
        <v>248</v>
      </c>
      <c r="B198" t="s">
        <v>441</v>
      </c>
      <c r="N198" s="2">
        <f t="shared" si="29"/>
        <v>1.5174037951936593E-2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>
        <f t="shared" si="30"/>
        <v>3.6874265271925714E-2</v>
      </c>
      <c r="AD198" s="2"/>
      <c r="AW198" s="2">
        <f t="shared" si="31"/>
        <v>4.2290932725462159E-2</v>
      </c>
    </row>
    <row r="199" spans="1:49" outlineLevel="1" x14ac:dyDescent="0.3">
      <c r="A199" t="s">
        <v>249</v>
      </c>
      <c r="B199" t="s">
        <v>441</v>
      </c>
      <c r="N199" s="2">
        <f t="shared" si="29"/>
        <v>6.6195634907183888E-3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>
        <f t="shared" si="30"/>
        <v>0.14087956380423827</v>
      </c>
      <c r="AD199" s="2"/>
      <c r="AW199" s="2">
        <f t="shared" si="31"/>
        <v>0.17413757495747376</v>
      </c>
    </row>
    <row r="200" spans="1:49" outlineLevel="1" x14ac:dyDescent="0.3">
      <c r="A200" t="s">
        <v>221</v>
      </c>
      <c r="B200" t="s">
        <v>441</v>
      </c>
      <c r="N200" s="2">
        <f t="shared" si="29"/>
        <v>0.25641877351217657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>
        <f t="shared" si="30"/>
        <v>0.5443063300599299</v>
      </c>
      <c r="AD200" s="2"/>
      <c r="AW200" s="2">
        <f t="shared" si="31"/>
        <v>0.60198751144032236</v>
      </c>
    </row>
    <row r="201" spans="1:49" outlineLevel="1" x14ac:dyDescent="0.3"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</row>
    <row r="202" spans="1:49" outlineLevel="1" x14ac:dyDescent="0.3"/>
    <row r="203" spans="1:49" s="18" customFormat="1" outlineLevel="1" x14ac:dyDescent="0.3">
      <c r="A203" s="18" t="s">
        <v>443</v>
      </c>
    </row>
    <row r="204" spans="1:49" outlineLevel="1" x14ac:dyDescent="0.3">
      <c r="D204">
        <v>2005</v>
      </c>
      <c r="E204">
        <v>2006</v>
      </c>
      <c r="F204">
        <v>2007</v>
      </c>
      <c r="G204">
        <v>2008</v>
      </c>
      <c r="H204">
        <v>2009</v>
      </c>
      <c r="I204">
        <v>2010</v>
      </c>
      <c r="J204">
        <v>2011</v>
      </c>
      <c r="K204">
        <v>2012</v>
      </c>
      <c r="L204">
        <v>2013</v>
      </c>
      <c r="M204">
        <v>2014</v>
      </c>
      <c r="N204">
        <v>2015</v>
      </c>
      <c r="O204">
        <v>2016</v>
      </c>
      <c r="P204">
        <v>2017</v>
      </c>
      <c r="Q204">
        <v>2018</v>
      </c>
      <c r="R204">
        <v>2019</v>
      </c>
      <c r="S204">
        <v>2020</v>
      </c>
      <c r="T204">
        <v>2021</v>
      </c>
      <c r="U204">
        <v>2022</v>
      </c>
      <c r="V204">
        <v>2023</v>
      </c>
      <c r="W204">
        <v>2024</v>
      </c>
      <c r="X204">
        <v>2025</v>
      </c>
      <c r="Y204">
        <v>2026</v>
      </c>
      <c r="Z204">
        <v>2027</v>
      </c>
      <c r="AA204">
        <v>2028</v>
      </c>
      <c r="AB204">
        <v>2029</v>
      </c>
      <c r="AC204">
        <v>2030</v>
      </c>
      <c r="AI204" s="123" t="s">
        <v>444</v>
      </c>
      <c r="AJ204" s="123"/>
      <c r="AK204" s="123"/>
      <c r="AL204" s="123"/>
      <c r="AM204" s="123"/>
      <c r="AN204" s="123"/>
    </row>
    <row r="205" spans="1:49" outlineLevel="1" x14ac:dyDescent="0.3">
      <c r="D205">
        <v>2005</v>
      </c>
      <c r="I205">
        <v>2010</v>
      </c>
      <c r="N205">
        <v>2015</v>
      </c>
      <c r="S205">
        <v>2020</v>
      </c>
      <c r="X205">
        <v>2025</v>
      </c>
      <c r="AC205">
        <v>2030</v>
      </c>
      <c r="AI205">
        <v>2017</v>
      </c>
      <c r="AJ205">
        <v>2018</v>
      </c>
      <c r="AK205">
        <v>2019</v>
      </c>
      <c r="AL205">
        <v>2020</v>
      </c>
      <c r="AM205">
        <v>2021</v>
      </c>
      <c r="AN205" t="s">
        <v>446</v>
      </c>
    </row>
    <row r="206" spans="1:49" outlineLevel="1" x14ac:dyDescent="0.3">
      <c r="A206" t="s">
        <v>238</v>
      </c>
      <c r="D206" s="45">
        <f>D132</f>
        <v>0.28674039037497423</v>
      </c>
      <c r="E206" s="45">
        <f t="shared" ref="E206:T206" si="32">E132</f>
        <v>0.29486290234120116</v>
      </c>
      <c r="F206" s="45">
        <f t="shared" si="32"/>
        <v>0.27916184055389059</v>
      </c>
      <c r="G206" s="45">
        <f t="shared" si="32"/>
        <v>0.27953515254323791</v>
      </c>
      <c r="H206" s="45">
        <f t="shared" si="32"/>
        <v>0.28366204649764776</v>
      </c>
      <c r="I206" s="45">
        <f t="shared" si="32"/>
        <v>0.28833418812747164</v>
      </c>
      <c r="J206" s="45">
        <f t="shared" si="32"/>
        <v>0.27263557743582195</v>
      </c>
      <c r="K206" s="45">
        <f t="shared" si="32"/>
        <v>0.27835656992315033</v>
      </c>
      <c r="L206" s="45">
        <f t="shared" si="32"/>
        <v>0.29089060435175823</v>
      </c>
      <c r="M206" s="45">
        <f t="shared" si="32"/>
        <v>0.27168807252326377</v>
      </c>
      <c r="N206" s="45">
        <f t="shared" si="32"/>
        <v>0.28008435178076657</v>
      </c>
      <c r="O206" s="45">
        <f t="shared" si="32"/>
        <v>0.28063693134663564</v>
      </c>
      <c r="P206" s="45">
        <f t="shared" si="32"/>
        <v>0.27195332894992275</v>
      </c>
      <c r="Q206" s="45">
        <f t="shared" si="32"/>
        <v>0.28727600615236737</v>
      </c>
      <c r="R206" s="45">
        <f t="shared" si="32"/>
        <v>0.28133633645814488</v>
      </c>
      <c r="S206" s="45">
        <f t="shared" si="32"/>
        <v>0.28510519337908574</v>
      </c>
      <c r="T206" s="45">
        <f t="shared" si="32"/>
        <v>0.29523750247937836</v>
      </c>
      <c r="AI206" s="50">
        <f>(P206+P207)-(O206+O207)</f>
        <v>-1.1673125812072915E-2</v>
      </c>
      <c r="AJ206" s="50">
        <f>(Q206+Q207)-(P206+P207)</f>
        <v>-1.2610579125517218E-2</v>
      </c>
      <c r="AK206" s="50">
        <f>(R206+R207)-(Q206+Q207)</f>
        <v>-5.8068819332334209E-3</v>
      </c>
      <c r="AL206" s="50">
        <f>(S206+S207)-(R206+R207)</f>
        <v>1.578531097217839E-3</v>
      </c>
      <c r="AM206" s="50">
        <f>(T206+T207)-(S206+S207)</f>
        <v>1.4534315561566369E-2</v>
      </c>
    </row>
    <row r="207" spans="1:49" outlineLevel="1" x14ac:dyDescent="0.3">
      <c r="A207" t="s">
        <v>445</v>
      </c>
      <c r="D207" s="45">
        <f>D130+D131</f>
        <v>0.18303492859148743</v>
      </c>
      <c r="E207" s="45">
        <f t="shared" ref="E207:T207" si="33">E130+E131</f>
        <v>0.17168610644333099</v>
      </c>
      <c r="F207" s="45">
        <f t="shared" si="33"/>
        <v>0.14938053678071175</v>
      </c>
      <c r="G207" s="45">
        <f t="shared" si="33"/>
        <v>0.15940341770210814</v>
      </c>
      <c r="H207" s="45">
        <f t="shared" si="33"/>
        <v>0.14889909505903409</v>
      </c>
      <c r="I207" s="45">
        <f t="shared" si="33"/>
        <v>0.14004175449219833</v>
      </c>
      <c r="J207" s="45">
        <f t="shared" si="33"/>
        <v>0.13533181280619094</v>
      </c>
      <c r="K207" s="45">
        <f t="shared" si="33"/>
        <v>0.13064461306752884</v>
      </c>
      <c r="L207" s="45">
        <f t="shared" si="33"/>
        <v>0.13331936715822404</v>
      </c>
      <c r="M207" s="45">
        <f t="shared" si="33"/>
        <v>0.1280795218746815</v>
      </c>
      <c r="N207" s="45">
        <f t="shared" si="33"/>
        <v>0.12356209545552101</v>
      </c>
      <c r="O207" s="45">
        <f t="shared" si="33"/>
        <v>0.12070586139234032</v>
      </c>
      <c r="P207" s="45">
        <f t="shared" si="33"/>
        <v>0.11771633797698035</v>
      </c>
      <c r="Q207" s="45">
        <f t="shared" si="33"/>
        <v>8.9783081649018492E-2</v>
      </c>
      <c r="R207" s="45">
        <f t="shared" si="33"/>
        <v>8.9915869410007537E-2</v>
      </c>
      <c r="S207" s="45">
        <f t="shared" si="33"/>
        <v>8.7725543586284566E-2</v>
      </c>
      <c r="T207" s="45">
        <f t="shared" si="33"/>
        <v>9.2127550047558279E-2</v>
      </c>
      <c r="AN207" s="31">
        <f>((AC218+AC219)-(T206+T207))/9</f>
        <v>-1.8960233214546793E-2</v>
      </c>
    </row>
    <row r="208" spans="1:49" outlineLevel="1" x14ac:dyDescent="0.3">
      <c r="A208" t="s">
        <v>221</v>
      </c>
      <c r="D208" s="45">
        <f>D133</f>
        <v>0.4358717270610048</v>
      </c>
      <c r="E208" s="45">
        <f t="shared" ref="E208:T211" si="34">E133</f>
        <v>0.44263953826605279</v>
      </c>
      <c r="F208" s="45">
        <f t="shared" si="34"/>
        <v>0.47337411728534018</v>
      </c>
      <c r="G208" s="45">
        <f t="shared" si="34"/>
        <v>0.46008125565358077</v>
      </c>
      <c r="H208" s="45">
        <f t="shared" si="34"/>
        <v>0.46433031368751032</v>
      </c>
      <c r="I208" s="45">
        <f t="shared" si="34"/>
        <v>0.4569074026705896</v>
      </c>
      <c r="J208" s="45">
        <f t="shared" si="34"/>
        <v>0.48565312964172158</v>
      </c>
      <c r="K208" s="45">
        <f t="shared" si="34"/>
        <v>0.48114770873911977</v>
      </c>
      <c r="L208" s="45">
        <f t="shared" si="34"/>
        <v>0.47215821895780563</v>
      </c>
      <c r="M208" s="45">
        <f t="shared" si="34"/>
        <v>0.49203882892340833</v>
      </c>
      <c r="N208" s="45">
        <f t="shared" si="34"/>
        <v>0.49050824600429771</v>
      </c>
      <c r="O208" s="45">
        <f t="shared" si="34"/>
        <v>0.48843922633937875</v>
      </c>
      <c r="P208" s="45">
        <f t="shared" si="34"/>
        <v>0.47587446242701398</v>
      </c>
      <c r="Q208" s="45">
        <f t="shared" si="34"/>
        <v>0.4834062190636545</v>
      </c>
      <c r="R208" s="45">
        <f t="shared" si="34"/>
        <v>0.48537197021579132</v>
      </c>
      <c r="S208" s="45">
        <f t="shared" si="34"/>
        <v>0.48050100174958987</v>
      </c>
      <c r="T208" s="45">
        <f t="shared" si="34"/>
        <v>0.4630509370410521</v>
      </c>
    </row>
    <row r="209" spans="1:39" outlineLevel="1" x14ac:dyDescent="0.3">
      <c r="A209" t="s">
        <v>223</v>
      </c>
      <c r="D209" s="45">
        <f>D134</f>
        <v>7.378560834326843E-2</v>
      </c>
      <c r="E209" s="45">
        <f t="shared" si="34"/>
        <v>6.9686819623166488E-2</v>
      </c>
      <c r="F209" s="45">
        <f t="shared" si="34"/>
        <v>7.3742026700063815E-2</v>
      </c>
      <c r="G209" s="45">
        <f t="shared" si="34"/>
        <v>7.4736693381736205E-2</v>
      </c>
      <c r="H209" s="45">
        <f t="shared" si="34"/>
        <v>7.4995721790034303E-2</v>
      </c>
      <c r="I209" s="45">
        <f t="shared" si="34"/>
        <v>8.4048792717162521E-2</v>
      </c>
      <c r="J209" s="45">
        <f t="shared" si="34"/>
        <v>7.5904284728475699E-2</v>
      </c>
      <c r="K209" s="45">
        <f t="shared" si="34"/>
        <v>7.6371954314830154E-2</v>
      </c>
      <c r="L209" s="45">
        <f t="shared" si="34"/>
        <v>6.835225667182783E-2</v>
      </c>
      <c r="M209" s="45">
        <f t="shared" si="34"/>
        <v>6.9000715456229059E-2</v>
      </c>
      <c r="N209" s="45">
        <f t="shared" si="34"/>
        <v>6.5831494680915759E-2</v>
      </c>
      <c r="O209" s="45">
        <f t="shared" si="34"/>
        <v>6.8021758575033134E-2</v>
      </c>
      <c r="P209" s="45">
        <f t="shared" si="34"/>
        <v>6.8986542953595117E-2</v>
      </c>
      <c r="Q209" s="45">
        <f t="shared" si="34"/>
        <v>7.0235509523141393E-2</v>
      </c>
      <c r="R209" s="45">
        <f t="shared" si="34"/>
        <v>7.090936979965777E-2</v>
      </c>
      <c r="S209" s="45">
        <f t="shared" si="34"/>
        <v>6.9854629191958006E-2</v>
      </c>
      <c r="T209" s="45">
        <f t="shared" si="34"/>
        <v>7.2671761678258548E-2</v>
      </c>
    </row>
    <row r="210" spans="1:39" outlineLevel="1" x14ac:dyDescent="0.3">
      <c r="A210" t="s">
        <v>222</v>
      </c>
      <c r="D210" s="45">
        <f>D135</f>
        <v>1.6231475504010218E-2</v>
      </c>
      <c r="E210" s="45">
        <f t="shared" si="34"/>
        <v>1.6677183425327716E-2</v>
      </c>
      <c r="F210" s="45">
        <f t="shared" si="34"/>
        <v>1.9280893255358807E-2</v>
      </c>
      <c r="G210" s="45">
        <f t="shared" si="34"/>
        <v>2.0766669373469372E-2</v>
      </c>
      <c r="H210" s="45">
        <f t="shared" si="34"/>
        <v>2.2327052943434511E-2</v>
      </c>
      <c r="I210" s="45">
        <f t="shared" si="34"/>
        <v>2.4661362147189534E-2</v>
      </c>
      <c r="J210" s="45">
        <f t="shared" si="34"/>
        <v>2.2523938404310054E-2</v>
      </c>
      <c r="K210" s="45">
        <f t="shared" si="34"/>
        <v>2.4854539085757528E-2</v>
      </c>
      <c r="L210" s="45">
        <f t="shared" si="34"/>
        <v>2.5927110353791642E-2</v>
      </c>
      <c r="M210" s="45">
        <f t="shared" si="34"/>
        <v>2.5403763538107138E-2</v>
      </c>
      <c r="N210" s="45">
        <f t="shared" si="34"/>
        <v>2.5960112464579958E-2</v>
      </c>
      <c r="O210" s="45">
        <f t="shared" si="34"/>
        <v>2.7083884913821923E-2</v>
      </c>
      <c r="P210" s="45">
        <f t="shared" si="34"/>
        <v>2.8349169399127752E-2</v>
      </c>
      <c r="Q210" s="45">
        <f t="shared" si="34"/>
        <v>3.0277621441593742E-2</v>
      </c>
      <c r="R210" s="45">
        <f t="shared" si="34"/>
        <v>3.1400164618123345E-2</v>
      </c>
      <c r="S210" s="45">
        <f t="shared" si="34"/>
        <v>3.2722989521408834E-2</v>
      </c>
      <c r="T210" s="45">
        <f t="shared" si="34"/>
        <v>3.3162295928449381E-2</v>
      </c>
    </row>
    <row r="211" spans="1:39" outlineLevel="1" x14ac:dyDescent="0.3">
      <c r="A211" t="s">
        <v>447</v>
      </c>
      <c r="D211" s="45">
        <f>D136</f>
        <v>4.3358310568153572E-3</v>
      </c>
      <c r="E211" s="45">
        <f t="shared" si="34"/>
        <v>4.4474649373922688E-3</v>
      </c>
      <c r="F211" s="45">
        <f t="shared" si="34"/>
        <v>5.0605616714821172E-3</v>
      </c>
      <c r="G211" s="45">
        <f t="shared" si="34"/>
        <v>5.4768337038195013E-3</v>
      </c>
      <c r="H211" s="45">
        <f t="shared" si="34"/>
        <v>5.7857700223389917E-3</v>
      </c>
      <c r="I211" s="45">
        <f t="shared" si="34"/>
        <v>6.0064998453883932E-3</v>
      </c>
      <c r="J211" s="45">
        <f t="shared" si="34"/>
        <v>7.9512491896349957E-3</v>
      </c>
      <c r="K211" s="45">
        <f t="shared" si="34"/>
        <v>8.6246529944459666E-3</v>
      </c>
      <c r="L211" s="45">
        <f t="shared" si="34"/>
        <v>9.3524349722417573E-3</v>
      </c>
      <c r="M211" s="45">
        <f t="shared" si="34"/>
        <v>1.3789073380202294E-2</v>
      </c>
      <c r="N211" s="45">
        <f t="shared" si="34"/>
        <v>1.4053637366505851E-2</v>
      </c>
      <c r="O211" s="45">
        <f t="shared" si="34"/>
        <v>1.5112406572405708E-2</v>
      </c>
      <c r="P211" s="45">
        <f t="shared" si="34"/>
        <v>3.7120173231881944E-2</v>
      </c>
      <c r="Q211" s="45">
        <f t="shared" si="34"/>
        <v>3.9021577360579901E-2</v>
      </c>
      <c r="R211" s="45">
        <f t="shared" si="34"/>
        <v>4.106625060830716E-2</v>
      </c>
      <c r="S211" s="45">
        <f t="shared" si="34"/>
        <v>4.4090642571672882E-2</v>
      </c>
      <c r="T211" s="45">
        <f t="shared" si="34"/>
        <v>4.3749968292417042E-2</v>
      </c>
      <c r="AH211" t="s">
        <v>448</v>
      </c>
      <c r="AI211" t="s">
        <v>449</v>
      </c>
    </row>
    <row r="212" spans="1:39" outlineLevel="1" x14ac:dyDescent="0.3">
      <c r="A212" t="s">
        <v>450</v>
      </c>
      <c r="D212" s="45">
        <f t="shared" ref="D212:T217" si="35">D206</f>
        <v>0.28674039037497423</v>
      </c>
      <c r="E212" s="45">
        <f t="shared" si="35"/>
        <v>0.29486290234120116</v>
      </c>
      <c r="F212" s="45">
        <f t="shared" si="35"/>
        <v>0.27916184055389059</v>
      </c>
      <c r="G212" s="45">
        <f t="shared" si="35"/>
        <v>0.27953515254323791</v>
      </c>
      <c r="H212" s="45">
        <f t="shared" si="35"/>
        <v>0.28366204649764776</v>
      </c>
      <c r="I212" s="45">
        <f t="shared" si="35"/>
        <v>0.28833418812747164</v>
      </c>
      <c r="J212" s="45">
        <f t="shared" si="35"/>
        <v>0.27263557743582195</v>
      </c>
      <c r="K212" s="45">
        <f t="shared" si="35"/>
        <v>0.27835656992315033</v>
      </c>
      <c r="L212" s="45">
        <f t="shared" si="35"/>
        <v>0.29089060435175823</v>
      </c>
      <c r="M212" s="45">
        <f t="shared" si="35"/>
        <v>0.27168807252326377</v>
      </c>
      <c r="N212" s="45">
        <f t="shared" si="35"/>
        <v>0.28008435178076657</v>
      </c>
      <c r="O212" s="45">
        <f t="shared" si="35"/>
        <v>0.28063693134663564</v>
      </c>
      <c r="P212" s="45">
        <f t="shared" si="35"/>
        <v>0.27195332894992275</v>
      </c>
      <c r="Q212" s="45">
        <f t="shared" si="35"/>
        <v>0.28727600615236737</v>
      </c>
      <c r="R212" s="45">
        <f t="shared" si="35"/>
        <v>0.28133633645814488</v>
      </c>
      <c r="S212" s="45">
        <f t="shared" si="35"/>
        <v>0.28510519337908574</v>
      </c>
      <c r="T212" s="45">
        <f t="shared" si="35"/>
        <v>0.29523750247937836</v>
      </c>
      <c r="U212" s="2" cm="1">
        <f t="array" ref="U212">TREND($J206:$T206,$J$78:$T$78,U$78)</f>
        <v>0.28871201551392023</v>
      </c>
      <c r="V212" s="2" cm="1">
        <f t="array" ref="V212">TREND($J206:$T206,$J$78:$T$78,V$78)</f>
        <v>0.28993370787562966</v>
      </c>
      <c r="W212" s="2" cm="1">
        <f t="array" ref="W212">TREND($J206:$T206,$J$78:$T$78,W$78)</f>
        <v>0.29115540023733955</v>
      </c>
      <c r="X212" s="2" cm="1">
        <f t="array" ref="X212">TREND($J206:$T206,$J$78:$T$78,X$78)</f>
        <v>0.29237709259904898</v>
      </c>
      <c r="Y212" s="2" cm="1">
        <f t="array" ref="Y212">TREND($J206:$T206,$J$78:$T$78,Y$78)</f>
        <v>0.29359878496075842</v>
      </c>
      <c r="Z212" s="2" cm="1">
        <f t="array" ref="Z212">TREND($J206:$T206,$J$78:$T$78,Z$78)</f>
        <v>0.29482047732246786</v>
      </c>
      <c r="AA212" s="2" cm="1">
        <f t="array" ref="AA212">TREND($J206:$T206,$J$78:$T$78,AA$78)</f>
        <v>0.29604216968417729</v>
      </c>
      <c r="AB212" s="2" cm="1">
        <f t="array" ref="AB212">TREND($J206:$T206,$J$78:$T$78,AB$78)</f>
        <v>0.29726386204588717</v>
      </c>
      <c r="AC212" s="2" cm="1">
        <f t="array" ref="AC212">TREND($J206:$T206,$J$78:$T$78,AC$78)</f>
        <v>0.29848555440759661</v>
      </c>
      <c r="AG212" t="s">
        <v>238</v>
      </c>
      <c r="AH212" s="45">
        <f>AC212</f>
        <v>0.29848555440759661</v>
      </c>
      <c r="AI212" s="45">
        <f>AC218</f>
        <v>0.18826719786626087</v>
      </c>
    </row>
    <row r="213" spans="1:39" outlineLevel="1" x14ac:dyDescent="0.3">
      <c r="A213" t="s">
        <v>451</v>
      </c>
      <c r="D213" s="45">
        <f t="shared" si="35"/>
        <v>0.18303492859148743</v>
      </c>
      <c r="E213" s="45">
        <f t="shared" si="35"/>
        <v>0.17168610644333099</v>
      </c>
      <c r="F213" s="45">
        <f t="shared" si="35"/>
        <v>0.14938053678071175</v>
      </c>
      <c r="G213" s="45">
        <f t="shared" si="35"/>
        <v>0.15940341770210814</v>
      </c>
      <c r="H213" s="45">
        <f t="shared" si="35"/>
        <v>0.14889909505903409</v>
      </c>
      <c r="I213" s="45">
        <f t="shared" si="35"/>
        <v>0.14004175449219833</v>
      </c>
      <c r="J213" s="45">
        <f t="shared" si="35"/>
        <v>0.13533181280619094</v>
      </c>
      <c r="K213" s="45">
        <f t="shared" si="35"/>
        <v>0.13064461306752884</v>
      </c>
      <c r="L213" s="45">
        <f t="shared" si="35"/>
        <v>0.13331936715822404</v>
      </c>
      <c r="M213" s="45">
        <f t="shared" si="35"/>
        <v>0.1280795218746815</v>
      </c>
      <c r="N213" s="45">
        <f t="shared" si="35"/>
        <v>0.12356209545552101</v>
      </c>
      <c r="O213" s="45">
        <f t="shared" si="35"/>
        <v>0.12070586139234032</v>
      </c>
      <c r="P213" s="45">
        <f t="shared" si="35"/>
        <v>0.11771633797698035</v>
      </c>
      <c r="Q213" s="45">
        <f t="shared" si="35"/>
        <v>8.9783081649018492E-2</v>
      </c>
      <c r="R213" s="45">
        <f t="shared" si="35"/>
        <v>8.9915869410007537E-2</v>
      </c>
      <c r="S213" s="45">
        <f t="shared" si="35"/>
        <v>8.7725543586284566E-2</v>
      </c>
      <c r="T213" s="45">
        <f t="shared" si="35"/>
        <v>9.2127550047558279E-2</v>
      </c>
      <c r="U213" s="2" cm="1">
        <f t="array" ref="U213">TREND($J207:$T207,$J$78:$T$78,U$78)</f>
        <v>8.0791238244430019E-2</v>
      </c>
      <c r="V213" s="2" cm="1">
        <f t="array" ref="V213">TREND($J207:$T207,$J$78:$T$78,V$78)</f>
        <v>7.5333540763587337E-2</v>
      </c>
      <c r="W213" s="2" cm="1">
        <f t="array" ref="W213">TREND($J207:$T207,$J$78:$T$78,W$78)</f>
        <v>6.9875843282744654E-2</v>
      </c>
      <c r="X213" s="2" cm="1">
        <f t="array" ref="X213">TREND($J207:$T207,$J$78:$T$78,X$78)</f>
        <v>6.4418145801901971E-2</v>
      </c>
      <c r="Y213" s="2" cm="1">
        <f t="array" ref="Y213">TREND($J207:$T207,$J$78:$T$78,Y$78)</f>
        <v>5.8960448321061065E-2</v>
      </c>
      <c r="Z213" s="2" cm="1">
        <f t="array" ref="Z213">TREND($J207:$T207,$J$78:$T$78,Z$78)</f>
        <v>5.3502750840218383E-2</v>
      </c>
      <c r="AA213" s="2" cm="1">
        <f t="array" ref="AA213">TREND($J207:$T207,$J$78:$T$78,AA$78)</f>
        <v>4.80450533593757E-2</v>
      </c>
      <c r="AB213" s="2" cm="1">
        <f t="array" ref="AB213">TREND($J207:$T207,$J$78:$T$78,AB$78)</f>
        <v>4.2587355878533018E-2</v>
      </c>
      <c r="AC213" s="2" cm="1">
        <f t="array" ref="AC213">TREND($J207:$T207,$J$78:$T$78,AC$78)</f>
        <v>3.7129658397690335E-2</v>
      </c>
      <c r="AG213" t="s">
        <v>452</v>
      </c>
      <c r="AH213" s="45">
        <f t="shared" ref="AH213:AH217" si="36">AC213</f>
        <v>3.7129658397690335E-2</v>
      </c>
      <c r="AI213" s="45">
        <f t="shared" ref="AI213:AI217" si="37">AC219</f>
        <v>2.8455755729754634E-2</v>
      </c>
    </row>
    <row r="214" spans="1:39" outlineLevel="1" x14ac:dyDescent="0.3">
      <c r="A214" t="s">
        <v>453</v>
      </c>
      <c r="D214" s="45">
        <f t="shared" si="35"/>
        <v>0.4358717270610048</v>
      </c>
      <c r="E214" s="45">
        <f t="shared" si="35"/>
        <v>0.44263953826605279</v>
      </c>
      <c r="F214" s="45">
        <f t="shared" si="35"/>
        <v>0.47337411728534018</v>
      </c>
      <c r="G214" s="45">
        <f t="shared" si="35"/>
        <v>0.46008125565358077</v>
      </c>
      <c r="H214" s="45">
        <f t="shared" si="35"/>
        <v>0.46433031368751032</v>
      </c>
      <c r="I214" s="45">
        <f t="shared" si="35"/>
        <v>0.4569074026705896</v>
      </c>
      <c r="J214" s="45">
        <f t="shared" si="35"/>
        <v>0.48565312964172158</v>
      </c>
      <c r="K214" s="45">
        <f t="shared" si="35"/>
        <v>0.48114770873911977</v>
      </c>
      <c r="L214" s="45">
        <f t="shared" si="35"/>
        <v>0.47215821895780563</v>
      </c>
      <c r="M214" s="45">
        <f t="shared" si="35"/>
        <v>0.49203882892340833</v>
      </c>
      <c r="N214" s="45">
        <f t="shared" si="35"/>
        <v>0.49050824600429771</v>
      </c>
      <c r="O214" s="45">
        <f t="shared" si="35"/>
        <v>0.48843922633937875</v>
      </c>
      <c r="P214" s="45">
        <f t="shared" si="35"/>
        <v>0.47587446242701398</v>
      </c>
      <c r="Q214" s="45">
        <f t="shared" si="35"/>
        <v>0.4834062190636545</v>
      </c>
      <c r="R214" s="45">
        <f t="shared" si="35"/>
        <v>0.48537197021579132</v>
      </c>
      <c r="S214" s="45">
        <f t="shared" si="35"/>
        <v>0.48050100174958987</v>
      </c>
      <c r="T214" s="45">
        <f t="shared" si="35"/>
        <v>0.4630509370410521</v>
      </c>
      <c r="U214" s="2" cm="1">
        <f t="array" ref="U214">TREND($J208:$T208,$J$78:$T$78,U$78)</f>
        <v>0.47576696589202294</v>
      </c>
      <c r="V214" s="2" cm="1">
        <f t="array" ref="V214">TREND($J208:$T208,$J$78:$T$78,V$78)</f>
        <v>0.47478646097852928</v>
      </c>
      <c r="W214" s="2" cm="1">
        <f t="array" ref="W214">TREND($J208:$T208,$J$78:$T$78,W$78)</f>
        <v>0.47380595606503562</v>
      </c>
      <c r="X214" s="2" cm="1">
        <f t="array" ref="X214">TREND($J208:$T208,$J$78:$T$78,X$78)</f>
        <v>0.47282545115154218</v>
      </c>
      <c r="Y214" s="2" cm="1">
        <f t="array" ref="Y214">TREND($J208:$T208,$J$78:$T$78,Y$78)</f>
        <v>0.47184494623804851</v>
      </c>
      <c r="Z214" s="2" cm="1">
        <f t="array" ref="Z214">TREND($J208:$T208,$J$78:$T$78,Z$78)</f>
        <v>0.47086444132455485</v>
      </c>
      <c r="AA214" s="2" cm="1">
        <f t="array" ref="AA214">TREND($J208:$T208,$J$78:$T$78,AA$78)</f>
        <v>0.46988393641106119</v>
      </c>
      <c r="AB214" s="2" cm="1">
        <f t="array" ref="AB214">TREND($J208:$T208,$J$78:$T$78,AB$78)</f>
        <v>0.46890343149756752</v>
      </c>
      <c r="AC214" s="2" cm="1">
        <f t="array" ref="AC214">TREND($J208:$T208,$J$78:$T$78,AC$78)</f>
        <v>0.46792292658407386</v>
      </c>
      <c r="AG214" t="s">
        <v>221</v>
      </c>
      <c r="AH214" s="45">
        <f t="shared" si="36"/>
        <v>0.46792292658407386</v>
      </c>
      <c r="AI214" s="45">
        <f t="shared" si="37"/>
        <v>0.5307578304109567</v>
      </c>
    </row>
    <row r="215" spans="1:39" outlineLevel="1" x14ac:dyDescent="0.3">
      <c r="A215" t="s">
        <v>454</v>
      </c>
      <c r="D215" s="45">
        <f t="shared" si="35"/>
        <v>7.378560834326843E-2</v>
      </c>
      <c r="E215" s="45">
        <f t="shared" si="35"/>
        <v>6.9686819623166488E-2</v>
      </c>
      <c r="F215" s="45">
        <f t="shared" si="35"/>
        <v>7.3742026700063815E-2</v>
      </c>
      <c r="G215" s="45">
        <f t="shared" si="35"/>
        <v>7.4736693381736205E-2</v>
      </c>
      <c r="H215" s="45">
        <f t="shared" si="35"/>
        <v>7.4995721790034303E-2</v>
      </c>
      <c r="I215" s="45">
        <f t="shared" si="35"/>
        <v>8.4048792717162521E-2</v>
      </c>
      <c r="J215" s="45">
        <f t="shared" si="35"/>
        <v>7.5904284728475699E-2</v>
      </c>
      <c r="K215" s="45">
        <f t="shared" si="35"/>
        <v>7.6371954314830154E-2</v>
      </c>
      <c r="L215" s="45">
        <f t="shared" si="35"/>
        <v>6.835225667182783E-2</v>
      </c>
      <c r="M215" s="45">
        <f t="shared" si="35"/>
        <v>6.9000715456229059E-2</v>
      </c>
      <c r="N215" s="45">
        <f t="shared" si="35"/>
        <v>6.5831494680915759E-2</v>
      </c>
      <c r="O215" s="45">
        <f t="shared" si="35"/>
        <v>6.8021758575033134E-2</v>
      </c>
      <c r="P215" s="45">
        <f t="shared" si="35"/>
        <v>6.8986542953595117E-2</v>
      </c>
      <c r="Q215" s="45">
        <f t="shared" si="35"/>
        <v>7.0235509523141393E-2</v>
      </c>
      <c r="R215" s="45">
        <f t="shared" si="35"/>
        <v>7.090936979965777E-2</v>
      </c>
      <c r="S215" s="45">
        <f t="shared" si="35"/>
        <v>6.9854629191958006E-2</v>
      </c>
      <c r="T215" s="45">
        <f t="shared" si="35"/>
        <v>7.2671761678258548E-2</v>
      </c>
      <c r="U215" s="2" cm="1">
        <f t="array" ref="U215">TREND($J209:$T209,$J$78:$T$78,U$78)</f>
        <v>6.8979883054761326E-2</v>
      </c>
      <c r="V215" s="2" cm="1">
        <f t="array" ref="V215">TREND($J209:$T209,$J$78:$T$78,V$78)</f>
        <v>6.8716829055192385E-2</v>
      </c>
      <c r="W215" s="2" cm="1">
        <f t="array" ref="W215">TREND($J209:$T209,$J$78:$T$78,W$78)</f>
        <v>6.8453775055623445E-2</v>
      </c>
      <c r="X215" s="2" cm="1">
        <f t="array" ref="X215">TREND($J209:$T209,$J$78:$T$78,X$78)</f>
        <v>6.8190721056054504E-2</v>
      </c>
      <c r="Y215" s="2" cm="1">
        <f t="array" ref="Y215">TREND($J209:$T209,$J$78:$T$78,Y$78)</f>
        <v>6.7927667056485674E-2</v>
      </c>
      <c r="Z215" s="2" cm="1">
        <f t="array" ref="Z215">TREND($J209:$T209,$J$78:$T$78,Z$78)</f>
        <v>6.7664613056916734E-2</v>
      </c>
      <c r="AA215" s="2" cm="1">
        <f t="array" ref="AA215">TREND($J209:$T209,$J$78:$T$78,AA$78)</f>
        <v>6.7401559057347793E-2</v>
      </c>
      <c r="AB215" s="2" cm="1">
        <f t="array" ref="AB215">TREND($J209:$T209,$J$78:$T$78,AB$78)</f>
        <v>6.7138505057778852E-2</v>
      </c>
      <c r="AC215" s="2" cm="1">
        <f t="array" ref="AC215">TREND($J209:$T209,$J$78:$T$78,AC$78)</f>
        <v>6.6875451058210023E-2</v>
      </c>
      <c r="AG215" t="s">
        <v>223</v>
      </c>
      <c r="AH215" s="45">
        <f t="shared" si="36"/>
        <v>6.6875451058210023E-2</v>
      </c>
      <c r="AI215" s="45">
        <f t="shared" si="37"/>
        <v>7.1317182635091125E-2</v>
      </c>
    </row>
    <row r="216" spans="1:39" outlineLevel="1" x14ac:dyDescent="0.3">
      <c r="A216" t="s">
        <v>455</v>
      </c>
      <c r="D216" s="45">
        <f t="shared" si="35"/>
        <v>1.6231475504010218E-2</v>
      </c>
      <c r="E216" s="45">
        <f t="shared" si="35"/>
        <v>1.6677183425327716E-2</v>
      </c>
      <c r="F216" s="45">
        <f t="shared" si="35"/>
        <v>1.9280893255358807E-2</v>
      </c>
      <c r="G216" s="45">
        <f t="shared" si="35"/>
        <v>2.0766669373469372E-2</v>
      </c>
      <c r="H216" s="45">
        <f t="shared" si="35"/>
        <v>2.2327052943434511E-2</v>
      </c>
      <c r="I216" s="45">
        <f t="shared" si="35"/>
        <v>2.4661362147189534E-2</v>
      </c>
      <c r="J216" s="45">
        <f t="shared" si="35"/>
        <v>2.2523938404310054E-2</v>
      </c>
      <c r="K216" s="45">
        <f t="shared" si="35"/>
        <v>2.4854539085757528E-2</v>
      </c>
      <c r="L216" s="45">
        <f t="shared" si="35"/>
        <v>2.5927110353791642E-2</v>
      </c>
      <c r="M216" s="45">
        <f t="shared" si="35"/>
        <v>2.5403763538107138E-2</v>
      </c>
      <c r="N216" s="45">
        <f t="shared" si="35"/>
        <v>2.5960112464579958E-2</v>
      </c>
      <c r="O216" s="45">
        <f t="shared" si="35"/>
        <v>2.7083884913821923E-2</v>
      </c>
      <c r="P216" s="45">
        <f t="shared" si="35"/>
        <v>2.8349169399127752E-2</v>
      </c>
      <c r="Q216" s="45">
        <f t="shared" si="35"/>
        <v>3.0277621441593742E-2</v>
      </c>
      <c r="R216" s="45">
        <f t="shared" si="35"/>
        <v>3.1400164618123345E-2</v>
      </c>
      <c r="S216" s="45">
        <f t="shared" si="35"/>
        <v>3.2722989521408834E-2</v>
      </c>
      <c r="T216" s="45">
        <f t="shared" si="35"/>
        <v>3.3162295928449381E-2</v>
      </c>
      <c r="U216" s="2" cm="1">
        <f t="array" ref="U216">TREND($J210:$T210,$J$78:$T$78,U$78)</f>
        <v>3.414531860070591E-2</v>
      </c>
      <c r="V216" s="2" cm="1">
        <f t="array" ref="V216">TREND($J210:$T210,$J$78:$T$78,V$78)</f>
        <v>3.5174605190686048E-2</v>
      </c>
      <c r="W216" s="2" cm="1">
        <f t="array" ref="W216">TREND($J210:$T210,$J$78:$T$78,W$78)</f>
        <v>3.6203891780666186E-2</v>
      </c>
      <c r="X216" s="2" cm="1">
        <f t="array" ref="X216">TREND($J210:$T210,$J$78:$T$78,X$78)</f>
        <v>3.7233178370646325E-2</v>
      </c>
      <c r="Y216" s="2" cm="1">
        <f t="array" ref="Y216">TREND($J210:$T210,$J$78:$T$78,Y$78)</f>
        <v>3.8262464960626463E-2</v>
      </c>
      <c r="Z216" s="2" cm="1">
        <f t="array" ref="Z216">TREND($J210:$T210,$J$78:$T$78,Z$78)</f>
        <v>3.9291751550606602E-2</v>
      </c>
      <c r="AA216" s="2" cm="1">
        <f t="array" ref="AA216">TREND($J210:$T210,$J$78:$T$78,AA$78)</f>
        <v>4.032103814058674E-2</v>
      </c>
      <c r="AB216" s="2" cm="1">
        <f t="array" ref="AB216">TREND($J210:$T210,$J$78:$T$78,AB$78)</f>
        <v>4.1350324730566879E-2</v>
      </c>
      <c r="AC216" s="2" cm="1">
        <f t="array" ref="AC216">TREND($J210:$T210,$J$78:$T$78,AC$78)</f>
        <v>4.2379611320547017E-2</v>
      </c>
      <c r="AG216" t="s">
        <v>222</v>
      </c>
      <c r="AH216" s="45">
        <f t="shared" si="36"/>
        <v>4.2379611320547017E-2</v>
      </c>
      <c r="AI216" s="45">
        <f t="shared" si="37"/>
        <v>3.5392509821187267E-2</v>
      </c>
    </row>
    <row r="217" spans="1:39" outlineLevel="1" x14ac:dyDescent="0.3">
      <c r="A217" t="s">
        <v>456</v>
      </c>
      <c r="D217" s="45">
        <f t="shared" si="35"/>
        <v>4.3358310568153572E-3</v>
      </c>
      <c r="E217" s="45">
        <f t="shared" si="35"/>
        <v>4.4474649373922688E-3</v>
      </c>
      <c r="F217" s="45">
        <f t="shared" si="35"/>
        <v>5.0605616714821172E-3</v>
      </c>
      <c r="G217" s="45">
        <f t="shared" si="35"/>
        <v>5.4768337038195013E-3</v>
      </c>
      <c r="H217" s="45">
        <f t="shared" si="35"/>
        <v>5.7857700223389917E-3</v>
      </c>
      <c r="I217" s="45">
        <f t="shared" si="35"/>
        <v>6.0064998453883932E-3</v>
      </c>
      <c r="J217" s="45">
        <f t="shared" si="35"/>
        <v>7.9512491896349957E-3</v>
      </c>
      <c r="K217" s="45">
        <f t="shared" si="35"/>
        <v>8.6246529944459666E-3</v>
      </c>
      <c r="L217" s="45">
        <f t="shared" si="35"/>
        <v>9.3524349722417573E-3</v>
      </c>
      <c r="M217" s="45">
        <f t="shared" si="35"/>
        <v>1.3789073380202294E-2</v>
      </c>
      <c r="N217" s="45">
        <f t="shared" si="35"/>
        <v>1.4053637366505851E-2</v>
      </c>
      <c r="O217" s="45">
        <f t="shared" si="35"/>
        <v>1.5112406572405708E-2</v>
      </c>
      <c r="P217" s="45">
        <f t="shared" si="35"/>
        <v>3.7120173231881944E-2</v>
      </c>
      <c r="Q217" s="45">
        <f t="shared" si="35"/>
        <v>3.9021577360579901E-2</v>
      </c>
      <c r="R217" s="45">
        <f t="shared" si="35"/>
        <v>4.106625060830716E-2</v>
      </c>
      <c r="S217" s="45">
        <f t="shared" si="35"/>
        <v>4.4090642571672882E-2</v>
      </c>
      <c r="T217" s="45">
        <f t="shared" si="35"/>
        <v>4.3749968292417042E-2</v>
      </c>
      <c r="U217" s="2" cm="1">
        <f t="array" ref="U217">TREND($J211:$T211,$J$78:$T$78,U$78)</f>
        <v>5.1604581206779798E-2</v>
      </c>
      <c r="V217" s="2" cm="1">
        <f t="array" ref="V217">TREND($J211:$T211,$J$78:$T$78,V$78)</f>
        <v>5.6054858884571956E-2</v>
      </c>
      <c r="W217" s="2" cm="1">
        <f t="array" ref="W217">TREND($J211:$T211,$J$78:$T$78,W$78)</f>
        <v>6.0505136562364115E-2</v>
      </c>
      <c r="X217" s="2" cm="1">
        <f t="array" ref="X217">TREND($J211:$T211,$J$78:$T$78,X$78)</f>
        <v>6.4955414240156273E-2</v>
      </c>
      <c r="Y217" s="2" cm="1">
        <f t="array" ref="Y217">TREND($J211:$T211,$J$78:$T$78,Y$78)</f>
        <v>6.9405691917948431E-2</v>
      </c>
      <c r="Z217" s="2" cm="1">
        <f t="array" ref="Z217">TREND($J211:$T211,$J$78:$T$78,Z$78)</f>
        <v>7.3855969595740589E-2</v>
      </c>
      <c r="AA217" s="2" cm="1">
        <f t="array" ref="AA217">TREND($J211:$T211,$J$78:$T$78,AA$78)</f>
        <v>7.8306247273532747E-2</v>
      </c>
      <c r="AB217" s="2" cm="1">
        <f t="array" ref="AB217">TREND($J211:$T211,$J$78:$T$78,AB$78)</f>
        <v>8.2756524951324906E-2</v>
      </c>
      <c r="AC217" s="2" cm="1">
        <f t="array" ref="AC217">TREND($J211:$T211,$J$78:$T$78,AC$78)</f>
        <v>8.7206802629117064E-2</v>
      </c>
      <c r="AG217" t="s">
        <v>447</v>
      </c>
      <c r="AH217" s="45">
        <f t="shared" si="36"/>
        <v>8.7206802629117064E-2</v>
      </c>
      <c r="AI217" s="45">
        <f t="shared" si="37"/>
        <v>0.14743242799100206</v>
      </c>
    </row>
    <row r="218" spans="1:39" outlineLevel="1" x14ac:dyDescent="0.3">
      <c r="A218" t="s">
        <v>457</v>
      </c>
      <c r="AC218" s="45">
        <f>AVERAGE(AC173,AC194)</f>
        <v>0.18826719786626087</v>
      </c>
    </row>
    <row r="219" spans="1:39" outlineLevel="1" x14ac:dyDescent="0.3">
      <c r="A219" t="s">
        <v>458</v>
      </c>
      <c r="AC219" s="45">
        <f>AVERAGE(AC193+AC192,AC171+AC172,AC150+AC151)</f>
        <v>2.8455755729754634E-2</v>
      </c>
    </row>
    <row r="220" spans="1:39" outlineLevel="1" x14ac:dyDescent="0.3">
      <c r="A220" t="s">
        <v>459</v>
      </c>
      <c r="AC220" s="45">
        <f>AVERAGE(AC200,AC179,AC445)</f>
        <v>0.5307578304109567</v>
      </c>
    </row>
    <row r="221" spans="1:39" outlineLevel="1" x14ac:dyDescent="0.3">
      <c r="A221" t="s">
        <v>460</v>
      </c>
      <c r="AC221" s="45">
        <f>AVERAGE(AC197,AC176,AC155)</f>
        <v>7.1317182635091125E-2</v>
      </c>
    </row>
    <row r="222" spans="1:39" outlineLevel="1" x14ac:dyDescent="0.3">
      <c r="A222" t="s">
        <v>461</v>
      </c>
      <c r="AC222" s="45">
        <f>AVERAGE(AC198,AC177,AC156)</f>
        <v>3.5392509821187267E-2</v>
      </c>
      <c r="AH222" s="2"/>
      <c r="AI222" s="2"/>
      <c r="AJ222" s="2"/>
      <c r="AK222" s="2"/>
      <c r="AL222" s="2"/>
      <c r="AM222" s="2"/>
    </row>
    <row r="223" spans="1:39" outlineLevel="1" x14ac:dyDescent="0.3">
      <c r="A223" t="s">
        <v>462</v>
      </c>
      <c r="AC223" s="45">
        <f>AVERAGE(AC199,AC178,AC157)</f>
        <v>0.14743242799100206</v>
      </c>
      <c r="AH223" s="2"/>
      <c r="AI223" s="2"/>
      <c r="AJ223" s="2"/>
      <c r="AK223" s="2"/>
      <c r="AL223" s="2"/>
      <c r="AM223" s="2"/>
    </row>
    <row r="224" spans="1:39" outlineLevel="1" x14ac:dyDescent="0.3"/>
    <row r="225" outlineLevel="1" x14ac:dyDescent="0.3"/>
    <row r="226" outlineLevel="1" x14ac:dyDescent="0.3"/>
    <row r="227" outlineLevel="1" x14ac:dyDescent="0.3"/>
    <row r="228" outlineLevel="1" x14ac:dyDescent="0.3"/>
    <row r="229" outlineLevel="1" x14ac:dyDescent="0.3"/>
    <row r="230" outlineLevel="1" x14ac:dyDescent="0.3"/>
    <row r="231" outlineLevel="1" x14ac:dyDescent="0.3"/>
    <row r="232" outlineLevel="1" x14ac:dyDescent="0.3"/>
    <row r="233" outlineLevel="1" x14ac:dyDescent="0.3"/>
    <row r="234" outlineLevel="1" x14ac:dyDescent="0.3"/>
    <row r="235" outlineLevel="1" x14ac:dyDescent="0.3"/>
    <row r="236" outlineLevel="1" x14ac:dyDescent="0.3"/>
    <row r="237" outlineLevel="1" x14ac:dyDescent="0.3"/>
    <row r="238" outlineLevel="1" x14ac:dyDescent="0.3"/>
    <row r="239" outlineLevel="1" x14ac:dyDescent="0.3"/>
    <row r="240" outlineLevel="1" x14ac:dyDescent="0.3"/>
    <row r="241" spans="1:49" outlineLevel="1" x14ac:dyDescent="0.3"/>
    <row r="242" spans="1:49" outlineLevel="1" x14ac:dyDescent="0.3"/>
    <row r="243" spans="1:49" s="18" customFormat="1" outlineLevel="1" x14ac:dyDescent="0.3">
      <c r="A243" s="59" t="s">
        <v>471</v>
      </c>
      <c r="B243" s="59"/>
      <c r="C243" s="59"/>
    </row>
    <row r="244" spans="1:49" s="11" customFormat="1" outlineLevel="1" x14ac:dyDescent="0.3">
      <c r="A244" s="11" t="s">
        <v>22</v>
      </c>
      <c r="D244" s="11">
        <f>D204</f>
        <v>2005</v>
      </c>
      <c r="E244" s="11">
        <f t="shared" ref="E244:AC244" si="38">E204</f>
        <v>2006</v>
      </c>
      <c r="F244" s="11">
        <f t="shared" si="38"/>
        <v>2007</v>
      </c>
      <c r="G244" s="11">
        <f t="shared" si="38"/>
        <v>2008</v>
      </c>
      <c r="H244" s="11">
        <f t="shared" si="38"/>
        <v>2009</v>
      </c>
      <c r="I244" s="11">
        <f t="shared" si="38"/>
        <v>2010</v>
      </c>
      <c r="J244" s="11">
        <f t="shared" si="38"/>
        <v>2011</v>
      </c>
      <c r="K244" s="11">
        <f t="shared" si="38"/>
        <v>2012</v>
      </c>
      <c r="L244" s="11">
        <f t="shared" si="38"/>
        <v>2013</v>
      </c>
      <c r="M244" s="11">
        <f t="shared" si="38"/>
        <v>2014</v>
      </c>
      <c r="N244" s="11">
        <f t="shared" si="38"/>
        <v>2015</v>
      </c>
      <c r="O244" s="11">
        <f t="shared" si="38"/>
        <v>2016</v>
      </c>
      <c r="P244" s="11">
        <f t="shared" si="38"/>
        <v>2017</v>
      </c>
      <c r="Q244" s="11">
        <f t="shared" si="38"/>
        <v>2018</v>
      </c>
      <c r="R244" s="11">
        <f t="shared" si="38"/>
        <v>2019</v>
      </c>
      <c r="S244" s="11">
        <f t="shared" si="38"/>
        <v>2020</v>
      </c>
      <c r="T244" s="11">
        <f t="shared" si="38"/>
        <v>2021</v>
      </c>
      <c r="U244" s="11">
        <f t="shared" si="38"/>
        <v>2022</v>
      </c>
      <c r="V244" s="11">
        <f t="shared" si="38"/>
        <v>2023</v>
      </c>
      <c r="W244" s="11">
        <f t="shared" si="38"/>
        <v>2024</v>
      </c>
      <c r="X244" s="11">
        <f t="shared" si="38"/>
        <v>2025</v>
      </c>
      <c r="Y244" s="11">
        <f t="shared" si="38"/>
        <v>2026</v>
      </c>
      <c r="Z244" s="11">
        <f t="shared" si="38"/>
        <v>2027</v>
      </c>
      <c r="AA244" s="11">
        <f t="shared" si="38"/>
        <v>2028</v>
      </c>
      <c r="AB244" s="11">
        <f t="shared" si="38"/>
        <v>2029</v>
      </c>
      <c r="AC244" s="11">
        <f t="shared" si="38"/>
        <v>2030</v>
      </c>
      <c r="AD244" s="11">
        <v>2031</v>
      </c>
      <c r="AE244" s="11">
        <v>2032</v>
      </c>
      <c r="AF244" s="11">
        <v>2033</v>
      </c>
      <c r="AG244" s="11">
        <v>2034</v>
      </c>
      <c r="AH244" s="11">
        <v>2035</v>
      </c>
      <c r="AI244" s="11">
        <v>2036</v>
      </c>
      <c r="AJ244" s="11">
        <v>2037</v>
      </c>
      <c r="AK244" s="11">
        <v>2038</v>
      </c>
      <c r="AL244" s="11">
        <v>2039</v>
      </c>
      <c r="AM244" s="11">
        <v>2040</v>
      </c>
      <c r="AN244" s="11">
        <v>2041</v>
      </c>
      <c r="AO244" s="11">
        <v>2042</v>
      </c>
      <c r="AP244" s="11">
        <v>2043</v>
      </c>
      <c r="AQ244" s="11">
        <v>2044</v>
      </c>
      <c r="AR244" s="11">
        <v>2045</v>
      </c>
      <c r="AS244" s="11">
        <v>2046</v>
      </c>
      <c r="AT244" s="11">
        <v>2047</v>
      </c>
      <c r="AU244" s="11">
        <v>2048</v>
      </c>
      <c r="AV244" s="11">
        <v>2049</v>
      </c>
      <c r="AW244" s="11">
        <v>2050</v>
      </c>
    </row>
    <row r="245" spans="1:49" s="11" customFormat="1" outlineLevel="1" x14ac:dyDescent="0.3">
      <c r="D245" s="11">
        <f>D244</f>
        <v>2005</v>
      </c>
      <c r="I245" s="11">
        <f>I244</f>
        <v>2010</v>
      </c>
      <c r="N245" s="11">
        <f>N244</f>
        <v>2015</v>
      </c>
      <c r="S245" s="11">
        <f>S244</f>
        <v>2020</v>
      </c>
      <c r="V245" s="62"/>
      <c r="X245" s="11">
        <f>X244</f>
        <v>2025</v>
      </c>
      <c r="AC245" s="11">
        <f>AC244</f>
        <v>2030</v>
      </c>
      <c r="AH245" s="11">
        <f>AH244</f>
        <v>2035</v>
      </c>
      <c r="AM245" s="11">
        <f>AM244</f>
        <v>2040</v>
      </c>
      <c r="AR245" s="11">
        <f>AR244</f>
        <v>2045</v>
      </c>
      <c r="AW245" s="11">
        <f>AW244</f>
        <v>2050</v>
      </c>
    </row>
    <row r="246" spans="1:49" outlineLevel="1" x14ac:dyDescent="0.3">
      <c r="A246" t="s">
        <v>445</v>
      </c>
      <c r="B246" t="s">
        <v>472</v>
      </c>
      <c r="C246" t="s">
        <v>22</v>
      </c>
      <c r="D246" s="1">
        <f>AN4+AN5+AN130+AN131</f>
        <v>991.68273821000002</v>
      </c>
      <c r="E246" s="1">
        <f t="shared" ref="E246:T246" si="39">AO4+AO5+AO130+AO131</f>
        <v>972.20323252999992</v>
      </c>
      <c r="F246" s="1">
        <f t="shared" si="39"/>
        <v>787.40170680000006</v>
      </c>
      <c r="G246" s="1">
        <f t="shared" si="39"/>
        <v>890.4169787699999</v>
      </c>
      <c r="H246" s="1">
        <f t="shared" si="39"/>
        <v>830.37093987000003</v>
      </c>
      <c r="I246" s="1">
        <f t="shared" si="39"/>
        <v>838.56376315</v>
      </c>
      <c r="J246" s="1">
        <f t="shared" si="39"/>
        <v>738.02161068000009</v>
      </c>
      <c r="K246" s="1">
        <f t="shared" si="39"/>
        <v>731.4951686899999</v>
      </c>
      <c r="L246" s="1">
        <f t="shared" si="39"/>
        <v>736.27926222999997</v>
      </c>
      <c r="M246" s="1">
        <f t="shared" si="39"/>
        <v>649.36664402999997</v>
      </c>
      <c r="N246" s="1">
        <f t="shared" si="39"/>
        <v>658.67471452999996</v>
      </c>
      <c r="O246" s="1">
        <f t="shared" si="39"/>
        <v>645.54047869999999</v>
      </c>
      <c r="P246" s="1">
        <f t="shared" si="39"/>
        <v>638.47332312000003</v>
      </c>
      <c r="Q246" s="1">
        <f t="shared" si="39"/>
        <v>566.07809665000002</v>
      </c>
      <c r="R246" s="1">
        <f t="shared" si="39"/>
        <v>551.35198131000004</v>
      </c>
      <c r="S246" s="1">
        <f t="shared" si="39"/>
        <v>558.47314660999996</v>
      </c>
      <c r="T246" s="1">
        <f t="shared" si="39"/>
        <v>506.38916852999995</v>
      </c>
    </row>
    <row r="247" spans="1:49" outlineLevel="1" x14ac:dyDescent="0.3">
      <c r="A247" t="s">
        <v>238</v>
      </c>
      <c r="B247" t="s">
        <v>472</v>
      </c>
      <c r="C247" t="s">
        <v>22</v>
      </c>
      <c r="D247" s="1">
        <f t="shared" ref="D247:M251" si="40">AN6+AN132</f>
        <v>1460.9688456700001</v>
      </c>
      <c r="E247" s="1">
        <f t="shared" si="40"/>
        <v>1469.5029396699999</v>
      </c>
      <c r="F247" s="1">
        <f t="shared" si="40"/>
        <v>1341.86096825</v>
      </c>
      <c r="G247" s="1">
        <f t="shared" si="40"/>
        <v>1412.42602814</v>
      </c>
      <c r="H247" s="1">
        <f t="shared" si="40"/>
        <v>1428.61762815</v>
      </c>
      <c r="I247" s="1">
        <f t="shared" si="40"/>
        <v>1541.4662977200001</v>
      </c>
      <c r="J247" s="1">
        <f t="shared" si="40"/>
        <v>1346.1970625599999</v>
      </c>
      <c r="K247" s="1">
        <f t="shared" si="40"/>
        <v>1413.8437484000001</v>
      </c>
      <c r="L247" s="1">
        <f t="shared" si="40"/>
        <v>1455.1102447999999</v>
      </c>
      <c r="M247" s="1">
        <f t="shared" si="40"/>
        <v>1214.8343750199999</v>
      </c>
      <c r="N247" s="1">
        <f t="shared" ref="N247:T251" si="41">AX6+AX132</f>
        <v>1312.2148538399999</v>
      </c>
      <c r="O247" s="1">
        <f t="shared" si="41"/>
        <v>1375.4634807299999</v>
      </c>
      <c r="P247" s="1">
        <f t="shared" si="41"/>
        <v>1370.2451346199998</v>
      </c>
      <c r="Q247" s="1">
        <f t="shared" si="41"/>
        <v>1375.7981456100001</v>
      </c>
      <c r="R247" s="1">
        <f t="shared" si="41"/>
        <v>1346.68739499</v>
      </c>
      <c r="S247" s="1">
        <f t="shared" si="41"/>
        <v>1316.0698964599999</v>
      </c>
      <c r="T247" s="1">
        <f t="shared" si="41"/>
        <v>1464.05307515</v>
      </c>
    </row>
    <row r="248" spans="1:49" outlineLevel="1" x14ac:dyDescent="0.3">
      <c r="A248" t="s">
        <v>221</v>
      </c>
      <c r="B248" t="s">
        <v>472</v>
      </c>
      <c r="C248" t="s">
        <v>22</v>
      </c>
      <c r="D248" s="1">
        <f t="shared" si="40"/>
        <v>1317.90029564</v>
      </c>
      <c r="E248" s="1">
        <f t="shared" si="40"/>
        <v>1370.12888114</v>
      </c>
      <c r="F248" s="1">
        <f t="shared" si="40"/>
        <v>1376.0927800300001</v>
      </c>
      <c r="G248" s="1">
        <f t="shared" si="40"/>
        <v>1414.0507042499999</v>
      </c>
      <c r="H248" s="1">
        <f t="shared" si="40"/>
        <v>1425.05214927</v>
      </c>
      <c r="I248" s="1">
        <f t="shared" si="40"/>
        <v>1473.9347256199999</v>
      </c>
      <c r="J248" s="1">
        <f t="shared" si="40"/>
        <v>1428.61318549</v>
      </c>
      <c r="K248" s="1">
        <f t="shared" si="40"/>
        <v>1452.7580424099999</v>
      </c>
      <c r="L248" s="1">
        <f t="shared" si="40"/>
        <v>1444.58709516</v>
      </c>
      <c r="M248" s="1">
        <f t="shared" si="40"/>
        <v>1388.08121663</v>
      </c>
      <c r="N248" s="1">
        <f t="shared" si="41"/>
        <v>1424.99881409</v>
      </c>
      <c r="O248" s="1">
        <f t="shared" si="41"/>
        <v>1443.22773424</v>
      </c>
      <c r="P248" s="1">
        <f t="shared" si="41"/>
        <v>1449.4822784600001</v>
      </c>
      <c r="Q248" s="1">
        <f t="shared" si="41"/>
        <v>1446.1446429100001</v>
      </c>
      <c r="R248" s="1">
        <f t="shared" si="41"/>
        <v>1429.6276820200001</v>
      </c>
      <c r="S248" s="1">
        <f t="shared" si="41"/>
        <v>1390.01796053</v>
      </c>
      <c r="T248" s="1">
        <f t="shared" si="41"/>
        <v>1443.7587600400002</v>
      </c>
    </row>
    <row r="249" spans="1:49" outlineLevel="1" x14ac:dyDescent="0.3">
      <c r="A249" t="s">
        <v>223</v>
      </c>
      <c r="B249" t="s">
        <v>472</v>
      </c>
      <c r="C249" t="s">
        <v>22</v>
      </c>
      <c r="D249" s="1">
        <f t="shared" si="40"/>
        <v>368.63913379999997</v>
      </c>
      <c r="E249" s="1">
        <f t="shared" si="40"/>
        <v>355.67425402999999</v>
      </c>
      <c r="F249" s="1">
        <f t="shared" si="40"/>
        <v>360.21747863999997</v>
      </c>
      <c r="G249" s="1">
        <f t="shared" si="40"/>
        <v>365.66333080999999</v>
      </c>
      <c r="H249" s="1">
        <f t="shared" si="40"/>
        <v>365.59428350000002</v>
      </c>
      <c r="I249" s="1">
        <f t="shared" si="40"/>
        <v>412.19742637000002</v>
      </c>
      <c r="J249" s="1">
        <f t="shared" si="40"/>
        <v>360.60656029</v>
      </c>
      <c r="K249" s="1">
        <f t="shared" si="40"/>
        <v>366.75876051</v>
      </c>
      <c r="L249" s="1">
        <f t="shared" si="40"/>
        <v>368.61425723000002</v>
      </c>
      <c r="M249" s="1">
        <f t="shared" si="40"/>
        <v>333.82342624</v>
      </c>
      <c r="N249" s="1">
        <f t="shared" si="41"/>
        <v>343.60848955999995</v>
      </c>
      <c r="O249" s="1">
        <f t="shared" si="41"/>
        <v>359.96094409999995</v>
      </c>
      <c r="P249" s="1">
        <f t="shared" si="41"/>
        <v>365.03186832999995</v>
      </c>
      <c r="Q249" s="1">
        <f t="shared" si="41"/>
        <v>352.97660574999998</v>
      </c>
      <c r="R249" s="1">
        <f t="shared" si="41"/>
        <v>348.60370248999999</v>
      </c>
      <c r="S249" s="1">
        <f t="shared" si="41"/>
        <v>335.90331218</v>
      </c>
      <c r="T249" s="1">
        <f t="shared" si="41"/>
        <v>372.12734296000002</v>
      </c>
    </row>
    <row r="250" spans="1:49" outlineLevel="1" x14ac:dyDescent="0.3">
      <c r="A250" t="s">
        <v>222</v>
      </c>
      <c r="B250" t="s">
        <v>472</v>
      </c>
      <c r="C250" t="s">
        <v>22</v>
      </c>
      <c r="D250" s="1">
        <f t="shared" si="40"/>
        <v>1050.0222141699999</v>
      </c>
      <c r="E250" s="1">
        <f t="shared" si="40"/>
        <v>1039.9094058199998</v>
      </c>
      <c r="F250" s="1">
        <f t="shared" si="40"/>
        <v>1043.0140575799999</v>
      </c>
      <c r="G250" s="1">
        <f t="shared" si="40"/>
        <v>1053.5406496999999</v>
      </c>
      <c r="H250" s="1">
        <f t="shared" si="40"/>
        <v>1024.8991812100001</v>
      </c>
      <c r="I250" s="1">
        <f t="shared" si="40"/>
        <v>1019.05767644</v>
      </c>
      <c r="J250" s="1">
        <f t="shared" si="40"/>
        <v>926.10943713999995</v>
      </c>
      <c r="K250" s="1">
        <f t="shared" si="40"/>
        <v>952.55853432999993</v>
      </c>
      <c r="L250" s="1">
        <f t="shared" si="40"/>
        <v>920.83696500999986</v>
      </c>
      <c r="M250" s="1">
        <f t="shared" si="40"/>
        <v>819.49026076999985</v>
      </c>
      <c r="N250" s="1">
        <f t="shared" si="41"/>
        <v>799.97983092000004</v>
      </c>
      <c r="O250" s="1">
        <f t="shared" si="41"/>
        <v>753.61055571999987</v>
      </c>
      <c r="P250" s="1">
        <f t="shared" si="41"/>
        <v>716.54329179000001</v>
      </c>
      <c r="Q250" s="1">
        <f t="shared" si="41"/>
        <v>695.31964663999997</v>
      </c>
      <c r="R250" s="1">
        <f t="shared" si="41"/>
        <v>649.71342736999998</v>
      </c>
      <c r="S250" s="1">
        <f t="shared" si="41"/>
        <v>585.69131243999993</v>
      </c>
      <c r="T250" s="1">
        <f t="shared" si="41"/>
        <v>582.26414914999998</v>
      </c>
    </row>
    <row r="251" spans="1:49" outlineLevel="1" x14ac:dyDescent="0.3">
      <c r="A251" t="s">
        <v>447</v>
      </c>
      <c r="B251" t="s">
        <v>472</v>
      </c>
      <c r="C251" t="s">
        <v>22</v>
      </c>
      <c r="D251" s="1">
        <f t="shared" si="40"/>
        <v>471.01146447999997</v>
      </c>
      <c r="E251" s="1">
        <f t="shared" si="40"/>
        <v>467.86967813000007</v>
      </c>
      <c r="F251" s="1">
        <f t="shared" si="40"/>
        <v>464.96793497999994</v>
      </c>
      <c r="G251" s="1">
        <f t="shared" si="40"/>
        <v>462.94088413000009</v>
      </c>
      <c r="H251" s="1">
        <f t="shared" si="40"/>
        <v>460.61680307999995</v>
      </c>
      <c r="I251" s="1">
        <f t="shared" si="40"/>
        <v>458.04703828000004</v>
      </c>
      <c r="J251" s="1">
        <f t="shared" si="40"/>
        <v>448.02690939999997</v>
      </c>
      <c r="K251" s="1">
        <f t="shared" si="40"/>
        <v>441.44480622999998</v>
      </c>
      <c r="L251" s="1">
        <f t="shared" si="40"/>
        <v>433.12856539000001</v>
      </c>
      <c r="M251" s="1">
        <f t="shared" si="40"/>
        <v>422.84790124999995</v>
      </c>
      <c r="N251" s="1">
        <f t="shared" si="41"/>
        <v>409.12561772999993</v>
      </c>
      <c r="O251" s="1">
        <f t="shared" si="41"/>
        <v>394.15214392000007</v>
      </c>
      <c r="P251" s="1">
        <f t="shared" si="41"/>
        <v>383.12213561999999</v>
      </c>
      <c r="Q251" s="1">
        <f t="shared" si="41"/>
        <v>331.78994399999999</v>
      </c>
      <c r="R251" s="1">
        <f t="shared" si="41"/>
        <v>279.65810847</v>
      </c>
      <c r="S251" s="1">
        <f t="shared" si="41"/>
        <v>225.07408744000003</v>
      </c>
      <c r="T251" s="1">
        <f t="shared" si="41"/>
        <v>180.12497479999999</v>
      </c>
    </row>
    <row r="252" spans="1:49" outlineLevel="1" x14ac:dyDescent="0.3"/>
    <row r="253" spans="1:49" x14ac:dyDescent="0.3">
      <c r="A253" t="s">
        <v>473</v>
      </c>
      <c r="D253" s="1">
        <f t="shared" ref="D253:T253" si="42">SUM(D246:D251)</f>
        <v>5660.2246919699992</v>
      </c>
      <c r="E253" s="1">
        <f t="shared" si="42"/>
        <v>5675.2883913200003</v>
      </c>
      <c r="F253" s="1">
        <f t="shared" si="42"/>
        <v>5373.5549262800005</v>
      </c>
      <c r="G253" s="1">
        <f t="shared" si="42"/>
        <v>5599.0385758000002</v>
      </c>
      <c r="H253" s="1">
        <f t="shared" si="42"/>
        <v>5535.1509850800003</v>
      </c>
      <c r="I253" s="1">
        <f t="shared" si="42"/>
        <v>5743.2669275800008</v>
      </c>
      <c r="J253" s="1">
        <f t="shared" si="42"/>
        <v>5247.5747655599989</v>
      </c>
      <c r="K253" s="1">
        <f t="shared" si="42"/>
        <v>5358.8590605699992</v>
      </c>
      <c r="L253" s="1">
        <f t="shared" si="42"/>
        <v>5358.5563898200007</v>
      </c>
      <c r="M253" s="1">
        <f t="shared" si="42"/>
        <v>4828.4438239399997</v>
      </c>
      <c r="N253" s="1">
        <f t="shared" si="42"/>
        <v>4948.6023206699992</v>
      </c>
      <c r="O253" s="1">
        <f t="shared" si="42"/>
        <v>4971.9553374099996</v>
      </c>
      <c r="P253" s="1">
        <f t="shared" si="42"/>
        <v>4922.8980319399998</v>
      </c>
      <c r="Q253" s="1">
        <f t="shared" si="42"/>
        <v>4768.1070815600006</v>
      </c>
      <c r="R253" s="1">
        <f t="shared" si="42"/>
        <v>4605.6422966500004</v>
      </c>
      <c r="S253" s="1">
        <f t="shared" si="42"/>
        <v>4411.2297156599998</v>
      </c>
      <c r="T253" s="1">
        <f t="shared" si="42"/>
        <v>4548.7174706300002</v>
      </c>
    </row>
    <row r="255" spans="1:49" x14ac:dyDescent="0.3">
      <c r="A255" t="s">
        <v>445</v>
      </c>
      <c r="B255" t="s">
        <v>474</v>
      </c>
      <c r="C255" t="s">
        <v>22</v>
      </c>
      <c r="I255">
        <f>_xlfn.XLOOKUP($A255,'[19]ResComm&amp;Agri'!$C$268:$C$273,'[19]ResComm&amp;Agri'!U$268:U$273,"prob",0,1)</f>
        <v>872.63888888889585</v>
      </c>
      <c r="N255">
        <f>_xlfn.XLOOKUP($A255,'[19]ResComm&amp;Agri'!$C$268:$C$273,'[19]ResComm&amp;Agri'!Z$268:Z$273,"prob",0,1)</f>
        <v>683.9444444444498</v>
      </c>
      <c r="S255">
        <f>_xlfn.XLOOKUP($A255,'[19]ResComm&amp;Agri'!$C$268:$C$273,'[19]ResComm&amp;Agri'!AE$268:AE$273,"prob",0,1)</f>
        <v>657.63888888889403</v>
      </c>
      <c r="X255">
        <f>_xlfn.XLOOKUP($A255,'[19]ResComm&amp;Agri'!$C$268:$C$273,'[19]ResComm&amp;Agri'!AJ$268:AJ$273,"prob",0,1)</f>
        <v>493.5648148148187</v>
      </c>
      <c r="AC255">
        <f>_xlfn.XLOOKUP($A255,'[19]ResComm&amp;Agri'!$C$268:$C$273,'[19]ResComm&amp;Agri'!AO$268:AO$273,"prob",0,1)</f>
        <v>367.93518518518812</v>
      </c>
      <c r="AH255">
        <f>_xlfn.XLOOKUP($A255,'[19]ResComm&amp;Agri'!$C$268:$C$273,'[19]ResComm&amp;Agri'!AT$268:AT$273,"prob",0,1)</f>
        <v>268.31944444444656</v>
      </c>
      <c r="AM255">
        <f>_xlfn.XLOOKUP($A255,'[19]ResComm&amp;Agri'!$C$268:$C$273,'[19]ResComm&amp;Agri'!AY$268:AY$273,"prob",0,1)</f>
        <v>149.75462962963084</v>
      </c>
      <c r="AR255">
        <f>_xlfn.XLOOKUP($A255,'[19]ResComm&amp;Agri'!$C$268:$C$273,'[19]ResComm&amp;Agri'!BD$268:BD$273,"prob",0,1)</f>
        <v>62.226851851852345</v>
      </c>
      <c r="AW255">
        <f>_xlfn.XLOOKUP($A255,'[19]ResComm&amp;Agri'!$C$268:$C$273,'[19]ResComm&amp;Agri'!BI$268:BI$273,"prob",0,1)</f>
        <v>12.995370370370475</v>
      </c>
    </row>
    <row r="256" spans="1:49" x14ac:dyDescent="0.3">
      <c r="A256" t="s">
        <v>238</v>
      </c>
      <c r="B256" t="s">
        <v>474</v>
      </c>
      <c r="C256" t="s">
        <v>22</v>
      </c>
      <c r="I256">
        <f>_xlfn.XLOOKUP($A256,'[19]ResComm&amp;Agri'!$C$268:$C$273,'[19]ResComm&amp;Agri'!U$268:U$273,"prob",0,1)</f>
        <v>1521.7777777777899</v>
      </c>
      <c r="N256">
        <f>_xlfn.XLOOKUP($A256,'[19]ResComm&amp;Agri'!$C$268:$C$273,'[19]ResComm&amp;Agri'!Z$268:Z$273,"prob",0,1)</f>
        <v>1344.7500000000107</v>
      </c>
      <c r="S256">
        <f>_xlfn.XLOOKUP($A256,'[19]ResComm&amp;Agri'!$C$268:$C$273,'[19]ResComm&amp;Agri'!AE$268:AE$273,"prob",0,1)</f>
        <v>1339.7777777777885</v>
      </c>
      <c r="X256">
        <f>_xlfn.XLOOKUP($A256,'[19]ResComm&amp;Agri'!$C$268:$C$273,'[19]ResComm&amp;Agri'!AJ$268:AJ$273,"prob",0,1)</f>
        <v>1154.0879629629721</v>
      </c>
      <c r="AC256">
        <f>_xlfn.XLOOKUP($A256,'[19]ResComm&amp;Agri'!$C$268:$C$273,'[19]ResComm&amp;Agri'!AO$268:AO$273,"prob",0,1)</f>
        <v>907.40277777778499</v>
      </c>
      <c r="AH256">
        <f>_xlfn.XLOOKUP($A256,'[19]ResComm&amp;Agri'!$C$268:$C$273,'[19]ResComm&amp;Agri'!AT$268:AT$273,"prob",0,1)</f>
        <v>600.86574074074554</v>
      </c>
      <c r="AM256">
        <f>_xlfn.XLOOKUP($A256,'[19]ResComm&amp;Agri'!$C$268:$C$273,'[19]ResComm&amp;Agri'!AY$268:AY$273,"prob",0,1)</f>
        <v>269.51388888889107</v>
      </c>
      <c r="AR256">
        <f>_xlfn.XLOOKUP($A256,'[19]ResComm&amp;Agri'!$C$268:$C$273,'[19]ResComm&amp;Agri'!BD$268:BD$273,"prob",0,1)</f>
        <v>66.245370370370907</v>
      </c>
      <c r="AW256">
        <f>_xlfn.XLOOKUP($A256,'[19]ResComm&amp;Agri'!$C$268:$C$273,'[19]ResComm&amp;Agri'!BI$268:BI$273,"prob",0,1)</f>
        <v>16.805555555555689</v>
      </c>
    </row>
    <row r="257" spans="1:49" x14ac:dyDescent="0.3">
      <c r="A257" t="s">
        <v>221</v>
      </c>
      <c r="B257" t="s">
        <v>474</v>
      </c>
      <c r="C257" t="s">
        <v>22</v>
      </c>
      <c r="I257">
        <f>_xlfn.XLOOKUP($A257,'[19]ResComm&amp;Agri'!$C$268:$C$273,'[19]ResComm&amp;Agri'!U$268:U$273,"prob",0,1)</f>
        <v>1467.9444444444562</v>
      </c>
      <c r="N257">
        <f>_xlfn.XLOOKUP($A257,'[19]ResComm&amp;Agri'!$C$268:$C$273,'[19]ResComm&amp;Agri'!Z$268:Z$273,"prob",0,1)</f>
        <v>1407.8055555555668</v>
      </c>
      <c r="S257">
        <f>_xlfn.XLOOKUP($A257,'[19]ResComm&amp;Agri'!$C$268:$C$273,'[19]ResComm&amp;Agri'!AE$268:AE$273,"prob",0,1)</f>
        <v>1516.8333333333455</v>
      </c>
      <c r="X257">
        <f>_xlfn.XLOOKUP($A257,'[19]ResComm&amp;Agri'!$C$268:$C$273,'[19]ResComm&amp;Agri'!AJ$268:AJ$273,"prob",0,1)</f>
        <v>1634.3333333333464</v>
      </c>
      <c r="AC257">
        <f>_xlfn.XLOOKUP($A257,'[19]ResComm&amp;Agri'!$C$268:$C$273,'[19]ResComm&amp;Agri'!AO$268:AO$273,"prob",0,1)</f>
        <v>1734.5185185185319</v>
      </c>
      <c r="AH257">
        <f>_xlfn.XLOOKUP($A257,'[19]ResComm&amp;Agri'!$C$268:$C$273,'[19]ResComm&amp;Agri'!AT$268:AT$273,"prob",0,1)</f>
        <v>1836.7222222222372</v>
      </c>
      <c r="AM257">
        <f>_xlfn.XLOOKUP($A257,'[19]ResComm&amp;Agri'!$C$268:$C$273,'[19]ResComm&amp;Agri'!AY$268:AY$273,"prob",0,1)</f>
        <v>1902.5416666666815</v>
      </c>
      <c r="AR257">
        <f>_xlfn.XLOOKUP($A257,'[19]ResComm&amp;Agri'!$C$268:$C$273,'[19]ResComm&amp;Agri'!BD$268:BD$273,"prob",0,1)</f>
        <v>1992.9814814814972</v>
      </c>
      <c r="AW257">
        <f>_xlfn.XLOOKUP($A257,'[19]ResComm&amp;Agri'!$C$268:$C$273,'[19]ResComm&amp;Agri'!BI$268:BI$273,"prob",0,1)</f>
        <v>2005.4814814814974</v>
      </c>
    </row>
    <row r="258" spans="1:49" x14ac:dyDescent="0.3">
      <c r="A258" t="s">
        <v>223</v>
      </c>
      <c r="B258" t="s">
        <v>474</v>
      </c>
      <c r="C258" t="s">
        <v>22</v>
      </c>
      <c r="I258">
        <f>_xlfn.XLOOKUP($A258,'[19]ResComm&amp;Agri'!$C$268:$C$273,'[19]ResComm&amp;Agri'!U$268:U$273,"prob",0,1)</f>
        <v>402.55555555555878</v>
      </c>
      <c r="N258">
        <f>_xlfn.XLOOKUP($A258,'[19]ResComm&amp;Agri'!$C$268:$C$273,'[19]ResComm&amp;Agri'!Z$268:Z$273,"prob",0,1)</f>
        <v>349.80555555555833</v>
      </c>
      <c r="S258">
        <f>_xlfn.XLOOKUP($A258,'[19]ResComm&amp;Agri'!$C$268:$C$273,'[19]ResComm&amp;Agri'!AE$268:AE$273,"prob",0,1)</f>
        <v>381.69444444444753</v>
      </c>
      <c r="X258">
        <f>_xlfn.XLOOKUP($A258,'[19]ResComm&amp;Agri'!$C$268:$C$273,'[19]ResComm&amp;Agri'!AJ$268:AJ$273,"prob",0,1)</f>
        <v>409.12037037037362</v>
      </c>
      <c r="AC258">
        <f>_xlfn.XLOOKUP($A258,'[19]ResComm&amp;Agri'!$C$268:$C$273,'[19]ResComm&amp;Agri'!AO$268:AO$273,"prob",0,1)</f>
        <v>399.28703703704014</v>
      </c>
      <c r="AH258">
        <f>_xlfn.XLOOKUP($A258,'[19]ResComm&amp;Agri'!$C$268:$C$273,'[19]ResComm&amp;Agri'!AT$268:AT$273,"prob",0,1)</f>
        <v>346.28240740741023</v>
      </c>
      <c r="AM258">
        <f>_xlfn.XLOOKUP($A258,'[19]ResComm&amp;Agri'!$C$268:$C$273,'[19]ResComm&amp;Agri'!AY$268:AY$273,"prob",0,1)</f>
        <v>311.59722222222467</v>
      </c>
      <c r="AR258">
        <f>_xlfn.XLOOKUP($A258,'[19]ResComm&amp;Agri'!$C$268:$C$273,'[19]ResComm&amp;Agri'!BD$268:BD$273,"prob",0,1)</f>
        <v>300.54166666666896</v>
      </c>
      <c r="AW258">
        <f>_xlfn.XLOOKUP($A258,'[19]ResComm&amp;Agri'!$C$268:$C$273,'[19]ResComm&amp;Agri'!BI$268:BI$273,"prob",0,1)</f>
        <v>294.84722222222456</v>
      </c>
    </row>
    <row r="259" spans="1:49" x14ac:dyDescent="0.3">
      <c r="A259" t="s">
        <v>222</v>
      </c>
      <c r="B259" t="s">
        <v>474</v>
      </c>
      <c r="C259" t="s">
        <v>22</v>
      </c>
      <c r="I259">
        <f>_xlfn.XLOOKUP($A259,'[19]ResComm&amp;Agri'!$C$268:$C$273,'[19]ResComm&amp;Agri'!U$268:U$273,"prob",0,1)</f>
        <v>519.00000000000409</v>
      </c>
      <c r="N259">
        <f>_xlfn.XLOOKUP($A259,'[19]ResComm&amp;Agri'!$C$268:$C$273,'[19]ResComm&amp;Agri'!Z$268:Z$273,"prob",0,1)</f>
        <v>519.05555555555975</v>
      </c>
      <c r="S259">
        <f>_xlfn.XLOOKUP($A259,'[19]ResComm&amp;Agri'!$C$268:$C$273,'[19]ResComm&amp;Agri'!AE$268:AE$273,"prob",0,1)</f>
        <v>532.02777777778203</v>
      </c>
      <c r="X259">
        <f>_xlfn.XLOOKUP($A259,'[19]ResComm&amp;Agri'!$C$268:$C$273,'[19]ResComm&amp;Agri'!AJ$268:AJ$273,"prob",0,1)</f>
        <v>485.97222222222609</v>
      </c>
      <c r="AC259">
        <f>_xlfn.XLOOKUP($A259,'[19]ResComm&amp;Agri'!$C$268:$C$273,'[19]ResComm&amp;Agri'!AO$268:AO$273,"prob",0,1)</f>
        <v>423.2500000000033</v>
      </c>
      <c r="AH259">
        <f>_xlfn.XLOOKUP($A259,'[19]ResComm&amp;Agri'!$C$268:$C$273,'[19]ResComm&amp;Agri'!AT$268:AT$273,"prob",0,1)</f>
        <v>333.79629629629903</v>
      </c>
      <c r="AM259">
        <f>_xlfn.XLOOKUP($A259,'[19]ResComm&amp;Agri'!$C$268:$C$273,'[19]ResComm&amp;Agri'!AY$268:AY$273,"prob",0,1)</f>
        <v>249.96296296296495</v>
      </c>
      <c r="AR259">
        <f>_xlfn.XLOOKUP($A259,'[19]ResComm&amp;Agri'!$C$268:$C$273,'[19]ResComm&amp;Agri'!BD$268:BD$273,"prob",0,1)</f>
        <v>181.78703703703849</v>
      </c>
      <c r="AW259">
        <f>_xlfn.XLOOKUP($A259,'[19]ResComm&amp;Agri'!$C$268:$C$273,'[19]ResComm&amp;Agri'!BI$268:BI$273,"prob",0,1)</f>
        <v>121.29166666666764</v>
      </c>
    </row>
    <row r="260" spans="1:49" x14ac:dyDescent="0.3">
      <c r="A260" t="s">
        <v>447</v>
      </c>
      <c r="B260" t="s">
        <v>474</v>
      </c>
      <c r="C260" t="s">
        <v>22</v>
      </c>
      <c r="I260">
        <f>_xlfn.XLOOKUP($A260,'[19]ResComm&amp;Agri'!$C$268:$C$273,'[19]ResComm&amp;Agri'!U$268:U$273,"prob",0,1)</f>
        <v>0</v>
      </c>
      <c r="N260">
        <f>_xlfn.XLOOKUP($A260,'[19]ResComm&amp;Agri'!$C$268:$C$273,'[19]ResComm&amp;Agri'!Z$268:Z$273,"prob",0,1)</f>
        <v>0</v>
      </c>
      <c r="S260">
        <f>_xlfn.XLOOKUP($A260,'[19]ResComm&amp;Agri'!$C$268:$C$273,'[19]ResComm&amp;Agri'!AE$268:AE$273,"prob",0,1)</f>
        <v>0</v>
      </c>
      <c r="X260">
        <f>_xlfn.XLOOKUP($A260,'[19]ResComm&amp;Agri'!$C$268:$C$273,'[19]ResComm&amp;Agri'!AJ$268:AJ$273,"prob",0,1)</f>
        <v>0</v>
      </c>
      <c r="AC260">
        <f>_xlfn.XLOOKUP($A260,'[19]ResComm&amp;Agri'!$C$268:$C$273,'[19]ResComm&amp;Agri'!AO$268:AO$273,"prob",0,1)</f>
        <v>0</v>
      </c>
      <c r="AH260">
        <f>_xlfn.XLOOKUP($A260,'[19]ResComm&amp;Agri'!$C$268:$C$273,'[19]ResComm&amp;Agri'!AT$268:AT$273,"prob",0,1)</f>
        <v>0</v>
      </c>
      <c r="AM260">
        <f>_xlfn.XLOOKUP($A260,'[19]ResComm&amp;Agri'!$C$268:$C$273,'[19]ResComm&amp;Agri'!AY$268:AY$273,"prob",0,1)</f>
        <v>0</v>
      </c>
      <c r="AR260">
        <f>_xlfn.XLOOKUP($A260,'[19]ResComm&amp;Agri'!$C$268:$C$273,'[19]ResComm&amp;Agri'!BD$268:BD$273,"prob",0,1)</f>
        <v>0</v>
      </c>
      <c r="AW260">
        <f>_xlfn.XLOOKUP($A260,'[19]ResComm&amp;Agri'!$C$268:$C$273,'[19]ResComm&amp;Agri'!BI$268:BI$273,"prob",0,1)</f>
        <v>0</v>
      </c>
    </row>
    <row r="262" spans="1:49" x14ac:dyDescent="0.3">
      <c r="A262" t="s">
        <v>473</v>
      </c>
      <c r="I262" s="1">
        <f>SUM(I255:I260)</f>
        <v>4783.9166666667043</v>
      </c>
      <c r="N262" s="1">
        <f>SUM(N255:N260)</f>
        <v>4305.3611111111459</v>
      </c>
      <c r="S262" s="1">
        <f>SUM(S255:S260)</f>
        <v>4427.9722222222581</v>
      </c>
      <c r="X262" s="1">
        <f>SUM(X255:X260)</f>
        <v>4177.0787037037371</v>
      </c>
      <c r="AC262" s="1">
        <f>SUM(AC255:AC260)</f>
        <v>3832.3935185185483</v>
      </c>
      <c r="AH262" s="1">
        <f>SUM(AH255:AH260)</f>
        <v>3385.9861111111386</v>
      </c>
      <c r="AM262" s="1">
        <f>SUM(AM255:AM260)</f>
        <v>2883.3703703703927</v>
      </c>
      <c r="AR262" s="1">
        <f>SUM(AR255:AR260)</f>
        <v>2603.7824074074274</v>
      </c>
      <c r="AW262" s="1">
        <f>SUM(AW255:AW260)</f>
        <v>2451.4212962963156</v>
      </c>
    </row>
    <row r="264" spans="1:49" x14ac:dyDescent="0.3">
      <c r="A264" t="s">
        <v>445</v>
      </c>
      <c r="B264" s="11" t="s">
        <v>472</v>
      </c>
      <c r="C264" t="s">
        <v>168</v>
      </c>
      <c r="D264" s="2">
        <f>D246/D$253</f>
        <v>0.17520200913876657</v>
      </c>
      <c r="E264" s="2">
        <f t="shared" ref="E264:T269" si="43">E246/E$253</f>
        <v>0.17130463960508582</v>
      </c>
      <c r="F264" s="2">
        <f t="shared" si="43"/>
        <v>0.1465327362616356</v>
      </c>
      <c r="G264" s="2">
        <f t="shared" si="43"/>
        <v>0.15903033471112951</v>
      </c>
      <c r="H264" s="2">
        <f t="shared" si="43"/>
        <v>0.15001775780069324</v>
      </c>
      <c r="I264" s="2">
        <f t="shared" si="43"/>
        <v>0.14600814723116823</v>
      </c>
      <c r="J264" s="2">
        <f t="shared" si="43"/>
        <v>0.14064051369475658</v>
      </c>
      <c r="K264" s="2">
        <f t="shared" si="43"/>
        <v>0.13650203530678298</v>
      </c>
      <c r="L264" s="2">
        <f t="shared" si="43"/>
        <v>0.13740254065978624</v>
      </c>
      <c r="M264" s="2">
        <f t="shared" si="43"/>
        <v>0.13448777032682099</v>
      </c>
      <c r="N264" s="2">
        <f t="shared" si="43"/>
        <v>0.13310318183757811</v>
      </c>
      <c r="O264" s="2">
        <f t="shared" si="43"/>
        <v>0.1298363390038568</v>
      </c>
      <c r="P264" s="2">
        <f t="shared" si="43"/>
        <v>0.12969460650567091</v>
      </c>
      <c r="Q264" s="2">
        <f t="shared" si="43"/>
        <v>0.11872176672357661</v>
      </c>
      <c r="R264" s="2">
        <f t="shared" si="43"/>
        <v>0.11971228892678795</v>
      </c>
      <c r="S264" s="2">
        <f t="shared" si="43"/>
        <v>0.12660259895951537</v>
      </c>
      <c r="T264" s="2">
        <f>T246/T$253</f>
        <v>0.11132570264027955</v>
      </c>
    </row>
    <row r="265" spans="1:49" x14ac:dyDescent="0.3">
      <c r="A265" t="s">
        <v>238</v>
      </c>
      <c r="B265" s="11" t="s">
        <v>472</v>
      </c>
      <c r="C265" t="s">
        <v>168</v>
      </c>
      <c r="D265" s="2">
        <f t="shared" ref="D265:S269" si="44">D247/D$253</f>
        <v>0.25811145761450693</v>
      </c>
      <c r="E265" s="2">
        <f t="shared" si="44"/>
        <v>0.25893009100956227</v>
      </c>
      <c r="F265" s="2">
        <f t="shared" si="44"/>
        <v>0.24971568852631834</v>
      </c>
      <c r="G265" s="2">
        <f t="shared" si="44"/>
        <v>0.25226224270801528</v>
      </c>
      <c r="H265" s="2">
        <f t="shared" si="44"/>
        <v>0.2580991253898654</v>
      </c>
      <c r="I265" s="2">
        <f t="shared" si="44"/>
        <v>0.26839537795425378</v>
      </c>
      <c r="J265" s="2">
        <f t="shared" si="44"/>
        <v>0.25653699522208512</v>
      </c>
      <c r="K265" s="2">
        <f t="shared" si="44"/>
        <v>0.26383297870304795</v>
      </c>
      <c r="L265" s="2">
        <f t="shared" si="44"/>
        <v>0.27154892828306665</v>
      </c>
      <c r="M265" s="2">
        <f t="shared" si="44"/>
        <v>0.25159956692396551</v>
      </c>
      <c r="N265" s="2">
        <f t="shared" si="44"/>
        <v>0.26516878278114236</v>
      </c>
      <c r="O265" s="2">
        <f t="shared" si="44"/>
        <v>0.27664437578124124</v>
      </c>
      <c r="P265" s="2">
        <f t="shared" si="44"/>
        <v>0.27834115712529151</v>
      </c>
      <c r="Q265" s="2">
        <f t="shared" si="44"/>
        <v>0.28854178861265734</v>
      </c>
      <c r="R265" s="2">
        <f t="shared" si="44"/>
        <v>0.29239947617502515</v>
      </c>
      <c r="S265" s="2">
        <f t="shared" si="44"/>
        <v>0.29834535521646305</v>
      </c>
      <c r="T265" s="2">
        <f t="shared" si="43"/>
        <v>0.32186063095873657</v>
      </c>
    </row>
    <row r="266" spans="1:49" x14ac:dyDescent="0.3">
      <c r="A266" t="s">
        <v>221</v>
      </c>
      <c r="B266" s="11" t="s">
        <v>472</v>
      </c>
      <c r="C266" t="s">
        <v>168</v>
      </c>
      <c r="D266" s="2">
        <f t="shared" si="44"/>
        <v>0.23283533205133497</v>
      </c>
      <c r="E266" s="2">
        <f t="shared" si="43"/>
        <v>0.24142013350995989</v>
      </c>
      <c r="F266" s="2">
        <f t="shared" si="43"/>
        <v>0.25608611038849849</v>
      </c>
      <c r="G266" s="2">
        <f t="shared" si="43"/>
        <v>0.25255241325926353</v>
      </c>
      <c r="H266" s="2">
        <f t="shared" si="43"/>
        <v>0.25745497333518602</v>
      </c>
      <c r="I266" s="2">
        <f t="shared" si="43"/>
        <v>0.25663698800798401</v>
      </c>
      <c r="J266" s="2">
        <f t="shared" si="43"/>
        <v>0.2722425595278859</v>
      </c>
      <c r="K266" s="2">
        <f t="shared" si="43"/>
        <v>0.27109465391602894</v>
      </c>
      <c r="L266" s="2">
        <f t="shared" si="43"/>
        <v>0.26958512518490546</v>
      </c>
      <c r="M266" s="2">
        <f t="shared" si="43"/>
        <v>0.28748003854735305</v>
      </c>
      <c r="N266" s="2">
        <f t="shared" si="43"/>
        <v>0.28795985649076505</v>
      </c>
      <c r="O266" s="2">
        <f t="shared" si="43"/>
        <v>0.2902736722876133</v>
      </c>
      <c r="P266" s="2">
        <f t="shared" si="43"/>
        <v>0.29443678683890856</v>
      </c>
      <c r="Q266" s="2">
        <f t="shared" si="43"/>
        <v>0.30329533673913617</v>
      </c>
      <c r="R266" s="2">
        <f t="shared" si="43"/>
        <v>0.31040788448982815</v>
      </c>
      <c r="S266" s="2">
        <f t="shared" si="43"/>
        <v>0.31510894923367827</v>
      </c>
      <c r="T266" s="2">
        <f t="shared" si="43"/>
        <v>0.31739908432695835</v>
      </c>
    </row>
    <row r="267" spans="1:49" x14ac:dyDescent="0.3">
      <c r="A267" t="s">
        <v>223</v>
      </c>
      <c r="B267" s="11" t="s">
        <v>472</v>
      </c>
      <c r="C267" t="s">
        <v>168</v>
      </c>
      <c r="D267" s="2">
        <f t="shared" si="44"/>
        <v>6.5128003544272353E-2</v>
      </c>
      <c r="E267" s="2">
        <f t="shared" si="43"/>
        <v>6.2670692572025344E-2</v>
      </c>
      <c r="F267" s="2">
        <f t="shared" si="43"/>
        <v>6.7035227811353362E-2</v>
      </c>
      <c r="G267" s="2">
        <f t="shared" si="43"/>
        <v>6.5308235665755054E-2</v>
      </c>
      <c r="H267" s="2">
        <f t="shared" si="43"/>
        <v>6.6049559349954393E-2</v>
      </c>
      <c r="I267" s="2">
        <f t="shared" si="43"/>
        <v>7.1770550031475672E-2</v>
      </c>
      <c r="J267" s="2">
        <f t="shared" si="43"/>
        <v>6.8718708432068926E-2</v>
      </c>
      <c r="K267" s="2">
        <f t="shared" si="43"/>
        <v>6.8439710088398817E-2</v>
      </c>
      <c r="L267" s="2">
        <f t="shared" si="43"/>
        <v>6.8789843833738609E-2</v>
      </c>
      <c r="M267" s="2">
        <f t="shared" si="43"/>
        <v>6.9136856182288736E-2</v>
      </c>
      <c r="N267" s="2">
        <f t="shared" si="43"/>
        <v>6.9435462236431683E-2</v>
      </c>
      <c r="O267" s="2">
        <f t="shared" si="43"/>
        <v>7.2398265807333551E-2</v>
      </c>
      <c r="P267" s="2">
        <f t="shared" si="43"/>
        <v>7.4149792654988098E-2</v>
      </c>
      <c r="Q267" s="2">
        <f t="shared" si="43"/>
        <v>7.4028665823191883E-2</v>
      </c>
      <c r="R267" s="2">
        <f t="shared" si="43"/>
        <v>7.5690572570858011E-2</v>
      </c>
      <c r="S267" s="2">
        <f t="shared" si="43"/>
        <v>7.6147318056806926E-2</v>
      </c>
      <c r="T267" s="2">
        <f t="shared" si="43"/>
        <v>8.1809289181563563E-2</v>
      </c>
    </row>
    <row r="268" spans="1:49" x14ac:dyDescent="0.3">
      <c r="A268" t="s">
        <v>222</v>
      </c>
      <c r="B268" s="11" t="s">
        <v>472</v>
      </c>
      <c r="C268" t="s">
        <v>168</v>
      </c>
      <c r="D268" s="2">
        <f t="shared" si="44"/>
        <v>0.18550892788048445</v>
      </c>
      <c r="E268" s="2">
        <f t="shared" si="43"/>
        <v>0.1832346365711523</v>
      </c>
      <c r="F268" s="2">
        <f t="shared" si="43"/>
        <v>0.19410131130864919</v>
      </c>
      <c r="G268" s="2">
        <f t="shared" si="43"/>
        <v>0.18816456351159686</v>
      </c>
      <c r="H268" s="2">
        <f t="shared" si="43"/>
        <v>0.18516191951630873</v>
      </c>
      <c r="I268" s="2">
        <f t="shared" si="43"/>
        <v>0.17743519312089384</v>
      </c>
      <c r="J268" s="2">
        <f t="shared" si="43"/>
        <v>0.17648332391909607</v>
      </c>
      <c r="K268" s="2">
        <f t="shared" si="43"/>
        <v>0.17775398150304783</v>
      </c>
      <c r="L268" s="2">
        <f t="shared" si="43"/>
        <v>0.17184422408232447</v>
      </c>
      <c r="M268" s="2">
        <f t="shared" si="43"/>
        <v>0.16972140313756359</v>
      </c>
      <c r="N268" s="2">
        <f t="shared" si="43"/>
        <v>0.16165773264473784</v>
      </c>
      <c r="O268" s="2">
        <f t="shared" si="43"/>
        <v>0.15157226977677801</v>
      </c>
      <c r="P268" s="2">
        <f t="shared" si="43"/>
        <v>0.1455531451476412</v>
      </c>
      <c r="Q268" s="2">
        <f t="shared" si="43"/>
        <v>0.14582718775948914</v>
      </c>
      <c r="R268" s="2">
        <f t="shared" si="43"/>
        <v>0.14106901611585884</v>
      </c>
      <c r="S268" s="2">
        <f t="shared" si="43"/>
        <v>0.13277279810679049</v>
      </c>
      <c r="T268" s="2">
        <f t="shared" si="43"/>
        <v>0.12800622437193401</v>
      </c>
    </row>
    <row r="269" spans="1:49" x14ac:dyDescent="0.3">
      <c r="A269" t="s">
        <v>447</v>
      </c>
      <c r="B269" s="11" t="s">
        <v>472</v>
      </c>
      <c r="C269" t="s">
        <v>168</v>
      </c>
      <c r="D269" s="2">
        <f t="shared" si="44"/>
        <v>8.3214269770634841E-2</v>
      </c>
      <c r="E269" s="2">
        <f t="shared" si="43"/>
        <v>8.2439806732214266E-2</v>
      </c>
      <c r="F269" s="2">
        <f t="shared" si="43"/>
        <v>8.6528925703544909E-2</v>
      </c>
      <c r="G269" s="2">
        <f t="shared" si="43"/>
        <v>8.2682210144239682E-2</v>
      </c>
      <c r="H269" s="2">
        <f t="shared" si="43"/>
        <v>8.3216664607992194E-2</v>
      </c>
      <c r="I269" s="2">
        <f t="shared" si="43"/>
        <v>7.9753743654224343E-2</v>
      </c>
      <c r="J269" s="2">
        <f t="shared" si="43"/>
        <v>8.5377899204107557E-2</v>
      </c>
      <c r="K269" s="2">
        <f t="shared" si="43"/>
        <v>8.2376640482693594E-2</v>
      </c>
      <c r="L269" s="2">
        <f t="shared" si="43"/>
        <v>8.0829337956178388E-2</v>
      </c>
      <c r="M269" s="2">
        <f t="shared" si="43"/>
        <v>8.7574364882008093E-2</v>
      </c>
      <c r="N269" s="2">
        <f t="shared" si="43"/>
        <v>8.2674984009345032E-2</v>
      </c>
      <c r="O269" s="2">
        <f t="shared" si="43"/>
        <v>7.9275077343177125E-2</v>
      </c>
      <c r="P269" s="2">
        <f t="shared" si="43"/>
        <v>7.7824511727499754E-2</v>
      </c>
      <c r="Q269" s="2">
        <f t="shared" si="43"/>
        <v>6.958525434194883E-2</v>
      </c>
      <c r="R269" s="2">
        <f t="shared" si="43"/>
        <v>6.0720761721641849E-2</v>
      </c>
      <c r="S269" s="2">
        <f t="shared" si="43"/>
        <v>5.1022980426745898E-2</v>
      </c>
      <c r="T269" s="2">
        <f t="shared" si="43"/>
        <v>3.9599068520527955E-2</v>
      </c>
    </row>
    <row r="271" spans="1:49" x14ac:dyDescent="0.3">
      <c r="A271" t="s">
        <v>445</v>
      </c>
      <c r="B271" s="11" t="s">
        <v>474</v>
      </c>
      <c r="C271" t="s">
        <v>168</v>
      </c>
      <c r="I271" s="2"/>
      <c r="N271" s="2"/>
      <c r="S271" s="2"/>
      <c r="X271" s="2"/>
      <c r="AC271" s="2"/>
      <c r="AH271" s="2"/>
      <c r="AM271" s="2">
        <f>AM255/AM$262</f>
        <v>5.1937354690370086E-2</v>
      </c>
      <c r="AR271" s="2"/>
      <c r="AW271" s="2">
        <f>AW255/AW$262</f>
        <v>5.3011574917800905E-3</v>
      </c>
    </row>
    <row r="272" spans="1:49" x14ac:dyDescent="0.3">
      <c r="A272" t="s">
        <v>238</v>
      </c>
      <c r="B272" s="11" t="s">
        <v>474</v>
      </c>
      <c r="C272" t="s">
        <v>168</v>
      </c>
      <c r="I272" s="2"/>
      <c r="N272" s="2"/>
      <c r="S272" s="2"/>
      <c r="X272" s="2"/>
      <c r="AC272" s="2"/>
      <c r="AH272" s="2"/>
      <c r="AM272" s="2">
        <f t="shared" ref="AM272:AM276" si="45">AM256/AM$262</f>
        <v>9.3471824382474242E-2</v>
      </c>
      <c r="AR272" s="2"/>
      <c r="AW272" s="2">
        <f t="shared" ref="AW272:AW276" si="46">AW256/AW$262</f>
        <v>6.8554334503604297E-3</v>
      </c>
    </row>
    <row r="273" spans="1:49" x14ac:dyDescent="0.3">
      <c r="A273" t="s">
        <v>221</v>
      </c>
      <c r="B273" s="11" t="s">
        <v>474</v>
      </c>
      <c r="C273" t="s">
        <v>168</v>
      </c>
      <c r="I273" s="2"/>
      <c r="N273" s="2"/>
      <c r="S273" s="2"/>
      <c r="X273" s="2"/>
      <c r="AC273" s="2"/>
      <c r="AH273" s="2"/>
      <c r="AM273" s="2">
        <f t="shared" si="45"/>
        <v>0.65983256477116548</v>
      </c>
      <c r="AR273" s="2"/>
      <c r="AW273" s="2">
        <f t="shared" si="46"/>
        <v>0.81808927927298414</v>
      </c>
    </row>
    <row r="274" spans="1:49" x14ac:dyDescent="0.3">
      <c r="A274" t="s">
        <v>223</v>
      </c>
      <c r="B274" s="11" t="s">
        <v>474</v>
      </c>
      <c r="C274" t="s">
        <v>168</v>
      </c>
      <c r="I274" s="2"/>
      <c r="N274" s="2"/>
      <c r="S274" s="2"/>
      <c r="X274" s="2"/>
      <c r="AC274" s="2"/>
      <c r="AH274" s="2"/>
      <c r="AM274" s="2">
        <f t="shared" si="45"/>
        <v>0.10806701262668432</v>
      </c>
      <c r="AR274" s="2"/>
      <c r="AW274" s="2">
        <f t="shared" si="46"/>
        <v>0.12027603034520791</v>
      </c>
    </row>
    <row r="275" spans="1:49" x14ac:dyDescent="0.3">
      <c r="A275" t="s">
        <v>222</v>
      </c>
      <c r="B275" s="11" t="s">
        <v>474</v>
      </c>
      <c r="C275" t="s">
        <v>168</v>
      </c>
      <c r="I275" s="2"/>
      <c r="N275" s="2"/>
      <c r="S275" s="2"/>
      <c r="X275" s="2"/>
      <c r="AC275" s="2"/>
      <c r="AH275" s="2"/>
      <c r="AM275" s="2">
        <f t="shared" si="45"/>
        <v>8.6691243529306003E-2</v>
      </c>
      <c r="AR275" s="2"/>
      <c r="AW275" s="2">
        <f t="shared" si="46"/>
        <v>4.9478099439667467E-2</v>
      </c>
    </row>
    <row r="276" spans="1:49" x14ac:dyDescent="0.3">
      <c r="A276" t="s">
        <v>447</v>
      </c>
      <c r="B276" s="11" t="s">
        <v>474</v>
      </c>
      <c r="C276" t="s">
        <v>168</v>
      </c>
      <c r="I276" s="2"/>
      <c r="N276" s="2"/>
      <c r="S276" s="2"/>
      <c r="X276" s="2"/>
      <c r="AC276" s="2"/>
      <c r="AH276" s="2"/>
      <c r="AM276" s="2">
        <f t="shared" si="45"/>
        <v>0</v>
      </c>
      <c r="AR276" s="2"/>
      <c r="AW276" s="2">
        <f t="shared" si="46"/>
        <v>0</v>
      </c>
    </row>
    <row r="278" spans="1:49" x14ac:dyDescent="0.3">
      <c r="A278" t="s">
        <v>445</v>
      </c>
      <c r="B278" s="11" t="s">
        <v>475</v>
      </c>
      <c r="C278" t="s">
        <v>155</v>
      </c>
      <c r="I278" s="1"/>
      <c r="N278" s="1"/>
      <c r="S278" s="1"/>
      <c r="X278" s="1"/>
      <c r="AC278" s="61">
        <f>AVERAGE(AC15+AC16+AC141+AC142,AC36+AC37+AC162+AC163,AC57+AC58+AC183+AC184)</f>
        <v>9.2911341379452441</v>
      </c>
      <c r="AH278" s="1"/>
      <c r="AM278" s="1"/>
      <c r="AR278" s="1"/>
      <c r="AW278" s="61">
        <f>AVERAGE(AW15+AW16+AW141+AW142,AW36+AW37+AW162+AW163,AW57+AW58+AW183+AW184)</f>
        <v>9.781884694981513E-2</v>
      </c>
    </row>
    <row r="279" spans="1:49" x14ac:dyDescent="0.3">
      <c r="A279" t="s">
        <v>238</v>
      </c>
      <c r="B279" s="11" t="s">
        <v>475</v>
      </c>
      <c r="C279" t="s">
        <v>155</v>
      </c>
      <c r="AC279" s="61">
        <f>AVERAGE(AC17+AC143,AC38+AC164,AC59+AC185)</f>
        <v>64.185907317022313</v>
      </c>
      <c r="AW279" s="61">
        <f>AVERAGE(AW17+AW143,AW38+AW164,AW59+AW185)</f>
        <v>3.2750206138626274</v>
      </c>
    </row>
    <row r="280" spans="1:49" x14ac:dyDescent="0.3">
      <c r="A280" t="s">
        <v>221</v>
      </c>
      <c r="B280" s="11" t="s">
        <v>475</v>
      </c>
      <c r="C280" t="s">
        <v>155</v>
      </c>
      <c r="AC280" s="61">
        <f>AVERAGE(AC23+AC149,AC44+AC170,AC65+AC191)</f>
        <v>138.06986765135875</v>
      </c>
      <c r="AW280" s="61">
        <f>AVERAGE(AW23+AW149,AW44+AW170,AW65+AW191)</f>
        <v>143.95061446971445</v>
      </c>
    </row>
    <row r="281" spans="1:49" x14ac:dyDescent="0.3">
      <c r="A281" t="s">
        <v>223</v>
      </c>
      <c r="B281" s="11" t="s">
        <v>475</v>
      </c>
      <c r="C281" t="s">
        <v>155</v>
      </c>
      <c r="AC281" s="61">
        <f>AVERAGE(AC20+AC146,AC41+AC167,AC62+AC188)</f>
        <v>27.977977056874707</v>
      </c>
      <c r="AW281" s="61">
        <f>AVERAGE(AW20+AW146,AW41+AW167,AW62+AW188)</f>
        <v>22.75916013540143</v>
      </c>
    </row>
    <row r="282" spans="1:49" x14ac:dyDescent="0.3">
      <c r="A282" t="s">
        <v>222</v>
      </c>
      <c r="B282" s="11" t="s">
        <v>475</v>
      </c>
      <c r="C282" t="s">
        <v>155</v>
      </c>
      <c r="AC282" s="61">
        <f>AVERAGE(AC21+AC147,AC42+AC168,AC63+AC189)</f>
        <v>38.920353230291006</v>
      </c>
      <c r="AW282" s="61">
        <f>AVERAGE(AW21+AW147,AW42+AW168,AW63+AW189)</f>
        <v>34.374151127706746</v>
      </c>
    </row>
    <row r="283" spans="1:49" x14ac:dyDescent="0.3">
      <c r="A283" t="s">
        <v>447</v>
      </c>
      <c r="B283" s="11" t="s">
        <v>475</v>
      </c>
      <c r="C283" t="s">
        <v>155</v>
      </c>
      <c r="AC283" s="61">
        <f>AVERAGE(AC18+AC19+AC22+AC144+AC145+AC148,AC39+AC40+AC43+AC165+AC166+AC169,AC60+AC61+AC64+AC186+AC187+AC190)</f>
        <v>43.146000251543178</v>
      </c>
      <c r="AW283" s="61">
        <f>AVERAGE(AW18+AW19+AW22+AW144+AW145+AW148,AW39+AW40+AW43+AW165+AW166+AW169,AW60+AW61+AW64+AW186+AW187+AW190)</f>
        <v>82.520693375961116</v>
      </c>
    </row>
    <row r="284" spans="1:49" x14ac:dyDescent="0.3">
      <c r="AC284" s="61"/>
    </row>
    <row r="285" spans="1:49" x14ac:dyDescent="0.3">
      <c r="A285" t="s">
        <v>445</v>
      </c>
      <c r="B285" s="11" t="s">
        <v>475</v>
      </c>
      <c r="C285" t="s">
        <v>168</v>
      </c>
      <c r="AC285" s="2">
        <f>AC278/SUM(AC$278:AC$283)</f>
        <v>2.8891129460493319E-2</v>
      </c>
      <c r="AW285" s="2">
        <f>AW278/SUM(AW$278:AW$283)</f>
        <v>3.4085899093741072E-4</v>
      </c>
    </row>
    <row r="286" spans="1:49" x14ac:dyDescent="0.3">
      <c r="A286" t="s">
        <v>238</v>
      </c>
      <c r="B286" s="11" t="s">
        <v>475</v>
      </c>
      <c r="C286" t="s">
        <v>168</v>
      </c>
      <c r="AC286" s="2">
        <f t="shared" ref="AC286:AC290" si="47">AC279/SUM(AC$278:AC$283)</f>
        <v>0.19958848191222248</v>
      </c>
      <c r="AW286" s="2">
        <f t="shared" ref="AW286:AW290" si="48">AW279/SUM(AW$278:AW$283)</f>
        <v>1.1412117976744811E-2</v>
      </c>
    </row>
    <row r="287" spans="1:49" x14ac:dyDescent="0.3">
      <c r="A287" t="s">
        <v>221</v>
      </c>
      <c r="B287" s="11" t="s">
        <v>475</v>
      </c>
      <c r="C287" t="s">
        <v>168</v>
      </c>
      <c r="AC287" s="2">
        <f t="shared" si="47"/>
        <v>0.4293334227753125</v>
      </c>
      <c r="AW287" s="2">
        <f t="shared" si="48"/>
        <v>0.50160948245628278</v>
      </c>
    </row>
    <row r="288" spans="1:49" x14ac:dyDescent="0.3">
      <c r="A288" t="s">
        <v>223</v>
      </c>
      <c r="B288" s="11" t="s">
        <v>475</v>
      </c>
      <c r="C288" t="s">
        <v>168</v>
      </c>
      <c r="AC288" s="2">
        <f t="shared" si="47"/>
        <v>8.6998567149267292E-2</v>
      </c>
      <c r="AW288" s="2">
        <f t="shared" si="48"/>
        <v>7.9306438383145716E-2</v>
      </c>
    </row>
    <row r="289" spans="1:49" x14ac:dyDescent="0.3">
      <c r="A289" t="s">
        <v>222</v>
      </c>
      <c r="B289" s="11" t="s">
        <v>475</v>
      </c>
      <c r="C289" t="s">
        <v>168</v>
      </c>
      <c r="AC289" s="2">
        <f t="shared" si="47"/>
        <v>0.12102429554129139</v>
      </c>
      <c r="AW289" s="2">
        <f t="shared" si="48"/>
        <v>0.11977996912733313</v>
      </c>
    </row>
    <row r="290" spans="1:49" x14ac:dyDescent="0.3">
      <c r="A290" t="s">
        <v>447</v>
      </c>
      <c r="B290" s="11" t="s">
        <v>475</v>
      </c>
      <c r="C290" t="s">
        <v>168</v>
      </c>
      <c r="AC290" s="2">
        <f t="shared" si="47"/>
        <v>0.13416410316141295</v>
      </c>
      <c r="AW290" s="2">
        <f t="shared" si="48"/>
        <v>0.2875511330655563</v>
      </c>
    </row>
    <row r="292" spans="1:49" x14ac:dyDescent="0.3">
      <c r="D292">
        <v>2021</v>
      </c>
      <c r="E292">
        <v>2030</v>
      </c>
      <c r="F292">
        <v>2040</v>
      </c>
      <c r="G292">
        <v>2050</v>
      </c>
      <c r="H292">
        <v>2050</v>
      </c>
    </row>
    <row r="293" spans="1:49" x14ac:dyDescent="0.3">
      <c r="A293" s="10" t="s">
        <v>476</v>
      </c>
      <c r="E293" t="s">
        <v>477</v>
      </c>
      <c r="F293" t="s">
        <v>478</v>
      </c>
      <c r="G293" t="s">
        <v>477</v>
      </c>
      <c r="H293" t="s">
        <v>479</v>
      </c>
    </row>
    <row r="294" spans="1:49" x14ac:dyDescent="0.3">
      <c r="A294" t="s">
        <v>445</v>
      </c>
      <c r="D294" s="45">
        <f>T264</f>
        <v>0.11132570264027955</v>
      </c>
      <c r="E294" s="45">
        <f>AC285</f>
        <v>2.8891129460493319E-2</v>
      </c>
      <c r="F294" s="45">
        <f t="shared" ref="F294:F299" si="49">AM271</f>
        <v>5.1937354690370086E-2</v>
      </c>
      <c r="G294" s="45">
        <f t="shared" ref="G294:G299" si="50">AW285</f>
        <v>3.4085899093741072E-4</v>
      </c>
      <c r="H294" s="45">
        <f>AW271</f>
        <v>5.3011574917800905E-3</v>
      </c>
    </row>
    <row r="295" spans="1:49" x14ac:dyDescent="0.3">
      <c r="A295" t="s">
        <v>238</v>
      </c>
      <c r="D295" s="45">
        <f t="shared" ref="D295:D299" si="51">T265</f>
        <v>0.32186063095873657</v>
      </c>
      <c r="E295" s="45">
        <f t="shared" ref="E295:E299" si="52">AC286</f>
        <v>0.19958848191222248</v>
      </c>
      <c r="F295" s="45">
        <f t="shared" si="49"/>
        <v>9.3471824382474242E-2</v>
      </c>
      <c r="G295" s="45">
        <f t="shared" si="50"/>
        <v>1.1412117976744811E-2</v>
      </c>
      <c r="H295" s="45">
        <f t="shared" ref="H295:H299" si="53">AW272</f>
        <v>6.8554334503604297E-3</v>
      </c>
    </row>
    <row r="296" spans="1:49" x14ac:dyDescent="0.3">
      <c r="A296" t="s">
        <v>221</v>
      </c>
      <c r="D296" s="45">
        <f t="shared" si="51"/>
        <v>0.31739908432695835</v>
      </c>
      <c r="E296" s="45">
        <f t="shared" si="52"/>
        <v>0.4293334227753125</v>
      </c>
      <c r="F296" s="45">
        <f t="shared" si="49"/>
        <v>0.65983256477116548</v>
      </c>
      <c r="G296" s="45">
        <f t="shared" si="50"/>
        <v>0.50160948245628278</v>
      </c>
      <c r="H296" s="45">
        <f t="shared" si="53"/>
        <v>0.81808927927298414</v>
      </c>
    </row>
    <row r="297" spans="1:49" x14ac:dyDescent="0.3">
      <c r="A297" t="s">
        <v>223</v>
      </c>
      <c r="D297" s="45">
        <f t="shared" si="51"/>
        <v>8.1809289181563563E-2</v>
      </c>
      <c r="E297" s="45">
        <f t="shared" si="52"/>
        <v>8.6998567149267292E-2</v>
      </c>
      <c r="F297" s="45">
        <f t="shared" si="49"/>
        <v>0.10806701262668432</v>
      </c>
      <c r="G297" s="45">
        <f t="shared" si="50"/>
        <v>7.9306438383145716E-2</v>
      </c>
      <c r="H297" s="45">
        <f t="shared" si="53"/>
        <v>0.12027603034520791</v>
      </c>
    </row>
    <row r="298" spans="1:49" x14ac:dyDescent="0.3">
      <c r="A298" t="s">
        <v>222</v>
      </c>
      <c r="D298" s="45">
        <f t="shared" si="51"/>
        <v>0.12800622437193401</v>
      </c>
      <c r="E298" s="45">
        <f t="shared" si="52"/>
        <v>0.12102429554129139</v>
      </c>
      <c r="F298" s="45">
        <f t="shared" si="49"/>
        <v>8.6691243529306003E-2</v>
      </c>
      <c r="G298" s="45">
        <f t="shared" si="50"/>
        <v>0.11977996912733313</v>
      </c>
      <c r="H298" s="45">
        <f t="shared" si="53"/>
        <v>4.9478099439667467E-2</v>
      </c>
    </row>
    <row r="299" spans="1:49" x14ac:dyDescent="0.3">
      <c r="A299" t="s">
        <v>447</v>
      </c>
      <c r="D299" s="45">
        <f t="shared" si="51"/>
        <v>3.9599068520527955E-2</v>
      </c>
      <c r="E299" s="45">
        <f t="shared" si="52"/>
        <v>0.13416410316141295</v>
      </c>
      <c r="F299" s="45">
        <f t="shared" si="49"/>
        <v>0</v>
      </c>
      <c r="G299" s="45">
        <f t="shared" si="50"/>
        <v>0.2875511330655563</v>
      </c>
      <c r="H299" s="45">
        <f t="shared" si="53"/>
        <v>0</v>
      </c>
    </row>
    <row r="324" spans="1:9" x14ac:dyDescent="0.3">
      <c r="D324">
        <v>2021</v>
      </c>
      <c r="E324">
        <v>2030</v>
      </c>
      <c r="G324">
        <v>2040</v>
      </c>
      <c r="H324">
        <v>2050</v>
      </c>
    </row>
    <row r="325" spans="1:9" x14ac:dyDescent="0.3">
      <c r="A325" s="10" t="s">
        <v>480</v>
      </c>
      <c r="E325" t="s">
        <v>477</v>
      </c>
      <c r="F325" t="s">
        <v>481</v>
      </c>
      <c r="G325" t="s">
        <v>481</v>
      </c>
      <c r="H325" t="s">
        <v>477</v>
      </c>
      <c r="I325" t="s">
        <v>482</v>
      </c>
    </row>
    <row r="326" spans="1:9" x14ac:dyDescent="0.3">
      <c r="A326" t="s">
        <v>445</v>
      </c>
      <c r="C326" t="s">
        <v>22</v>
      </c>
      <c r="D326" s="1">
        <f>T246</f>
        <v>506.38916852999995</v>
      </c>
      <c r="E326" s="1">
        <f t="shared" ref="E326:E331" si="54">AC278*Mtoe2TWh</f>
        <v>108.05589002430318</v>
      </c>
      <c r="F326" s="1">
        <f>AC255</f>
        <v>367.93518518518812</v>
      </c>
      <c r="G326" s="1">
        <f t="shared" ref="G326:G331" si="55">AM255</f>
        <v>149.75462962963084</v>
      </c>
      <c r="H326" s="1">
        <f t="shared" ref="H326:H331" si="56">AW278*Mtoe2TWh</f>
        <v>1.1376331900263499</v>
      </c>
      <c r="I326" s="1">
        <f t="shared" ref="I326:I331" si="57">AW255</f>
        <v>12.995370370370475</v>
      </c>
    </row>
    <row r="327" spans="1:9" x14ac:dyDescent="0.3">
      <c r="A327" t="s">
        <v>238</v>
      </c>
      <c r="C327" t="s">
        <v>22</v>
      </c>
      <c r="D327" s="1">
        <f t="shared" ref="D327:D331" si="58">T247</f>
        <v>1464.05307515</v>
      </c>
      <c r="E327" s="1">
        <f t="shared" si="54"/>
        <v>746.48210209696947</v>
      </c>
      <c r="F327" s="1">
        <f t="shared" ref="F327:F331" si="59">AC256</f>
        <v>907.40277777778499</v>
      </c>
      <c r="G327" s="1">
        <f t="shared" si="55"/>
        <v>269.51388888889107</v>
      </c>
      <c r="H327" s="1">
        <f t="shared" si="56"/>
        <v>38.088489739222354</v>
      </c>
      <c r="I327" s="1">
        <f t="shared" si="57"/>
        <v>16.805555555555689</v>
      </c>
    </row>
    <row r="328" spans="1:9" x14ac:dyDescent="0.3">
      <c r="A328" t="s">
        <v>221</v>
      </c>
      <c r="C328" t="s">
        <v>22</v>
      </c>
      <c r="D328" s="1">
        <f t="shared" si="58"/>
        <v>1443.7587600400002</v>
      </c>
      <c r="E328" s="1">
        <f t="shared" si="54"/>
        <v>1605.7525607853022</v>
      </c>
      <c r="F328" s="1">
        <f t="shared" si="59"/>
        <v>1734.5185185185319</v>
      </c>
      <c r="G328" s="1">
        <f t="shared" si="55"/>
        <v>1902.5416666666815</v>
      </c>
      <c r="H328" s="1">
        <f t="shared" si="56"/>
        <v>1674.1456462827789</v>
      </c>
      <c r="I328" s="1">
        <f t="shared" si="57"/>
        <v>2005.4814814814974</v>
      </c>
    </row>
    <row r="329" spans="1:9" x14ac:dyDescent="0.3">
      <c r="A329" t="s">
        <v>223</v>
      </c>
      <c r="C329" t="s">
        <v>22</v>
      </c>
      <c r="D329" s="1">
        <f t="shared" si="58"/>
        <v>372.12734296000002</v>
      </c>
      <c r="E329" s="1">
        <f t="shared" si="54"/>
        <v>325.38387317145282</v>
      </c>
      <c r="F329" s="1">
        <f t="shared" si="59"/>
        <v>399.28703703704014</v>
      </c>
      <c r="G329" s="1">
        <f t="shared" si="55"/>
        <v>311.59722222222467</v>
      </c>
      <c r="H329" s="1">
        <f t="shared" si="56"/>
        <v>264.68903237471864</v>
      </c>
      <c r="I329" s="1">
        <f t="shared" si="57"/>
        <v>294.84722222222456</v>
      </c>
    </row>
    <row r="330" spans="1:9" x14ac:dyDescent="0.3">
      <c r="A330" t="s">
        <v>222</v>
      </c>
      <c r="C330" t="s">
        <v>22</v>
      </c>
      <c r="D330" s="1">
        <f t="shared" si="58"/>
        <v>582.26414914999998</v>
      </c>
      <c r="E330" s="1">
        <f t="shared" si="54"/>
        <v>452.64370806828435</v>
      </c>
      <c r="F330" s="1">
        <f t="shared" si="59"/>
        <v>423.2500000000033</v>
      </c>
      <c r="G330" s="1">
        <f t="shared" si="55"/>
        <v>249.96296296296495</v>
      </c>
      <c r="H330" s="1">
        <f t="shared" si="56"/>
        <v>399.77137761522943</v>
      </c>
      <c r="I330" s="1">
        <f t="shared" si="57"/>
        <v>121.29166666666764</v>
      </c>
    </row>
    <row r="331" spans="1:9" x14ac:dyDescent="0.3">
      <c r="A331" t="s">
        <v>447</v>
      </c>
      <c r="C331" t="s">
        <v>22</v>
      </c>
      <c r="D331" s="1">
        <f t="shared" si="58"/>
        <v>180.12497479999999</v>
      </c>
      <c r="E331" s="1">
        <f t="shared" si="54"/>
        <v>501.78798292544712</v>
      </c>
      <c r="F331" s="1">
        <f t="shared" si="59"/>
        <v>0</v>
      </c>
      <c r="G331" s="1">
        <f t="shared" si="55"/>
        <v>0</v>
      </c>
      <c r="H331" s="1">
        <f t="shared" si="56"/>
        <v>959.7156639624277</v>
      </c>
      <c r="I331" s="1">
        <f t="shared" si="57"/>
        <v>0</v>
      </c>
    </row>
    <row r="333" spans="1:9" x14ac:dyDescent="0.3">
      <c r="A333" t="s">
        <v>473</v>
      </c>
      <c r="D333" s="1">
        <f t="shared" ref="D333:I333" si="60">SUM(D326:D331)</f>
        <v>4548.7174706300002</v>
      </c>
      <c r="E333" s="1">
        <f t="shared" si="60"/>
        <v>3740.1061170717589</v>
      </c>
      <c r="F333" s="1">
        <f t="shared" si="60"/>
        <v>3832.3935185185483</v>
      </c>
      <c r="G333" s="1">
        <f t="shared" si="60"/>
        <v>2883.3703703703927</v>
      </c>
      <c r="H333" s="1">
        <f t="shared" si="60"/>
        <v>3337.5478431644033</v>
      </c>
      <c r="I333" s="1">
        <f t="shared" si="60"/>
        <v>2451.4212962963156</v>
      </c>
    </row>
    <row r="356" spans="1:39" s="70" customFormat="1" x14ac:dyDescent="0.3">
      <c r="A356" s="69" t="s">
        <v>44</v>
      </c>
      <c r="D356" s="70">
        <f>D3</f>
        <v>2005</v>
      </c>
      <c r="E356" s="70">
        <f t="shared" ref="E356:T356" si="61">E3</f>
        <v>2006</v>
      </c>
      <c r="F356" s="70">
        <f t="shared" si="61"/>
        <v>2007</v>
      </c>
      <c r="G356" s="70">
        <f t="shared" si="61"/>
        <v>2008</v>
      </c>
      <c r="H356" s="70">
        <f t="shared" si="61"/>
        <v>2009</v>
      </c>
      <c r="I356" s="70">
        <f t="shared" si="61"/>
        <v>2010</v>
      </c>
      <c r="J356" s="70">
        <f t="shared" si="61"/>
        <v>2011</v>
      </c>
      <c r="K356" s="70">
        <f t="shared" si="61"/>
        <v>2012</v>
      </c>
      <c r="L356" s="70">
        <f t="shared" si="61"/>
        <v>2013</v>
      </c>
      <c r="M356" s="70">
        <f t="shared" si="61"/>
        <v>2014</v>
      </c>
      <c r="N356" s="70">
        <f t="shared" si="61"/>
        <v>2015</v>
      </c>
      <c r="O356" s="70">
        <f t="shared" si="61"/>
        <v>2016</v>
      </c>
      <c r="P356" s="70">
        <f t="shared" si="61"/>
        <v>2017</v>
      </c>
      <c r="Q356" s="70">
        <f t="shared" si="61"/>
        <v>2018</v>
      </c>
      <c r="R356" s="70">
        <f t="shared" si="61"/>
        <v>2019</v>
      </c>
      <c r="S356" s="70">
        <f t="shared" si="61"/>
        <v>2020</v>
      </c>
      <c r="T356" s="70">
        <f t="shared" si="61"/>
        <v>2021</v>
      </c>
      <c r="U356" s="70">
        <v>2022</v>
      </c>
      <c r="V356" s="70">
        <v>2023</v>
      </c>
      <c r="W356" s="70">
        <v>2024</v>
      </c>
      <c r="X356" s="70">
        <v>2025</v>
      </c>
      <c r="Y356" s="70">
        <v>2026</v>
      </c>
      <c r="Z356" s="70">
        <v>2027</v>
      </c>
      <c r="AA356" s="70">
        <v>2028</v>
      </c>
      <c r="AB356" s="70">
        <v>2029</v>
      </c>
      <c r="AC356" s="70">
        <v>2030</v>
      </c>
    </row>
    <row r="357" spans="1:39" s="70" customFormat="1" x14ac:dyDescent="0.3">
      <c r="A357" s="70" t="s">
        <v>483</v>
      </c>
      <c r="B357" s="74"/>
      <c r="D357" s="78">
        <f>SUM(D7:D10)</f>
        <v>0.43387649449292665</v>
      </c>
      <c r="E357" s="78">
        <f t="shared" ref="E357:T357" si="62">SUM(E7:E10)</f>
        <v>0.44273654805845097</v>
      </c>
      <c r="F357" s="78">
        <f t="shared" si="62"/>
        <v>0.48257564126429647</v>
      </c>
      <c r="G357" s="78">
        <f t="shared" si="62"/>
        <v>0.47358126301942549</v>
      </c>
      <c r="H357" s="78">
        <f t="shared" si="62"/>
        <v>0.48118904648491256</v>
      </c>
      <c r="I357" s="78">
        <f t="shared" si="62"/>
        <v>0.48130117585881232</v>
      </c>
      <c r="J357" s="78">
        <f t="shared" si="62"/>
        <v>0.49635358352306563</v>
      </c>
      <c r="K357" s="78">
        <f t="shared" si="62"/>
        <v>0.50258492622933904</v>
      </c>
      <c r="L357" s="78">
        <f t="shared" si="62"/>
        <v>0.50347071096671914</v>
      </c>
      <c r="M357" s="78">
        <f t="shared" si="62"/>
        <v>0.52715606024650474</v>
      </c>
      <c r="N357" s="78">
        <f t="shared" si="62"/>
        <v>0.52009726888554109</v>
      </c>
      <c r="O357" s="78">
        <f t="shared" si="62"/>
        <v>0.51557200030298544</v>
      </c>
      <c r="P357" s="78">
        <f t="shared" si="62"/>
        <v>0.52108595197220653</v>
      </c>
      <c r="Q357" s="78">
        <f t="shared" si="62"/>
        <v>0.53021773123514437</v>
      </c>
      <c r="R357" s="78">
        <f t="shared" si="62"/>
        <v>0.53474632872356442</v>
      </c>
      <c r="S357" s="78">
        <f t="shared" si="62"/>
        <v>0.53255740984718947</v>
      </c>
      <c r="T357" s="78">
        <f t="shared" si="62"/>
        <v>0.54418299726973129</v>
      </c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  <c r="AE357" s="78"/>
      <c r="AF357" s="78"/>
      <c r="AG357" s="78"/>
      <c r="AH357" s="78"/>
      <c r="AI357" s="78"/>
      <c r="AJ357" s="78"/>
      <c r="AK357" s="78"/>
      <c r="AL357" s="78"/>
      <c r="AM357" s="78"/>
    </row>
    <row r="358" spans="1:39" s="70" customFormat="1" x14ac:dyDescent="0.3">
      <c r="A358" s="70" t="s">
        <v>484</v>
      </c>
      <c r="E358" s="71"/>
      <c r="P358" s="78">
        <f t="shared" ref="P358:S358" si="63">P357-O357</f>
        <v>5.5139516692210844E-3</v>
      </c>
      <c r="Q358" s="78">
        <f t="shared" si="63"/>
        <v>9.1317792629378447E-3</v>
      </c>
      <c r="R358" s="78">
        <f t="shared" si="63"/>
        <v>4.5285974884200497E-3</v>
      </c>
      <c r="S358" s="78">
        <f t="shared" si="63"/>
        <v>-2.1889188763749567E-3</v>
      </c>
      <c r="T358" s="78">
        <f>T357-S357</f>
        <v>1.1625587422541828E-2</v>
      </c>
    </row>
    <row r="359" spans="1:39" s="70" customFormat="1" x14ac:dyDescent="0.3">
      <c r="A359" s="70" t="s">
        <v>347</v>
      </c>
      <c r="E359" s="71">
        <f>AVERAGE(P358:T358)</f>
        <v>5.7221993933491699E-3</v>
      </c>
    </row>
    <row r="360" spans="1:39" s="70" customFormat="1" x14ac:dyDescent="0.3"/>
    <row r="361" spans="1:39" s="70" customFormat="1" x14ac:dyDescent="0.3">
      <c r="A361" s="69"/>
    </row>
    <row r="362" spans="1:39" s="70" customFormat="1" x14ac:dyDescent="0.3">
      <c r="A362" s="70" t="s">
        <v>485</v>
      </c>
      <c r="B362" s="74"/>
      <c r="D362" s="78">
        <f>SUM(D133:D136)</f>
        <v>0.53022464196509889</v>
      </c>
      <c r="E362" s="78">
        <f t="shared" ref="E362:T362" si="64">SUM(E133:E136)</f>
        <v>0.53345100625193931</v>
      </c>
      <c r="F362" s="78">
        <f t="shared" si="64"/>
        <v>0.5714575989122449</v>
      </c>
      <c r="G362" s="78">
        <f t="shared" si="64"/>
        <v>0.56106145211260583</v>
      </c>
      <c r="H362" s="78">
        <f t="shared" si="64"/>
        <v>0.56743885844331821</v>
      </c>
      <c r="I362" s="78">
        <f t="shared" si="64"/>
        <v>0.57162405738032995</v>
      </c>
      <c r="J362" s="78">
        <f t="shared" si="64"/>
        <v>0.59203260196414231</v>
      </c>
      <c r="K362" s="78">
        <f t="shared" si="64"/>
        <v>0.5909988551341534</v>
      </c>
      <c r="L362" s="78">
        <f t="shared" si="64"/>
        <v>0.575790020955667</v>
      </c>
      <c r="M362" s="78">
        <f t="shared" si="64"/>
        <v>0.60023238129794687</v>
      </c>
      <c r="N362" s="78">
        <f t="shared" si="64"/>
        <v>0.59635349051629938</v>
      </c>
      <c r="O362" s="78">
        <f t="shared" si="64"/>
        <v>0.59865727640063959</v>
      </c>
      <c r="P362" s="78">
        <f t="shared" si="64"/>
        <v>0.6103303480116189</v>
      </c>
      <c r="Q362" s="78">
        <f t="shared" si="64"/>
        <v>0.62294092738896945</v>
      </c>
      <c r="R362" s="78">
        <f t="shared" si="64"/>
        <v>0.62874775524187954</v>
      </c>
      <c r="S362" s="78">
        <f t="shared" si="64"/>
        <v>0.6271692630346295</v>
      </c>
      <c r="T362" s="78">
        <f t="shared" si="64"/>
        <v>0.61263496294017716</v>
      </c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  <c r="AE362" s="78"/>
      <c r="AF362" s="78"/>
      <c r="AG362" s="78"/>
      <c r="AH362" s="78"/>
      <c r="AI362" s="78"/>
      <c r="AJ362" s="78"/>
      <c r="AK362" s="78"/>
      <c r="AL362" s="78"/>
      <c r="AM362" s="78"/>
    </row>
    <row r="363" spans="1:39" s="70" customFormat="1" x14ac:dyDescent="0.3">
      <c r="A363" s="70" t="s">
        <v>486</v>
      </c>
      <c r="E363" s="71"/>
      <c r="P363" s="78">
        <f t="shared" ref="P363" si="65">P362-O362</f>
        <v>1.1673071610979302E-2</v>
      </c>
      <c r="Q363" s="78">
        <f t="shared" ref="Q363" si="66">Q362-P362</f>
        <v>1.261057937735055E-2</v>
      </c>
      <c r="R363" s="78">
        <f t="shared" ref="R363" si="67">R362-Q362</f>
        <v>5.8068278529100903E-3</v>
      </c>
      <c r="S363" s="78">
        <f t="shared" ref="S363" si="68">S362-R362</f>
        <v>-1.5784922072500374E-3</v>
      </c>
      <c r="T363" s="78">
        <f>T362-S362</f>
        <v>-1.4534300094452335E-2</v>
      </c>
    </row>
    <row r="364" spans="1:39" s="70" customFormat="1" x14ac:dyDescent="0.3">
      <c r="A364" s="70" t="s">
        <v>347</v>
      </c>
      <c r="E364" s="71">
        <f>AVERAGE(P363:T363)</f>
        <v>2.795537307907514E-3</v>
      </c>
    </row>
    <row r="366" spans="1:39" x14ac:dyDescent="0.3">
      <c r="A366" s="10" t="s">
        <v>487</v>
      </c>
    </row>
    <row r="368" spans="1:39" x14ac:dyDescent="0.3">
      <c r="A368" t="s">
        <v>488</v>
      </c>
      <c r="AC368" s="50">
        <f>(SUM(AC94:AC97)-T357)/9</f>
        <v>2.4587744251076571E-2</v>
      </c>
    </row>
    <row r="369" spans="1:29" x14ac:dyDescent="0.3">
      <c r="A369" t="s">
        <v>489</v>
      </c>
      <c r="AC369" s="50">
        <f>(SUM(AC220:AC223)-T362)/9</f>
        <v>1.9140554213117777E-2</v>
      </c>
    </row>
  </sheetData>
  <mergeCells count="2">
    <mergeCell ref="AI80:AN80"/>
    <mergeCell ref="AI204:AN204"/>
  </mergeCells>
  <phoneticPr fontId="50" type="noConversion"/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d963ac-f1ca-452e-b18b-8cbbecb7290e">
      <Terms xmlns="http://schemas.microsoft.com/office/infopath/2007/PartnerControls"/>
    </lcf76f155ced4ddcb4097134ff3c332f>
    <TaxCatchAll xmlns="a8fcedee-7f03-4257-8c59-ae56f55c4b1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462A1B62F2C54A89815A910B5DA9DF" ma:contentTypeVersion="16" ma:contentTypeDescription="Create a new document." ma:contentTypeScope="" ma:versionID="43a3ad87b04958c91f7313fb39e06f27">
  <xsd:schema xmlns:xsd="http://www.w3.org/2001/XMLSchema" xmlns:xs="http://www.w3.org/2001/XMLSchema" xmlns:p="http://schemas.microsoft.com/office/2006/metadata/properties" xmlns:ns2="a9d963ac-f1ca-452e-b18b-8cbbecb7290e" xmlns:ns3="a8fcedee-7f03-4257-8c59-ae56f55c4b1e" targetNamespace="http://schemas.microsoft.com/office/2006/metadata/properties" ma:root="true" ma:fieldsID="d00b033298dd0215310f833e8991d3df" ns2:_="" ns3:_="">
    <xsd:import namespace="a9d963ac-f1ca-452e-b18b-8cbbecb7290e"/>
    <xsd:import namespace="a8fcedee-7f03-4257-8c59-ae56f55c4b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d963ac-f1ca-452e-b18b-8cbbecb729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de42cbc-566b-46c9-aea5-a71cdcd36d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fcedee-7f03-4257-8c59-ae56f55c4b1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e1f8554-d6c4-460b-bca5-2ae6d8f9a2f4}" ma:internalName="TaxCatchAll" ma:showField="CatchAllData" ma:web="a8fcedee-7f03-4257-8c59-ae56f55c4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884F40-66F2-4A7E-9755-35BBE0170EDA}">
  <ds:schemaRefs>
    <ds:schemaRef ds:uri="a9d963ac-f1ca-452e-b18b-8cbbecb7290e"/>
    <ds:schemaRef ds:uri="http://www.w3.org/XML/1998/namespace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8fcedee-7f03-4257-8c59-ae56f55c4b1e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EDEF6489-7EE6-48DE-AF89-DC8E099B64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d963ac-f1ca-452e-b18b-8cbbecb7290e"/>
    <ds:schemaRef ds:uri="a8fcedee-7f03-4257-8c59-ae56f55c4b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F2426F-7829-4C54-AD0D-0104F971E50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5</vt:i4>
      </vt:variant>
    </vt:vector>
  </HeadingPairs>
  <TitlesOfParts>
    <vt:vector size="17" baseType="lpstr">
      <vt:lpstr>Colour Palette</vt:lpstr>
      <vt:lpstr>Named Refs&amp;Conversions</vt:lpstr>
      <vt:lpstr>B1. GHG emissions</vt:lpstr>
      <vt:lpstr>B2. buildings - energy</vt:lpstr>
      <vt:lpstr>B3. (Retrofit)</vt:lpstr>
      <vt:lpstr>B4. surface area</vt:lpstr>
      <vt:lpstr>B5a&amp;b energy mix new</vt:lpstr>
      <vt:lpstr>B6. heat pumps</vt:lpstr>
      <vt:lpstr>4 energy drivers</vt:lpstr>
      <vt:lpstr>5 heating &amp; cooling</vt:lpstr>
      <vt:lpstr>Energy balances (for buildings)</vt:lpstr>
      <vt:lpstr>7 energy mix</vt:lpstr>
      <vt:lpstr>CH4fact</vt:lpstr>
      <vt:lpstr>EJ2TWh</vt:lpstr>
      <vt:lpstr>ktoe2TWh</vt:lpstr>
      <vt:lpstr>Mtoe2TWh</vt:lpstr>
      <vt:lpstr>N2Ofact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Pieter Lemmens</dc:creator>
  <cp:keywords/>
  <dc:description/>
  <cp:lastModifiedBy>Pieter Lemmens</cp:lastModifiedBy>
  <cp:revision/>
  <dcterms:created xsi:type="dcterms:W3CDTF">2015-06-05T18:17:20Z</dcterms:created>
  <dcterms:modified xsi:type="dcterms:W3CDTF">2024-02-05T16:07:37Z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0x01010003462A1B62F2C54A89815A910B5DA9DF</vt:lpwstr>
  </property>
</Properties>
</file>