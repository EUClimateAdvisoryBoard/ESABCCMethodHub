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Dashboard" state="visible" r:id="rId5"/>
    <sheet sheetId="3" name="Figures" state="visible" r:id="rId6"/>
    <sheet sheetId="4" name="Methodology" state="visible" r:id="rId7"/>
    <sheet sheetId="5" name="Method figure" state="visible" r:id="rId8"/>
    <sheet sheetId="6" name="Concepts" state="visible" r:id="rId9"/>
    <sheet sheetId="7" name="IO model" state="visible" r:id="rId10"/>
    <sheet sheetId="8" name="Z total" state="visible" r:id="rId11"/>
    <sheet sheetId="9" name="Z domestic" state="visible" r:id="rId12"/>
    <sheet sheetId="10" name="Z imported" state="visible" r:id="rId13"/>
    <sheet sheetId="11" name="A domestic" state="visible" r:id="rId14"/>
    <sheet sheetId="12" name="A import" state="visible" r:id="rId15"/>
    <sheet sheetId="13" name="I minus A" state="visible" r:id="rId16"/>
    <sheet sheetId="14" name="Leontief inverse" state="visible" r:id="rId17"/>
    <sheet sheetId="15" name="Import requirements" state="visible" r:id="rId18"/>
    <sheet sheetId="16" name="Multipliers" state="visible" r:id="rId19"/>
    <sheet sheetId="17" name="Trade backbone" state="visible" r:id="rId20"/>
    <sheet sheetId="18" name="FIGARO partners" state="visible" r:id="rId21"/>
    <sheet sheetId="19" name="Foreign value added" state="visible" r:id="rId22"/>
    <sheet sheetId="20" name="Imported inputs" state="visible" r:id="rId23"/>
    <sheet sheetId="21" name="Critical materials" state="visible" r:id="rId24"/>
    <sheet sheetId="22" name="Product dependencies" state="visible" r:id="rId25"/>
    <sheet sheetId="23" name="Strategic dependencies" state="visible" r:id="rId26"/>
    <sheet sheetId="24" name="Energy dependency" state="visible" r:id="rId27"/>
    <sheet sheetId="25" name="Risk map" state="visible" r:id="rId28"/>
    <sheet sheetId="26" name="Critical inputs" state="visible" r:id="rId29"/>
    <sheet sheetId="27" name="Sources" state="visible" r:id="rId30"/>
    <sheet sheetId="28" name="Change log" state="visible" r:id="rId31"/>
  </sheets>
  <calcPr calcId="171027" fullCalcOnLoad="1"/>
</workbook>
</file>

<file path=xl/sharedStrings.xml><?xml version="1.0" encoding="utf-8"?>
<sst xmlns="http://schemas.openxmlformats.org/spreadsheetml/2006/main" count="8527" uniqueCount="1017">
  <si>
    <t>Trade flows — the input–output model of EU-27 manufacturing · IO-model masterfile v1</t>
  </si>
  <si>
    <t>Workbook</t>
  </si>
  <si>
    <t>Trade flows — IO-model masterfile v1 (EU-27 manufacturing input–output model, dashboard, underlying data and sources)</t>
  </si>
  <si>
    <t>Compiled</t>
  </si>
  <si>
    <t>2026-08-11</t>
  </si>
  <si>
    <t>Status</t>
  </si>
  <si>
    <t>AI-compiled — pending Secretariat verification. Every statistical value is fetched from the public Eurostat API by the scripts named below; every curated figure carries its source on its own sheet and in the Sources sheet.</t>
  </si>
  <si>
    <t>What this is</t>
  </si>
  <si>
    <t>The COMPLETE input–output modelling behind /beta/overview-industry/trade-flows, rebuilt inside one workbook: the FIGARO use matrices (total / domestic / imported), the technical and import coefficient matrices, the Leontief inverse, the import-requirements matrix, multipliers, the import and value-added content of final demand and of extra-EU exports — plus the dashboard, the Eurostat trade backbone, the published FIGARO layers and every curated dependency register. It is a superset of the in-page "handover workbook" download, which only carries the result tables.</t>
  </si>
  <si>
    <t>Live formulas</t>
  </si>
  <si>
    <t>Everything derived is an Excel formula: the coefficient sheets divide the Z sheets by output, the Leontief inverse is one MINVERSE array formula over (I − A), the import-requirements sheet is one MMULT array formula, and the Multipliers and Dashboard sheets are built from SUM / SUMPRODUCT / INDEX / MATCH / COUNTIF over the data sheets. Change any underlying cell (a Z-matrix value, a backbone flow, a curated register row) and every dependent figure — up to and including the Dashboard — recalculates. Full recalculation on open is switched on.</t>
  </si>
  <si>
    <t>How to make changes</t>
  </si>
  <si>
    <t>1) Edit the underlying cell (Z sheets, Trade backbone, or a curated register). 2) Let Excel recalculate (F9 / on open). 3) Record the edit in the Change log sheet (date, cell, old → new, reason, source). 4) For changes that should persist, carry them back to the repository — the canonical data lives in trade-data.ts / the generated extracts, and this file is regenerated from them; a hand-edited copy of this workbook is a working copy, not the source of truth.</t>
  </si>
  <si>
    <t>Model scope</t>
  </si>
  <si>
    <t>Reference year 2023; EU-27 treated as one economy ("imported" = from outside the EU). 64 A*64 industries (the whole economy, not only manufacturing — a manufacturing-only model would misstate the chains through energy, mining and services). € million, current basic prices. Matrices condensed from Eurostat FIGARO naio_10_fcp_ii4 (~11 M cells) by scripts/fetch-figaro-io-dataset.mjs; aggregation choices are documented in that script's header.</t>
  </si>
  <si>
    <t>Three data layers</t>
  </si>
  <si>
    <t>Layer 1 — trade backbone: ext_tec01, all 24 Section C divisions, 2023 + 2024, enterprise attribution. Layer 2 — input–output: the FIGARO matrices modelled here, plus the published application datasets (use-table input mixes, import origins, export destinations, foreign value added). Layer 3 — curated dependency registers: EC/JRC critical raw materials, SWD(2021) 352 strategic families, manufactured-product dependencies, energy dependency — "as reported by &lt;source&gt;", NOT derivable from official statistics and never arithmetically combined with the statistical layers.</t>
  </si>
  <si>
    <t>Sheet map</t>
  </si>
  <si>
    <t>Dashboard → Figures (NATIVE Excel charts generated from the sheet data: trade balance, dependency map, import content — they recalculate with the sheets) → Methodology → Method figure (the model as one diagram) → Concepts (plain-language glossary: what an IO table is, what the Leontief inverse does, …) → IO model → Z total / Z domestic / Z imported → A domestic / A import → I minus A → Leontief inverse → Import requirements → Multipliers → Trade backbone → FIGARO partners → Foreign value added → Imported inputs → Critical materials → Product dependencies → Strategic dependencies → Energy dependency → Risk map → Critical inputs → Sources → Change log. The Methodology sheet states, for every derived sheet, the formula it implements and the exact cell references. Only the method diagram is an image; the data figures are real charts over live ranges.</t>
  </si>
  <si>
    <t>Reproducible</t>
  </si>
  <si>
    <t>node scripts/build-trade-flows-io-model-workbook.mjs rebuilds this file. Upstream: node scripts/fetch-figaro-io-dataset.mjs (FIGARO matrices), node scripts/fetch-trade-flows-io-data.mjs (backbone + published IO layers). Curated registers: beta/modules/overview-industry/trade-flows/trade-data.ts.</t>
  </si>
  <si>
    <t>Live module</t>
  </si>
  <si>
    <t>/beta/overview-industry/trade-flows on the MethodHub — same data, with the FIGARO table viewer and analysis dashboard at /trade-flows/figaro.</t>
  </si>
  <si>
    <t>Dashboard — every figure below is an Excel formula over the data sheets and recalculates when they are edited</t>
  </si>
  <si>
    <t>Headline — Section C manufacturing, reference year 2023 (Trade backbone, published IO layers, model)</t>
  </si>
  <si>
    <t>Extra-EU exports € bn (aggregate row)</t>
  </si>
  <si>
    <t>ext_tec01 Section C aggregate; enterprise attribution.</t>
  </si>
  <si>
    <t>Extra-EU imports € bn (aggregate row)</t>
  </si>
  <si>
    <t>Includes trade not allocable to a division.</t>
  </si>
  <si>
    <t>Extra-EU trade balance € bn</t>
  </si>
  <si>
    <t>A large surplus that masks acute input dependencies.</t>
  </si>
  <si>
    <t>Foreign value added in exports % (published)</t>
  </si>
  <si>
    <t>FIGARO naio_10_fgfoee, EU-27 as one economy.</t>
  </si>
  <si>
    <t>Imported share of intermediate inputs % (use table)</t>
  </si>
  <si>
    <t>EU-27 use table at basic prices.</t>
  </si>
  <si>
    <t>Model: import content of manufacturing exports % (export-weighted)</t>
  </si>
  <si>
    <t>This workbook's own Leontief derivation (Multipliers sheet), weighted by extra-EU exports across the C industries.</t>
  </si>
  <si>
    <t>Model health: worst accounting-identity error (pp)</t>
  </si>
  <si>
    <t>Import content + VA content − 100, worst industry. Near zero when the model is consistent; grows if an edit breaks the balance. Array-entered (Ctrl+Shift+Enter) in older Excel.</t>
  </si>
  <si>
    <t>Curated dependency registers — counts (COUNTIF over the register sheets)</t>
  </si>
  <si>
    <t>Critical raw materials tracked</t>
  </si>
  <si>
    <t>CRMA Annex I/II designations with EC/JRC reliance figures.</t>
  </si>
  <si>
    <t>— of which Strategic (CRMA Annex I)</t>
  </si>
  <si>
    <t/>
  </si>
  <si>
    <t>Manufactured-product dependencies tracked</t>
  </si>
  <si>
    <t>The "not just raw materials" register.</t>
  </si>
  <si>
    <t>Strategic product families (SWD(2021) 352)</t>
  </si>
  <si>
    <t>Dependencies with China as largest supplier (materials + products)</t>
  </si>
  <si>
    <t>Largest single supplier, as reported by each source.</t>
  </si>
  <si>
    <t>Materials with 100 % import reliance</t>
  </si>
  <si>
    <t>Overall EU energy import dependency %</t>
  </si>
  <si>
    <t>Live nrg_ind_id headline row.</t>
  </si>
  <si>
    <t>Dependencies by supplier country (COUNTIF across the three curated registers)</t>
  </si>
  <si>
    <t>Supplier (as recorded)</t>
  </si>
  <si>
    <t>Materials</t>
  </si>
  <si>
    <t>Products</t>
  </si>
  <si>
    <t>Strategic families</t>
  </si>
  <si>
    <t>Total</t>
  </si>
  <si>
    <t>Brazil</t>
  </si>
  <si>
    <t>Chile</t>
  </si>
  <si>
    <t>China</t>
  </si>
  <si>
    <t>China / India</t>
  </si>
  <si>
    <t>DR Congo (mining)</t>
  </si>
  <si>
    <t>South Africa</t>
  </si>
  <si>
    <t>South-East Asia</t>
  </si>
  <si>
    <t>Taiwan / East Asia</t>
  </si>
  <si>
    <t>Türkiye</t>
  </si>
  <si>
    <t>By NACE division — balance, input mix, dependency count (INDEX/MATCH + COUNTIF)</t>
  </si>
  <si>
    <t>Division</t>
  </si>
  <si>
    <t>Extra-EU balance 2023 €bn</t>
  </si>
  <si>
    <t>Imported-input share %</t>
  </si>
  <si>
    <t>Curated dependency mentions</t>
  </si>
  <si>
    <t>Label / note</t>
  </si>
  <si>
    <t>C10</t>
  </si>
  <si>
    <t>Food products — input mix is the C10-12 group figure</t>
  </si>
  <si>
    <t>C11</t>
  </si>
  <si>
    <t>Beverages — input mix is the C10-12 group figure</t>
  </si>
  <si>
    <t>C12</t>
  </si>
  <si>
    <t>Tobacco products — input mix is the C10-12 group figure</t>
  </si>
  <si>
    <t>C13</t>
  </si>
  <si>
    <t>Textiles — input mix is the C13-15 group figure</t>
  </si>
  <si>
    <t>C14</t>
  </si>
  <si>
    <t>Wearing apparel — input mix is the C13-15 group figure</t>
  </si>
  <si>
    <t>C15</t>
  </si>
  <si>
    <t>Leather &amp; footwear — input mix is the C13-15 group figure</t>
  </si>
  <si>
    <t>C16</t>
  </si>
  <si>
    <t>Wood &amp; cork products</t>
  </si>
  <si>
    <t>C17</t>
  </si>
  <si>
    <t>Paper &amp; paper products</t>
  </si>
  <si>
    <t>C18</t>
  </si>
  <si>
    <t>Printing &amp; recorded media</t>
  </si>
  <si>
    <t>C19</t>
  </si>
  <si>
    <t>Coke &amp; refined petroleum</t>
  </si>
  <si>
    <t>C20</t>
  </si>
  <si>
    <t>Chemicals &amp; chemical products</t>
  </si>
  <si>
    <t>C21</t>
  </si>
  <si>
    <t>Pharmaceuticals</t>
  </si>
  <si>
    <t>C22</t>
  </si>
  <si>
    <t>Rubber &amp; plastics</t>
  </si>
  <si>
    <t>C23</t>
  </si>
  <si>
    <t>Non-metallic minerals (cement, glass, ceramics)</t>
  </si>
  <si>
    <t>C24</t>
  </si>
  <si>
    <t>Basic metals</t>
  </si>
  <si>
    <t>C25</t>
  </si>
  <si>
    <t>Fabricated metal products</t>
  </si>
  <si>
    <t>C26</t>
  </si>
  <si>
    <t>Computer, electronic &amp; optical</t>
  </si>
  <si>
    <t>C27</t>
  </si>
  <si>
    <t>Electrical equipment</t>
  </si>
  <si>
    <t>C28</t>
  </si>
  <si>
    <t>Machinery &amp; equipment n.e.c.</t>
  </si>
  <si>
    <t>C29</t>
  </si>
  <si>
    <t>Motor vehicles &amp; parts</t>
  </si>
  <si>
    <t>C30</t>
  </si>
  <si>
    <t>Other transport equipment (aero, rail, ships)</t>
  </si>
  <si>
    <t>C31</t>
  </si>
  <si>
    <t>Furniture — input mix is the C31_32 group figure</t>
  </si>
  <si>
    <t>C32</t>
  </si>
  <si>
    <t>Other manufacturing (medical, instruments, jewellery) — input mix is the C31_32 group figure</t>
  </si>
  <si>
    <t>C33</t>
  </si>
  <si>
    <t>Repair &amp; installation of machinery</t>
  </si>
  <si>
    <t>Model top 10 — import content of final demand % (LARGE + INDEX/MATCH over the Multipliers sheet)</t>
  </si>
  <si>
    <t>Model top 10 — output multipliers (total output per € of final demand)</t>
  </si>
  <si>
    <t>Figures — NATIVE Excel charts, generated from the sheet data: each chart reads a live range (named in its caption), so editing the underlying sheets moves the charts. The chart-data blocks in columns N–V are formulas over the data sheets — do not delete them. Only the row ORDER of figures 1 and 3 is fixed at build time (Excel cannot re-sort a chart range); values, bar lengths, positions and the surplus/deficit colour routing are all live. Chart colours are colour-vision-deficiency checked (teal = surplus, red = deficit; blue = raw material, orange = product).</t>
  </si>
  <si>
    <t>Chart data — live formulas over the data sheets. The charts read these ranges; do not delete.</t>
  </si>
  <si>
    <t>Figure 1 · Extra-EU trade balance by division, 2023 — native chart over Figures!P5:Q28 (live formulas over the Trade backbone sheet)</t>
  </si>
  <si>
    <t>Surplus</t>
  </si>
  <si>
    <t>Deficit</t>
  </si>
  <si>
    <t>Code</t>
  </si>
  <si>
    <t>Industry</t>
  </si>
  <si>
    <t>Import content %</t>
  </si>
  <si>
    <t>C28 · Machinery &amp; equipment n.e.c.</t>
  </si>
  <si>
    <t>C29 · Motor vehicles &amp; parts</t>
  </si>
  <si>
    <t>C21 · Pharmaceuticals</t>
  </si>
  <si>
    <t>H50</t>
  </si>
  <si>
    <t>C20 · Chemicals &amp; chemical products</t>
  </si>
  <si>
    <t>C30 · Other transport equipment (aero, …</t>
  </si>
  <si>
    <t>H51</t>
  </si>
  <si>
    <t>C10 · Food products</t>
  </si>
  <si>
    <t>C25 · Fabricated metal products</t>
  </si>
  <si>
    <t>C32 · Other manufacturing (medical, ins…</t>
  </si>
  <si>
    <t>C27 · Electrical equipment</t>
  </si>
  <si>
    <t>C26 · Computer, electronic &amp; optical</t>
  </si>
  <si>
    <t>C22 · Rubber &amp; plastics</t>
  </si>
  <si>
    <t>C11 · Beverages</t>
  </si>
  <si>
    <t>C13-15</t>
  </si>
  <si>
    <t>C23 · Non-metallic minerals (cement, gl…</t>
  </si>
  <si>
    <t>C16 · Wood &amp; cork products</t>
  </si>
  <si>
    <t>C31 · Furniture</t>
  </si>
  <si>
    <t>C17 · Paper &amp; paper products</t>
  </si>
  <si>
    <t>C15 · Leather &amp; footwear</t>
  </si>
  <si>
    <t>C13 · Textiles</t>
  </si>
  <si>
    <t>C24 · Basic metals</t>
  </si>
  <si>
    <t>C18 · Printing &amp; recorded media</t>
  </si>
  <si>
    <t>C12 · Tobacco products</t>
  </si>
  <si>
    <t>C14 · Wearing apparel</t>
  </si>
  <si>
    <t>C33 · Repair &amp; installation of machinery</t>
  </si>
  <si>
    <t>C19 · Coke &amp; refined petroleum</t>
  </si>
  <si>
    <t>Figure 2 · The import-dependency map — native scatter over the Risk map sheet columns D:E; per-point details are in that sheet's table</t>
  </si>
  <si>
    <t>Figure 3 · Import content of final demand, top 12 industries — native chart over Figures!U5:V16 (live formulas over the Multipliers sheet)</t>
  </si>
  <si>
    <t>Methodology &amp; derivations — how every number in this workbook is computed</t>
  </si>
  <si>
    <t>1 · The accounting identity</t>
  </si>
  <si>
    <t>An input–output table reads each industry twice: each ROW is an industry as a seller, each COLUMN the same industry as a buyer. Reading a column down gives the industry's input recipe. Every euro of output is bought either as another industry's intermediate input or as final demand:   x = A·x + f   (output = intermediate demand + final demand). In this workbook the identity is checked per industry on the IO model sheet: column-based output (everything industry j buys, incl. value added — Z total column sums) against row-based output (everything EU industry i sells: its DOMESTIC deliveries to EU intermediate use and final demand — Z domestic rows, because the Z total rows additionally contain imported supply of the same products — plus extra-EU exports). The residual column should stay near zero (rounding and the FIGARO balancing item only) — if an edit breaks it, the edit broke the balance.</t>
  </si>
  <si>
    <t>2 · Technical coefficients (A domestic)</t>
  </si>
  <si>
    <t>a_ij = Z_domestic(i,j) / x_j — the euros of DOMESTIC (intra-EU) product i needed per euro of output of industry j. Sheet "A domestic", each cell an explicit division of the Z domestic sheet by output on the IO model sheet (e.g. cell C3 = 'Z domestic'!C3 / 'IO model'!$D$4). The import coefficients m_ij = Z_imported(i,j) / x_j are the same construction on sheet "A import" — the extra-EU input recipe.</t>
  </si>
  <si>
    <t>3 · Leontief inverse</t>
  </si>
  <si>
    <t>Solving x = A·x + f for output gives x = (I − A)⁻¹ · f. The matrix L = (I − A_domestic)⁻¹ (sheet "Leontief inverse", one MINVERSE array formula over the "I minus A" sheet) converts a bill of final demand into the TOTAL output every industry must produce — direct plus indirect: one euro of car demand pulls in steel, the steel pulls in iron ore and electricity, and so on; L sums the whole regress (I + A + A² + …). Column sums of L are the output multipliers on the Multipliers sheet.</t>
  </si>
  <si>
    <t>4 · Import requirements</t>
  </si>
  <si>
    <t>M = A_import · L (sheet "Import requirements", one MMULT array formula): cell (i,j) is the euros of extra-EU imports of product i required — directly and through all domestic supply chains — per euro of final demand for industry j's output. Column sums are the IMPORT CONTENT of final demand (Multipliers sheet): what one euro spent on industry j's output pulls in from outside the EU.</t>
  </si>
  <si>
    <t>5 · Value-added content and the model check</t>
  </si>
  <si>
    <t>v_j = (all six value-added and adjustment rows) / x_j on the IO model sheet. The value-added content of final demand is v′·L (SUMPRODUCT of the v vector with each L column). Accounting identity: import content + value-added content = 1 exactly (every euro of final demand is ultimately either extra-EU imports or EU value added, taxes included). The Multipliers sheet carries the check column; the Dashboard surfaces its worst deviation.</t>
  </si>
  <si>
    <t>6 · Imports embodied in exports</t>
  </si>
  <si>
    <t>Applying the same requirements to extra-EU exports e (IO model sheet, from the FIGARO inter-country accounts): imports embodied in industry j's exports = import content_j × e_j; the output needed economy-wide to produce the EU's exports is L·e (an MMULT column on the Multipliers sheet). This is the workbook's own derivation of what Eurostat publishes as "foreign value added in exports".</t>
  </si>
  <si>
    <t>7 · Cross-check vs the published FVA</t>
  </si>
  <si>
    <t>The Multipliers sheet compares the model's import content of exports with the PUBLISHED FIGARO foreign-value-added shares (naio_10_fgfoee, on the Foreign value added sheet). The two are close but conceptually distinct and are NOT expected to be identical: import content counts gross imported inputs (which contain the partner's own imported inputs, and re-imported EU value), while FVA counts only foreign value added, computed by Eurostat from the full 46-country inter-country model rather than this condensed EU-vs-rest account. Differences of a few percentage points are the method, not an error. OECD TiVA offers an independent series for level checks.</t>
  </si>
  <si>
    <t>8 · Enterprise vs product attribution</t>
  </si>
  <si>
    <t>"Imports of division X" is not one number. The Trade backbone (ext_tec01) books trade to the NACE code of the trading ENTERPRISE; the IO layer follows the PRODUCT. C19 is the worked example: refiners import ~€218 bn of crude (enterprise view, backbone sheet), but crude is a MINING product, so the product view (FIGARO partners sheet) shows only ~€62 bn of refined-product imports — and the crude reappears on the model sheets as imported intermediate input INTO refining (row B of the Z imported column for C19). All three lenses are kept, each labelled; each answers a different question: who imports (enterprise), what crosses the border (product), what does an industry depend on (input–output).</t>
  </si>
  <si>
    <t>9 · Grouped industries</t>
  </si>
  <si>
    <t>FIGARO and the use table publish some divisions only as groups: C10-12 (food, beverages &amp; tobacco), C13-15 (textiles, apparel &amp; leather), C31_32 (furniture &amp; other manufacturing). Those divisions inherit group-level figures. Known within-group skews: C14: Within C13–C15, finished-apparel imports are far more concentrated in China, Bangladesh, Türkiye and India than the group average. | C31: Within C31–C32, furniture imports are strongly China-weighted; C32 (medical devices, instruments) leans US/CH.</t>
  </si>
  <si>
    <t>10 · Curated-layer definitions</t>
  </si>
  <si>
    <t>Import reliance (critical materials, risk map x-axis): IR = (imports − exports) / (domestic production + imports − exports) — the EC criticality methodology; it nets out re-exports, so it differs from customs shares. Supplier concentration (y-axis): the largest single supplier's share of EU supply — a first-moment proxy for the HHI; it understates concentration when suppliers two and three are also non-diversified and says nothing about substitutability, stocks or recyclability. Product-dependency shares are customs-based ("largest supplier's share of extra-EU imports") unless the Share basis column says otherwise. All curated figures are quoted "as reported by &lt;source&gt;" and must not be arithmetically combined with the statistical layers.</t>
  </si>
  <si>
    <t>11 · Known limits</t>
  </si>
  <si>
    <t>Modelled statistics: FIGARO balances supply and use across countries and can differ from raw customs data (CIF/FOB, re-exports, balancing). Proportionality: every euro of an industry's output is assumed to use the same input recipe (no scale effects, no substitution). Current prices: year-on-year changes mix price and volume. Named partners: FIGARO names 23 partner areas — Taiwan is inside "Rest of the world", so the semiconductor dependency is invisible in the named-partner shares and appears only in the curated layer. The Section C aggregate of ext_tec01 does not equal the sum of its 24 divisions (non-allocable trade; both are shown on the Trade backbone sheet).</t>
  </si>
  <si>
    <t>12 · Where every derivation lives</t>
  </si>
  <si>
    <t xml:space="preserve">IO model: x_j = SUM of Z total column j (rows 3–72); exports from FIGARO inter-country accounts; residual check per industry.
A domestic C3 = 'Z domestic'!C3/'IO model'!$D$4 (and so on cell by cell).
A import C3 = 'Z imported'!C3/'IO model'!$D$4.
I minus A C3 = 1−'A domestic'!C3 on the diagonal, else −'A domestic'!C3.
Leontief inverse: {=MINVERSE('I minus A'!C3:BN66)}.
Import requirements: {=MMULT('A import'!C3:BN66,'Leontief inverse'!C3:BN66)}.
Multipliers: output multiplier = SUM(L column); import content = SUM(Import requirements column); VA content = SUMPRODUCT(v vector, L column); check = import + VA content − 1; embodied imports = import content × exports; output for exports = {=MMULT(L, exports)}.
Dashboard: INDEX/MATCH on the backbone and published sheets; COUNTIF/SUMPRODUCT over the curated registers; LARGE/INDEX/MATCH for the top-10 tables.</t>
  </si>
  <si>
    <t>The method, as one picture — read with the Methodology and Concepts sheets. Every box names the workbook sheet that holds that step as live formulas.</t>
  </si>
  <si>
    <t>Method figure · From the FIGARO table to every derived number</t>
  </si>
  <si>
    <t>Term</t>
  </si>
  <si>
    <t>Plain-language explanation</t>
  </si>
  <si>
    <t>Where it lives in this workbook</t>
  </si>
  <si>
    <t>Input–output (IO) table</t>
  </si>
  <si>
    <t>A grid of the whole economy. Each ROW is an industry as a seller (who buys its product); each COLUMN is the same industry as a buyer (what it must purchase to produce). Reading a column down gives that industry's complete shopping list — its "recipe". Invented by Wassily Leontief in the 1930s (Nobel Prize 1973); today every EU national accounts system publishes one.</t>
  </si>
  <si>
    <t>Z total / Z domestic / Z imported</t>
  </si>
  <si>
    <t>Use table (at basic prices)</t>
  </si>
  <si>
    <t>The half of the IO framework used here: what each industry USES as inputs, valued at the prices producers actually receive (basic prices — before trade margins, transport margins and product taxes are stacked on top). Its counterpart, the supply table, records who makes what; Eurostat balances the two before publication.</t>
  </si>
  <si>
    <t>Z sheets; the published mixes on "Imported inputs"</t>
  </si>
  <si>
    <t>Intermediate consumption / intermediate demand</t>
  </si>
  <si>
    <t>Goods and services bought by one industry and USED UP making something else — crude oil into a refinery, steel into a car, electricity into a smelter. This is what the Z matrix contains. It is the opposite of final demand: intermediate purchases stay inside the production system.</t>
  </si>
  <si>
    <t>Z sheets; "IO model" columns E and K</t>
  </si>
  <si>
    <t>Final demand (f)</t>
  </si>
  <si>
    <t>Where output leaves the production system for good: household consumption, government consumption, non-profit consumption, investment (gross fixed capital formation) and inventory changes. In this EU-27 account, extra-EU exports are a sixth destination, held in their own column on the IO model sheet.</t>
  </si>
  <si>
    <t>Z sheets, last 5 columns; exports on "IO model" col M</t>
  </si>
  <si>
    <t>Gross output (x)</t>
  </si>
  <si>
    <t>Everything an industry produces in a year, in euros. Two ways to count it must agree: everything the industry PAYS FOR (all inputs + all value added — the column sum) and everything it SELLS (intermediate deliveries + final demand + exports — the row sum). The IO model sheet computes both and shows the residual; if an edit makes them disagree, the edit broke the accounting.</t>
  </si>
  <si>
    <t>"IO model" cols D and N, residual col O</t>
  </si>
  <si>
    <t>Value added (v)</t>
  </si>
  <si>
    <t>What is left of an industry's revenue after paying for inputs: wages (compensation of employees, D1), profits (gross operating surplus, B2A3G) and production taxes net of subsidies. Value added is what GDP sums. In the FIGARO account it occupies six extra rows under the 64 industry rows.</t>
  </si>
  <si>
    <t>"Z domestic" rows 67–72; "IO model" cols F–I</t>
  </si>
  <si>
    <t>Technical coefficient (a_ij)</t>
  </si>
  <si>
    <t>The recipe per euro: how many cents of product i industry j needs to produce one euro of its own output. Computed by dividing every cell of the domestic Z matrix by the buying industry's output. The full 64×64 grid of these is the A matrix — the economy's complete recipe book.</t>
  </si>
  <si>
    <t>"A domestic" (every cell a live division)</t>
  </si>
  <si>
    <t>Import coefficient (m_ij)</t>
  </si>
  <si>
    <t>The same recipe, but counting only inputs bought from OUTSIDE the EU: cents of imported product i per euro of industry j's output. Together, domestic coefficients + import coefficients + value added per euro sum to exactly 1 for every industry — every euro of output is fully accounted for.</t>
  </si>
  <si>
    <t>"A import"</t>
  </si>
  <si>
    <t>Leontief inverse (L = (I − A)⁻¹)</t>
  </si>
  <si>
    <t>THE central object of IO modelling. A alone only gives the DIRECT inputs. But the steel in a car needed iron ore; the ore needed mining machinery; the machinery needed steel again — an infinite ripple (I + A + A² + A³ + …). The Leontief inverse sums that entire infinite chain in one matrix operation: cell (i,j) says how much TOTAL output of industry i is needed, directly and indirectly, per euro of final demand for industry j. In this workbook it is one live MINVERSE formula, so it re-solves itself whenever A changes. ("Leontief reserve" is a common mishearing — the term is Leontief INVERSE, after Wassily Leontief.)</t>
  </si>
  <si>
    <t>"Leontief inverse" (one MINVERSE array formula)</t>
  </si>
  <si>
    <t>Output multiplier</t>
  </si>
  <si>
    <t>The column sum of the Leontief inverse: total euros of economy-wide output triggered by one euro of final demand for an industry's product. A multiplier of 1.6 means one euro of car demand generates €1.60 of production across the whole EU economy — the car itself plus €0.60 of upstream deliveries.</t>
  </si>
  <si>
    <t>"Multipliers" col D; top-10 on the Dashboard</t>
  </si>
  <si>
    <t>Import content of final demand</t>
  </si>
  <si>
    <t>The column sum of the import-requirements matrix M = A_import · L: cents of every euro of final demand that end up as extra-EU imports, counting both direct imports and imports hidden deep in the domestic supply chain. Refined petroleum is the extreme case — most of a euro spent on it leaks abroad as crude.</t>
  </si>
  <si>
    <t>"Import requirements", "Multipliers" col E</t>
  </si>
  <si>
    <t>Value-added content of final demand</t>
  </si>
  <si>
    <t>The mirror image: cents of every euro of final demand that become EU wages, profits and taxes (v′ · L). Import content + VA content = 100 % exactly, for every industry — the workbook carries this check and the Dashboard surfaces its worst deviation.</t>
  </si>
  <si>
    <t>"Multipliers" cols F–G</t>
  </si>
  <si>
    <t>Imports embodied in exports</t>
  </si>
  <si>
    <t>Applying the import content to extra-EU exports: how much of what the EU sells abroad was itself imported first. This is the workbook's own derivation of the idea behind "foreign value added in exports".</t>
  </si>
  <si>
    <t>"Multipliers" cols H–J</t>
  </si>
  <si>
    <t>Foreign value added (FVA)</t>
  </si>
  <si>
    <t>Eurostat's published measure of the same phenomenon: the euros of NON-EU value added embedded in EU exports, computed from the full 46-country FIGARO model. Close to, but not identical with, this workbook's import content: import content counts gross imported inputs (which contain the partners' own imports and even re-imported EU value), FVA counts only genuinely foreign value added. A few percentage points of difference is the method, not an error — e.g. refining: model 63.7 % vs published FVA 64.2 %.</t>
  </si>
  <si>
    <t>"Foreign value added" (published); comparison in "Multipliers" cols K–L</t>
  </si>
  <si>
    <t>EU-27 as one economy</t>
  </si>
  <si>
    <t>All 27 member states are merged into a single economy: intra-EU trade nets out, "imported" always means from OUTSIDE the EU, and the 23 named partner areas (plus a rest-of-world block) supply the imported layer. Taiwan is not separately named in FIGARO — which is why the semiconductor dependency appears only in the curated registers.</t>
  </si>
  <si>
    <t>All model sheets; caveat in Methodology §11</t>
  </si>
  <si>
    <t>Enterprise vs product attribution</t>
  </si>
  <si>
    <t>The trade backbone (ext_tec01) books a trade flow to the NACE code of the COMPANY that trades; the IO layer follows the PRODUCT. Refiners import crude, so division C19 shows ~€218 bn of imports in the enterprise view — but crude is a mining product, so the product view shows only ~€62 bn, and the crude reappears in the model as mining inputs INTO refining. Neither is wrong; they answer different questions.</t>
  </si>
  <si>
    <t>Methodology §8; "Trade backbone" vs "FIGARO partners"</t>
  </si>
  <si>
    <t>NACE / CPA / A*64</t>
  </si>
  <si>
    <t>NACE Rev. 2 classifies INDUSTRIES (C24 = basic metals); CPA classifies PRODUCTS on the same skeleton. A*64 is the 64-industry aggregation national accounts publish (some divisions only as groups: C10-12, C13-15, C31_32). Section letters: A agriculture, B mining, C manufacturing, D energy … — the model covers the whole economy because manufacturing's chains run through mining, energy and services.</t>
  </si>
  <si>
    <t>Row/column codes on every matrix sheet</t>
  </si>
  <si>
    <t>FIGARO</t>
  </si>
  <si>
    <t>Eurostat's "Full International and Global Accounts for Research in input–Output analysis": inter-country supply-use and IO tables linking the EU-27 and 22 partner economies plus rest-of-world, published annually (July, data to t−2). The Z matrices here are the EU-27 condensation of naio_10_fcp_ii4 (~11 million cells), rebuilt by scripts/fetch-figaro-io-dataset.mjs.</t>
  </si>
  <si>
    <t>Meta note on "Z total"; Sources sheet</t>
  </si>
  <si>
    <t>Import reliance (IR)</t>
  </si>
  <si>
    <t>The EC criticality-methodology measure used in the curated registers: IR = (imports − exports) ÷ (domestic production + imports − exports). It nets out re-exports, so it can differ from simple customs shares. 100 % means the EU produces essentially none of the material itself.</t>
  </si>
  <si>
    <t>"Critical materials", "Risk map" x-axis</t>
  </si>
  <si>
    <t>Supplier concentration</t>
  </si>
  <si>
    <t>The largest single supplier's share of EU supply of a material or product — the y-axis of the dependency map. A first-moment proxy for the Herfindahl-Hirschman index: it understates risk when suppliers two and three are also non-diversified, and says nothing about substitutability, stocks or recyclability.</t>
  </si>
  <si>
    <t>"Risk map" y-axis; Methodology §10</t>
  </si>
  <si>
    <t>Proportionality assumption</t>
  </si>
  <si>
    <t>The one strong assumption behind every IO result: each industry is assumed to use the same recipe for every euro of output — no economies of scale, no input substitution, one national recipe per industry. IO figures are therefore modelled statistics, not raw observations.</t>
  </si>
  <si>
    <t>Methodology §11</t>
  </si>
  <si>
    <t>Current prices</t>
  </si>
  <si>
    <t>All values are euros of the year they describe. Year-on-year changes mix price and volume effects: most of the 2023→2024 fall in the import bill is energy prices coming down, not fewer barrels.</t>
  </si>
  <si>
    <t>"Trade backbone" (2023 vs 2024)</t>
  </si>
  <si>
    <t>CBAM / CRMA</t>
  </si>
  <si>
    <t>The policy front lines this module feeds: the Carbon Border Adjustment Mechanism (imports of cement, steel, aluminium, fertilisers, electricity, hydrogen pay a carbon price at the border) and the Critical Raw Materials Act, Reg. (EU) 2024/1252 (34 critical materials, 17 of them strategic, with 2030 extraction/processing/recycling benchmarks). The dependency registers use the CRMA's legal Annex I/II designations, not editorial ratings.</t>
  </si>
  <si>
    <t>"Critical materials", "Strategic dependencies"</t>
  </si>
  <si>
    <t>IO model — per-industry accounts, 2023, € million, EU-27 as one economy. Output, value added and intermediate totals are formulas over the Z sheets; extra-EU exports are values from the FIGARO inter-country accounts (euExportsByIndustry, figaro-global-flows.json). The residual column checks column-based against row-based output — keep it near zero.</t>
  </si>
  <si>
    <t>NACE section</t>
  </si>
  <si>
    <t>Total output x (col sum incl. VA)</t>
  </si>
  <si>
    <t>Intermediate inputs (all origins)</t>
  </si>
  <si>
    <t>Value added + taxes + adj.</t>
  </si>
  <si>
    <t>of which: compensation (D1)</t>
  </si>
  <si>
    <t>of which: operating surplus (B2A3G)</t>
  </si>
  <si>
    <t>of which: taxes less subsidies</t>
  </si>
  <si>
    <t>VA coefficient v = VA/x</t>
  </si>
  <si>
    <t>Domestic deliveries to EU intermediate use (row sum)</t>
  </si>
  <si>
    <t>Domestic deliveries to EU final demand (row sum)</t>
  </si>
  <si>
    <t>Extra-EU exports (interm. + final)</t>
  </si>
  <si>
    <t>Row-based output</t>
  </si>
  <si>
    <t>Residual (row − col, % of x)</t>
  </si>
  <si>
    <t>A01</t>
  </si>
  <si>
    <t>Crop and animal production, hunting and related service activities</t>
  </si>
  <si>
    <t>A</t>
  </si>
  <si>
    <t>A02</t>
  </si>
  <si>
    <t>Forestry and logging</t>
  </si>
  <si>
    <t>A03</t>
  </si>
  <si>
    <t>Fishing and aquaculture</t>
  </si>
  <si>
    <t>B</t>
  </si>
  <si>
    <t>Mining and quarrying</t>
  </si>
  <si>
    <t>C10-12</t>
  </si>
  <si>
    <t>Manufacture of food products</t>
  </si>
  <si>
    <t>C</t>
  </si>
  <si>
    <t>Manufacture of textiles, wearing apparel, leather and related products</t>
  </si>
  <si>
    <t>Manufacture of wood and of products of wood and cork, except furniture</t>
  </si>
  <si>
    <t>Manufacture of paper and paper products</t>
  </si>
  <si>
    <t>Printing and reproduction of recorded media</t>
  </si>
  <si>
    <t>Manufacture of coke and refined petroleum products</t>
  </si>
  <si>
    <t>Manufacture of chemicals and chemical products</t>
  </si>
  <si>
    <t>Manufacture of basic pharmaceutical products and pharmaceutical prepa…</t>
  </si>
  <si>
    <t>Manufacture of rubber and plastic products</t>
  </si>
  <si>
    <t>Manufacture of other non-metallic mineral products</t>
  </si>
  <si>
    <t>Manufacture of basic metals</t>
  </si>
  <si>
    <t>Manufacture of fabricated metal products, except machinery and equipm…</t>
  </si>
  <si>
    <t>Manufacture of computer, electronic and optical products</t>
  </si>
  <si>
    <t>Manufacture of electrical equipment</t>
  </si>
  <si>
    <t>Manufacture of machinery and equipment n.e.c.</t>
  </si>
  <si>
    <t>Manufacture of motor vehicles, trailers and semi-trailers</t>
  </si>
  <si>
    <t>Manufacture of other transport equipment</t>
  </si>
  <si>
    <t>C31_32</t>
  </si>
  <si>
    <t>Manufacture of furniture</t>
  </si>
  <si>
    <t>Repair and installation of machinery and equipment</t>
  </si>
  <si>
    <t>D35</t>
  </si>
  <si>
    <t>Electricity, gas, steam and air conditioning supply</t>
  </si>
  <si>
    <t>D</t>
  </si>
  <si>
    <t>E36</t>
  </si>
  <si>
    <t>Water collection, treatment and supply</t>
  </si>
  <si>
    <t>E</t>
  </si>
  <si>
    <t>E37-39</t>
  </si>
  <si>
    <t>Sewerage, waste management, remediation activities</t>
  </si>
  <si>
    <t>F</t>
  </si>
  <si>
    <t>Construction</t>
  </si>
  <si>
    <t>G45</t>
  </si>
  <si>
    <t>Wholesale and retail trade and repair of motor vehicles and motorcycl…</t>
  </si>
  <si>
    <t>G</t>
  </si>
  <si>
    <t>G46</t>
  </si>
  <si>
    <t>Wholesale trade, except of motor vehicles and motorcycles</t>
  </si>
  <si>
    <t>G47</t>
  </si>
  <si>
    <t>Retail trade, except of motor vehicles and motorcycles</t>
  </si>
  <si>
    <t>H49</t>
  </si>
  <si>
    <t>Land transport and transport via pipelines</t>
  </si>
  <si>
    <t>H</t>
  </si>
  <si>
    <t>Water transport</t>
  </si>
  <si>
    <t>Air transport</t>
  </si>
  <si>
    <t>H52</t>
  </si>
  <si>
    <t>Warehousing and support activities for transportation</t>
  </si>
  <si>
    <t>H53</t>
  </si>
  <si>
    <t>Postal and courier activities</t>
  </si>
  <si>
    <t>I</t>
  </si>
  <si>
    <t>Accommodation and food service activities</t>
  </si>
  <si>
    <t>J58</t>
  </si>
  <si>
    <t>Publishing activities</t>
  </si>
  <si>
    <t>J</t>
  </si>
  <si>
    <t>J59_60</t>
  </si>
  <si>
    <t>Motion picture, video, television programme production</t>
  </si>
  <si>
    <t>J61</t>
  </si>
  <si>
    <t>Telecommunications</t>
  </si>
  <si>
    <t>J62_63</t>
  </si>
  <si>
    <t>Computer programming, consultancy, and information service activities</t>
  </si>
  <si>
    <t>K64</t>
  </si>
  <si>
    <t>Financial service activities, except insurance and pension funding</t>
  </si>
  <si>
    <t>K</t>
  </si>
  <si>
    <t>K65</t>
  </si>
  <si>
    <t>Insurance, reinsurance and pension funding, except compulsory social …</t>
  </si>
  <si>
    <t>K66</t>
  </si>
  <si>
    <t>Activities auxiliary to financial services and insurance activities</t>
  </si>
  <si>
    <t>L</t>
  </si>
  <si>
    <t>Real estate activities</t>
  </si>
  <si>
    <t>M69_70</t>
  </si>
  <si>
    <t>Legal and accounting activities</t>
  </si>
  <si>
    <t>M</t>
  </si>
  <si>
    <t>M71</t>
  </si>
  <si>
    <t>Architectural and engineering activities</t>
  </si>
  <si>
    <t>M72</t>
  </si>
  <si>
    <t>Scientific research and development</t>
  </si>
  <si>
    <t>M73</t>
  </si>
  <si>
    <t>Advertising and market research</t>
  </si>
  <si>
    <t>M74_75</t>
  </si>
  <si>
    <t>Other professional, scientific and technical activities</t>
  </si>
  <si>
    <t>N77</t>
  </si>
  <si>
    <t>Rental and leasing activities</t>
  </si>
  <si>
    <t>N</t>
  </si>
  <si>
    <t>N78</t>
  </si>
  <si>
    <t>Employment activities</t>
  </si>
  <si>
    <t>N79</t>
  </si>
  <si>
    <t>Travel agency, tour operator reservation service and related activiti…</t>
  </si>
  <si>
    <t>N80-82</t>
  </si>
  <si>
    <t>Security and investigation, service and landscape, office administrat…</t>
  </si>
  <si>
    <t>O84</t>
  </si>
  <si>
    <t>Public administration and defence</t>
  </si>
  <si>
    <t>O</t>
  </si>
  <si>
    <t>P85</t>
  </si>
  <si>
    <t>Education</t>
  </si>
  <si>
    <t>P</t>
  </si>
  <si>
    <t>Q86</t>
  </si>
  <si>
    <t>Human health activities</t>
  </si>
  <si>
    <t>Q</t>
  </si>
  <si>
    <t>Q87_88</t>
  </si>
  <si>
    <t>Residential care activities and social work activities without accomm…</t>
  </si>
  <si>
    <t>R90-92</t>
  </si>
  <si>
    <t>Creative, arts and entertainment activities</t>
  </si>
  <si>
    <t>R</t>
  </si>
  <si>
    <t>R93</t>
  </si>
  <si>
    <t>Sports activities and amusement and recreation activities</t>
  </si>
  <si>
    <t>S94</t>
  </si>
  <si>
    <t>Activities of membership organisations</t>
  </si>
  <si>
    <t>S</t>
  </si>
  <si>
    <t>S95</t>
  </si>
  <si>
    <t>Repair of computers and personal and household goods</t>
  </si>
  <si>
    <t>S96</t>
  </si>
  <si>
    <t>Other personal service activities</t>
  </si>
  <si>
    <t>T</t>
  </si>
  <si>
    <t>Activities of households as employers</t>
  </si>
  <si>
    <t>U</t>
  </si>
  <si>
    <t>Activities of extraterritorial organisations and bodies</t>
  </si>
  <si>
    <t>Use matrix, ALL origins summed — 2023, € million. Rows: 64 industries + 6 VA/adjustment rows (a row is TOTAL supply of that product to EU-27 use, domestic + imported). Columns: 64 industries + 5 final-demand categories. Source: naio_10_fcp_ii4.</t>
  </si>
  <si>
    <t>P3_S13</t>
  </si>
  <si>
    <t>P3_S14</t>
  </si>
  <si>
    <t>P3_S15</t>
  </si>
  <si>
    <t>P51G</t>
  </si>
  <si>
    <t>P5M</t>
  </si>
  <si>
    <t>Government consumption</t>
  </si>
  <si>
    <t>Household consumption</t>
  </si>
  <si>
    <t>NPISH consumption</t>
  </si>
  <si>
    <t>Gross fixed capital formation</t>
  </si>
  <si>
    <t>Changes in inventories &amp; valuables</t>
  </si>
  <si>
    <t>B2A3G</t>
  </si>
  <si>
    <t>Gross operating surplus &amp; mixed income</t>
  </si>
  <si>
    <t>D1</t>
  </si>
  <si>
    <t>Compensation of employees</t>
  </si>
  <si>
    <t>D21X31</t>
  </si>
  <si>
    <t>Taxes less subsidies on products</t>
  </si>
  <si>
    <t>D29X39</t>
  </si>
  <si>
    <t>Other taxes less subsidies on production</t>
  </si>
  <si>
    <t>OP_RES</t>
  </si>
  <si>
    <t>Purchases by residents abroad</t>
  </si>
  <si>
    <t>OP_NRES</t>
  </si>
  <si>
    <t>Purchases by non-residents in the EU</t>
  </si>
  <si>
    <t>Intra-EU (domestic) block, origin EU27 incl. value-added rows — 2023, € million.</t>
  </si>
  <si>
    <t>Extra-EU (imported) block, 23 partner areas summed — 2023, € million. Value-added rows are zero by construction and omitted.</t>
  </si>
  <si>
    <t>Technical coefficients a_ij = Z_domestic(i,j) / x_j — € of domestic product i per € of output of industry j. Every cell is a live division.</t>
  </si>
  <si>
    <t>Import coefficients m_ij = Z_imported(i,j) / x_j — € of extra-EU imports of product i per € of output of industry j.</t>
  </si>
  <si>
    <t>I − A_domestic — the matrix inverted by the Leontief sheet.</t>
  </si>
  <si>
    <t>L = (I − A_domestic)⁻¹ — one MINVERSE array formula. Cell (i,j): total output of industry i required per € of final demand for industry j (direct + indirect). Column sums = output multipliers.</t>
  </si>
  <si>
    <t>M = A_import · L — one MMULT array formula. Cell (i,j): € of extra-EU imports of product i required, directly and through all domestic chains, per € of final demand for industry j. Column sums = import content of final demand.</t>
  </si>
  <si>
    <t>Multipliers &amp; content of final demand — all formulas over the model sheets. Import content + VA content must sum to 100 % (check column). The published-FVA column is Eurostat naio_10_fgfoee (Foreign value added sheet): conceptually close to, but not identical with, the model's import content — see Methodology §7.</t>
  </si>
  <si>
    <t>Output multiplier (col sum of L)</t>
  </si>
  <si>
    <t>Import content of final demand %</t>
  </si>
  <si>
    <t>VA content of final demand %</t>
  </si>
  <si>
    <t>Check: import + VA − 100</t>
  </si>
  <si>
    <t>Extra-EU exports € m</t>
  </si>
  <si>
    <t>Imports embodied in exports € m</t>
  </si>
  <si>
    <t>Output required for EU exports € m (L·e)</t>
  </si>
  <si>
    <t>Published FVA % of exports (FIGARO)</t>
  </si>
  <si>
    <t>Model − published (pp)</t>
  </si>
  <si>
    <t>Label</t>
  </si>
  <si>
    <t>Branch</t>
  </si>
  <si>
    <t>2023 extra-EU imports €bn</t>
  </si>
  <si>
    <t>2023 extra-EU exports €bn</t>
  </si>
  <si>
    <t>2023 extra-EU balance €bn</t>
  </si>
  <si>
    <t>2023 intra-EU imports €bn</t>
  </si>
  <si>
    <t>2023 intra-EU exports €bn</t>
  </si>
  <si>
    <t>2024 extra-EU imports €bn</t>
  </si>
  <si>
    <t>2024 extra-EU exports €bn</t>
  </si>
  <si>
    <t>2024 extra-EU balance €bn</t>
  </si>
  <si>
    <t>2024 intra-EU imports €bn</t>
  </si>
  <si>
    <t>2024 intra-EU exports €bn</t>
  </si>
  <si>
    <t>Trade / dependency story</t>
  </si>
  <si>
    <t>Food products</t>
  </si>
  <si>
    <t>Consumer &amp; light manufacturing</t>
  </si>
  <si>
    <t>Large net exporter; imports are agri-commodities (cocoa, coffee, fish, oilseeds) the EU cannot grow.</t>
  </si>
  <si>
    <t>Beverages</t>
  </si>
  <si>
    <t>Strong surplus — wine &amp; spirits are premium EU exports; little import dependency.</t>
  </si>
  <si>
    <t>Tobacco products</t>
  </si>
  <si>
    <t>Small, roughly balanced; raw-leaf imports from Brazil, US, Africa.</t>
  </si>
  <si>
    <t>Textiles</t>
  </si>
  <si>
    <t>Import-exposed on yarn &amp; fabric; China and Turkey dominate extra-EU supply.</t>
  </si>
  <si>
    <t>Wearing apparel</t>
  </si>
  <si>
    <t>Net importer of finished garments — China, Bangladesh, Turkey; a classic offshored value chain.</t>
  </si>
  <si>
    <t>Leather &amp; footwear</t>
  </si>
  <si>
    <t>Finished footwear imported from Asia; EU keeps a luxury-goods export edge.</t>
  </si>
  <si>
    <t>Mostly intra-EU; net exporter, low extra-EU import reliance.</t>
  </si>
  <si>
    <t>Net exporter but dependent on imported market pulp (Brazil, US, Nordics) and recovered fibre.</t>
  </si>
  <si>
    <t>Small, service-like; overwhelmingly intra-EU.</t>
  </si>
  <si>
    <t>Chemicals, pharma &amp; refining</t>
  </si>
  <si>
    <t>Largest single import bill in manufacturing — refiners import crude &amp; fuels; the EU energy-dependency front line.</t>
  </si>
  <si>
    <t>Net exporter of specialty chemicals, but base-chemical feedstock (naphtha, gas, phosphate, potash) is imported.</t>
  </si>
  <si>
    <t>Manufacturing's biggest surplus — but active ingredients (APIs) and precursors lean heavily on India &amp; China.</t>
  </si>
  <si>
    <t>Net exporter; natural rubber fully imported (SE Asia), plastics resins partly imported.</t>
  </si>
  <si>
    <t>Non-metallic minerals</t>
  </si>
  <si>
    <t>Bulky, mostly local; but CBAM-exposed (cement) and reliant on imported magnesia, graphite, borates.</t>
  </si>
  <si>
    <t>Metals</t>
  </si>
  <si>
    <t>Roughly balanced trade but deeply input-dependent — iron ore, coking coal, ferro-alloys, primary aluminium; CBAM core.</t>
  </si>
  <si>
    <t>Net exporter; downstream of basic metals, so inherits their input risk.</t>
  </si>
  <si>
    <t>Electronics &amp; electrical</t>
  </si>
  <si>
    <t>Semiconductor &amp; electronics dependency — chips from Taiwan/Korea/China; a strategic-autonomy priority.</t>
  </si>
  <si>
    <t>Net exporter, but batteries and rare-earth permanent magnets are China-concentrated inputs.</t>
  </si>
  <si>
    <t>Machinery &amp; transport equipment</t>
  </si>
  <si>
    <t>Europe's export champion — a €165 bn extra-EU surplus in 2023; capital goods to the world.</t>
  </si>
  <si>
    <t>Huge two-way trade; strong surplus, but exposed on batteries, magnets and chips for the EV transition.</t>
  </si>
  <si>
    <t>Aerospace-led surplus; titanium and specialty inputs are the dependency.</t>
  </si>
  <si>
    <t>Furniture</t>
  </si>
  <si>
    <t>Net exporter; modest extra-EU import reliance (China for low-end).</t>
  </si>
  <si>
    <t>Other manufacturing (medical, instruments, jewellery)</t>
  </si>
  <si>
    <t>Includes medical devices (surplus) and jewellery; mixed dependency.</t>
  </si>
  <si>
    <t>Service-like; one of the few manufacturing divisions in extra-EU deficit.</t>
  </si>
  <si>
    <t>Section C aggregate row (incl. non-allocable trade)</t>
  </si>
  <si>
    <t>Source: Eurostat — Trade by NACE Rev. 2 activity and enterprise size class (ext_tec01) (2024) — enterprise-based attribution; € bn current prices. The aggregate does NOT equal the division sum below (non-allocable trade).</t>
  </si>
  <si>
    <t>Σ C10–C33</t>
  </si>
  <si>
    <t>Sum of the 24 published divisions (formula)</t>
  </si>
  <si>
    <t>Aggregation-gap check: compare with the aggregate row above. Recalculates if any division flow is edited.</t>
  </si>
  <si>
    <t>Flow</t>
  </si>
  <si>
    <t>Industry label</t>
  </si>
  <si>
    <t>Total €bn</t>
  </si>
  <si>
    <t>Intra-EU €bn</t>
  </si>
  <si>
    <t>Extra-EU €bn</t>
  </si>
  <si>
    <t>Partner</t>
  </si>
  <si>
    <t>Partner €bn</t>
  </si>
  <si>
    <t>% of extra-EU flow</t>
  </si>
  <si>
    <t>Import origins</t>
  </si>
  <si>
    <t>Section C — total manufacturing</t>
  </si>
  <si>
    <t>Rest of the world (WRL_REST)</t>
  </si>
  <si>
    <t>China (CN)</t>
  </si>
  <si>
    <t>United States (US)</t>
  </si>
  <si>
    <t>Switzerland (CH)</t>
  </si>
  <si>
    <t>United Kingdom (UK)</t>
  </si>
  <si>
    <t>Türkiye (TR)</t>
  </si>
  <si>
    <t>South Korea (KR)</t>
  </si>
  <si>
    <t>Japan (JP)</t>
  </si>
  <si>
    <t>India (IN)</t>
  </si>
  <si>
    <t>Mexico (MX)</t>
  </si>
  <si>
    <t>Norway (NO)</t>
  </si>
  <si>
    <t>Russia (RU)</t>
  </si>
  <si>
    <t>Canada (CA)</t>
  </si>
  <si>
    <t>Serbia (RS)</t>
  </si>
  <si>
    <t>Brazil (BR)</t>
  </si>
  <si>
    <t>Indonesia (ID)</t>
  </si>
  <si>
    <t>Saudi Arabia (SA)</t>
  </si>
  <si>
    <t>North Macedonia (MK)</t>
  </si>
  <si>
    <t>South Africa (ZA)</t>
  </si>
  <si>
    <t>Australia (AU)</t>
  </si>
  <si>
    <t>Argentina (AR)</t>
  </si>
  <si>
    <t>Albania (AL)</t>
  </si>
  <si>
    <t>Montenegro (ME)</t>
  </si>
  <si>
    <t>C10-C12</t>
  </si>
  <si>
    <t>C10–C12 · food, beverages &amp; tobacco</t>
  </si>
  <si>
    <t>C13-C15</t>
  </si>
  <si>
    <t>C13–C15 · textiles, apparel &amp; leather</t>
  </si>
  <si>
    <t>C31_C32</t>
  </si>
  <si>
    <t>C31–C32 · furniture &amp; other manufacturing</t>
  </si>
  <si>
    <t>Export destinations</t>
  </si>
  <si>
    <t>Gross extra-EU exports €bn</t>
  </si>
  <si>
    <t>Foreign value added €bn</t>
  </si>
  <si>
    <t>FVA % of exports</t>
  </si>
  <si>
    <t>Origin of the foreign value</t>
  </si>
  <si>
    <t>Origin €bn</t>
  </si>
  <si>
    <t>Origin % of exports</t>
  </si>
  <si>
    <t>Intermediate inputs €bn</t>
  </si>
  <si>
    <t>Imported inputs €bn</t>
  </si>
  <si>
    <t>Imported share %</t>
  </si>
  <si>
    <t>Top imported product (CPA)</t>
  </si>
  <si>
    <t>Product name</t>
  </si>
  <si>
    <t>Product €bn</t>
  </si>
  <si>
    <t>% of imported inputs</t>
  </si>
  <si>
    <t>Source: Eurostat — EU-27 use table at basic prices (naio_10_cp1610) (2023) — EU-27 use table at basic prices, 2023.</t>
  </si>
  <si>
    <t>CPA_G46</t>
  </si>
  <si>
    <t>Wholesale trade services, except of motor vehicles and motorcycles</t>
  </si>
  <si>
    <t>CPA_A01</t>
  </si>
  <si>
    <t>Products of agriculture, hunting and related services</t>
  </si>
  <si>
    <t>CPA_C10-12</t>
  </si>
  <si>
    <t>Food, beverages and tobacco products</t>
  </si>
  <si>
    <t>CPA_H49</t>
  </si>
  <si>
    <t>Land transport services and transport services via pipelines</t>
  </si>
  <si>
    <t>CPA_C22</t>
  </si>
  <si>
    <t>Rubber and plastic products</t>
  </si>
  <si>
    <t>CPA_A03</t>
  </si>
  <si>
    <t>Fish and other fishing products; aquaculture products; support services to fishing</t>
  </si>
  <si>
    <t>CPA_K64</t>
  </si>
  <si>
    <t>Financial services, except insurance and pension funding</t>
  </si>
  <si>
    <t>CPA_C13-15</t>
  </si>
  <si>
    <t>Textiles, wearing apparel, leather and related products</t>
  </si>
  <si>
    <t>CPA_C20</t>
  </si>
  <si>
    <t>Chemicals and chemical products</t>
  </si>
  <si>
    <t>CPA_G47</t>
  </si>
  <si>
    <t>Retail trade services, except of motor vehicles and motorcycles</t>
  </si>
  <si>
    <t>CPA_N80-82</t>
  </si>
  <si>
    <t>Security and investigation services; services to buildings and landscape; office administrative, office support and other business support services</t>
  </si>
  <si>
    <t>CPA_C16</t>
  </si>
  <si>
    <t>Wood and of products of wood and cork, except furniture; articles of straw and plaiting materials</t>
  </si>
  <si>
    <t>CPA_A02</t>
  </si>
  <si>
    <t>Products of forestry, logging and related services</t>
  </si>
  <si>
    <t>CPA_C25</t>
  </si>
  <si>
    <t>Fabricated metal products, except machinery and equipment</t>
  </si>
  <si>
    <t>CPA_C17</t>
  </si>
  <si>
    <t>Paper and paper products</t>
  </si>
  <si>
    <t>CPA_B</t>
  </si>
  <si>
    <t>CPA_C18</t>
  </si>
  <si>
    <t>Printing and recording services</t>
  </si>
  <si>
    <t>CPA_C19</t>
  </si>
  <si>
    <t>Coke and refined petroleum products</t>
  </si>
  <si>
    <t>CPA_H50</t>
  </si>
  <si>
    <t>Water transport services</t>
  </si>
  <si>
    <t>CPA_C21</t>
  </si>
  <si>
    <t>Basic pharmaceutical products and pharmaceutical preparations</t>
  </si>
  <si>
    <t>CPA_M69_70</t>
  </si>
  <si>
    <t>Legal and accounting services; services of head offices; management consultancy services</t>
  </si>
  <si>
    <t>CPA_J58</t>
  </si>
  <si>
    <t>Publishing services</t>
  </si>
  <si>
    <t>CPA_C23</t>
  </si>
  <si>
    <t>Other non-metallic mineral products</t>
  </si>
  <si>
    <t>CPA_C24</t>
  </si>
  <si>
    <t>CPA_E37-39</t>
  </si>
  <si>
    <t>Sewerage services; sewage sludge; waste collection, treatment and disposal services; materials recovery services; remediation services and other waste management services</t>
  </si>
  <si>
    <t>CPA_C28</t>
  </si>
  <si>
    <t>Machinery and equipment n.e.c.</t>
  </si>
  <si>
    <t>CPA_C27</t>
  </si>
  <si>
    <t>CPA_C26</t>
  </si>
  <si>
    <t>Computer, electronic and optical products</t>
  </si>
  <si>
    <t>CPA_C29</t>
  </si>
  <si>
    <t>Motor vehicles, trailers and semi-trailers</t>
  </si>
  <si>
    <t>CPA_C30</t>
  </si>
  <si>
    <t>Other transport equipment</t>
  </si>
  <si>
    <t>CPA_C31_32</t>
  </si>
  <si>
    <t>Furniture and other manufactured goods</t>
  </si>
  <si>
    <t>Material</t>
  </si>
  <si>
    <t>CRMA status</t>
  </si>
  <si>
    <t>EU import reliance %</t>
  </si>
  <si>
    <t>Top supplier</t>
  </si>
  <si>
    <t>Supplier share of EU supply %</t>
  </si>
  <si>
    <t>Used in</t>
  </si>
  <si>
    <t>Note</t>
  </si>
  <si>
    <t>Source</t>
  </si>
  <si>
    <t>Heavy rare earths (HREE)</t>
  </si>
  <si>
    <t>Strategic (Annex I)</t>
  </si>
  <si>
    <t>Permanent magnets — motors, wind, EVs (C27, C28, C29)</t>
  </si>
  <si>
    <t>China 100% of EU supply; no EU separation/magnet capacity at scale</t>
  </si>
  <si>
    <t>European Commission (DG GROW) — Critical raw materials (2023)</t>
  </si>
  <si>
    <t>Light rare earths (LREE)</t>
  </si>
  <si>
    <t>NdFeB magnets, catalysts (C27, C29)</t>
  </si>
  <si>
    <t>China ~85% of LREE sourcing; ~98% of EU rare-earth supply overall</t>
  </si>
  <si>
    <t>Magnesium (metal)</t>
  </si>
  <si>
    <t>Aluminium alloying, die-casting (C24, C29)</t>
  </si>
  <si>
    <t>EC ~93% (Eurostat trade 92%); negligible EU primary output</t>
  </si>
  <si>
    <t>European Commission — COM(2020) 474 — Critical Raw Materials Resilience (2020)</t>
  </si>
  <si>
    <t>Borate / boron</t>
  </si>
  <si>
    <t>Glass, ceramics, agrochemicals, magnets (C20, C23)</t>
  </si>
  <si>
    <t>Türkiye 98–99% of EU supply — the reserve base is Turkish</t>
  </si>
  <si>
    <t>Cobalt</t>
  </si>
  <si>
    <t>Batteries, superalloys (C27, C29, C20)</t>
  </si>
  <si>
    <t>DRC ~63% of global mine supply; ~60% refined in China</t>
  </si>
  <si>
    <t>Natural graphite</t>
  </si>
  <si>
    <t>Li-ion battery anodes, refractories (C27, C29)</t>
  </si>
  <si>
    <t>China ~43% of EU imports (2025 trade data); dominant in spherical/processed graphite</t>
  </si>
  <si>
    <t>Eurostat — International trade in critical raw materials (2026)</t>
  </si>
  <si>
    <t>Gallium</t>
  </si>
  <si>
    <t>Semiconductors, LEDs, GaN/RF chips (C26)</t>
  </si>
  <si>
    <t>China ~77% of EU imports (2025 trade data), ~80–90% of global refined; export-controlled since 2023</t>
  </si>
  <si>
    <t>Germanium</t>
  </si>
  <si>
    <t>Fibre optics, IR optics, semiconductors (C26, C27)</t>
  </si>
  <si>
    <t>China ~45% of EU imports, ~80% global; export-controlled since 2023</t>
  </si>
  <si>
    <t>Lithium</t>
  </si>
  <si>
    <t>EV / grid batteries (C27, C29)</t>
  </si>
  <si>
    <t>Chile ~70% of EU lithium carbonate imports; battery-grade refining in China</t>
  </si>
  <si>
    <t>Eurostat — International trade in critical raw materials (2025)</t>
  </si>
  <si>
    <t>Platinum-group metals</t>
  </si>
  <si>
    <t>Autocatalysts, electrolysers, glass (C20, C29)</t>
  </si>
  <si>
    <t>South Africa 71% of EU platinum; higher for Ir/Rh/Ru</t>
  </si>
  <si>
    <t>Tungsten</t>
  </si>
  <si>
    <t>n/a</t>
  </si>
  <si>
    <t>Cutting tools, hard metals, defence (C25, C28)</t>
  </si>
  <si>
    <t>China ~68% of EU ferro-tungsten; EU retains some primary/recycled capacity</t>
  </si>
  <si>
    <t>Niobium</t>
  </si>
  <si>
    <t>Critical (Annex II)</t>
  </si>
  <si>
    <t>HSLA-steel micro-alloying, superalloys (C24, C30)</t>
  </si>
  <si>
    <t>Brazil ~92% of global supply; no EU production</t>
  </si>
  <si>
    <t>Silicon metal</t>
  </si>
  <si>
    <t>Aluminium alloys, silicones, PV/semis (C20, C24, C26)</t>
  </si>
  <si>
    <t>China dominant globally; EU keeps some smelter capacity</t>
  </si>
  <si>
    <t>Scandium</t>
  </si>
  <si>
    <t>Al-Sc aerospace alloys, SOFCs (C24, C30)</t>
  </si>
  <si>
    <t>China ~66% of EU supply; very thin global market</t>
  </si>
  <si>
    <t>Product</t>
  </si>
  <si>
    <t>Category</t>
  </si>
  <si>
    <t>NACE division(s)</t>
  </si>
  <si>
    <t>Largest supplier</t>
  </si>
  <si>
    <t>Supplier share %</t>
  </si>
  <si>
    <t>Share basis</t>
  </si>
  <si>
    <t>Solar PV panels &amp; cells</t>
  </si>
  <si>
    <t>Clean-tech equipment</t>
  </si>
  <si>
    <t>C26/C27</t>
  </si>
  <si>
    <t>of extra-EU imports (2024)</t>
  </si>
  <si>
    <t>EU imported €11.1 bn of solar panels in 2024, 98% from China; EU domestic module manufacturing meets only a small share of demand — flagged a strategic dependency by the Commission</t>
  </si>
  <si>
    <t>Eurostat (Statistics Explained) — International trade in products related to green energy (2024)</t>
  </si>
  <si>
    <t>Lithium-ion battery cells &amp; packs</t>
  </si>
  <si>
    <t>C27/C29</t>
  </si>
  <si>
    <t>of EU battery imports by value (2024)</t>
  </si>
  <si>
    <t>EU imported ~€27 bn of batteries in 2024, ~87% from China; the finished-cell counterpart to the lithium/cobalt/graphite raw-material rows</t>
  </si>
  <si>
    <t>ACEA — Fact sheet — EU battery supply chain and import reliance (2024)</t>
  </si>
  <si>
    <t>Portable computers / laptops</t>
  </si>
  <si>
    <t>Electronics &amp; IT hardware</t>
  </si>
  <si>
    <t>of extra-EU imports (2019–2020)</t>
  </si>
  <si>
    <t>China supplied ~90% of extra-EU laptop imports; essentially no volume laptop assembly remains in the EU</t>
  </si>
  <si>
    <t>Eurostat — Imports of laptops at all-time high (2020)</t>
  </si>
  <si>
    <t>Smartphones &amp; telecom equipment</t>
  </si>
  <si>
    <t>largest supplier (import-based)</t>
  </si>
  <si>
    <t>Telecoms &amp; sound equipment was the EU’s 2nd-largest import category from China (€60.9 bn, 2024); China is the dominant extra-EU supplier of phones and network gear</t>
  </si>
  <si>
    <t>Eurostat (Statistics Explained) — EU trade with China — latest developments (2024)</t>
  </si>
  <si>
    <t>Semiconductors / advanced logic chips</t>
  </si>
  <si>
    <t>Taiwan share of global advanced-logic (≤10 nm) capacity</t>
  </si>
  <si>
    <t>Advanced-node fabrication is concentrated in Taiwan (~92% of leading-edge capacity); a critical digital-transition dependency the EU Chips Act targets. Already plotted on the import-dependency map via the strategic-dependency layer</t>
  </si>
  <si>
    <t>European Commission — SWD(2021) 352 — Strategic dependencies and capacities (2021)</t>
  </si>
  <si>
    <t>Active pharmaceutical ingredients &amp; generic medicines</t>
  </si>
  <si>
    <t>China share of imported pharma ingredients</t>
  </si>
  <si>
    <t>Up to ~80% of the chemical substances used in EU pharma are made outside the EU (China ~45%); ~90% of APIs for generics come from India &amp; China</t>
  </si>
  <si>
    <t>Pharmacia (peer-reviewed) — The EU's dependence on imports of active pharmaceutical ingredients from third countries (2025)</t>
  </si>
  <si>
    <t>Apparel &amp; clothing</t>
  </si>
  <si>
    <t>Textiles &amp; consumer goods</t>
  </si>
  <si>
    <t>of extra-EU clothing imports (2019)</t>
  </si>
  <si>
    <t>Extra-EU clothing imports: China 29%, Bangladesh 19%, Türkiye 11% — a classic offshored value chain; the EU retains only premium/quick-response production</t>
  </si>
  <si>
    <t>Eurostat — Where do our clothes come from? (2019)</t>
  </si>
  <si>
    <t>Natural rubber (tyre feedstock)</t>
  </si>
  <si>
    <t>South-East Asia share of EU natural-rubber imports</t>
  </si>
  <si>
    <t>The EU grows no natural rubber; South-East Asia supplies ~65% of imports, the top five origins (incl. Côte d’Ivoire) ~89%. Tyres are the main use</t>
  </si>
  <si>
    <t>SCRREEN / EC — Natural rubber CRM factsheet (2020)</t>
  </si>
  <si>
    <t>Heat pumps (air-source)</t>
  </si>
  <si>
    <t>China share of the EU air-source heat-pump market</t>
  </si>
  <si>
    <t>China is the leading supplier of air-source heat pumps to Europe (~60%); EU domestic manufacturing exists but import share is rising fast</t>
  </si>
  <si>
    <t>IEA — Is a turnaround in sight for heat pump markets? (2024)</t>
  </si>
  <si>
    <t>of extra-EU furniture imports (2016)</t>
  </si>
  <si>
    <t>China supplied ~57% of extra-EU furniture imports; the EU is a net exporter overall but imports the low-cost segment (figure is 2016 vintage)</t>
  </si>
  <si>
    <t>Eurostat — EU trade in furniture around the globe (2016)</t>
  </si>
  <si>
    <t>Medical protective equipment (PPE)</t>
  </si>
  <si>
    <t>Medical &amp; other manufacturing</t>
  </si>
  <si>
    <t>China share of extra-EU PPE imports (2018)</t>
  </si>
  <si>
    <t>China supplied ~50% of extra-EU PPE imports (71% of face masks) pre-COVID; the pandemic exposed the concentration when export volumes and prices spiked</t>
  </si>
  <si>
    <t>PIIE — COVID-19: China's exports of medical supplies (2020)</t>
  </si>
  <si>
    <t>Product family</t>
  </si>
  <si>
    <t>Ecosystem</t>
  </si>
  <si>
    <t>Vulnerability</t>
  </si>
  <si>
    <t>Rare-earth magnets (NdFeB)</t>
  </si>
  <si>
    <t>Energy-intensive / raw materials</t>
  </si>
  <si>
    <t>Heavy REE 100% from China, magnets ~98%; no EU magnet-making at scale, very low substitutability</t>
  </si>
  <si>
    <t>Energy-intensive industries</t>
  </si>
  <si>
    <t>Near-zero EU primary production; essential aluminium alloying agent; single-country concentration</t>
  </si>
  <si>
    <t>Active pharmaceutical ingredients (APIs)</t>
  </si>
  <si>
    <t>Health</t>
  </si>
  <si>
    <t>High offshore concentration of fine-chemical/API synthesis; flagged sensitive-ecosystem dependency (not per-product quantified in the SWD)</t>
  </si>
  <si>
    <t>Semiconductors / integrated circuits</t>
  </si>
  <si>
    <t>Digital</t>
  </si>
  <si>
    <t>Advanced-node fabrication concentrated in East Asia; critical digital-transition dependency</t>
  </si>
  <si>
    <t>Borates / boron</t>
  </si>
  <si>
    <t>C20/C23</t>
  </si>
  <si>
    <t>Turkey holds dominant global reserves; almost no EU alternative; glass, ceramics, agrochemicals</t>
  </si>
  <si>
    <t>C20/C29</t>
  </si>
  <si>
    <t>Energy-intensive / mobility</t>
  </si>
  <si>
    <t>South Africa 71% of EU platinum (more for Ir/Rh/Ru); catalysts, autocatalysts, electrolysers; no EU mining</t>
  </si>
  <si>
    <t>Item</t>
  </si>
  <si>
    <t>NACE relevance</t>
  </si>
  <si>
    <t>Import dependency %</t>
  </si>
  <si>
    <t>Year</t>
  </si>
  <si>
    <t>Overall net energy-import dependency</t>
  </si>
  <si>
    <t>All C (esp. C19, C20, C24)</t>
  </si>
  <si>
    <t>2024</t>
  </si>
  <si>
    <t>Peaked at 62.5% in 2022 (post-invasion shock); 58.3% in 2023</t>
  </si>
  <si>
    <t>Eurostat — Energy imports dependency (nrg_ind_id) (2024)</t>
  </si>
  <si>
    <t>Oil &amp; petroleum products (excl. biofuels)</t>
  </si>
  <si>
    <t>C19 (refining)</t>
  </si>
  <si>
    <t>EU domestic crude output is marginal; USA now the top crude supplier post-embargo</t>
  </si>
  <si>
    <t>Natural gas</t>
  </si>
  <si>
    <t>C20 (feedstock &amp; process heat)</t>
  </si>
  <si>
    <t>97.6% at the 2022 peak; Norway pipeline + US LNG replaced most Russian volumes</t>
  </si>
  <si>
    <t>Russian gas share of EU gas imports</t>
  </si>
  <si>
    <t>C20, C24</t>
  </si>
  <si>
    <t>2023</t>
  </si>
  <si>
    <t>Fell 45% (2021) → 24% (2022) → ~15% (2023) after the supply shock</t>
  </si>
  <si>
    <t>European Commission (DG ENER) — EU energy security and gas supplies (2024)</t>
  </si>
  <si>
    <t>Total (TOTAL)</t>
  </si>
  <si>
    <t>Full nrg_ind_id series</t>
  </si>
  <si>
    <t>2021</t>
  </si>
  <si>
    <t>Live Eurostat series behind the headline rows above.</t>
  </si>
  <si>
    <t>2022</t>
  </si>
  <si>
    <t>Natural gas (G3000)</t>
  </si>
  <si>
    <t>Oil and petroleum products (excluding biofuel portion) (O4000XBIO)</t>
  </si>
  <si>
    <t>Kind</t>
  </si>
  <si>
    <t>Dependency</t>
  </si>
  <si>
    <t>Import reliance %</t>
  </si>
  <si>
    <t>Supplier concentration %</t>
  </si>
  <si>
    <t>Dominant supplier</t>
  </si>
  <si>
    <t>Raw material</t>
  </si>
  <si>
    <t>Magnesium metal</t>
  </si>
  <si>
    <t>Niobium (steel micro-alloy)</t>
  </si>
  <si>
    <t>C20/C24/C26</t>
  </si>
  <si>
    <t>Gallium (chip feedstock)</t>
  </si>
  <si>
    <t>Lithium (battery)</t>
  </si>
  <si>
    <t>Cobalt (batteries)</t>
  </si>
  <si>
    <t>DR Congo (mine)</t>
  </si>
  <si>
    <t>Natural graphite (anodes)</t>
  </si>
  <si>
    <t>Semiconductors (advanced logic)</t>
  </si>
  <si>
    <t>Taiwan</t>
  </si>
  <si>
    <t>European Commission — SWD(2021) 352 — Strategic dependencies (2021)</t>
  </si>
  <si>
    <t>Titanium metal (aerospace)</t>
  </si>
  <si>
    <t>C30/C25</t>
  </si>
  <si>
    <t>China / mixed</t>
  </si>
  <si>
    <t>European Union — Critical Raw Materials Act — Regulation (EU) 2024/1252 (2024)</t>
  </si>
  <si>
    <t>Crude oil / refined feedstock</t>
  </si>
  <si>
    <t>USA (crude/products)</t>
  </si>
  <si>
    <t>Eurostat — Energy production and imports (2024)</t>
  </si>
  <si>
    <t>Natural gas (chemicals feedstock)</t>
  </si>
  <si>
    <t>Norway</t>
  </si>
  <si>
    <t>HOW TO READ</t>
  </si>
  <si>
    <t>Two 0–100 axes: import reliance × single-largest-supplier share. The top-right corner is where one foreign supplier can choke an EU value chain. EC criticality-methodology figures, "as reported by &lt;source&gt;" — not customs arithmetic (Methodology §10).</t>
  </si>
  <si>
    <t>Critical imported input</t>
  </si>
  <si>
    <t>Suppliers (as reported)</t>
  </si>
  <si>
    <t>Iron ore</t>
  </si>
  <si>
    <t>Brazil, Canada, South Africa, Ukraine (EU mines almost none)</t>
  </si>
  <si>
    <t>World's Top Exports — Iron-ore exports by country (2024)</t>
  </si>
  <si>
    <t>Coking / metallurgical coal</t>
  </si>
  <si>
    <t>Australia, USA, Canada, Mozambique, Colombia (Russia halted since Aug 2022)</t>
  </si>
  <si>
    <t>JRC (RMIS) — Coking coal — supply-security briefing (2022)</t>
  </si>
  <si>
    <t>Ferro-alloys / manganese ore</t>
  </si>
  <si>
    <t>South Africa, Gabon</t>
  </si>
  <si>
    <t>European Commission (RMIS) — Study on the Critical Raw Materials for the EU 2023 (2023)</t>
  </si>
  <si>
    <t>Nickel</t>
  </si>
  <si>
    <t>Indonesia, Russia, Philippines, Canada</t>
  </si>
  <si>
    <t>Primary aluminium</t>
  </si>
  <si>
    <t>Russia (~33%), Mozambique (~17%), Iceland (~14%)</t>
  </si>
  <si>
    <t>SCRREEN / EC — Aluminium and Bauxite CRM factsheet (2020)</t>
  </si>
  <si>
    <t>Bauxite / alumina</t>
  </si>
  <si>
    <t>Guinea (~70%), Brazil (~14%), Sierra Leone (~10%)</t>
  </si>
  <si>
    <t>Chemicals</t>
  </si>
  <si>
    <t>Natural gas (ammonia feedstock &amp; energy)</t>
  </si>
  <si>
    <t>Norway (pipeline), US LNG, Algeria</t>
  </si>
  <si>
    <t>Eurostat (Statistics Explained) — EU imports of energy products — latest developments (2024)</t>
  </si>
  <si>
    <t>Naphtha / crude-derived feedstock</t>
  </si>
  <si>
    <t>Derived from imported crude oil (see C19)</t>
  </si>
  <si>
    <t>Phosphate rock</t>
  </si>
  <si>
    <t>Morocco (~28%), Russia (~23%); EU imports ~68% of phosphate nutrient</t>
  </si>
  <si>
    <t>European Commission — Ensuring availability and affordability of fertilisers (COM/2022/590) (2022)</t>
  </si>
  <si>
    <t>Potash</t>
  </si>
  <si>
    <t>Russia + Belarus (~64% combined), Canada; EU imports ~85% of potash nutrient</t>
  </si>
  <si>
    <t>Crude oil</t>
  </si>
  <si>
    <t>USA (~18%), Norway (~14–16%), Kazakhstan (~9%), Saudi Arabia, Libya, Nigeria, Iraq (Russia embargoed Dec 2022)</t>
  </si>
  <si>
    <t>Other non-metallic minerals</t>
  </si>
  <si>
    <t>China (dominant supplier of EU imports)</t>
  </si>
  <si>
    <t>Magnesite / magnesia (refractories)</t>
  </si>
  <si>
    <t>China (~90%+ of supply)</t>
  </si>
  <si>
    <t>Borates</t>
  </si>
  <si>
    <t>Türkiye (~98%)</t>
  </si>
  <si>
    <t>Feldspar</t>
  </si>
  <si>
    <t>Türkiye (leading supplier)</t>
  </si>
  <si>
    <t>Semiconductors / chips</t>
  </si>
  <si>
    <t>Taiwan (&gt;60% of market; TSMC &gt;90% of high-end), South Korea, China, Malaysia (assembly/test)</t>
  </si>
  <si>
    <t>Istituto Affari Internazionali (IAI) — Beyond the European Chips Act — EU supply-chain dependencies (2023)</t>
  </si>
  <si>
    <t>Rare-earth elements</t>
  </si>
  <si>
    <t>China (~70% of EU imports; ~100% of heavy REEs)</t>
  </si>
  <si>
    <t>China (leading global producer)</t>
  </si>
  <si>
    <t>Permanent magnets / rare earths (NdFeB)</t>
  </si>
  <si>
    <t>China (~94% of magnet production)</t>
  </si>
  <si>
    <t>IEA — China's share in rare-earth magnet production, 2024 (2024)</t>
  </si>
  <si>
    <t>Semiconductors</t>
  </si>
  <si>
    <t>Taiwan, South Korea</t>
  </si>
  <si>
    <t>Copper (wiring / windings)</t>
  </si>
  <si>
    <t>Chile, Peru (concentrate); refined imports</t>
  </si>
  <si>
    <t>Motor vehicles</t>
  </si>
  <si>
    <t>Li-ion battery cells &amp; materials</t>
  </si>
  <si>
    <t>China (&gt;85% of EU battery imports, 2024), South Korea</t>
  </si>
  <si>
    <t>ACEA — EU battery supply chain and import reliance (2024)</t>
  </si>
  <si>
    <t>Permanent magnets / rare earths (traction motors)</t>
  </si>
  <si>
    <t>China (~94% of magnets)</t>
  </si>
  <si>
    <t>Automotive semiconductors</t>
  </si>
  <si>
    <t>Taiwan, plus EU/US designers</t>
  </si>
  <si>
    <t>Semiconductors / electronic controls</t>
  </si>
  <si>
    <t>Rare-earth magnets (motors)</t>
  </si>
  <si>
    <t>Basic &amp; fabricated metals</t>
  </si>
  <si>
    <t>Partly imported via C24 upstream</t>
  </si>
  <si>
    <t>Wood / pulp fibre</t>
  </si>
  <si>
    <t>~94% EU-grown; imported market pulp mainly Brazil, USA, Canada</t>
  </si>
  <si>
    <t>CEPI — Key Statistics 2023 — European pulp &amp; paper industry (2023)</t>
  </si>
  <si>
    <t>Recovered paper</t>
  </si>
  <si>
    <t>~96% sourced within the EU</t>
  </si>
  <si>
    <t>Oilseeds / protein feed (soy)</t>
  </si>
  <si>
    <t>Brazil, USA, Argentina</t>
  </si>
  <si>
    <t>European Commission (DG AGRI) — Agri-food trade statistical factsheet — extra-EU (2024)</t>
  </si>
  <si>
    <t>Tropical commodities (palm oil, coffee, cocoa)</t>
  </si>
  <si>
    <t>Indonesia/Malaysia (palm), West Africa &amp; Latin America (cocoa, coffee)</t>
  </si>
  <si>
    <t>Organisation</t>
  </si>
  <si>
    <t>Title</t>
  </si>
  <si>
    <t>Used for</t>
  </si>
  <si>
    <t>URL</t>
  </si>
  <si>
    <t>ACEA</t>
  </si>
  <si>
    <t>EU battery supply chain and import reliance</t>
  </si>
  <si>
    <t>Critical input: C29 Li-ion battery cells &amp; materials</t>
  </si>
  <si>
    <t>https://www.acea.auto/files/ACEA_Fact_sheet-EU_battery_supply_chain_and_import_reliance.pdf</t>
  </si>
  <si>
    <t>Fact sheet — EU battery supply chain and import reliance</t>
  </si>
  <si>
    <t>Product dependency: Lithium-ion battery cells &amp; packs</t>
  </si>
  <si>
    <t>https://www.acea.auto/fact/fact-sheet-eu-battery-supply-chain-and-import-reliance/</t>
  </si>
  <si>
    <t>CEPI</t>
  </si>
  <si>
    <t>Key Statistics 2023 — European pulp &amp; paper industry</t>
  </si>
  <si>
    <t>Critical input: C17 Wood / pulp fibre · Critical input: C17 Recovered paper</t>
  </si>
  <si>
    <t>https://www.cepi.org/wp-content/uploads/2024/09/Key-Statistics-2023-FINAL-2.pdf</t>
  </si>
  <si>
    <t>European Commission</t>
  </si>
  <si>
    <t>COM(2020) 474 — Critical Raw Materials Resilience</t>
  </si>
  <si>
    <t>2020</t>
  </si>
  <si>
    <t>Critical material: Magnesium (metal) · Risk hotspot: Magnesium metal</t>
  </si>
  <si>
    <t>https://eur-lex.europa.eu/legal-content/EN/TXT/?uri=CELEX:52020DC0474</t>
  </si>
  <si>
    <t>Ensuring availability and affordability of fertilisers (COM/2022/590)</t>
  </si>
  <si>
    <t>Critical input: C20 Phosphate rock · Critical input: C20 Potash</t>
  </si>
  <si>
    <t>https://eur-lex.europa.eu/legal-content/EN/TXT/HTML/?uri=CELEX:52022DC0590(01)</t>
  </si>
  <si>
    <t>SWD(2021) 352 — Strategic dependencies and capacities</t>
  </si>
  <si>
    <t>Strategic-dependency review · Product dependency: Semiconductors / advanced logic chips · Strategic dependency: Rare-earth magnets (NdFeB) · Strategic dependency: Magnesium (metal) · Strategic dependency: Active pharmaceutical ingredients (APIs) · Strategic dependency: Semiconductors / integrated circuits · +1 more</t>
  </si>
  <si>
    <t>https://eur-lex.europa.eu/legal-content/EN/TXT/?uri=celex%3A52021SC0352</t>
  </si>
  <si>
    <t>European Commission (DG AGRI)</t>
  </si>
  <si>
    <t>Agri-food trade statistical factsheet — extra-EU</t>
  </si>
  <si>
    <t>Critical input: C10 Oilseeds / protein feed (soy) · Critical input: C10 Tropical commodities (palm oil, coffee, cocoa)</t>
  </si>
  <si>
    <t>https://agriculture.ec.europa.eu/data-and-analysis/markets/trade/trade-statistics_en</t>
  </si>
  <si>
    <t>European Commission (DG ENER)</t>
  </si>
  <si>
    <t>EU energy security and gas supplies</t>
  </si>
  <si>
    <t>Energy dependency: Russian gas share of EU gas imports</t>
  </si>
  <si>
    <t>https://energy.ec.europa.eu/news/focus-eu-energy-security-and-gas-supplies-2024-02-15_en</t>
  </si>
  <si>
    <t>European Commission (DG GROW)</t>
  </si>
  <si>
    <t>Critical raw materials</t>
  </si>
  <si>
    <t>Critical material: Heavy rare earths (HREE) · Critical material: Light rare earths (LREE) · Critical material: Borate / boron · Critical material: Cobalt · Critical material: Germanium · Critical material: Platinum-group metals · +12 more</t>
  </si>
  <si>
    <t>https://single-market-economy.ec.europa.eu/sectors/raw-materials/areas-specific-interest/critical-raw-materials_en</t>
  </si>
  <si>
    <t>European Commission (RMIS)</t>
  </si>
  <si>
    <t>Study on the Critical Raw Materials for the EU 2023</t>
  </si>
  <si>
    <t>Critical input: C24 Ferro-alloys / manganese ore · Critical input: C24 Nickel · Critical input: C23 Natural graphite · Critical input: C23 Magnesite / magnesia (refractories) · Critical input: C23 Borates · Critical input: C23 Feldspar · +3 more</t>
  </si>
  <si>
    <t>https://rmis.jrc.ec.europa.eu/analysis/criticality/crm_list</t>
  </si>
  <si>
    <t>European Union</t>
  </si>
  <si>
    <t>Critical Raw Materials Act — Regulation (EU) 2024/1252</t>
  </si>
  <si>
    <t>Critical Raw Materials Act framing · Risk hotspot: Titanium metal (aerospace)</t>
  </si>
  <si>
    <t>https://eur-lex.europa.eu/legal-content/EN/TXT/?uri=CELEX:32024R1252</t>
  </si>
  <si>
    <t>Eurostat</t>
  </si>
  <si>
    <t>Energy imports dependency (nrg_ind_id)</t>
  </si>
  <si>
    <t>Energy import dependency (nrg_ind_id) · Energy dependency: Overall net energy-import dependency · Energy dependency: Oil &amp; petroleum products (excl. biofuels) · Energy dependency: Natural gas</t>
  </si>
  <si>
    <t>https://ec.europa.eu/eurostat/databrowser/view/nrg_ind_id/default/table?lang=en</t>
  </si>
  <si>
    <t>Energy production and imports</t>
  </si>
  <si>
    <t>Risk hotspot: Crude oil / refined feedstock · Risk hotspot: Natural gas (chemicals feedstock)</t>
  </si>
  <si>
    <t>https://ec.europa.eu/eurostat/statistics-explained/index.php/Energy_production_and_imports</t>
  </si>
  <si>
    <t>EU trade in furniture around the globe</t>
  </si>
  <si>
    <t>2016</t>
  </si>
  <si>
    <t>Product dependency: Furniture</t>
  </si>
  <si>
    <t>https://ec.europa.eu/eurostat/web/products-eurostat-news/-/ddn-20180124-1</t>
  </si>
  <si>
    <t>EU-27 use table at basic prices (naio_10_cp1610)</t>
  </si>
  <si>
    <t>Imported inputs (use table, 2023)</t>
  </si>
  <si>
    <t>https://ec.europa.eu/eurostat/databrowser/view/naio_10_cp1610/default/table?lang=en</t>
  </si>
  <si>
    <t>Imports of laptops at all-time high</t>
  </si>
  <si>
    <t>Product dependency: Portable computers / laptops</t>
  </si>
  <si>
    <t>https://ec.europa.eu/eurostat/web/products-eurostat-news/-/ddn-20201023-2</t>
  </si>
  <si>
    <t>International trade in critical raw materials</t>
  </si>
  <si>
    <t>2026</t>
  </si>
  <si>
    <t>Critical material: Natural graphite · Critical material: Gallium · Critical material: Lithium · Critical material: Tungsten · Risk hotspot: Gallium (chip feedstock) · Risk hotspot: Lithium (battery) · +1 more</t>
  </si>
  <si>
    <t>https://ec.europa.eu/eurostat/statistics-explained/index.php?title=International_trade_in_critical_raw_materials</t>
  </si>
  <si>
    <t>Trade by NACE Rev. 2 activity and enterprise size class (ext_tec01)</t>
  </si>
  <si>
    <t>Trade backbone (ext_tec01, 2023+2024)</t>
  </si>
  <si>
    <t>https://ec.europa.eu/eurostat/databrowser/view/ext_tec01/default/table?lang=en</t>
  </si>
  <si>
    <t>Where do our clothes come from?</t>
  </si>
  <si>
    <t>2019</t>
  </si>
  <si>
    <t>Product dependency: Apparel &amp; clothing</t>
  </si>
  <si>
    <t>https://ec.europa.eu/eurostat/web/products-eurostat-news/-/edn-20200424-1</t>
  </si>
  <si>
    <t>Eurostat (FIGARO)</t>
  </si>
  <si>
    <t>EU inter-country input–output table at basic prices, industry by industry (naio_10_fcp_ii4)</t>
  </si>
  <si>
    <t>Z matrices, IO model, coefficients, Leontief inverse, multipliers</t>
  </si>
  <si>
    <t>https://ec.europa.eu/eurostat/databrowser/view/naio_10_fcp_ii4/default/table?lang=en</t>
  </si>
  <si>
    <t>Exports by industry — FIGARO application (naio_10_fgte)</t>
  </si>
  <si>
    <t>FIGARO export destinations (2023)</t>
  </si>
  <si>
    <t>https://ec.europa.eu/eurostat/databrowser/view/naio_10_fgte/default/table?lang=en</t>
  </si>
  <si>
    <t>Foreign value added in exports by country of origin — FIGARO application (naio_10_fgfoee)</t>
  </si>
  <si>
    <t>Published foreign value added (2023); model cross-check</t>
  </si>
  <si>
    <t>https://ec.europa.eu/eurostat/databrowser/view/naio_10_fgfoee/default/table?lang=en</t>
  </si>
  <si>
    <t>Imports by industry — FIGARO application (naio_10_fgti)</t>
  </si>
  <si>
    <t>FIGARO import origins (2023)</t>
  </si>
  <si>
    <t>https://ec.europa.eu/eurostat/databrowser/view/naio_10_fgti/default/table?lang=en</t>
  </si>
  <si>
    <t>Eurostat (Statistics Explained)</t>
  </si>
  <si>
    <t>EU imports of energy products — latest developments</t>
  </si>
  <si>
    <t>Critical input: C20 Natural gas (ammonia feedstock &amp; energy) · Critical input: C20 Naphtha / crude-derived feedstock · Critical input: C19 Crude oil</t>
  </si>
  <si>
    <t>https://ec.europa.eu/eurostat/statistics-explained/index.php?title=EU_imports_of_energy_products_-_latest_developments</t>
  </si>
  <si>
    <t>EU trade with China — latest developments</t>
  </si>
  <si>
    <t>Product dependency: Smartphones &amp; telecom equipment</t>
  </si>
  <si>
    <t>https://ec.europa.eu/eurostat/statistics-explained/index.php?title=EU_trade_with_China_-_latest_developments</t>
  </si>
  <si>
    <t>International trade in products related to green energy</t>
  </si>
  <si>
    <t>Product dependency: Solar PV panels &amp; cells</t>
  </si>
  <si>
    <t>https://ec.europa.eu/eurostat/statistics-explained/index.php?title=International_trade_in_products_related_to_green_energy</t>
  </si>
  <si>
    <t>IEA</t>
  </si>
  <si>
    <t>China's share in rare-earth magnet production, 2024</t>
  </si>
  <si>
    <t>Critical input: C27 Permanent magnets / rare earths (NdFeB) · Critical input: C29 Permanent magnets / rare earths (traction motors) · Critical input: C28 Rare-earth magnets (motors)</t>
  </si>
  <si>
    <t>https://www.iea.org/data-and-statistics/charts/china-s-share-in-rare-earth-magnet-production-2024</t>
  </si>
  <si>
    <t>Is a turnaround in sight for heat pump markets?</t>
  </si>
  <si>
    <t>Product dependency: Heat pumps (air-source)</t>
  </si>
  <si>
    <t>https://www.iea.org/commentaries/is-a-turnaround-in-sight-for-heat-pump-markets</t>
  </si>
  <si>
    <t>Istituto Affari Internazionali (IAI)</t>
  </si>
  <si>
    <t>Beyond the European Chips Act — EU supply-chain dependencies</t>
  </si>
  <si>
    <t>Critical input: C26 Semiconductors / chips · Critical input: C27 Semiconductors · Critical input: C29 Automotive semiconductors · Critical input: C28 Semiconductors / electronic controls</t>
  </si>
  <si>
    <t>https://www.iai.it/en/publications/c41/beyond-european-chips-act-eu-supply-chain-dependencies-china-taiwan-and-united</t>
  </si>
  <si>
    <t>JRC (RMIS)</t>
  </si>
  <si>
    <t>Coking coal — supply-security briefing</t>
  </si>
  <si>
    <t>Critical input: C24 Coking / metallurgical coal</t>
  </si>
  <si>
    <t>https://rmis.jrc.ec.europa.eu/uploads/2200629_JRC129975_briefing_coking_coal.pdf</t>
  </si>
  <si>
    <t>OECD TiVA (2023 ed., ICIO)</t>
  </si>
  <si>
    <t>GVC indicators for the European Union (data year 2020)</t>
  </si>
  <si>
    <t>OECD TiVA cross-check of FVA levels</t>
  </si>
  <si>
    <t>https://www.oecd.org/content/dam/oecd/en/topics/policy-sub-issues/trade-in-value-added/tiva-2023-EU27_2020.pdf</t>
  </si>
  <si>
    <t>Pharmacia (peer-reviewed)</t>
  </si>
  <si>
    <t>The EU's dependence on imports of active pharmaceutical ingredients from third countries</t>
  </si>
  <si>
    <t>2025</t>
  </si>
  <si>
    <t>Product dependency: Active pharmaceutical ingredients &amp; generic medicines</t>
  </si>
  <si>
    <t>https://pharmacia.pensoft.net/article/172383/</t>
  </si>
  <si>
    <t>PIIE</t>
  </si>
  <si>
    <t>COVID-19: China's exports of medical supplies</t>
  </si>
  <si>
    <t>Product dependency: Medical protective equipment (PPE)</t>
  </si>
  <si>
    <t>https://www.piie.com/blogs/trade-and-investment-policy-watch/covid-19-chinas-exports-medical-supplies-provide-ray-hope</t>
  </si>
  <si>
    <t>SCRREEN / EC</t>
  </si>
  <si>
    <t>Aluminium and Bauxite CRM factsheet</t>
  </si>
  <si>
    <t>Critical input: C24 Primary aluminium · Critical input: C24 Bauxite / alumina · Critical input: C28 Basic &amp; fabricated metals</t>
  </si>
  <si>
    <t>https://scrreen.eu/wp-content/uploads/2023/01/ALUMINIUM-AND-BAUXITE_CRM_2020_Factsheets_critical_Final.pdf</t>
  </si>
  <si>
    <t>Natural rubber CRM factsheet</t>
  </si>
  <si>
    <t>Product dependency: Natural rubber (tyre feedstock)</t>
  </si>
  <si>
    <t>https://scrreen.eu/wp-content/uploads/2023/01/NATURAL-RUBBER_CRM_2020_Factsheets_critical_Final.pdf</t>
  </si>
  <si>
    <t>World's Top Exports</t>
  </si>
  <si>
    <t>Iron-ore exports by country</t>
  </si>
  <si>
    <t>Critical input: C24 Iron ore</t>
  </si>
  <si>
    <t>https://www.worldstopexports.com/iron-ore-exports-country/</t>
  </si>
  <si>
    <t>Date</t>
  </si>
  <si>
    <t>Sheet</t>
  </si>
  <si>
    <t>Cell / row</t>
  </si>
  <si>
    <t>Field</t>
  </si>
  <si>
    <t>Old value</t>
  </si>
  <si>
    <t>New value</t>
  </si>
  <si>
    <t>Reason</t>
  </si>
  <si>
    <t>Source for the new value (URL)</t>
  </si>
  <si>
    <t>Who</t>
  </si>
  <si>
    <t>(all)</t>
  </si>
  <si>
    <t>—</t>
  </si>
  <si>
    <t>Workbook generated from the repository data (IO-model masterfile v1). Record every subsequent manual edit here — one row per change — so edits can be carried back to the repository as tracked corrections.</t>
  </si>
  <si>
    <t>scripts/build-trade-flows-io-model-workbook.mjs</t>
  </si>
  <si>
    <t>build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</si>
</sst>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0.0"/>
    <numFmt numFmtId="166" formatCode="0.0000"/>
    <numFmt numFmtId="167" formatCode="0.000"/>
    <numFmt numFmtId="168" formatCode="0.00000"/>
  </numFmts>
  <fonts count="18" x14ac:knownFonts="1">
    <font>
      <color theme="1"/>
      <family val="2"/>
      <scheme val="minor"/>
      <sz val="11"/>
      <name val="Calibri"/>
    </font>
    <font>
      <b/>
      <color rgb="FF004B7F"/>
      <sz val="14"/>
    </font>
    <font>
      <b/>
      <color rgb="FF54728C"/>
      <sz val="10"/>
    </font>
    <font>
      <b/>
      <color rgb="FF007B6C"/>
      <sz val="13"/>
    </font>
    <font>
      <b/>
      <color rgb="FF004B7F"/>
      <sz val="11"/>
    </font>
    <font>
      <b/>
      <sz val="11"/>
    </font>
    <font>
      <color rgb="FF54728C"/>
      <sz val="9"/>
    </font>
    <font>
      <b/>
      <sz val="9"/>
    </font>
    <font>
      <b/>
      <color rgb="FF54728C"/>
      <sz val="9"/>
    </font>
    <font>
      <b/>
      <color rgb="FF004B7F"/>
      <sz val="13"/>
    </font>
    <font>
      <b/>
      <color rgb="FF004B7F"/>
      <sz val="10"/>
    </font>
    <font>
      <sz val="10"/>
    </font>
    <font>
      <b/>
      <color rgb="FFFFFFFF"/>
      <sz val="10"/>
    </font>
    <font>
      <b/>
      <color rgb="FFFFFFFF"/>
      <sz val="9"/>
    </font>
    <font>
      <color rgb="FF54728C"/>
      <sz val="8"/>
    </font>
    <font>
      <b/>
      <sz val="10"/>
    </font>
    <font>
      <i/>
      <sz val="10"/>
    </font>
    <font>
      <u/>
      <color rgb="FF0065A4"/>
      <sz val="10"/>
    </font>
  </fonts>
  <fills count="8">
    <fill>
      <patternFill patternType="none"/>
    </fill>
    <fill>
      <patternFill patternType="gray125"/>
    </fill>
    <fill>
      <patternFill patternType="solid">
        <fgColor rgb="FF004B7F"/>
      </patternFill>
    </fill>
    <fill>
      <patternFill patternType="solid">
        <fgColor rgb="FF007B6C"/>
      </patternFill>
    </fill>
    <fill>
      <patternFill patternType="solid">
        <fgColor rgb="FF6667AB"/>
      </patternFill>
    </fill>
    <fill>
      <patternFill patternType="solid">
        <fgColor rgb="FFFF9933"/>
      </patternFill>
    </fill>
    <fill>
      <patternFill patternType="solid">
        <fgColor rgb="FFB83230"/>
      </patternFill>
    </fill>
    <fill>
      <patternFill patternType="solid">
        <fgColor rgb="FF54728C"/>
      </patternFill>
    </fill>
  </fills>
  <borders count="1">
    <border>
      <left/>
      <right/>
      <top/>
      <bottom/>
      <diagonal/>
    </border>
  </borders>
  <cellStyleXfs count="1">
    <xf numFmtId="0" fontId="0" fillId="0" borderId="0"/>
  </cellStyleXfs>
  <cellXfs count="45">
    <xf numFmtId="0" fontId="0" fillId="0" borderId="0" xfId="0"/>
    <xf numFmtId="0" fontId="1" fillId="0" borderId="0" xfId="0" applyFont="1"/>
    <xf numFmtId="0" fontId="2" fillId="0" borderId="0" xfId="0" applyFont="1" applyAlignment="1">
      <alignment vertical="top" wrapText="1"/>
    </xf>
    <xf numFmtId="0" fontId="0" fillId="0" borderId="0" xfId="0" applyAlignment="1">
      <alignment vertical="top" wrapText="1"/>
    </xf>
    <xf numFmtId="0" fontId="3" fillId="0" borderId="0" xfId="0" applyFont="1"/>
    <xf numFmtId="0" fontId="4" fillId="0" borderId="0" xfId="0" applyFont="1" applyAlignment="1">
      <alignment vertical="top" wrapText="1"/>
    </xf>
    <xf numFmtId="164" fontId="5" fillId="0" borderId="0" xfId="0" applyNumberFormat="1" applyFont="1" applyAlignment="1">
      <alignment vertical="top" wrapText="1"/>
    </xf>
    <xf numFmtId="0" fontId="6" fillId="0" borderId="0" xfId="0" applyFont="1" applyAlignment="1">
      <alignment vertical="top" wrapText="1"/>
    </xf>
    <xf numFmtId="165" fontId="5" fillId="0" borderId="0" xfId="0" applyNumberFormat="1" applyFont="1" applyAlignment="1">
      <alignment vertical="top" wrapText="1"/>
    </xf>
    <xf numFmtId="166" fontId="5" fillId="0" borderId="0" xfId="0" applyNumberFormat="1" applyFont="1" applyAlignment="1">
      <alignment vertical="top" wrapText="1"/>
    </xf>
    <xf numFmtId="1" fontId="5" fillId="0" borderId="0" xfId="0" applyNumberFormat="1" applyFont="1" applyAlignment="1">
      <alignment vertical="top" wrapText="1"/>
    </xf>
    <xf numFmtId="0" fontId="7" fillId="0" borderId="0" xfId="0" applyFont="1" applyAlignment="1">
      <alignment vertical="top" wrapText="1"/>
    </xf>
    <xf numFmtId="164" fontId="0" fillId="0" borderId="0" xfId="0" applyNumberFormat="1" applyAlignment="1">
      <alignment vertical="top" wrapText="1"/>
    </xf>
    <xf numFmtId="165" fontId="0" fillId="0" borderId="0" xfId="0" applyNumberFormat="1" applyAlignment="1">
      <alignment vertical="top" wrapText="1"/>
    </xf>
    <xf numFmtId="167" fontId="0" fillId="0" borderId="0" xfId="0" applyNumberFormat="1" applyAlignment="1">
      <alignment vertical="top" wrapText="1"/>
    </xf>
    <xf numFmtId="0" fontId="6" fillId="0" borderId="0" xfId="0" applyFont="1" applyAlignment="1">
      <alignment wrapText="1"/>
    </xf>
    <xf numFmtId="0" fontId="8" fillId="0" borderId="0" xfId="0" applyFont="1"/>
    <xf numFmtId="0" fontId="4" fillId="0" borderId="0" xfId="0" applyFont="1"/>
    <xf numFmtId="0" fontId="9" fillId="0" borderId="0" xfId="0" applyFont="1"/>
    <xf numFmtId="0" fontId="10" fillId="0" borderId="0" xfId="0" applyFont="1" applyAlignment="1">
      <alignment vertical="top" wrapText="1"/>
    </xf>
    <xf numFmtId="0" fontId="11" fillId="0" borderId="0" xfId="0" applyFont="1" applyAlignment="1">
      <alignment vertical="top" wrapText="1"/>
    </xf>
    <xf numFmtId="0" fontId="12" fillId="0" borderId="0" xfId="0" applyFont="1" applyAlignment="1">
      <alignment vertical="center" wrapText="1"/>
    </xf>
    <xf numFmtId="0" fontId="12" fillId="2" borderId="0" xfId="0" applyFont="1" applyFill="1" applyAlignment="1">
      <alignment vertical="center" wrapText="1"/>
    </xf>
    <xf numFmtId="0" fontId="12" fillId="3" borderId="0" xfId="0" applyFont="1" applyFill="1" applyAlignment="1">
      <alignment vertical="center" wrapText="1"/>
    </xf>
    <xf numFmtId="164" fontId="0" fillId="0" borderId="0" xfId="0" applyNumberFormat="1"/>
    <xf numFmtId="166" fontId="0" fillId="0" borderId="0" xfId="0" applyNumberFormat="1"/>
    <xf numFmtId="167" fontId="0" fillId="0" borderId="0" xfId="0" applyNumberFormat="1"/>
    <xf numFmtId="0" fontId="8" fillId="0" borderId="0" xfId="0" applyFont="1" applyAlignment="1">
      <alignment vertical="top" wrapText="1"/>
    </xf>
    <xf numFmtId="0" fontId="13" fillId="2" borderId="0" xfId="0" applyFont="1" applyFill="1"/>
    <xf numFmtId="0" fontId="14" fillId="0" borderId="0" xfId="0" applyFont="1" applyAlignment="1">
      <alignment vertical="top" wrapText="1"/>
    </xf>
    <xf numFmtId="0" fontId="7" fillId="0" borderId="0" xfId="0" applyFont="1"/>
    <xf numFmtId="0" fontId="14" fillId="0" borderId="0" xfId="0" applyFont="1"/>
    <xf numFmtId="0" fontId="13" fillId="4" borderId="0" xfId="0" applyFont="1" applyFill="1"/>
    <xf numFmtId="168" fontId="0" fillId="0" borderId="0" xfId="0" applyNumberFormat="1"/>
    <xf numFmtId="0" fontId="13" fillId="5" borderId="0" xfId="0" applyFont="1" applyFill="1"/>
    <xf numFmtId="0" fontId="12" fillId="5" borderId="0" xfId="0" applyFont="1" applyFill="1" applyAlignment="1">
      <alignment vertical="center" wrapText="1"/>
    </xf>
    <xf numFmtId="165" fontId="0" fillId="0" borderId="0" xfId="0" applyNumberFormat="1"/>
    <xf numFmtId="0" fontId="15" fillId="0" borderId="0" xfId="0" applyFont="1" applyAlignment="1">
      <alignment vertical="top" wrapText="1"/>
    </xf>
    <xf numFmtId="164" fontId="15" fillId="0" borderId="0" xfId="0" applyNumberFormat="1" applyFont="1" applyAlignment="1">
      <alignment vertical="top" wrapText="1"/>
    </xf>
    <xf numFmtId="0" fontId="16" fillId="0" borderId="0" xfId="0" applyFont="1" applyAlignment="1">
      <alignment vertical="top" wrapText="1"/>
    </xf>
    <xf numFmtId="164" fontId="16" fillId="0" borderId="0" xfId="0" applyNumberFormat="1" applyFont="1" applyAlignment="1">
      <alignment vertical="top" wrapText="1"/>
    </xf>
    <xf numFmtId="0" fontId="12" fillId="4" borderId="0" xfId="0" applyFont="1" applyFill="1" applyAlignment="1">
      <alignment vertical="center" wrapText="1"/>
    </xf>
    <xf numFmtId="0" fontId="12" fillId="6" borderId="0" xfId="0" applyFont="1" applyFill="1" applyAlignment="1">
      <alignment vertical="center" wrapText="1"/>
    </xf>
    <xf numFmtId="0" fontId="17" fillId="0" borderId="0" xfId="0" applyFont="1" applyAlignment="1">
      <alignment vertical="top" wrapText="1"/>
    </xf>
    <xf numFmtId="0" fontId="12" fillId="7"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autoTitleDeleted val="1"/>
    <c:plotArea>
      <c:layout/>
      <c:barChart>
        <c:barDir val="bar"/>
        <c:grouping val="clustered"/>
        <c:varyColors val="0"/>
        <c:ser>
          <c:idx val="0"/>
          <c:order val="0"/>
          <c:tx>
            <c:v>Surplus</c:v>
          </c:tx>
          <c:spPr>
            <a:solidFill>
              <a:srgbClr val="00846C"/>
            </a:solidFill>
            <a:ln>
              <a:noFill/>
            </a:ln>
          </c:spPr>
          <c:cat>
            <c:strRef>
              <c:f>Figures!$N$5:$N$28</c:f>
              <c:strCache>
                <c:ptCount val="24"/>
                <c:pt idx="0">
                  <c:v>C28 · Machinery &amp; equipment n.e.c.</c:v>
                </c:pt>
                <c:pt idx="1">
                  <c:v>C29 · Motor vehicles &amp; parts</c:v>
                </c:pt>
                <c:pt idx="2">
                  <c:v>C21 · Pharmaceuticals</c:v>
                </c:pt>
                <c:pt idx="3">
                  <c:v>C20 · Chemicals &amp; chemical products</c:v>
                </c:pt>
                <c:pt idx="4">
                  <c:v>C30 · Other transport equipment (aero, …</c:v>
                </c:pt>
                <c:pt idx="5">
                  <c:v>C10 · Food products</c:v>
                </c:pt>
                <c:pt idx="6">
                  <c:v>C25 · Fabricated metal products</c:v>
                </c:pt>
                <c:pt idx="7">
                  <c:v>C32 · Other manufacturing (medical, ins…</c:v>
                </c:pt>
                <c:pt idx="8">
                  <c:v>C27 · Electrical equipment</c:v>
                </c:pt>
                <c:pt idx="9">
                  <c:v>C26 · Computer, electronic &amp; optical</c:v>
                </c:pt>
                <c:pt idx="10">
                  <c:v>C22 · Rubber &amp; plastics</c:v>
                </c:pt>
                <c:pt idx="11">
                  <c:v>C11 · Beverages</c:v>
                </c:pt>
                <c:pt idx="12">
                  <c:v>C23 · Non-metallic minerals (cement, gl…</c:v>
                </c:pt>
                <c:pt idx="13">
                  <c:v>C16 · Wood &amp; cork products</c:v>
                </c:pt>
                <c:pt idx="14">
                  <c:v>C31 · Furniture</c:v>
                </c:pt>
                <c:pt idx="15">
                  <c:v>C17 · Paper &amp; paper products</c:v>
                </c:pt>
                <c:pt idx="16">
                  <c:v>C15 · Leather &amp; footwear</c:v>
                </c:pt>
                <c:pt idx="17">
                  <c:v>C13 · Textiles</c:v>
                </c:pt>
                <c:pt idx="18">
                  <c:v>C24 · Basic metals</c:v>
                </c:pt>
                <c:pt idx="19">
                  <c:v>C18 · Printing &amp; recorded media</c:v>
                </c:pt>
                <c:pt idx="20">
                  <c:v>C12 · Tobacco products</c:v>
                </c:pt>
                <c:pt idx="21">
                  <c:v>C14 · Wearing apparel</c:v>
                </c:pt>
                <c:pt idx="22">
                  <c:v>C33 · Repair &amp; installation of machinery</c:v>
                </c:pt>
                <c:pt idx="23">
                  <c:v>C19 · Coke &amp; refined petroleum</c:v>
                </c:pt>
              </c:strCache>
            </c:strRef>
          </c:cat>
          <c:val>
            <c:numRef>
              <c:f>Figures!$P$5:$P$28</c:f>
              <c:numCache>
                <c:formatCode>#,##0</c:formatCode>
                <c:ptCount val="24"/>
                <c:pt idx="0">
                  <c:v>165</c:v>
                </c:pt>
                <c:pt idx="1">
                  <c:v>160.1</c:v>
                </c:pt>
                <c:pt idx="2">
                  <c:v>110.8</c:v>
                </c:pt>
                <c:pt idx="3">
                  <c:v>73.9</c:v>
                </c:pt>
                <c:pt idx="4">
                  <c:v>63.1</c:v>
                </c:pt>
                <c:pt idx="5">
                  <c:v>53</c:v>
                </c:pt>
                <c:pt idx="6">
                  <c:v>28.7</c:v>
                </c:pt>
                <c:pt idx="7">
                  <c:v>25.2</c:v>
                </c:pt>
                <c:pt idx="8">
                  <c:v>23.6</c:v>
                </c:pt>
                <c:pt idx="9">
                  <c:v>22.2</c:v>
                </c:pt>
                <c:pt idx="10">
                  <c:v>19.6</c:v>
                </c:pt>
                <c:pt idx="11">
                  <c:v>18.6</c:v>
                </c:pt>
                <c:pt idx="12">
                  <c:v>15.1</c:v>
                </c:pt>
                <c:pt idx="13">
                  <c:v>9.7</c:v>
                </c:pt>
                <c:pt idx="14">
                  <c:v>9.5</c:v>
                </c:pt>
                <c:pt idx="15">
                  <c:v>9.1</c:v>
                </c:pt>
                <c:pt idx="16">
                  <c:v>4.3</c:v>
                </c:pt>
                <c:pt idx="17">
                  <c:v>4.1</c:v>
                </c:pt>
                <c:pt idx="18">
                  <c:v>4.1</c:v>
                </c:pt>
                <c:pt idx="19">
                  <c:v>1.4</c:v>
                </c:pt>
                <c:pt idx="20">
                  <c:v>0.6</c:v>
                </c:pt>
              </c:numCache>
            </c:numRef>
          </c:val>
        </c:ser>
        <c:ser>
          <c:idx val="1"/>
          <c:order val="1"/>
          <c:tx>
            <c:v>Deficit</c:v>
          </c:tx>
          <c:spPr>
            <a:solidFill>
              <a:srgbClr val="B83230"/>
            </a:solidFill>
            <a:ln>
              <a:noFill/>
            </a:ln>
          </c:spPr>
          <c:cat>
            <c:strRef>
              <c:f>Figures!$N$5:$N$28</c:f>
              <c:strCache>
                <c:ptCount val="24"/>
                <c:pt idx="0">
                  <c:v>C28 · Machinery &amp; equipment n.e.c.</c:v>
                </c:pt>
                <c:pt idx="1">
                  <c:v>C29 · Motor vehicles &amp; parts</c:v>
                </c:pt>
                <c:pt idx="2">
                  <c:v>C21 · Pharmaceuticals</c:v>
                </c:pt>
                <c:pt idx="3">
                  <c:v>C20 · Chemicals &amp; chemical products</c:v>
                </c:pt>
                <c:pt idx="4">
                  <c:v>C30 · Other transport equipment (aero, …</c:v>
                </c:pt>
                <c:pt idx="5">
                  <c:v>C10 · Food products</c:v>
                </c:pt>
                <c:pt idx="6">
                  <c:v>C25 · Fabricated metal products</c:v>
                </c:pt>
                <c:pt idx="7">
                  <c:v>C32 · Other manufacturing (medical, ins…</c:v>
                </c:pt>
                <c:pt idx="8">
                  <c:v>C27 · Electrical equipment</c:v>
                </c:pt>
                <c:pt idx="9">
                  <c:v>C26 · Computer, electronic &amp; optical</c:v>
                </c:pt>
                <c:pt idx="10">
                  <c:v>C22 · Rubber &amp; plastics</c:v>
                </c:pt>
                <c:pt idx="11">
                  <c:v>C11 · Beverages</c:v>
                </c:pt>
                <c:pt idx="12">
                  <c:v>C23 · Non-metallic minerals (cement, gl…</c:v>
                </c:pt>
                <c:pt idx="13">
                  <c:v>C16 · Wood &amp; cork products</c:v>
                </c:pt>
                <c:pt idx="14">
                  <c:v>C31 · Furniture</c:v>
                </c:pt>
                <c:pt idx="15">
                  <c:v>C17 · Paper &amp; paper products</c:v>
                </c:pt>
                <c:pt idx="16">
                  <c:v>C15 · Leather &amp; footwear</c:v>
                </c:pt>
                <c:pt idx="17">
                  <c:v>C13 · Textiles</c:v>
                </c:pt>
                <c:pt idx="18">
                  <c:v>C24 · Basic metals</c:v>
                </c:pt>
                <c:pt idx="19">
                  <c:v>C18 · Printing &amp; recorded media</c:v>
                </c:pt>
                <c:pt idx="20">
                  <c:v>C12 · Tobacco products</c:v>
                </c:pt>
                <c:pt idx="21">
                  <c:v>C14 · Wearing apparel</c:v>
                </c:pt>
                <c:pt idx="22">
                  <c:v>C33 · Repair &amp; installation of machinery</c:v>
                </c:pt>
                <c:pt idx="23">
                  <c:v>C19 · Coke &amp; refined petroleum</c:v>
                </c:pt>
              </c:strCache>
            </c:strRef>
          </c:cat>
          <c:val>
            <c:numRef>
              <c:f>Figures!$Q$5:$Q$28</c:f>
              <c:numCache>
                <c:formatCode>#,##0</c:formatCode>
                <c:ptCount val="24"/>
                <c:pt idx="21">
                  <c:v>-0.6</c:v>
                </c:pt>
                <c:pt idx="22">
                  <c:v>-6.1</c:v>
                </c:pt>
                <c:pt idx="23">
                  <c:v>-161.8</c:v>
                </c:pt>
              </c:numCache>
            </c:numRef>
          </c:val>
        </c:ser>
        <c:gapWidth val="50"/>
        <c:overlap val="100"/>
        <c:axId val="3001"/>
        <c:axId val="3002"/>
      </c:barChart>
      <c:catAx>
        <c:axId val="3001"/>
        <c:scaling>
          <c:orientation val="maxMin"/>
        </c:scaling>
        <c:delete val="0"/>
        <c:axPos val="l"/>
        <c:tickLblPos val="low"/>
        <c:crossAx val="3002"/>
      </c:catAx>
      <c:valAx>
        <c:axId val="3002"/>
        <c:scaling>
          <c:orientation val="minMax"/>
        </c:scaling>
        <c:delete val="0"/>
        <c:axPos val="b"/>
        <c:majorGridlines>
          <c:spPr>
            <a:ln w="9525">
              <a:solidFill>
                <a:srgbClr val="E3E9EE"/>
              </a:solidFill>
            </a:ln>
          </c:spPr>
        </c:majorGridlines>
        <c:numFmt formatCode="#,##0" sourceLinked="0"/>
        <c:tickLblPos val="nextTo"/>
        <c:crossAx val="3001"/>
      </c:valAx>
    </c:plotArea>
    <c:legend>
      <c:legendPos val="t"/>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lang val="en-GB"/>
  <c:chart>
    <c:autoTitleDeleted val="1"/>
    <c:plotArea>
      <c:layout/>
      <c:scatterChart>
        <c:scatterStyle val="lineMarker"/>
        <c:varyColors val="0"/>
        <c:ser>
          <c:idx val="0"/>
          <c:order val="0"/>
          <c:tx>
            <c:v>Critical raw material</c:v>
          </c:tx>
          <c:spPr>
            <a:ln w="19050">
              <a:noFill/>
            </a:ln>
          </c:spPr>
          <c:marker>
            <c:symbol val="circle"/>
            <c:size val="8"/>
            <c:spPr>
              <a:solidFill>
                <a:srgbClr val="2B6E9F"/>
              </a:solidFill>
              <a:ln w="9525">
                <a:solidFill>
                  <a:srgbClr val="FFFFFF"/>
                </a:solidFill>
              </a:ln>
            </c:spPr>
          </c:marker>
          <c:xVal>
            <c:numRef>
              <c:f>'Risk map'!$D$2:$D$16</c:f>
              <c:numCache>
                <c:formatCode>General</c:formatCode>
                <c:ptCount val="15"/>
                <c:pt idx="0">
                  <c:v>100</c:v>
                </c:pt>
                <c:pt idx="1">
                  <c:v>100</c:v>
                </c:pt>
                <c:pt idx="2">
                  <c:v>100</c:v>
                </c:pt>
                <c:pt idx="3">
                  <c:v>100</c:v>
                </c:pt>
                <c:pt idx="4">
                  <c:v>63</c:v>
                </c:pt>
                <c:pt idx="5">
                  <c:v>100</c:v>
                </c:pt>
                <c:pt idx="6">
                  <c:v>100</c:v>
                </c:pt>
                <c:pt idx="7">
                  <c:v>100</c:v>
                </c:pt>
                <c:pt idx="8">
                  <c:v>76</c:v>
                </c:pt>
                <c:pt idx="9">
                  <c:v>100</c:v>
                </c:pt>
                <c:pt idx="10">
                  <c:v>100</c:v>
                </c:pt>
                <c:pt idx="11">
                  <c:v>90</c:v>
                </c:pt>
                <c:pt idx="12">
                  <c:v>100</c:v>
                </c:pt>
                <c:pt idx="13">
                  <c:v>97</c:v>
                </c:pt>
                <c:pt idx="14">
                  <c:v>90</c:v>
                </c:pt>
              </c:numCache>
            </c:numRef>
          </c:xVal>
          <c:yVal>
            <c:numRef>
              <c:f>'Risk map'!$E$2:$E$16</c:f>
              <c:numCache>
                <c:formatCode>General</c:formatCode>
                <c:ptCount val="15"/>
                <c:pt idx="0">
                  <c:v>100</c:v>
                </c:pt>
                <c:pt idx="1">
                  <c:v>93</c:v>
                </c:pt>
                <c:pt idx="2">
                  <c:v>98</c:v>
                </c:pt>
                <c:pt idx="3">
                  <c:v>92</c:v>
                </c:pt>
                <c:pt idx="4">
                  <c:v>76</c:v>
                </c:pt>
                <c:pt idx="5">
                  <c:v>77</c:v>
                </c:pt>
                <c:pt idx="6">
                  <c:v>71</c:v>
                </c:pt>
                <c:pt idx="7">
                  <c:v>70</c:v>
                </c:pt>
                <c:pt idx="8">
                  <c:v>63</c:v>
                </c:pt>
                <c:pt idx="9">
                  <c:v>43</c:v>
                </c:pt>
                <c:pt idx="10">
                  <c:v>45</c:v>
                </c:pt>
                <c:pt idx="11">
                  <c:v>60</c:v>
                </c:pt>
                <c:pt idx="12">
                  <c:v>50</c:v>
                </c:pt>
                <c:pt idx="13">
                  <c:v>16</c:v>
                </c:pt>
                <c:pt idx="14">
                  <c:v>30</c:v>
                </c:pt>
              </c:numCache>
            </c:numRef>
          </c:yVal>
          <c:smooth val="0"/>
        </c:ser>
        <c:ser>
          <c:idx val="1"/>
          <c:order val="1"/>
          <c:tx>
            <c:v>Manufactured product</c:v>
          </c:tx>
          <c:spPr>
            <a:ln w="19050">
              <a:noFill/>
            </a:ln>
          </c:spPr>
          <c:marker>
            <c:symbol val="circle"/>
            <c:size val="8"/>
            <c:spPr>
              <a:solidFill>
                <a:srgbClr val="D97A22"/>
              </a:solidFill>
              <a:ln w="9525">
                <a:solidFill>
                  <a:srgbClr val="FFFFFF"/>
                </a:solidFill>
              </a:ln>
            </c:spPr>
          </c:marker>
          <c:xVal>
            <c:numRef>
              <c:f>'Risk map'!$D$17:$D$20</c:f>
              <c:numCache>
                <c:formatCode>General</c:formatCode>
                <c:ptCount val="4"/>
                <c:pt idx="0">
                  <c:v>95</c:v>
                </c:pt>
                <c:pt idx="1">
                  <c:v>90</c:v>
                </c:pt>
                <c:pt idx="2">
                  <c:v>95</c:v>
                </c:pt>
                <c:pt idx="3">
                  <c:v>80</c:v>
                </c:pt>
              </c:numCache>
            </c:numRef>
          </c:xVal>
          <c:yVal>
            <c:numRef>
              <c:f>'Risk map'!$E$17:$E$20</c:f>
              <c:numCache>
                <c:formatCode>General</c:formatCode>
                <c:ptCount val="4"/>
                <c:pt idx="0">
                  <c:v>98</c:v>
                </c:pt>
                <c:pt idx="1">
                  <c:v>87</c:v>
                </c:pt>
                <c:pt idx="2">
                  <c:v>90</c:v>
                </c:pt>
                <c:pt idx="3">
                  <c:v>45</c:v>
                </c:pt>
              </c:numCache>
            </c:numRef>
          </c:yVal>
          <c:smooth val="0"/>
        </c:ser>
        <c:axId val="4001"/>
        <c:axId val="4002"/>
      </c:scatterChart>
      <c:valAx>
        <c:axId val="4001"/>
        <c:scaling>
          <c:orientation val="minMax"/>
          <c:max val="100"/>
          <c:min val="0"/>
        </c:scaling>
        <c:delete val="0"/>
        <c:axPos val="b"/>
        <c:majorGridlines>
          <c:spPr>
            <a:ln w="9525">
              <a:solidFill>
                <a:srgbClr val="E3E9EE"/>
              </a:solidFill>
            </a:ln>
          </c:spPr>
        </c:majorGridlines>
        <c:title>
          <c:tx>
            <c:rich>
              <a:bodyPr/>
              <a:lstStyle/>
              <a:p>
                <a:pPr>
                  <a:defRPr sz="1000" b="0"/>
                </a:pPr>
                <a:r>
                  <a:rPr lang="en-GB" sz="1000"/>
                  <a:t>Import reliance — share of EU demand met by imports (%)</a:t>
                </a:r>
              </a:p>
            </c:rich>
          </c:tx>
          <c:overlay val="0"/>
        </c:title>
        <c:numFmt formatCode="General" sourceLinked="0"/>
        <c:tickLblPos val="nextTo"/>
        <c:crossAx val="4002"/>
      </c:valAx>
      <c:valAx>
        <c:axId val="4002"/>
        <c:scaling>
          <c:orientation val="minMax"/>
          <c:max val="100"/>
          <c:min val="0"/>
        </c:scaling>
        <c:delete val="0"/>
        <c:axPos val="l"/>
        <c:majorGridlines>
          <c:spPr>
            <a:ln w="9525">
              <a:solidFill>
                <a:srgbClr val="E3E9EE"/>
              </a:solidFill>
            </a:ln>
          </c:spPr>
        </c:majorGridlines>
        <c:title>
          <c:tx>
            <c:rich>
              <a:bodyPr rot="-5400000" vert="horz"/>
              <a:lstStyle/>
              <a:p>
                <a:pPr>
                  <a:defRPr sz="1000" b="0"/>
                </a:pPr>
                <a:r>
                  <a:rPr lang="en-GB" sz="1000"/>
                  <a:t>Supplier concentration — largest supplier share (%)</a:t>
                </a:r>
              </a:p>
            </c:rich>
          </c:tx>
          <c:overlay val="0"/>
        </c:title>
        <c:numFmt formatCode="General" sourceLinked="0"/>
        <c:tickLblPos val="nextTo"/>
        <c:crossAx val="4001"/>
      </c:valAx>
    </c:plotArea>
    <c:legend>
      <c:legendPos val="t"/>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lang val="en-GB"/>
  <c:chart>
    <c:autoTitleDeleted val="1"/>
    <c:plotArea>
      <c:layout/>
      <c:barChart>
        <c:barDir val="bar"/>
        <c:grouping val="clustered"/>
        <c:varyColors val="0"/>
        <c:ser>
          <c:idx val="0"/>
          <c:order val="0"/>
          <c:tx>
            <c:v>Import content of final demand %</c:v>
          </c:tx>
          <c:spPr>
            <a:solidFill>
              <a:srgbClr val="2B6E9F"/>
            </a:solidFill>
            <a:ln>
              <a:noFill/>
            </a:ln>
          </c:spPr>
          <c:cat>
            <c:strRef>
              <c:f>Figures!$U$5:$U$16</c:f>
              <c:strCache>
                <c:ptCount val="12"/>
                <c:pt idx="0">
                  <c:v>C19 · Manufacture of coke and refined petroleum products</c:v>
                </c:pt>
                <c:pt idx="1">
                  <c:v>C24 · Manufacture of basic metals</c:v>
                </c:pt>
                <c:pt idx="2">
                  <c:v>H50 · Water transport</c:v>
                </c:pt>
                <c:pt idx="3">
                  <c:v>C20 · Manufacture of chemicals and chemical products</c:v>
                </c:pt>
                <c:pt idx="4">
                  <c:v>H51 · Air transport</c:v>
                </c:pt>
                <c:pt idx="5">
                  <c:v>C30 · Manufacture of other transport equipment</c:v>
                </c:pt>
                <c:pt idx="6">
                  <c:v>C27 · Manufacture of electrical equipment</c:v>
                </c:pt>
                <c:pt idx="7">
                  <c:v>C22 · Manufacture of rubber and plastic products</c:v>
                </c:pt>
                <c:pt idx="8">
                  <c:v>C29 · Manufacture of motor vehicles, trailers and semi-trailers</c:v>
                </c:pt>
                <c:pt idx="9">
                  <c:v>C26 · Manufacture of computer, electronic and optical products</c:v>
                </c:pt>
                <c:pt idx="10">
                  <c:v>C21 · Manufacture of basic pharmaceutical products and pharmaceutical prepa…</c:v>
                </c:pt>
                <c:pt idx="11">
                  <c:v>C13-15 · Manufacture of textiles, wearing apparel, leather and related products</c:v>
                </c:pt>
              </c:strCache>
            </c:strRef>
          </c:cat>
          <c:val>
            <c:numRef>
              <c:f>Figures!$V$5:$V$16</c:f>
              <c:numCache>
                <c:formatCode>0.0</c:formatCode>
                <c:ptCount val="12"/>
                <c:pt idx="0">
                  <c:v>63.7</c:v>
                </c:pt>
                <c:pt idx="1">
                  <c:v>31.7</c:v>
                </c:pt>
                <c:pt idx="2">
                  <c:v>30.4</c:v>
                </c:pt>
                <c:pt idx="3">
                  <c:v>28.9</c:v>
                </c:pt>
                <c:pt idx="4">
                  <c:v>28.4</c:v>
                </c:pt>
                <c:pt idx="5">
                  <c:v>27.2</c:v>
                </c:pt>
                <c:pt idx="6">
                  <c:v>22.9</c:v>
                </c:pt>
                <c:pt idx="7">
                  <c:v>22.4</c:v>
                </c:pt>
                <c:pt idx="8">
                  <c:v>21.6</c:v>
                </c:pt>
                <c:pt idx="9">
                  <c:v>21.1</c:v>
                </c:pt>
                <c:pt idx="10">
                  <c:v>21</c:v>
                </c:pt>
                <c:pt idx="11">
                  <c:v>20.6</c:v>
                </c:pt>
              </c:numCache>
            </c:numRef>
          </c:val>
        </c:ser>
        <c:gapWidth val="50"/>
        <c:overlap val="100"/>
        <c:axId val="3001"/>
        <c:axId val="3002"/>
      </c:barChart>
      <c:catAx>
        <c:axId val="3001"/>
        <c:scaling>
          <c:orientation val="maxMin"/>
        </c:scaling>
        <c:delete val="0"/>
        <c:axPos val="l"/>
        <c:tickLblPos val="low"/>
        <c:crossAx val="3002"/>
      </c:catAx>
      <c:valAx>
        <c:axId val="3002"/>
        <c:scaling>
          <c:orientation val="minMax"/>
        </c:scaling>
        <c:delete val="0"/>
        <c:axPos val="b"/>
        <c:majorGridlines>
          <c:spPr>
            <a:ln w="9525">
              <a:solidFill>
                <a:srgbClr val="E3E9EE"/>
              </a:solidFill>
            </a:ln>
          </c:spPr>
        </c:majorGridlines>
        <c:numFmt formatCode="0.0" sourceLinked="0"/>
        <c:tickLblPos val="nextTo"/>
        <c:crossAx val="3001"/>
      </c:valAx>
    </c:plotArea>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4</xdr:row>
      <xdr:rowOff>0</xdr:rowOff>
    </xdr:from>
    <xdr:ext cx="14287500" cy="9429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xdr:row>
      <xdr:rowOff>0</xdr:rowOff>
    </xdr:from>
    <xdr:ext cx="8953500" cy="8382000"/>
    <xdr:graphicFrame macro="">
      <xdr:nvGraphicFramePr>
        <xdr:cNvPr id="10" name="Trade balance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49</xdr:row>
      <xdr:rowOff>0</xdr:rowOff>
    </xdr:from>
    <xdr:ext cx="8953500" cy="6286500"/>
    <xdr:graphicFrame macro="">
      <xdr:nvGraphicFramePr>
        <xdr:cNvPr id="11" name="Import-dependency map"/>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84</xdr:row>
      <xdr:rowOff>0</xdr:rowOff>
    </xdr:from>
    <xdr:ext cx="8953500" cy="4381500"/>
    <xdr:graphicFrame macro="">
      <xdr:nvGraphicFramePr>
        <xdr:cNvPr id="12" name="Import content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cea.auto/files/ACEA_Fact_sheet-EU_battery_supply_chain_and_import_reliance.pdf" TargetMode="External"/><Relationship Id="rId2" Type="http://schemas.openxmlformats.org/officeDocument/2006/relationships/hyperlink" Target="https://www.acea.auto/fact/fact-sheet-eu-battery-supply-chain-and-import-reliance/" TargetMode="External"/><Relationship Id="rId3" Type="http://schemas.openxmlformats.org/officeDocument/2006/relationships/hyperlink" Target="https://www.cepi.org/wp-content/uploads/2024/09/Key-Statistics-2023-FINAL-2.pdf" TargetMode="External"/><Relationship Id="rId4" Type="http://schemas.openxmlformats.org/officeDocument/2006/relationships/hyperlink" Target="https://eur-lex.europa.eu/legal-content/EN/TXT/?uri=CELEX:52020DC0474" TargetMode="External"/><Relationship Id="rId5" Type="http://schemas.openxmlformats.org/officeDocument/2006/relationships/hyperlink" Target="https://eur-lex.europa.eu/legal-content/EN/TXT/HTML/?uri=CELEX:52022DC0590(01)" TargetMode="External"/><Relationship Id="rId6" Type="http://schemas.openxmlformats.org/officeDocument/2006/relationships/hyperlink" Target="https://eur-lex.europa.eu/legal-content/EN/TXT/?uri=celex%3A52021SC0352" TargetMode="External"/><Relationship Id="rId7" Type="http://schemas.openxmlformats.org/officeDocument/2006/relationships/hyperlink" Target="https://agriculture.ec.europa.eu/data-and-analysis/markets/trade/trade-statistics_en" TargetMode="External"/><Relationship Id="rId8" Type="http://schemas.openxmlformats.org/officeDocument/2006/relationships/hyperlink" Target="https://energy.ec.europa.eu/news/focus-eu-energy-security-and-gas-supplies-2024-02-15_en" TargetMode="External"/><Relationship Id="rId9" Type="http://schemas.openxmlformats.org/officeDocument/2006/relationships/hyperlink" Target="https://single-market-economy.ec.europa.eu/sectors/raw-materials/areas-specific-interest/critical-raw-materials_en" TargetMode="External"/><Relationship Id="rId10" Type="http://schemas.openxmlformats.org/officeDocument/2006/relationships/hyperlink" Target="https://rmis.jrc.ec.europa.eu/analysis/criticality/crm_list" TargetMode="External"/><Relationship Id="rId11" Type="http://schemas.openxmlformats.org/officeDocument/2006/relationships/hyperlink" Target="https://eur-lex.europa.eu/legal-content/EN/TXT/?uri=CELEX:32024R1252" TargetMode="External"/><Relationship Id="rId12" Type="http://schemas.openxmlformats.org/officeDocument/2006/relationships/hyperlink" Target="https://ec.europa.eu/eurostat/databrowser/view/nrg_ind_id/default/table?lang=en" TargetMode="External"/><Relationship Id="rId13" Type="http://schemas.openxmlformats.org/officeDocument/2006/relationships/hyperlink" Target="https://ec.europa.eu/eurostat/statistics-explained/index.php/Energy_production_and_imports" TargetMode="External"/><Relationship Id="rId14" Type="http://schemas.openxmlformats.org/officeDocument/2006/relationships/hyperlink" Target="https://ec.europa.eu/eurostat/web/products-eurostat-news/-/ddn-20180124-1" TargetMode="External"/><Relationship Id="rId15" Type="http://schemas.openxmlformats.org/officeDocument/2006/relationships/hyperlink" Target="https://ec.europa.eu/eurostat/databrowser/view/naio_10_cp1610/default/table?lang=en" TargetMode="External"/><Relationship Id="rId16" Type="http://schemas.openxmlformats.org/officeDocument/2006/relationships/hyperlink" Target="https://ec.europa.eu/eurostat/web/products-eurostat-news/-/ddn-20201023-2" TargetMode="External"/><Relationship Id="rId17" Type="http://schemas.openxmlformats.org/officeDocument/2006/relationships/hyperlink" Target="https://ec.europa.eu/eurostat/statistics-explained/index.php?title=International_trade_in_critical_raw_materials" TargetMode="External"/><Relationship Id="rId18" Type="http://schemas.openxmlformats.org/officeDocument/2006/relationships/hyperlink" Target="https://ec.europa.eu/eurostat/databrowser/view/ext_tec01/default/table?lang=en" TargetMode="External"/><Relationship Id="rId19" Type="http://schemas.openxmlformats.org/officeDocument/2006/relationships/hyperlink" Target="https://ec.europa.eu/eurostat/web/products-eurostat-news/-/edn-20200424-1" TargetMode="External"/><Relationship Id="rId20" Type="http://schemas.openxmlformats.org/officeDocument/2006/relationships/hyperlink" Target="https://ec.europa.eu/eurostat/databrowser/view/naio_10_fcp_ii4/default/table?lang=en" TargetMode="External"/><Relationship Id="rId21" Type="http://schemas.openxmlformats.org/officeDocument/2006/relationships/hyperlink" Target="https://ec.europa.eu/eurostat/databrowser/view/naio_10_fgte/default/table?lang=en" TargetMode="External"/><Relationship Id="rId22" Type="http://schemas.openxmlformats.org/officeDocument/2006/relationships/hyperlink" Target="https://ec.europa.eu/eurostat/databrowser/view/naio_10_fgfoee/default/table?lang=en" TargetMode="External"/><Relationship Id="rId23" Type="http://schemas.openxmlformats.org/officeDocument/2006/relationships/hyperlink" Target="https://ec.europa.eu/eurostat/databrowser/view/naio_10_fgti/default/table?lang=en" TargetMode="External"/><Relationship Id="rId24" Type="http://schemas.openxmlformats.org/officeDocument/2006/relationships/hyperlink" Target="https://ec.europa.eu/eurostat/statistics-explained/index.php?title=EU_imports_of_energy_products_-_latest_developments" TargetMode="External"/><Relationship Id="rId25" Type="http://schemas.openxmlformats.org/officeDocument/2006/relationships/hyperlink" Target="https://ec.europa.eu/eurostat/statistics-explained/index.php?title=EU_trade_with_China_-_latest_developments" TargetMode="External"/><Relationship Id="rId26" Type="http://schemas.openxmlformats.org/officeDocument/2006/relationships/hyperlink" Target="https://ec.europa.eu/eurostat/statistics-explained/index.php?title=International_trade_in_products_related_to_green_energy" TargetMode="External"/><Relationship Id="rId27" Type="http://schemas.openxmlformats.org/officeDocument/2006/relationships/hyperlink" Target="https://www.iea.org/data-and-statistics/charts/china-s-share-in-rare-earth-magnet-production-2024" TargetMode="External"/><Relationship Id="rId28" Type="http://schemas.openxmlformats.org/officeDocument/2006/relationships/hyperlink" Target="https://www.iea.org/commentaries/is-a-turnaround-in-sight-for-heat-pump-markets" TargetMode="External"/><Relationship Id="rId29" Type="http://schemas.openxmlformats.org/officeDocument/2006/relationships/hyperlink" Target="https://www.iai.it/en/publications/c41/beyond-european-chips-act-eu-supply-chain-dependencies-china-taiwan-and-united" TargetMode="External"/><Relationship Id="rId30" Type="http://schemas.openxmlformats.org/officeDocument/2006/relationships/hyperlink" Target="https://rmis.jrc.ec.europa.eu/uploads/2200629_JRC129975_briefing_coking_coal.pdf" TargetMode="External"/><Relationship Id="rId31" Type="http://schemas.openxmlformats.org/officeDocument/2006/relationships/hyperlink" Target="https://www.oecd.org/content/dam/oecd/en/topics/policy-sub-issues/trade-in-value-added/tiva-2023-EU27_2020.pdf" TargetMode="External"/><Relationship Id="rId32" Type="http://schemas.openxmlformats.org/officeDocument/2006/relationships/hyperlink" Target="https://pharmacia.pensoft.net/article/172383/" TargetMode="External"/><Relationship Id="rId33" Type="http://schemas.openxmlformats.org/officeDocument/2006/relationships/hyperlink" Target="https://www.piie.com/blogs/trade-and-investment-policy-watch/covid-19-chinas-exports-medical-supplies-provide-ray-hope" TargetMode="External"/><Relationship Id="rId34" Type="http://schemas.openxmlformats.org/officeDocument/2006/relationships/hyperlink" Target="https://scrreen.eu/wp-content/uploads/2023/01/ALUMINIUM-AND-BAUXITE_CRM_2020_Factsheets_critical_Final.pdf" TargetMode="External"/><Relationship Id="rId35" Type="http://schemas.openxmlformats.org/officeDocument/2006/relationships/hyperlink" Target="https://scrreen.eu/wp-content/uploads/2023/01/NATURAL-RUBBER_CRM_2020_Factsheets_critical_Final.pdf" TargetMode="External"/><Relationship Id="rId36" Type="http://schemas.openxmlformats.org/officeDocument/2006/relationships/hyperlink" Target="https://www.worldstopexports.com/iron-ore-exports-count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2"/>
  <sheetFormatPr defaultRowHeight="15" outlineLevelRow="0" outlineLevelCol="0" x14ac:dyDescent="55"/>
  <cols>
    <col min="1" max="1" width="30" customWidth="1"/>
    <col min="2" max="2" width="118" customWidth="1"/>
  </cols>
  <sheetData>
    <row r="1" spans="1:2" x14ac:dyDescent="0.25">
      <c r="A1" s="1" t="s">
        <v>0</v>
      </c>
      <c r="B1" s="1"/>
    </row>
    <row r="2" spans="1:2" x14ac:dyDescent="0.25">
      <c r="A2" s="2" t="s">
        <v>1</v>
      </c>
      <c r="B2" s="3" t="s">
        <v>2</v>
      </c>
    </row>
    <row r="3" spans="1:2" x14ac:dyDescent="0.25">
      <c r="A3" s="2" t="s">
        <v>3</v>
      </c>
      <c r="B3" s="3" t="s">
        <v>4</v>
      </c>
    </row>
    <row r="4" spans="1:2" x14ac:dyDescent="0.25">
      <c r="A4" s="2" t="s">
        <v>5</v>
      </c>
      <c r="B4" s="3" t="s">
        <v>6</v>
      </c>
    </row>
    <row r="5" spans="1:2" x14ac:dyDescent="0.25">
      <c r="A5" s="2" t="s">
        <v>7</v>
      </c>
      <c r="B5" s="3" t="s">
        <v>8</v>
      </c>
    </row>
    <row r="6" spans="1:2" x14ac:dyDescent="0.25">
      <c r="A6" s="2" t="s">
        <v>9</v>
      </c>
      <c r="B6" s="3" t="s">
        <v>10</v>
      </c>
    </row>
    <row r="7" spans="1:2" x14ac:dyDescent="0.25">
      <c r="A7" s="2" t="s">
        <v>11</v>
      </c>
      <c r="B7" s="3" t="s">
        <v>12</v>
      </c>
    </row>
    <row r="8" spans="1:2" x14ac:dyDescent="0.25">
      <c r="A8" s="2" t="s">
        <v>13</v>
      </c>
      <c r="B8" s="3" t="s">
        <v>14</v>
      </c>
    </row>
    <row r="9" spans="1:2" x14ac:dyDescent="0.25">
      <c r="A9" s="2" t="s">
        <v>15</v>
      </c>
      <c r="B9" s="3" t="s">
        <v>16</v>
      </c>
    </row>
    <row r="10" spans="1:2" x14ac:dyDescent="0.25">
      <c r="A10" s="2" t="s">
        <v>17</v>
      </c>
      <c r="B10" s="3" t="s">
        <v>18</v>
      </c>
    </row>
    <row r="11" spans="1:2" x14ac:dyDescent="0.25">
      <c r="A11" s="2" t="s">
        <v>19</v>
      </c>
      <c r="B11" s="3" t="s">
        <v>20</v>
      </c>
    </row>
    <row r="12" spans="1:2" x14ac:dyDescent="0.25">
      <c r="A12" s="2" t="s">
        <v>21</v>
      </c>
      <c r="B12" s="3" t="s">
        <v>22</v>
      </c>
    </row>
  </sheetData>
  <mergeCells count="1">
    <mergeCell ref="A1:B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F82"/>
  <sheetFormatPr defaultRowHeight="15" outlineLevelRow="0" outlineLevelCol="0" x14ac:dyDescent="55"/>
  <cols>
    <col min="1" max="1" width="46" customWidth="1"/>
    <col min="2" max="5" width="16" customWidth="1"/>
    <col min="6" max="6" width="60" customWidth="1"/>
  </cols>
  <sheetData>
    <row r="1" spans="1:6" x14ac:dyDescent="0.25">
      <c r="A1" s="4" t="s">
        <v>23</v>
      </c>
      <c r="B1" s="4"/>
      <c r="C1" s="4"/>
      <c r="D1" s="4"/>
      <c r="E1" s="4"/>
      <c r="F1" s="4"/>
    </row>
    <row r="3" spans="1:1" s="3" customFormat="1" x14ac:dyDescent="0.25">
      <c r="A3" s="5" t="s">
        <v>24</v>
      </c>
    </row>
    <row r="4" spans="1:6" s="3" customFormat="1" x14ac:dyDescent="0.25">
      <c r="A4" s="3" t="s">
        <v>25</v>
      </c>
      <c r="B4" s="6">
        <f>INDEX('Trade backbone'!E:E,MATCH("C",'Trade backbone'!A:A,0))</f>
        <v>1649.9</v>
      </c>
      <c r="F4" s="7" t="s">
        <v>26</v>
      </c>
    </row>
    <row r="5" spans="1:6" s="3" customFormat="1" x14ac:dyDescent="0.25">
      <c r="A5" s="3" t="s">
        <v>27</v>
      </c>
      <c r="B5" s="6">
        <f>INDEX('Trade backbone'!D:D,MATCH("C",'Trade backbone'!A:A,0))</f>
        <v>975.7</v>
      </c>
      <c r="F5" s="7" t="s">
        <v>28</v>
      </c>
    </row>
    <row r="6" spans="1:6" s="3" customFormat="1" x14ac:dyDescent="0.25">
      <c r="A6" s="3" t="s">
        <v>29</v>
      </c>
      <c r="B6" s="6">
        <f>INDEX('Trade backbone'!E:E,MATCH("C",'Trade backbone'!A:A,0))-INDEX('Trade backbone'!D:D,MATCH("C",'Trade backbone'!A:A,0))</f>
        <v>674.2</v>
      </c>
      <c r="F6" s="7" t="s">
        <v>30</v>
      </c>
    </row>
    <row r="7" spans="1:6" s="3" customFormat="1" x14ac:dyDescent="0.25">
      <c r="A7" s="3" t="s">
        <v>31</v>
      </c>
      <c r="B7" s="8">
        <f>INDEX('Foreign value added'!E:E,MATCH("C",'Foreign value added'!A:A,0))</f>
        <v>22.4</v>
      </c>
      <c r="F7" s="7" t="s">
        <v>32</v>
      </c>
    </row>
    <row r="8" spans="1:6" s="3" customFormat="1" x14ac:dyDescent="0.25">
      <c r="A8" s="3" t="s">
        <v>33</v>
      </c>
      <c r="B8" s="8">
        <f>INDEX('Imported inputs'!E:E,MATCH("C",'Imported inputs'!A:A,0))</f>
        <v>19.2</v>
      </c>
      <c r="F8" s="7" t="s">
        <v>34</v>
      </c>
    </row>
    <row r="9" spans="1:6" s="3" customFormat="1" x14ac:dyDescent="0.25">
      <c r="A9" s="3" t="s">
        <v>35</v>
      </c>
      <c r="B9" s="8">
        <f>SUMPRODUCT(('Multipliers'!$C$3:$C$66="C")*'Multipliers'!$E$3:$E$66,'Multipliers'!$H$3:$H$66)/SUMPRODUCT(('Multipliers'!$C$3:$C$66="C")*1,'Multipliers'!$H$3:$H$66)</f>
        <v>23.91503016249013</v>
      </c>
      <c r="F9" s="7" t="s">
        <v>36</v>
      </c>
    </row>
    <row r="10" spans="1:6" s="3" customFormat="1" x14ac:dyDescent="0.25">
      <c r="A10" s="3" t="s">
        <v>37</v>
      </c>
      <c r="B10" s="9">
        <f>MAX(ABS('Multipliers'!G3:G66))</f>
        <v>8.881784197001252e-14</v>
      </c>
      <c r="F10" s="7" t="s">
        <v>38</v>
      </c>
    </row>
    <row r="12" spans="1:1" s="3" customFormat="1" x14ac:dyDescent="0.25">
      <c r="A12" s="5" t="s">
        <v>39</v>
      </c>
    </row>
    <row r="13" spans="1:6" s="3" customFormat="1" x14ac:dyDescent="0.25">
      <c r="A13" s="3" t="s">
        <v>40</v>
      </c>
      <c r="B13" s="10">
        <f>COUNTA('Critical materials'!A2:A15)</f>
        <v>14</v>
      </c>
      <c r="F13" s="7" t="s">
        <v>41</v>
      </c>
    </row>
    <row r="14" spans="1:6" s="3" customFormat="1" x14ac:dyDescent="0.25">
      <c r="A14" s="3" t="s">
        <v>42</v>
      </c>
      <c r="B14" s="10">
        <f>COUNTIF('Critical materials'!B2:B15,"Strategic*")</f>
        <v>12</v>
      </c>
      <c r="F14" s="7" t="s">
        <v>43</v>
      </c>
    </row>
    <row r="15" spans="1:6" s="3" customFormat="1" x14ac:dyDescent="0.25">
      <c r="A15" s="3" t="s">
        <v>44</v>
      </c>
      <c r="B15" s="10">
        <f>COUNTA('Product dependencies'!A2:A12)</f>
        <v>11</v>
      </c>
      <c r="F15" s="7" t="s">
        <v>45</v>
      </c>
    </row>
    <row r="16" spans="1:6" s="3" customFormat="1" x14ac:dyDescent="0.25">
      <c r="A16" s="3" t="s">
        <v>46</v>
      </c>
      <c r="B16" s="10">
        <f>COUNTA('Strategic dependencies'!A2:A7)</f>
        <v>6</v>
      </c>
      <c r="F16" s="7" t="s">
        <v>43</v>
      </c>
    </row>
    <row r="17" spans="1:6" s="3" customFormat="1" x14ac:dyDescent="0.25">
      <c r="A17" s="3" t="s">
        <v>47</v>
      </c>
      <c r="B17" s="10">
        <f>COUNTIF('Critical materials'!D2:D15,"*China*")+COUNTIF('Product dependencies'!E2:E12,"*China*")</f>
        <v>18</v>
      </c>
      <c r="F17" s="7" t="s">
        <v>48</v>
      </c>
    </row>
    <row r="18" spans="1:6" s="3" customFormat="1" x14ac:dyDescent="0.25">
      <c r="A18" s="3" t="s">
        <v>49</v>
      </c>
      <c r="B18" s="10">
        <f>COUNTIF('Critical materials'!C2:C15,100)</f>
        <v>11</v>
      </c>
      <c r="F18" s="7" t="s">
        <v>43</v>
      </c>
    </row>
    <row r="19" spans="1:6" s="3" customFormat="1" x14ac:dyDescent="0.25">
      <c r="A19" s="3" t="s">
        <v>50</v>
      </c>
      <c r="B19" s="8">
        <f>'Energy dependency'!C2</f>
        <v>57.3</v>
      </c>
      <c r="F19" s="7" t="s">
        <v>51</v>
      </c>
    </row>
    <row r="21" spans="1:1" s="3" customFormat="1" x14ac:dyDescent="0.25">
      <c r="A21" s="5" t="s">
        <v>52</v>
      </c>
    </row>
    <row r="22" spans="1:6" s="11" customFormat="1" x14ac:dyDescent="0.25">
      <c r="A22" s="11" t="s">
        <v>53</v>
      </c>
      <c r="B22" s="11" t="s">
        <v>54</v>
      </c>
      <c r="C22" s="11" t="s">
        <v>55</v>
      </c>
      <c r="D22" s="11" t="s">
        <v>56</v>
      </c>
      <c r="E22" s="11" t="s">
        <v>57</v>
      </c>
      <c r="F22" s="11" t="s">
        <v>43</v>
      </c>
    </row>
    <row r="23" spans="1:6" s="3" customFormat="1" x14ac:dyDescent="0.25">
      <c r="A23" s="3" t="s">
        <v>58</v>
      </c>
      <c r="B23" s="3">
        <f>COUNTIF('Critical materials'!D2:D15,"Brazil")</f>
        <v>1</v>
      </c>
      <c r="C23" s="3">
        <f>COUNTIF('Product dependencies'!E2:E12,"Brazil")</f>
        <v>0</v>
      </c>
      <c r="D23" s="3">
        <f>COUNTIF('Strategic dependencies'!E2:E7,"Brazil")</f>
        <v>0</v>
      </c>
      <c r="E23" s="3">
        <f>SUM(B23:D23)</f>
        <v>1</v>
      </c>
      <c r="F23" s="3" t="s">
        <v>43</v>
      </c>
    </row>
    <row r="24" spans="1:6" s="3" customFormat="1" x14ac:dyDescent="0.25">
      <c r="A24" s="3" t="s">
        <v>59</v>
      </c>
      <c r="B24" s="3">
        <f>COUNTIF('Critical materials'!D2:D15,"Chile")</f>
        <v>1</v>
      </c>
      <c r="C24" s="3">
        <f>COUNTIF('Product dependencies'!E2:E12,"Chile")</f>
        <v>0</v>
      </c>
      <c r="D24" s="3">
        <f>COUNTIF('Strategic dependencies'!E2:E7,"Chile")</f>
        <v>0</v>
      </c>
      <c r="E24" s="3">
        <f>SUM(B24:D24)</f>
        <v>1</v>
      </c>
      <c r="F24" s="3" t="s">
        <v>43</v>
      </c>
    </row>
    <row r="25" spans="1:6" s="3" customFormat="1" x14ac:dyDescent="0.25">
      <c r="A25" s="3" t="s">
        <v>60</v>
      </c>
      <c r="B25" s="3">
        <f>COUNTIF('Critical materials'!D2:D15,"China")</f>
        <v>9</v>
      </c>
      <c r="C25" s="3">
        <f>COUNTIF('Product dependencies'!E2:E12,"China")</f>
        <v>8</v>
      </c>
      <c r="D25" s="3">
        <f>COUNTIF('Strategic dependencies'!E2:E7,"China")</f>
        <v>2</v>
      </c>
      <c r="E25" s="3">
        <f>SUM(B25:D25)</f>
        <v>19</v>
      </c>
      <c r="F25" s="3" t="s">
        <v>43</v>
      </c>
    </row>
    <row r="26" spans="1:6" s="3" customFormat="1" x14ac:dyDescent="0.25">
      <c r="A26" s="3" t="s">
        <v>61</v>
      </c>
      <c r="B26" s="3">
        <f>COUNTIF('Critical materials'!D2:D15,"China / India")</f>
        <v>0</v>
      </c>
      <c r="C26" s="3">
        <f>COUNTIF('Product dependencies'!E2:E12,"China / India")</f>
        <v>1</v>
      </c>
      <c r="D26" s="3">
        <f>COUNTIF('Strategic dependencies'!E2:E7,"China / India")</f>
        <v>1</v>
      </c>
      <c r="E26" s="3">
        <f>SUM(B26:D26)</f>
        <v>2</v>
      </c>
      <c r="F26" s="3" t="s">
        <v>43</v>
      </c>
    </row>
    <row r="27" spans="1:6" s="3" customFormat="1" x14ac:dyDescent="0.25">
      <c r="A27" s="3" t="s">
        <v>62</v>
      </c>
      <c r="B27" s="3">
        <f>COUNTIF('Critical materials'!D2:D15,"DR Congo (mining)")</f>
        <v>1</v>
      </c>
      <c r="C27" s="3">
        <f>COUNTIF('Product dependencies'!E2:E12,"DR Congo (mining)")</f>
        <v>0</v>
      </c>
      <c r="D27" s="3">
        <f>COUNTIF('Strategic dependencies'!E2:E7,"DR Congo (mining)")</f>
        <v>0</v>
      </c>
      <c r="E27" s="3">
        <f>SUM(B27:D27)</f>
        <v>1</v>
      </c>
      <c r="F27" s="3" t="s">
        <v>43</v>
      </c>
    </row>
    <row r="28" spans="1:6" s="3" customFormat="1" x14ac:dyDescent="0.25">
      <c r="A28" s="3" t="s">
        <v>63</v>
      </c>
      <c r="B28" s="3">
        <f>COUNTIF('Critical materials'!D2:D15,"South Africa")</f>
        <v>1</v>
      </c>
      <c r="C28" s="3">
        <f>COUNTIF('Product dependencies'!E2:E12,"South Africa")</f>
        <v>0</v>
      </c>
      <c r="D28" s="3">
        <f>COUNTIF('Strategic dependencies'!E2:E7,"South Africa")</f>
        <v>1</v>
      </c>
      <c r="E28" s="3">
        <f>SUM(B28:D28)</f>
        <v>2</v>
      </c>
      <c r="F28" s="3" t="s">
        <v>43</v>
      </c>
    </row>
    <row r="29" spans="1:6" s="3" customFormat="1" x14ac:dyDescent="0.25">
      <c r="A29" s="3" t="s">
        <v>64</v>
      </c>
      <c r="B29" s="3">
        <f>COUNTIF('Critical materials'!D2:D15,"South-East Asia")</f>
        <v>0</v>
      </c>
      <c r="C29" s="3">
        <f>COUNTIF('Product dependencies'!E2:E12,"South-East Asia")</f>
        <v>1</v>
      </c>
      <c r="D29" s="3">
        <f>COUNTIF('Strategic dependencies'!E2:E7,"South-East Asia")</f>
        <v>0</v>
      </c>
      <c r="E29" s="3">
        <f>SUM(B29:D29)</f>
        <v>1</v>
      </c>
      <c r="F29" s="3" t="s">
        <v>43</v>
      </c>
    </row>
    <row r="30" spans="1:6" s="3" customFormat="1" x14ac:dyDescent="0.25">
      <c r="A30" s="3" t="s">
        <v>65</v>
      </c>
      <c r="B30" s="3">
        <f>COUNTIF('Critical materials'!D2:D15,"Taiwan / East Asia")</f>
        <v>0</v>
      </c>
      <c r="C30" s="3">
        <f>COUNTIF('Product dependencies'!E2:E12,"Taiwan / East Asia")</f>
        <v>1</v>
      </c>
      <c r="D30" s="3">
        <f>COUNTIF('Strategic dependencies'!E2:E7,"Taiwan / East Asia")</f>
        <v>1</v>
      </c>
      <c r="E30" s="3">
        <f>SUM(B30:D30)</f>
        <v>2</v>
      </c>
      <c r="F30" s="3" t="s">
        <v>43</v>
      </c>
    </row>
    <row r="31" spans="1:6" s="3" customFormat="1" x14ac:dyDescent="0.25">
      <c r="A31" s="3" t="s">
        <v>66</v>
      </c>
      <c r="B31" s="3">
        <f>COUNTIF('Critical materials'!D2:D15,"Türkiye")</f>
        <v>1</v>
      </c>
      <c r="C31" s="3">
        <f>COUNTIF('Product dependencies'!E2:E12,"Türkiye")</f>
        <v>0</v>
      </c>
      <c r="D31" s="3">
        <f>COUNTIF('Strategic dependencies'!E2:E7,"Türkiye")</f>
        <v>1</v>
      </c>
      <c r="E31" s="3">
        <f>SUM(B31:D31)</f>
        <v>2</v>
      </c>
      <c r="F31" s="3" t="s">
        <v>43</v>
      </c>
    </row>
    <row r="33" spans="1:1" s="3" customFormat="1" x14ac:dyDescent="0.25">
      <c r="A33" s="5" t="s">
        <v>67</v>
      </c>
    </row>
    <row r="34" spans="1:6" s="11" customFormat="1" x14ac:dyDescent="0.25">
      <c r="A34" s="11" t="s">
        <v>68</v>
      </c>
      <c r="B34" s="11" t="s">
        <v>69</v>
      </c>
      <c r="C34" s="11" t="s">
        <v>70</v>
      </c>
      <c r="D34" s="11" t="s">
        <v>71</v>
      </c>
      <c r="E34" s="11" t="s">
        <v>43</v>
      </c>
      <c r="F34" s="11" t="s">
        <v>72</v>
      </c>
    </row>
    <row r="35" spans="1:6" s="3" customFormat="1" x14ac:dyDescent="0.25">
      <c r="A35" s="3" t="s">
        <v>73</v>
      </c>
      <c r="B35" s="12">
        <f>INDEX('Trade backbone'!F:F,MATCH("C10",'Trade backbone'!A:A,0))</f>
        <v>53</v>
      </c>
      <c r="C35" s="13">
        <f>INDEX('Imported inputs'!E:E,MATCH("C10-12",'Imported inputs'!A:A,0))</f>
        <v>10.4</v>
      </c>
      <c r="D35" s="3">
        <f>COUNTIF('Critical materials'!F2:F15,"*C10*")+COUNTIF('Product dependencies'!C2:C12,"*C10*")+COUNTIF('Strategic dependencies'!B2:B7,"*C10*")+COUNTIF('Critical inputs'!A:A,"C10")</f>
        <v>2</v>
      </c>
      <c r="E35" s="3" t="s">
        <v>43</v>
      </c>
      <c r="F35" s="3" t="s">
        <v>74</v>
      </c>
    </row>
    <row r="36" spans="1:6" s="3" customFormat="1" x14ac:dyDescent="0.25">
      <c r="A36" s="3" t="s">
        <v>75</v>
      </c>
      <c r="B36" s="12">
        <f>INDEX('Trade backbone'!F:F,MATCH("C11",'Trade backbone'!A:A,0))</f>
        <v>18.6</v>
      </c>
      <c r="C36" s="13">
        <f>INDEX('Imported inputs'!E:E,MATCH("C10-12",'Imported inputs'!A:A,0))</f>
        <v>10.4</v>
      </c>
      <c r="D36" s="3">
        <f>COUNTIF('Critical materials'!F2:F15,"*C11*")+COUNTIF('Product dependencies'!C2:C12,"*C11*")+COUNTIF('Strategic dependencies'!B2:B7,"*C11*")+COUNTIF('Critical inputs'!A:A,"C11")</f>
        <v>0</v>
      </c>
      <c r="E36" s="3" t="s">
        <v>43</v>
      </c>
      <c r="F36" s="3" t="s">
        <v>76</v>
      </c>
    </row>
    <row r="37" spans="1:6" s="3" customFormat="1" x14ac:dyDescent="0.25">
      <c r="A37" s="3" t="s">
        <v>77</v>
      </c>
      <c r="B37" s="12">
        <f>INDEX('Trade backbone'!F:F,MATCH("C12",'Trade backbone'!A:A,0))</f>
        <v>0.6</v>
      </c>
      <c r="C37" s="13">
        <f>INDEX('Imported inputs'!E:E,MATCH("C10-12",'Imported inputs'!A:A,0))</f>
        <v>10.4</v>
      </c>
      <c r="D37" s="3">
        <f>COUNTIF('Critical materials'!F2:F15,"*C12*")+COUNTIF('Product dependencies'!C2:C12,"*C12*")+COUNTIF('Strategic dependencies'!B2:B7,"*C12*")+COUNTIF('Critical inputs'!A:A,"C12")</f>
        <v>0</v>
      </c>
      <c r="E37" s="3" t="s">
        <v>43</v>
      </c>
      <c r="F37" s="3" t="s">
        <v>78</v>
      </c>
    </row>
    <row r="38" spans="1:6" s="3" customFormat="1" x14ac:dyDescent="0.25">
      <c r="A38" s="3" t="s">
        <v>79</v>
      </c>
      <c r="B38" s="12">
        <f>INDEX('Trade backbone'!F:F,MATCH("C13",'Trade backbone'!A:A,0))</f>
        <v>4.1</v>
      </c>
      <c r="C38" s="13">
        <f>INDEX('Imported inputs'!E:E,MATCH("C13-15",'Imported inputs'!A:A,0))</f>
        <v>17.8</v>
      </c>
      <c r="D38" s="3">
        <f>COUNTIF('Critical materials'!F2:F15,"*C13*")+COUNTIF('Product dependencies'!C2:C12,"*C13*")+COUNTIF('Strategic dependencies'!B2:B7,"*C13*")+COUNTIF('Critical inputs'!A:A,"C13")</f>
        <v>0</v>
      </c>
      <c r="E38" s="3" t="s">
        <v>43</v>
      </c>
      <c r="F38" s="3" t="s">
        <v>80</v>
      </c>
    </row>
    <row r="39" spans="1:6" s="3" customFormat="1" x14ac:dyDescent="0.25">
      <c r="A39" s="3" t="s">
        <v>81</v>
      </c>
      <c r="B39" s="12">
        <f>INDEX('Trade backbone'!F:F,MATCH("C14",'Trade backbone'!A:A,0))</f>
        <v>-0.6</v>
      </c>
      <c r="C39" s="13">
        <f>INDEX('Imported inputs'!E:E,MATCH("C13-15",'Imported inputs'!A:A,0))</f>
        <v>17.8</v>
      </c>
      <c r="D39" s="3">
        <f>COUNTIF('Critical materials'!F2:F15,"*C14*")+COUNTIF('Product dependencies'!C2:C12,"*C14*")+COUNTIF('Strategic dependencies'!B2:B7,"*C14*")+COUNTIF('Critical inputs'!A:A,"C14")</f>
        <v>1</v>
      </c>
      <c r="E39" s="3" t="s">
        <v>43</v>
      </c>
      <c r="F39" s="3" t="s">
        <v>82</v>
      </c>
    </row>
    <row r="40" spans="1:6" s="3" customFormat="1" x14ac:dyDescent="0.25">
      <c r="A40" s="3" t="s">
        <v>83</v>
      </c>
      <c r="B40" s="12">
        <f>INDEX('Trade backbone'!F:F,MATCH("C15",'Trade backbone'!A:A,0))</f>
        <v>4.3</v>
      </c>
      <c r="C40" s="13">
        <f>INDEX('Imported inputs'!E:E,MATCH("C13-15",'Imported inputs'!A:A,0))</f>
        <v>17.8</v>
      </c>
      <c r="D40" s="3">
        <f>COUNTIF('Critical materials'!F2:F15,"*C15*")+COUNTIF('Product dependencies'!C2:C12,"*C15*")+COUNTIF('Strategic dependencies'!B2:B7,"*C15*")+COUNTIF('Critical inputs'!A:A,"C15")</f>
        <v>0</v>
      </c>
      <c r="E40" s="3" t="s">
        <v>43</v>
      </c>
      <c r="F40" s="3" t="s">
        <v>84</v>
      </c>
    </row>
    <row r="41" spans="1:6" s="3" customFormat="1" x14ac:dyDescent="0.25">
      <c r="A41" s="3" t="s">
        <v>85</v>
      </c>
      <c r="B41" s="12">
        <f>INDEX('Trade backbone'!F:F,MATCH("C16",'Trade backbone'!A:A,0))</f>
        <v>9.7</v>
      </c>
      <c r="C41" s="13">
        <f>INDEX('Imported inputs'!E:E,MATCH("C16",'Imported inputs'!A:A,0))</f>
        <v>9.6</v>
      </c>
      <c r="D41" s="3">
        <f>COUNTIF('Critical materials'!F2:F15,"*C16*")+COUNTIF('Product dependencies'!C2:C12,"*C16*")+COUNTIF('Strategic dependencies'!B2:B7,"*C16*")+COUNTIF('Critical inputs'!A:A,"C16")</f>
        <v>0</v>
      </c>
      <c r="E41" s="3" t="s">
        <v>43</v>
      </c>
      <c r="F41" s="3" t="s">
        <v>86</v>
      </c>
    </row>
    <row r="42" spans="1:6" s="3" customFormat="1" x14ac:dyDescent="0.25">
      <c r="A42" s="3" t="s">
        <v>87</v>
      </c>
      <c r="B42" s="12">
        <f>INDEX('Trade backbone'!F:F,MATCH("C17",'Trade backbone'!A:A,0))</f>
        <v>9.1</v>
      </c>
      <c r="C42" s="13">
        <f>INDEX('Imported inputs'!E:E,MATCH("C17",'Imported inputs'!A:A,0))</f>
        <v>11.7</v>
      </c>
      <c r="D42" s="3">
        <f>COUNTIF('Critical materials'!F2:F15,"*C17*")+COUNTIF('Product dependencies'!C2:C12,"*C17*")+COUNTIF('Strategic dependencies'!B2:B7,"*C17*")+COUNTIF('Critical inputs'!A:A,"C17")</f>
        <v>2</v>
      </c>
      <c r="E42" s="3" t="s">
        <v>43</v>
      </c>
      <c r="F42" s="3" t="s">
        <v>88</v>
      </c>
    </row>
    <row r="43" spans="1:6" s="3" customFormat="1" x14ac:dyDescent="0.25">
      <c r="A43" s="3" t="s">
        <v>89</v>
      </c>
      <c r="B43" s="12">
        <f>INDEX('Trade backbone'!F:F,MATCH("C18",'Trade backbone'!A:A,0))</f>
        <v>1.4</v>
      </c>
      <c r="C43" s="13">
        <f>INDEX('Imported inputs'!E:E,MATCH("C18",'Imported inputs'!A:A,0))</f>
        <v>12.4</v>
      </c>
      <c r="D43" s="3">
        <f>COUNTIF('Critical materials'!F2:F15,"*C18*")+COUNTIF('Product dependencies'!C2:C12,"*C18*")+COUNTIF('Strategic dependencies'!B2:B7,"*C18*")+COUNTIF('Critical inputs'!A:A,"C18")</f>
        <v>0</v>
      </c>
      <c r="E43" s="3" t="s">
        <v>43</v>
      </c>
      <c r="F43" s="3" t="s">
        <v>90</v>
      </c>
    </row>
    <row r="44" spans="1:6" s="3" customFormat="1" x14ac:dyDescent="0.25">
      <c r="A44" s="3" t="s">
        <v>91</v>
      </c>
      <c r="B44" s="12">
        <f>INDEX('Trade backbone'!F:F,MATCH("C19",'Trade backbone'!A:A,0))</f>
        <v>-161.8</v>
      </c>
      <c r="C44" s="13">
        <f>INDEX('Imported inputs'!E:E,MATCH("C19",'Imported inputs'!A:A,0))</f>
        <v>63.4</v>
      </c>
      <c r="D44" s="3">
        <f>COUNTIF('Critical materials'!F2:F15,"*C19*")+COUNTIF('Product dependencies'!C2:C12,"*C19*")+COUNTIF('Strategic dependencies'!B2:B7,"*C19*")+COUNTIF('Critical inputs'!A:A,"C19")</f>
        <v>1</v>
      </c>
      <c r="E44" s="3" t="s">
        <v>43</v>
      </c>
      <c r="F44" s="3" t="s">
        <v>92</v>
      </c>
    </row>
    <row r="45" spans="1:6" s="3" customFormat="1" x14ac:dyDescent="0.25">
      <c r="A45" s="3" t="s">
        <v>93</v>
      </c>
      <c r="B45" s="12">
        <f>INDEX('Trade backbone'!F:F,MATCH("C20",'Trade backbone'!A:A,0))</f>
        <v>73.9</v>
      </c>
      <c r="C45" s="13">
        <f>INDEX('Imported inputs'!E:E,MATCH("C20",'Imported inputs'!A:A,0))</f>
        <v>19.8</v>
      </c>
      <c r="D45" s="3">
        <f>COUNTIF('Critical materials'!F2:F15,"*C20*")+COUNTIF('Product dependencies'!C2:C12,"*C20*")+COUNTIF('Strategic dependencies'!B2:B7,"*C20*")+COUNTIF('Critical inputs'!A:A,"C20")</f>
        <v>10</v>
      </c>
      <c r="E45" s="3" t="s">
        <v>43</v>
      </c>
      <c r="F45" s="3" t="s">
        <v>94</v>
      </c>
    </row>
    <row r="46" spans="1:6" s="3" customFormat="1" x14ac:dyDescent="0.25">
      <c r="A46" s="3" t="s">
        <v>95</v>
      </c>
      <c r="B46" s="12">
        <f>INDEX('Trade backbone'!F:F,MATCH("C21",'Trade backbone'!A:A,0))</f>
        <v>110.8</v>
      </c>
      <c r="C46" s="13">
        <f>INDEX('Imported inputs'!E:E,MATCH("C21",'Imported inputs'!A:A,0))</f>
        <v>29.3</v>
      </c>
      <c r="D46" s="3">
        <f>COUNTIF('Critical materials'!F2:F15,"*C21*")+COUNTIF('Product dependencies'!C2:C12,"*C21*")+COUNTIF('Strategic dependencies'!B2:B7,"*C21*")+COUNTIF('Critical inputs'!A:A,"C21")</f>
        <v>2</v>
      </c>
      <c r="E46" s="3" t="s">
        <v>43</v>
      </c>
      <c r="F46" s="3" t="s">
        <v>96</v>
      </c>
    </row>
    <row r="47" spans="1:6" s="3" customFormat="1" x14ac:dyDescent="0.25">
      <c r="A47" s="3" t="s">
        <v>97</v>
      </c>
      <c r="B47" s="12">
        <f>INDEX('Trade backbone'!F:F,MATCH("C22",'Trade backbone'!A:A,0))</f>
        <v>19.6</v>
      </c>
      <c r="C47" s="13">
        <f>INDEX('Imported inputs'!E:E,MATCH("C22",'Imported inputs'!A:A,0))</f>
        <v>16.7</v>
      </c>
      <c r="D47" s="3">
        <f>COUNTIF('Critical materials'!F2:F15,"*C22*")+COUNTIF('Product dependencies'!C2:C12,"*C22*")+COUNTIF('Strategic dependencies'!B2:B7,"*C22*")+COUNTIF('Critical inputs'!A:A,"C22")</f>
        <v>1</v>
      </c>
      <c r="E47" s="3" t="s">
        <v>43</v>
      </c>
      <c r="F47" s="3" t="s">
        <v>98</v>
      </c>
    </row>
    <row r="48" spans="1:6" s="3" customFormat="1" x14ac:dyDescent="0.25">
      <c r="A48" s="3" t="s">
        <v>99</v>
      </c>
      <c r="B48" s="12">
        <f>INDEX('Trade backbone'!F:F,MATCH("C23",'Trade backbone'!A:A,0))</f>
        <v>15.1</v>
      </c>
      <c r="C48" s="13">
        <f>INDEX('Imported inputs'!E:E,MATCH("C23",'Imported inputs'!A:A,0))</f>
        <v>12.8</v>
      </c>
      <c r="D48" s="3">
        <f>COUNTIF('Critical materials'!F2:F15,"*C23*")+COUNTIF('Product dependencies'!C2:C12,"*C23*")+COUNTIF('Strategic dependencies'!B2:B7,"*C23*")+COUNTIF('Critical inputs'!A:A,"C23")</f>
        <v>6</v>
      </c>
      <c r="E48" s="3" t="s">
        <v>43</v>
      </c>
      <c r="F48" s="3" t="s">
        <v>100</v>
      </c>
    </row>
    <row r="49" spans="1:6" s="3" customFormat="1" x14ac:dyDescent="0.25">
      <c r="A49" s="3" t="s">
        <v>101</v>
      </c>
      <c r="B49" s="12">
        <f>INDEX('Trade backbone'!F:F,MATCH("C24",'Trade backbone'!A:A,0))</f>
        <v>4.1</v>
      </c>
      <c r="C49" s="13">
        <f>INDEX('Imported inputs'!E:E,MATCH("C24",'Imported inputs'!A:A,0))</f>
        <v>21.2</v>
      </c>
      <c r="D49" s="3">
        <f>COUNTIF('Critical materials'!F2:F15,"*C24*")+COUNTIF('Product dependencies'!C2:C12,"*C24*")+COUNTIF('Strategic dependencies'!B2:B7,"*C24*")+COUNTIF('Critical inputs'!A:A,"C24")</f>
        <v>11</v>
      </c>
      <c r="E49" s="3" t="s">
        <v>43</v>
      </c>
      <c r="F49" s="3" t="s">
        <v>102</v>
      </c>
    </row>
    <row r="50" spans="1:6" s="3" customFormat="1" x14ac:dyDescent="0.25">
      <c r="A50" s="3" t="s">
        <v>103</v>
      </c>
      <c r="B50" s="12">
        <f>INDEX('Trade backbone'!F:F,MATCH("C25",'Trade backbone'!A:A,0))</f>
        <v>28.7</v>
      </c>
      <c r="C50" s="13">
        <f>INDEX('Imported inputs'!E:E,MATCH("C25",'Imported inputs'!A:A,0))</f>
        <v>11.1</v>
      </c>
      <c r="D50" s="3">
        <f>COUNTIF('Critical materials'!F2:F15,"*C25*")+COUNTIF('Product dependencies'!C2:C12,"*C25*")+COUNTIF('Strategic dependencies'!B2:B7,"*C25*")+COUNTIF('Critical inputs'!A:A,"C25")</f>
        <v>1</v>
      </c>
      <c r="E50" s="3" t="s">
        <v>43</v>
      </c>
      <c r="F50" s="3" t="s">
        <v>104</v>
      </c>
    </row>
    <row r="51" spans="1:6" s="3" customFormat="1" x14ac:dyDescent="0.25">
      <c r="A51" s="3" t="s">
        <v>105</v>
      </c>
      <c r="B51" s="12">
        <f>INDEX('Trade backbone'!F:F,MATCH("C26",'Trade backbone'!A:A,0))</f>
        <v>22.2</v>
      </c>
      <c r="C51" s="13">
        <f>INDEX('Imported inputs'!E:E,MATCH("C26",'Imported inputs'!A:A,0))</f>
        <v>28.2</v>
      </c>
      <c r="D51" s="3">
        <f>COUNTIF('Critical materials'!F2:F15,"*C26*")+COUNTIF('Product dependencies'!C2:C12,"*C26*")+COUNTIF('Strategic dependencies'!B2:B7,"*C26*")+COUNTIF('Critical inputs'!A:A,"C26")</f>
        <v>11</v>
      </c>
      <c r="E51" s="3" t="s">
        <v>43</v>
      </c>
      <c r="F51" s="3" t="s">
        <v>106</v>
      </c>
    </row>
    <row r="52" spans="1:6" s="3" customFormat="1" x14ac:dyDescent="0.25">
      <c r="A52" s="3" t="s">
        <v>107</v>
      </c>
      <c r="B52" s="12">
        <f>INDEX('Trade backbone'!F:F,MATCH("C27",'Trade backbone'!A:A,0))</f>
        <v>23.6</v>
      </c>
      <c r="C52" s="13">
        <f>INDEX('Imported inputs'!E:E,MATCH("C27",'Imported inputs'!A:A,0))</f>
        <v>18.7</v>
      </c>
      <c r="D52" s="3">
        <f>COUNTIF('Critical materials'!F2:F15,"*C27*")+COUNTIF('Product dependencies'!C2:C12,"*C27*")+COUNTIF('Strategic dependencies'!B2:B7,"*C27*")+COUNTIF('Critical inputs'!A:A,"C27")</f>
        <v>12</v>
      </c>
      <c r="E52" s="3" t="s">
        <v>43</v>
      </c>
      <c r="F52" s="3" t="s">
        <v>108</v>
      </c>
    </row>
    <row r="53" spans="1:6" s="3" customFormat="1" x14ac:dyDescent="0.25">
      <c r="A53" s="3" t="s">
        <v>109</v>
      </c>
      <c r="B53" s="12">
        <f>INDEX('Trade backbone'!F:F,MATCH("C28",'Trade backbone'!A:A,0))</f>
        <v>165</v>
      </c>
      <c r="C53" s="13">
        <f>INDEX('Imported inputs'!E:E,MATCH("C28",'Imported inputs'!A:A,0))</f>
        <v>13.1</v>
      </c>
      <c r="D53" s="3">
        <f>COUNTIF('Critical materials'!F2:F15,"*C28*")+COUNTIF('Product dependencies'!C2:C12,"*C28*")+COUNTIF('Strategic dependencies'!B2:B7,"*C28*")+COUNTIF('Critical inputs'!A:A,"C28")</f>
        <v>6</v>
      </c>
      <c r="E53" s="3" t="s">
        <v>43</v>
      </c>
      <c r="F53" s="3" t="s">
        <v>110</v>
      </c>
    </row>
    <row r="54" spans="1:6" s="3" customFormat="1" x14ac:dyDescent="0.25">
      <c r="A54" s="3" t="s">
        <v>111</v>
      </c>
      <c r="B54" s="12">
        <f>INDEX('Trade backbone'!F:F,MATCH("C29",'Trade backbone'!A:A,0))</f>
        <v>160.1</v>
      </c>
      <c r="C54" s="13">
        <f>INDEX('Imported inputs'!E:E,MATCH("C29",'Imported inputs'!A:A,0))</f>
        <v>13.1</v>
      </c>
      <c r="D54" s="3">
        <f>COUNTIF('Critical materials'!F2:F15,"*C29*")+COUNTIF('Product dependencies'!C2:C12,"*C29*")+COUNTIF('Strategic dependencies'!B2:B7,"*C29*")+COUNTIF('Critical inputs'!A:A,"C29")</f>
        <v>13</v>
      </c>
      <c r="E54" s="3" t="s">
        <v>43</v>
      </c>
      <c r="F54" s="3" t="s">
        <v>112</v>
      </c>
    </row>
    <row r="55" spans="1:6" s="3" customFormat="1" x14ac:dyDescent="0.25">
      <c r="A55" s="3" t="s">
        <v>113</v>
      </c>
      <c r="B55" s="12">
        <f>INDEX('Trade backbone'!F:F,MATCH("C30",'Trade backbone'!A:A,0))</f>
        <v>63.1</v>
      </c>
      <c r="C55" s="13">
        <f>INDEX('Imported inputs'!E:E,MATCH("C30",'Imported inputs'!A:A,0))</f>
        <v>21.6</v>
      </c>
      <c r="D55" s="3">
        <f>COUNTIF('Critical materials'!F2:F15,"*C30*")+COUNTIF('Product dependencies'!C2:C12,"*C30*")+COUNTIF('Strategic dependencies'!B2:B7,"*C30*")+COUNTIF('Critical inputs'!A:A,"C30")</f>
        <v>2</v>
      </c>
      <c r="E55" s="3" t="s">
        <v>43</v>
      </c>
      <c r="F55" s="3" t="s">
        <v>114</v>
      </c>
    </row>
    <row r="56" spans="1:6" s="3" customFormat="1" x14ac:dyDescent="0.25">
      <c r="A56" s="3" t="s">
        <v>115</v>
      </c>
      <c r="B56" s="12">
        <f>INDEX('Trade backbone'!F:F,MATCH("C31",'Trade backbone'!A:A,0))</f>
        <v>9.5</v>
      </c>
      <c r="C56" s="13">
        <f>INDEX('Imported inputs'!E:E,MATCH("C31_32",'Imported inputs'!A:A,0))</f>
        <v>16.4</v>
      </c>
      <c r="D56" s="3">
        <f>COUNTIF('Critical materials'!F2:F15,"*C31*")+COUNTIF('Product dependencies'!C2:C12,"*C31*")+COUNTIF('Strategic dependencies'!B2:B7,"*C31*")+COUNTIF('Critical inputs'!A:A,"C31")</f>
        <v>1</v>
      </c>
      <c r="E56" s="3" t="s">
        <v>43</v>
      </c>
      <c r="F56" s="3" t="s">
        <v>116</v>
      </c>
    </row>
    <row r="57" spans="1:6" s="3" customFormat="1" x14ac:dyDescent="0.25">
      <c r="A57" s="3" t="s">
        <v>117</v>
      </c>
      <c r="B57" s="12">
        <f>INDEX('Trade backbone'!F:F,MATCH("C32",'Trade backbone'!A:A,0))</f>
        <v>25.2</v>
      </c>
      <c r="C57" s="13">
        <f>INDEX('Imported inputs'!E:E,MATCH("C31_32",'Imported inputs'!A:A,0))</f>
        <v>16.4</v>
      </c>
      <c r="D57" s="3">
        <f>COUNTIF('Critical materials'!F2:F15,"*C32*")+COUNTIF('Product dependencies'!C2:C12,"*C32*")+COUNTIF('Strategic dependencies'!B2:B7,"*C32*")+COUNTIF('Critical inputs'!A:A,"C32")</f>
        <v>1</v>
      </c>
      <c r="E57" s="3" t="s">
        <v>43</v>
      </c>
      <c r="F57" s="3" t="s">
        <v>118</v>
      </c>
    </row>
    <row r="58" spans="1:6" s="3" customFormat="1" x14ac:dyDescent="0.25">
      <c r="A58" s="3" t="s">
        <v>119</v>
      </c>
      <c r="B58" s="12">
        <f>INDEX('Trade backbone'!F:F,MATCH("C33",'Trade backbone'!A:A,0))</f>
        <v>-6.1</v>
      </c>
      <c r="C58" s="13">
        <f>INDEX('Imported inputs'!E:E,MATCH("C33",'Imported inputs'!A:A,0))</f>
        <v>13.5</v>
      </c>
      <c r="D58" s="3">
        <f>COUNTIF('Critical materials'!F2:F15,"*C33*")+COUNTIF('Product dependencies'!C2:C12,"*C33*")+COUNTIF('Strategic dependencies'!B2:B7,"*C33*")+COUNTIF('Critical inputs'!A:A,"C33")</f>
        <v>0</v>
      </c>
      <c r="E58" s="3" t="s">
        <v>43</v>
      </c>
      <c r="F58" s="3" t="s">
        <v>120</v>
      </c>
    </row>
    <row r="60" spans="1:1" s="3" customFormat="1" x14ac:dyDescent="0.25">
      <c r="A60" s="5" t="s">
        <v>121</v>
      </c>
    </row>
    <row r="61" spans="1:2" s="3" customFormat="1" x14ac:dyDescent="0.25">
      <c r="A61" s="3" t="str">
        <f>INDEX('Multipliers'!$B$3:$B$66,MATCH(LARGE('Multipliers'!$E$3:$E$66,1),'Multipliers'!$E$3:$E$66,0))</f>
        <v>Manufacture of coke and refined petroleum products</v>
      </c>
      <c r="B61" s="13">
        <f>LARGE('Multipliers'!$E$3:$E$66,1)</f>
        <v>63.66912011239146</v>
      </c>
    </row>
    <row r="62" spans="1:2" s="3" customFormat="1" x14ac:dyDescent="0.25">
      <c r="A62" s="3" t="str">
        <f>INDEX('Multipliers'!$B$3:$B$66,MATCH(LARGE('Multipliers'!$E$3:$E$66,2),'Multipliers'!$E$3:$E$66,0))</f>
        <v>Manufacture of basic metals</v>
      </c>
      <c r="B62" s="13">
        <f>LARGE('Multipliers'!$E$3:$E$66,2)</f>
        <v>31.71889922588947</v>
      </c>
    </row>
    <row r="63" spans="1:2" s="3" customFormat="1" x14ac:dyDescent="0.25">
      <c r="A63" s="3" t="str">
        <f>INDEX('Multipliers'!$B$3:$B$66,MATCH(LARGE('Multipliers'!$E$3:$E$66,3),'Multipliers'!$E$3:$E$66,0))</f>
        <v>Water transport</v>
      </c>
      <c r="B63" s="13">
        <f>LARGE('Multipliers'!$E$3:$E$66,3)</f>
        <v>30.443610225658645</v>
      </c>
    </row>
    <row r="64" spans="1:2" s="3" customFormat="1" x14ac:dyDescent="0.25">
      <c r="A64" s="3" t="str">
        <f>INDEX('Multipliers'!$B$3:$B$66,MATCH(LARGE('Multipliers'!$E$3:$E$66,4),'Multipliers'!$E$3:$E$66,0))</f>
        <v>Manufacture of chemicals and chemical products</v>
      </c>
      <c r="B64" s="13">
        <f>LARGE('Multipliers'!$E$3:$E$66,4)</f>
        <v>28.887715583236435</v>
      </c>
    </row>
    <row r="65" spans="1:2" s="3" customFormat="1" x14ac:dyDescent="0.25">
      <c r="A65" s="3" t="str">
        <f>INDEX('Multipliers'!$B$3:$B$66,MATCH(LARGE('Multipliers'!$E$3:$E$66,5),'Multipliers'!$E$3:$E$66,0))</f>
        <v>Air transport</v>
      </c>
      <c r="B65" s="13">
        <f>LARGE('Multipliers'!$E$3:$E$66,5)</f>
        <v>28.42209778209866</v>
      </c>
    </row>
    <row r="66" spans="1:2" s="3" customFormat="1" x14ac:dyDescent="0.25">
      <c r="A66" s="3" t="str">
        <f>INDEX('Multipliers'!$B$3:$B$66,MATCH(LARGE('Multipliers'!$E$3:$E$66,6),'Multipliers'!$E$3:$E$66,0))</f>
        <v>Manufacture of other transport equipment</v>
      </c>
      <c r="B66" s="13">
        <f>LARGE('Multipliers'!$E$3:$E$66,6)</f>
        <v>27.228614297712106</v>
      </c>
    </row>
    <row r="67" spans="1:2" s="3" customFormat="1" x14ac:dyDescent="0.25">
      <c r="A67" s="3" t="str">
        <f>INDEX('Multipliers'!$B$3:$B$66,MATCH(LARGE('Multipliers'!$E$3:$E$66,7),'Multipliers'!$E$3:$E$66,0))</f>
        <v>Manufacture of electrical equipment</v>
      </c>
      <c r="B67" s="13">
        <f>LARGE('Multipliers'!$E$3:$E$66,7)</f>
        <v>22.921232071660672</v>
      </c>
    </row>
    <row r="68" spans="1:2" s="3" customFormat="1" x14ac:dyDescent="0.25">
      <c r="A68" s="3" t="str">
        <f>INDEX('Multipliers'!$B$3:$B$66,MATCH(LARGE('Multipliers'!$E$3:$E$66,8),'Multipliers'!$E$3:$E$66,0))</f>
        <v>Manufacture of rubber and plastic products</v>
      </c>
      <c r="B68" s="13">
        <f>LARGE('Multipliers'!$E$3:$E$66,8)</f>
        <v>22.440508046687558</v>
      </c>
    </row>
    <row r="69" spans="1:2" s="3" customFormat="1" x14ac:dyDescent="0.25">
      <c r="A69" s="3" t="str">
        <f>INDEX('Multipliers'!$B$3:$B$66,MATCH(LARGE('Multipliers'!$E$3:$E$66,9),'Multipliers'!$E$3:$E$66,0))</f>
        <v>Manufacture of motor vehicles, trailers and semi-trailers</v>
      </c>
      <c r="B69" s="13">
        <f>LARGE('Multipliers'!$E$3:$E$66,9)</f>
        <v>21.560623159949227</v>
      </c>
    </row>
    <row r="70" spans="1:2" s="3" customFormat="1" x14ac:dyDescent="0.25">
      <c r="A70" s="3" t="str">
        <f>INDEX('Multipliers'!$B$3:$B$66,MATCH(LARGE('Multipliers'!$E$3:$E$66,10),'Multipliers'!$E$3:$E$66,0))</f>
        <v>Manufacture of computer, electronic and optical products</v>
      </c>
      <c r="B70" s="13">
        <f>LARGE('Multipliers'!$E$3:$E$66,10)</f>
        <v>21.0616370405279</v>
      </c>
    </row>
    <row r="72" spans="1:1" s="3" customFormat="1" x14ac:dyDescent="0.25">
      <c r="A72" s="5" t="s">
        <v>122</v>
      </c>
    </row>
    <row r="73" spans="1:2" s="3" customFormat="1" x14ac:dyDescent="0.25">
      <c r="A73" s="3" t="str">
        <f>INDEX('Multipliers'!$B$3:$B$66,MATCH(LARGE('Multipliers'!$D$3:$D$66,1),'Multipliers'!$D$3:$D$66,0))</f>
        <v>Manufacture of food products</v>
      </c>
      <c r="B73" s="14">
        <f>LARGE('Multipliers'!$D$3:$D$66,1)</f>
        <v>2.4421365072967265</v>
      </c>
    </row>
    <row r="74" spans="1:2" s="3" customFormat="1" x14ac:dyDescent="0.25">
      <c r="A74" s="3" t="str">
        <f>INDEX('Multipliers'!$B$3:$B$66,MATCH(LARGE('Multipliers'!$D$3:$D$66,2),'Multipliers'!$D$3:$D$66,0))</f>
        <v>Manufacture of basic metals</v>
      </c>
      <c r="B74" s="14">
        <f>LARGE('Multipliers'!$D$3:$D$66,2)</f>
        <v>2.3835028776367366</v>
      </c>
    </row>
    <row r="75" spans="1:2" s="3" customFormat="1" x14ac:dyDescent="0.25">
      <c r="A75" s="3" t="str">
        <f>INDEX('Multipliers'!$B$3:$B$66,MATCH(LARGE('Multipliers'!$D$3:$D$66,3),'Multipliers'!$D$3:$D$66,0))</f>
        <v>Manufacture of paper and paper products</v>
      </c>
      <c r="B75" s="14">
        <f>LARGE('Multipliers'!$D$3:$D$66,3)</f>
        <v>2.382027368894517</v>
      </c>
    </row>
    <row r="76" spans="1:2" s="3" customFormat="1" x14ac:dyDescent="0.25">
      <c r="A76" s="3" t="str">
        <f>INDEX('Multipliers'!$B$3:$B$66,MATCH(LARGE('Multipliers'!$D$3:$D$66,4),'Multipliers'!$D$3:$D$66,0))</f>
        <v>Manufacture of motor vehicles, trailers and semi-trailers</v>
      </c>
      <c r="B76" s="14">
        <f>LARGE('Multipliers'!$D$3:$D$66,4)</f>
        <v>2.37438954257715</v>
      </c>
    </row>
    <row r="77" spans="1:2" s="3" customFormat="1" x14ac:dyDescent="0.25">
      <c r="A77" s="3" t="str">
        <f>INDEX('Multipliers'!$B$3:$B$66,MATCH(LARGE('Multipliers'!$D$3:$D$66,5),'Multipliers'!$D$3:$D$66,0))</f>
        <v>Travel agency, tour operator reservation service and related activiti…</v>
      </c>
      <c r="B77" s="14">
        <f>LARGE('Multipliers'!$D$3:$D$66,5)</f>
        <v>2.362354805906544</v>
      </c>
    </row>
    <row r="78" spans="1:2" s="3" customFormat="1" x14ac:dyDescent="0.25">
      <c r="A78" s="3" t="str">
        <f>INDEX('Multipliers'!$B$3:$B$66,MATCH(LARGE('Multipliers'!$D$3:$D$66,6),'Multipliers'!$D$3:$D$66,0))</f>
        <v>Manufacture of wood and of products of wood and cork, except furniture</v>
      </c>
      <c r="B78" s="14">
        <f>LARGE('Multipliers'!$D$3:$D$66,6)</f>
        <v>2.2755152430649965</v>
      </c>
    </row>
    <row r="79" spans="1:2" s="3" customFormat="1" x14ac:dyDescent="0.25">
      <c r="A79" s="3" t="str">
        <f>INDEX('Multipliers'!$B$3:$B$66,MATCH(LARGE('Multipliers'!$D$3:$D$66,7),'Multipliers'!$D$3:$D$66,0))</f>
        <v>Manufacture of chemicals and chemical products</v>
      </c>
      <c r="B79" s="14">
        <f>LARGE('Multipliers'!$D$3:$D$66,7)</f>
        <v>2.2180475706573155</v>
      </c>
    </row>
    <row r="80" spans="1:2" s="3" customFormat="1" x14ac:dyDescent="0.25">
      <c r="A80" s="3" t="str">
        <f>INDEX('Multipliers'!$B$3:$B$66,MATCH(LARGE('Multipliers'!$D$3:$D$66,8),'Multipliers'!$D$3:$D$66,0))</f>
        <v>Manufacture of fabricated metal products, except machinery and equipm…</v>
      </c>
      <c r="B80" s="14">
        <f>LARGE('Multipliers'!$D$3:$D$66,8)</f>
        <v>2.203081349603938</v>
      </c>
    </row>
    <row r="81" spans="1:2" s="3" customFormat="1" x14ac:dyDescent="0.25">
      <c r="A81" s="3" t="str">
        <f>INDEX('Multipliers'!$B$3:$B$66,MATCH(LARGE('Multipliers'!$D$3:$D$66,9),'Multipliers'!$D$3:$D$66,0))</f>
        <v>Construction</v>
      </c>
      <c r="B81" s="14">
        <f>LARGE('Multipliers'!$D$3:$D$66,9)</f>
        <v>2.197692178411423</v>
      </c>
    </row>
    <row r="82" spans="1:2" s="3" customFormat="1" x14ac:dyDescent="0.25">
      <c r="A82" s="3" t="str">
        <f>INDEX('Multipliers'!$B$3:$B$66,MATCH(LARGE('Multipliers'!$D$3:$D$66,10),'Multipliers'!$D$3:$D$66,0))</f>
        <v>Manufacture of other transport equipment</v>
      </c>
      <c r="B82" s="14">
        <f>LARGE('Multipliers'!$D$3:$D$66,10)</f>
        <v>2.190007453898444</v>
      </c>
    </row>
  </sheetData>
  <mergeCells count="1">
    <mergeCell ref="A1:F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V84"/>
  <sheetFormatPr defaultRowHeight="15" outlineLevelRow="0" outlineLevelCol="0" x14ac:dyDescent="55"/>
  <cols>
    <col min="14" max="14" width="42" customWidth="1"/>
    <col min="15" max="17" width="13" customWidth="1"/>
    <col min="20" max="20" width="13" customWidth="1"/>
    <col min="21" max="21" width="42" customWidth="1"/>
    <col min="22" max="22" width="13" customWidth="1"/>
  </cols>
  <sheetData>
    <row r="1" ht="52" customHeight="1" spans="1:12" x14ac:dyDescent="0.25">
      <c r="A1" s="15" t="s">
        <v>123</v>
      </c>
      <c r="B1" s="15"/>
      <c r="C1" s="15"/>
      <c r="D1" s="15"/>
      <c r="E1" s="15"/>
      <c r="F1" s="15"/>
      <c r="G1" s="15"/>
      <c r="H1" s="15"/>
      <c r="I1" s="15"/>
      <c r="J1" s="15"/>
      <c r="K1" s="15"/>
      <c r="L1" s="15"/>
    </row>
    <row r="2" spans="14:14" x14ac:dyDescent="0.25">
      <c r="N2" s="16" t="s">
        <v>124</v>
      </c>
    </row>
    <row r="3" spans="1:1" x14ac:dyDescent="0.25">
      <c r="A3" s="17" t="s">
        <v>125</v>
      </c>
    </row>
    <row r="4" spans="14:22" x14ac:dyDescent="0.25">
      <c r="N4" t="s">
        <v>68</v>
      </c>
      <c r="O4" t="s">
        <v>69</v>
      </c>
      <c r="P4" t="s">
        <v>126</v>
      </c>
      <c r="Q4" t="s">
        <v>127</v>
      </c>
      <c r="T4" t="s">
        <v>128</v>
      </c>
      <c r="U4" t="s">
        <v>129</v>
      </c>
      <c r="V4" t="s">
        <v>130</v>
      </c>
    </row>
    <row r="5" spans="14:22" x14ac:dyDescent="0.25">
      <c r="N5" t="s">
        <v>131</v>
      </c>
      <c r="O5">
        <f>INDEX('Trade backbone'!$F:$F,MATCH("C28",'Trade backbone'!$A:$A,0))</f>
        <v>165</v>
      </c>
      <c r="P5">
        <f>IF(O5&gt;=0,O5,NA())</f>
        <v>165</v>
      </c>
      <c r="Q5" t="e">
        <f>IF(O5&lt;0,O5,NA())</f>
        <v>#N/A</v>
      </c>
      <c r="T5" t="s">
        <v>91</v>
      </c>
      <c r="U5" t="str">
        <f>$T5&amp;" · "&amp;INDEX('Multipliers'!$B:$B,MATCH($T5,'Multipliers'!$A:$A,0))</f>
        <v>C19 · Manufacture of coke and refined petroleum products</v>
      </c>
      <c r="V5">
        <f>INDEX('Multipliers'!$E:$E,MATCH($T5,'Multipliers'!$A:$A,0))</f>
        <v>63.7</v>
      </c>
    </row>
    <row r="6" spans="14:22" x14ac:dyDescent="0.25">
      <c r="N6" t="s">
        <v>132</v>
      </c>
      <c r="O6">
        <f>INDEX('Trade backbone'!$F:$F,MATCH("C29",'Trade backbone'!$A:$A,0))</f>
        <v>160.1</v>
      </c>
      <c r="P6">
        <f>IF(O6&gt;=0,O6,NA())</f>
        <v>160.1</v>
      </c>
      <c r="Q6" t="e">
        <f>IF(O6&lt;0,O6,NA())</f>
        <v>#N/A</v>
      </c>
      <c r="T6" t="s">
        <v>101</v>
      </c>
      <c r="U6" t="str">
        <f>$T6&amp;" · "&amp;INDEX('Multipliers'!$B:$B,MATCH($T6,'Multipliers'!$A:$A,0))</f>
        <v>C24 · Manufacture of basic metals</v>
      </c>
      <c r="V6">
        <f>INDEX('Multipliers'!$E:$E,MATCH($T6,'Multipliers'!$A:$A,0))</f>
        <v>31.7</v>
      </c>
    </row>
    <row r="7" spans="14:22" x14ac:dyDescent="0.25">
      <c r="N7" t="s">
        <v>133</v>
      </c>
      <c r="O7">
        <f>INDEX('Trade backbone'!$F:$F,MATCH("C21",'Trade backbone'!$A:$A,0))</f>
        <v>110.8</v>
      </c>
      <c r="P7">
        <f>IF(O7&gt;=0,O7,NA())</f>
        <v>110.8</v>
      </c>
      <c r="Q7" t="e">
        <f>IF(O7&lt;0,O7,NA())</f>
        <v>#N/A</v>
      </c>
      <c r="T7" t="s">
        <v>134</v>
      </c>
      <c r="U7" t="str">
        <f>$T7&amp;" · "&amp;INDEX('Multipliers'!$B:$B,MATCH($T7,'Multipliers'!$A:$A,0))</f>
        <v>H50 · Water transport</v>
      </c>
      <c r="V7">
        <f>INDEX('Multipliers'!$E:$E,MATCH($T7,'Multipliers'!$A:$A,0))</f>
        <v>30.4</v>
      </c>
    </row>
    <row r="8" spans="14:22" x14ac:dyDescent="0.25">
      <c r="N8" t="s">
        <v>135</v>
      </c>
      <c r="O8">
        <f>INDEX('Trade backbone'!$F:$F,MATCH("C20",'Trade backbone'!$A:$A,0))</f>
        <v>73.9</v>
      </c>
      <c r="P8">
        <f>IF(O8&gt;=0,O8,NA())</f>
        <v>73.9</v>
      </c>
      <c r="Q8" t="e">
        <f>IF(O8&lt;0,O8,NA())</f>
        <v>#N/A</v>
      </c>
      <c r="T8" t="s">
        <v>93</v>
      </c>
      <c r="U8" t="str">
        <f>$T8&amp;" · "&amp;INDEX('Multipliers'!$B:$B,MATCH($T8,'Multipliers'!$A:$A,0))</f>
        <v>C20 · Manufacture of chemicals and chemical products</v>
      </c>
      <c r="V8">
        <f>INDEX('Multipliers'!$E:$E,MATCH($T8,'Multipliers'!$A:$A,0))</f>
        <v>28.9</v>
      </c>
    </row>
    <row r="9" spans="14:22" x14ac:dyDescent="0.25">
      <c r="N9" t="s">
        <v>136</v>
      </c>
      <c r="O9">
        <f>INDEX('Trade backbone'!$F:$F,MATCH("C30",'Trade backbone'!$A:$A,0))</f>
        <v>63.1</v>
      </c>
      <c r="P9">
        <f>IF(O9&gt;=0,O9,NA())</f>
        <v>63.1</v>
      </c>
      <c r="Q9" t="e">
        <f>IF(O9&lt;0,O9,NA())</f>
        <v>#N/A</v>
      </c>
      <c r="T9" t="s">
        <v>137</v>
      </c>
      <c r="U9" t="str">
        <f>$T9&amp;" · "&amp;INDEX('Multipliers'!$B:$B,MATCH($T9,'Multipliers'!$A:$A,0))</f>
        <v>H51 · Air transport</v>
      </c>
      <c r="V9">
        <f>INDEX('Multipliers'!$E:$E,MATCH($T9,'Multipliers'!$A:$A,0))</f>
        <v>28.4</v>
      </c>
    </row>
    <row r="10" spans="14:22" x14ac:dyDescent="0.25">
      <c r="N10" t="s">
        <v>138</v>
      </c>
      <c r="O10">
        <f>INDEX('Trade backbone'!$F:$F,MATCH("C10",'Trade backbone'!$A:$A,0))</f>
        <v>53</v>
      </c>
      <c r="P10">
        <f>IF(O10&gt;=0,O10,NA())</f>
        <v>53</v>
      </c>
      <c r="Q10" t="e">
        <f>IF(O10&lt;0,O10,NA())</f>
        <v>#N/A</v>
      </c>
      <c r="T10" t="s">
        <v>113</v>
      </c>
      <c r="U10" t="str">
        <f>$T10&amp;" · "&amp;INDEX('Multipliers'!$B:$B,MATCH($T10,'Multipliers'!$A:$A,0))</f>
        <v>C30 · Manufacture of other transport equipment</v>
      </c>
      <c r="V10">
        <f>INDEX('Multipliers'!$E:$E,MATCH($T10,'Multipliers'!$A:$A,0))</f>
        <v>27.2</v>
      </c>
    </row>
    <row r="11" spans="14:22" x14ac:dyDescent="0.25">
      <c r="N11" t="s">
        <v>139</v>
      </c>
      <c r="O11">
        <f>INDEX('Trade backbone'!$F:$F,MATCH("C25",'Trade backbone'!$A:$A,0))</f>
        <v>28.7</v>
      </c>
      <c r="P11">
        <f>IF(O11&gt;=0,O11,NA())</f>
        <v>28.7</v>
      </c>
      <c r="Q11" t="e">
        <f>IF(O11&lt;0,O11,NA())</f>
        <v>#N/A</v>
      </c>
      <c r="T11" t="s">
        <v>107</v>
      </c>
      <c r="U11" t="str">
        <f>$T11&amp;" · "&amp;INDEX('Multipliers'!$B:$B,MATCH($T11,'Multipliers'!$A:$A,0))</f>
        <v>C27 · Manufacture of electrical equipment</v>
      </c>
      <c r="V11">
        <f>INDEX('Multipliers'!$E:$E,MATCH($T11,'Multipliers'!$A:$A,0))</f>
        <v>22.9</v>
      </c>
    </row>
    <row r="12" spans="14:22" x14ac:dyDescent="0.25">
      <c r="N12" t="s">
        <v>140</v>
      </c>
      <c r="O12">
        <f>INDEX('Trade backbone'!$F:$F,MATCH("C32",'Trade backbone'!$A:$A,0))</f>
        <v>25.2</v>
      </c>
      <c r="P12">
        <f>IF(O12&gt;=0,O12,NA())</f>
        <v>25.2</v>
      </c>
      <c r="Q12" t="e">
        <f>IF(O12&lt;0,O12,NA())</f>
        <v>#N/A</v>
      </c>
      <c r="T12" t="s">
        <v>97</v>
      </c>
      <c r="U12" t="str">
        <f>$T12&amp;" · "&amp;INDEX('Multipliers'!$B:$B,MATCH($T12,'Multipliers'!$A:$A,0))</f>
        <v>C22 · Manufacture of rubber and plastic products</v>
      </c>
      <c r="V12">
        <f>INDEX('Multipliers'!$E:$E,MATCH($T12,'Multipliers'!$A:$A,0))</f>
        <v>22.4</v>
      </c>
    </row>
    <row r="13" spans="14:22" x14ac:dyDescent="0.25">
      <c r="N13" t="s">
        <v>141</v>
      </c>
      <c r="O13">
        <f>INDEX('Trade backbone'!$F:$F,MATCH("C27",'Trade backbone'!$A:$A,0))</f>
        <v>23.6</v>
      </c>
      <c r="P13">
        <f>IF(O13&gt;=0,O13,NA())</f>
        <v>23.6</v>
      </c>
      <c r="Q13" t="e">
        <f>IF(O13&lt;0,O13,NA())</f>
        <v>#N/A</v>
      </c>
      <c r="T13" t="s">
        <v>111</v>
      </c>
      <c r="U13" t="str">
        <f>$T13&amp;" · "&amp;INDEX('Multipliers'!$B:$B,MATCH($T13,'Multipliers'!$A:$A,0))</f>
        <v>C29 · Manufacture of motor vehicles, trailers and semi-trailers</v>
      </c>
      <c r="V13">
        <f>INDEX('Multipliers'!$E:$E,MATCH($T13,'Multipliers'!$A:$A,0))</f>
        <v>21.6</v>
      </c>
    </row>
    <row r="14" spans="14:22" x14ac:dyDescent="0.25">
      <c r="N14" t="s">
        <v>142</v>
      </c>
      <c r="O14">
        <f>INDEX('Trade backbone'!$F:$F,MATCH("C26",'Trade backbone'!$A:$A,0))</f>
        <v>22.2</v>
      </c>
      <c r="P14">
        <f>IF(O14&gt;=0,O14,NA())</f>
        <v>22.2</v>
      </c>
      <c r="Q14" t="e">
        <f>IF(O14&lt;0,O14,NA())</f>
        <v>#N/A</v>
      </c>
      <c r="T14" t="s">
        <v>105</v>
      </c>
      <c r="U14" t="str">
        <f>$T14&amp;" · "&amp;INDEX('Multipliers'!$B:$B,MATCH($T14,'Multipliers'!$A:$A,0))</f>
        <v>C26 · Manufacture of computer, electronic and optical products</v>
      </c>
      <c r="V14">
        <f>INDEX('Multipliers'!$E:$E,MATCH($T14,'Multipliers'!$A:$A,0))</f>
        <v>21.1</v>
      </c>
    </row>
    <row r="15" spans="14:22" x14ac:dyDescent="0.25">
      <c r="N15" t="s">
        <v>143</v>
      </c>
      <c r="O15">
        <f>INDEX('Trade backbone'!$F:$F,MATCH("C22",'Trade backbone'!$A:$A,0))</f>
        <v>19.6</v>
      </c>
      <c r="P15">
        <f>IF(O15&gt;=0,O15,NA())</f>
        <v>19.6</v>
      </c>
      <c r="Q15" t="e">
        <f>IF(O15&lt;0,O15,NA())</f>
        <v>#N/A</v>
      </c>
      <c r="T15" t="s">
        <v>95</v>
      </c>
      <c r="U15" t="str">
        <f>$T15&amp;" · "&amp;INDEX('Multipliers'!$B:$B,MATCH($T15,'Multipliers'!$A:$A,0))</f>
        <v>C21 · Manufacture of basic pharmaceutical products and pharmaceutical prepa…</v>
      </c>
      <c r="V15">
        <f>INDEX('Multipliers'!$E:$E,MATCH($T15,'Multipliers'!$A:$A,0))</f>
        <v>21</v>
      </c>
    </row>
    <row r="16" spans="14:22" x14ac:dyDescent="0.25">
      <c r="N16" t="s">
        <v>144</v>
      </c>
      <c r="O16">
        <f>INDEX('Trade backbone'!$F:$F,MATCH("C11",'Trade backbone'!$A:$A,0))</f>
        <v>18.6</v>
      </c>
      <c r="P16">
        <f>IF(O16&gt;=0,O16,NA())</f>
        <v>18.6</v>
      </c>
      <c r="Q16" t="e">
        <f>IF(O16&lt;0,O16,NA())</f>
        <v>#N/A</v>
      </c>
      <c r="T16" t="s">
        <v>145</v>
      </c>
      <c r="U16" t="str">
        <f>$T16&amp;" · "&amp;INDEX('Multipliers'!$B:$B,MATCH($T16,'Multipliers'!$A:$A,0))</f>
        <v>C13-15 · Manufacture of textiles, wearing apparel, leather and related products</v>
      </c>
      <c r="V16">
        <f>INDEX('Multipliers'!$E:$E,MATCH($T16,'Multipliers'!$A:$A,0))</f>
        <v>20.6</v>
      </c>
    </row>
    <row r="17" spans="14:17" x14ac:dyDescent="0.25">
      <c r="N17" t="s">
        <v>146</v>
      </c>
      <c r="O17">
        <f>INDEX('Trade backbone'!$F:$F,MATCH("C23",'Trade backbone'!$A:$A,0))</f>
        <v>15.1</v>
      </c>
      <c r="P17">
        <f>IF(O17&gt;=0,O17,NA())</f>
        <v>15.1</v>
      </c>
      <c r="Q17" t="e">
        <f>IF(O17&lt;0,O17,NA())</f>
        <v>#N/A</v>
      </c>
    </row>
    <row r="18" spans="14:17" x14ac:dyDescent="0.25">
      <c r="N18" t="s">
        <v>147</v>
      </c>
      <c r="O18">
        <f>INDEX('Trade backbone'!$F:$F,MATCH("C16",'Trade backbone'!$A:$A,0))</f>
        <v>9.7</v>
      </c>
      <c r="P18">
        <f>IF(O18&gt;=0,O18,NA())</f>
        <v>9.7</v>
      </c>
      <c r="Q18" t="e">
        <f>IF(O18&lt;0,O18,NA())</f>
        <v>#N/A</v>
      </c>
    </row>
    <row r="19" spans="14:17" x14ac:dyDescent="0.25">
      <c r="N19" t="s">
        <v>148</v>
      </c>
      <c r="O19">
        <f>INDEX('Trade backbone'!$F:$F,MATCH("C31",'Trade backbone'!$A:$A,0))</f>
        <v>9.5</v>
      </c>
      <c r="P19">
        <f>IF(O19&gt;=0,O19,NA())</f>
        <v>9.5</v>
      </c>
      <c r="Q19" t="e">
        <f>IF(O19&lt;0,O19,NA())</f>
        <v>#N/A</v>
      </c>
    </row>
    <row r="20" spans="14:17" x14ac:dyDescent="0.25">
      <c r="N20" t="s">
        <v>149</v>
      </c>
      <c r="O20">
        <f>INDEX('Trade backbone'!$F:$F,MATCH("C17",'Trade backbone'!$A:$A,0))</f>
        <v>9.1</v>
      </c>
      <c r="P20">
        <f>IF(O20&gt;=0,O20,NA())</f>
        <v>9.1</v>
      </c>
      <c r="Q20" t="e">
        <f>IF(O20&lt;0,O20,NA())</f>
        <v>#N/A</v>
      </c>
    </row>
    <row r="21" spans="14:17" x14ac:dyDescent="0.25">
      <c r="N21" t="s">
        <v>150</v>
      </c>
      <c r="O21">
        <f>INDEX('Trade backbone'!$F:$F,MATCH("C15",'Trade backbone'!$A:$A,0))</f>
        <v>4.3</v>
      </c>
      <c r="P21">
        <f>IF(O21&gt;=0,O21,NA())</f>
        <v>4.3</v>
      </c>
      <c r="Q21" t="e">
        <f>IF(O21&lt;0,O21,NA())</f>
        <v>#N/A</v>
      </c>
    </row>
    <row r="22" spans="14:17" x14ac:dyDescent="0.25">
      <c r="N22" t="s">
        <v>151</v>
      </c>
      <c r="O22">
        <f>INDEX('Trade backbone'!$F:$F,MATCH("C13",'Trade backbone'!$A:$A,0))</f>
        <v>4.1</v>
      </c>
      <c r="P22">
        <f>IF(O22&gt;=0,O22,NA())</f>
        <v>4.1</v>
      </c>
      <c r="Q22" t="e">
        <f>IF(O22&lt;0,O22,NA())</f>
        <v>#N/A</v>
      </c>
    </row>
    <row r="23" spans="14:17" x14ac:dyDescent="0.25">
      <c r="N23" t="s">
        <v>152</v>
      </c>
      <c r="O23">
        <f>INDEX('Trade backbone'!$F:$F,MATCH("C24",'Trade backbone'!$A:$A,0))</f>
        <v>4.1</v>
      </c>
      <c r="P23">
        <f>IF(O23&gt;=0,O23,NA())</f>
        <v>4.1</v>
      </c>
      <c r="Q23" t="e">
        <f>IF(O23&lt;0,O23,NA())</f>
        <v>#N/A</v>
      </c>
    </row>
    <row r="24" spans="14:17" x14ac:dyDescent="0.25">
      <c r="N24" t="s">
        <v>153</v>
      </c>
      <c r="O24">
        <f>INDEX('Trade backbone'!$F:$F,MATCH("C18",'Trade backbone'!$A:$A,0))</f>
        <v>1.4</v>
      </c>
      <c r="P24">
        <f>IF(O24&gt;=0,O24,NA())</f>
        <v>1.4</v>
      </c>
      <c r="Q24" t="e">
        <f>IF(O24&lt;0,O24,NA())</f>
        <v>#N/A</v>
      </c>
    </row>
    <row r="25" spans="14:17" x14ac:dyDescent="0.25">
      <c r="N25" t="s">
        <v>154</v>
      </c>
      <c r="O25">
        <f>INDEX('Trade backbone'!$F:$F,MATCH("C12",'Trade backbone'!$A:$A,0))</f>
        <v>0.6</v>
      </c>
      <c r="P25">
        <f>IF(O25&gt;=0,O25,NA())</f>
        <v>0.6</v>
      </c>
      <c r="Q25" t="e">
        <f>IF(O25&lt;0,O25,NA())</f>
        <v>#N/A</v>
      </c>
    </row>
    <row r="26" spans="14:17" x14ac:dyDescent="0.25">
      <c r="N26" t="s">
        <v>155</v>
      </c>
      <c r="O26">
        <f>INDEX('Trade backbone'!$F:$F,MATCH("C14",'Trade backbone'!$A:$A,0))</f>
        <v>-0.6</v>
      </c>
      <c r="P26" t="e">
        <f>IF(O26&gt;=0,O26,NA())</f>
        <v>#N/A</v>
      </c>
      <c r="Q26">
        <f>IF(O26&lt;0,O26,NA())</f>
        <v>-0.6</v>
      </c>
    </row>
    <row r="27" spans="14:17" x14ac:dyDescent="0.25">
      <c r="N27" t="s">
        <v>156</v>
      </c>
      <c r="O27">
        <f>INDEX('Trade backbone'!$F:$F,MATCH("C33",'Trade backbone'!$A:$A,0))</f>
        <v>-6.1</v>
      </c>
      <c r="P27" t="e">
        <f>IF(O27&gt;=0,O27,NA())</f>
        <v>#N/A</v>
      </c>
      <c r="Q27">
        <f>IF(O27&lt;0,O27,NA())</f>
        <v>-6.1</v>
      </c>
    </row>
    <row r="28" spans="14:17" x14ac:dyDescent="0.25">
      <c r="N28" t="s">
        <v>157</v>
      </c>
      <c r="O28">
        <f>INDEX('Trade backbone'!$F:$F,MATCH("C19",'Trade backbone'!$A:$A,0))</f>
        <v>-161.8</v>
      </c>
      <c r="P28" t="e">
        <f>IF(O28&gt;=0,O28,NA())</f>
        <v>#N/A</v>
      </c>
      <c r="Q28">
        <f>IF(O28&lt;0,O28,NA())</f>
        <v>-161.8</v>
      </c>
    </row>
    <row r="49" spans="1:1" x14ac:dyDescent="0.25">
      <c r="A49" s="17" t="s">
        <v>158</v>
      </c>
    </row>
    <row r="84" spans="1:1" x14ac:dyDescent="0.25">
      <c r="A84" s="17" t="s">
        <v>159</v>
      </c>
    </row>
  </sheetData>
  <mergeCells count="1">
    <mergeCell ref="A1:L1"/>
  </mergeCells>
  <pageMargins left="0.7" right="0.7" top="0.75" bottom="0.75" header="0.3" footer="0.3"/>
  <pageSetup orientation="portrait" horizontalDpi="4294967295" verticalDpi="4294967295" scale="100" fitToWidth="1" fitToHeight="1"/>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13"/>
  <sheetFormatPr defaultRowHeight="15" outlineLevelRow="0" outlineLevelCol="0" x14ac:dyDescent="55"/>
  <cols>
    <col min="1" max="1" width="34" customWidth="1"/>
    <col min="2" max="2" width="130" customWidth="1"/>
  </cols>
  <sheetData>
    <row r="1" spans="1:2" x14ac:dyDescent="0.25">
      <c r="A1" s="18" t="s">
        <v>160</v>
      </c>
      <c r="B1" s="18"/>
    </row>
    <row r="2" spans="1:2" x14ac:dyDescent="0.25">
      <c r="A2" s="19" t="s">
        <v>161</v>
      </c>
      <c r="B2" s="20" t="s">
        <v>162</v>
      </c>
    </row>
    <row r="3" spans="1:2" x14ac:dyDescent="0.25">
      <c r="A3" s="19" t="s">
        <v>163</v>
      </c>
      <c r="B3" s="20" t="s">
        <v>164</v>
      </c>
    </row>
    <row r="4" spans="1:2" x14ac:dyDescent="0.25">
      <c r="A4" s="19" t="s">
        <v>165</v>
      </c>
      <c r="B4" s="20" t="s">
        <v>166</v>
      </c>
    </row>
    <row r="5" spans="1:2" x14ac:dyDescent="0.25">
      <c r="A5" s="19" t="s">
        <v>167</v>
      </c>
      <c r="B5" s="20" t="s">
        <v>168</v>
      </c>
    </row>
    <row r="6" spans="1:2" x14ac:dyDescent="0.25">
      <c r="A6" s="19" t="s">
        <v>169</v>
      </c>
      <c r="B6" s="20" t="s">
        <v>170</v>
      </c>
    </row>
    <row r="7" spans="1:2" x14ac:dyDescent="0.25">
      <c r="A7" s="19" t="s">
        <v>171</v>
      </c>
      <c r="B7" s="20" t="s">
        <v>172</v>
      </c>
    </row>
    <row r="8" spans="1:2" x14ac:dyDescent="0.25">
      <c r="A8" s="19" t="s">
        <v>173</v>
      </c>
      <c r="B8" s="20" t="s">
        <v>174</v>
      </c>
    </row>
    <row r="9" spans="1:2" x14ac:dyDescent="0.25">
      <c r="A9" s="19" t="s">
        <v>175</v>
      </c>
      <c r="B9" s="20" t="s">
        <v>176</v>
      </c>
    </row>
    <row r="10" spans="1:2" x14ac:dyDescent="0.25">
      <c r="A10" s="19" t="s">
        <v>177</v>
      </c>
      <c r="B10" s="20" t="s">
        <v>178</v>
      </c>
    </row>
    <row r="11" spans="1:2" x14ac:dyDescent="0.25">
      <c r="A11" s="19" t="s">
        <v>179</v>
      </c>
      <c r="B11" s="20" t="s">
        <v>180</v>
      </c>
    </row>
    <row r="12" spans="1:2" x14ac:dyDescent="0.25">
      <c r="A12" s="19" t="s">
        <v>181</v>
      </c>
      <c r="B12" s="20" t="s">
        <v>182</v>
      </c>
    </row>
    <row r="13" spans="1:2" x14ac:dyDescent="0.25">
      <c r="A13" s="19" t="s">
        <v>183</v>
      </c>
      <c r="B13" s="20" t="s">
        <v>184</v>
      </c>
    </row>
  </sheetData>
  <mergeCells count="1">
    <mergeCell ref="A1:B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L3"/>
  <sheetFormatPr defaultRowHeight="15" outlineLevelRow="0" outlineLevelCol="0" x14ac:dyDescent="55"/>
  <sheetData>
    <row r="1" spans="1:12" x14ac:dyDescent="0.25">
      <c r="A1" s="15" t="s">
        <v>185</v>
      </c>
      <c r="B1" s="15"/>
      <c r="C1" s="15"/>
      <c r="D1" s="15"/>
      <c r="E1" s="15"/>
      <c r="F1" s="15"/>
      <c r="G1" s="15"/>
      <c r="H1" s="15"/>
      <c r="I1" s="15"/>
      <c r="J1" s="15"/>
      <c r="K1" s="15"/>
      <c r="L1" s="15"/>
    </row>
    <row r="3" spans="1:1" x14ac:dyDescent="0.25">
      <c r="A3" s="17" t="s">
        <v>186</v>
      </c>
    </row>
  </sheetData>
  <mergeCells count="1">
    <mergeCell ref="A1:L1"/>
  </mergeCells>
  <pageMargins left="0.7" right="0.7" top="0.75" bottom="0.75" header="0.3" footer="0.3"/>
  <pageSetup orientation="portrait" horizontalDpi="4294967295" verticalDpi="4294967295" scale="100" fitToWidth="1" fitToHeight="1"/>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C24"/>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120" customWidth="1"/>
    <col min="3" max="3" width="46" customWidth="1"/>
  </cols>
  <sheetData>
    <row r="1" ht="30" customHeight="1" spans="1:3" s="21" customFormat="1" x14ac:dyDescent="0.25">
      <c r="A1" s="22" t="s">
        <v>187</v>
      </c>
      <c r="B1" s="22" t="s">
        <v>188</v>
      </c>
      <c r="C1" s="22" t="s">
        <v>189</v>
      </c>
    </row>
    <row r="2" spans="1:3" s="3" customFormat="1" x14ac:dyDescent="0.25">
      <c r="A2" s="19" t="s">
        <v>190</v>
      </c>
      <c r="B2" s="3" t="s">
        <v>191</v>
      </c>
      <c r="C2" s="7" t="s">
        <v>192</v>
      </c>
    </row>
    <row r="3" spans="1:3" s="3" customFormat="1" x14ac:dyDescent="0.25">
      <c r="A3" s="19" t="s">
        <v>193</v>
      </c>
      <c r="B3" s="3" t="s">
        <v>194</v>
      </c>
      <c r="C3" s="7" t="s">
        <v>195</v>
      </c>
    </row>
    <row r="4" spans="1:3" s="3" customFormat="1" x14ac:dyDescent="0.25">
      <c r="A4" s="19" t="s">
        <v>196</v>
      </c>
      <c r="B4" s="3" t="s">
        <v>197</v>
      </c>
      <c r="C4" s="7" t="s">
        <v>198</v>
      </c>
    </row>
    <row r="5" spans="1:3" s="3" customFormat="1" x14ac:dyDescent="0.25">
      <c r="A5" s="19" t="s">
        <v>199</v>
      </c>
      <c r="B5" s="3" t="s">
        <v>200</v>
      </c>
      <c r="C5" s="7" t="s">
        <v>201</v>
      </c>
    </row>
    <row r="6" spans="1:3" s="3" customFormat="1" x14ac:dyDescent="0.25">
      <c r="A6" s="19" t="s">
        <v>202</v>
      </c>
      <c r="B6" s="3" t="s">
        <v>203</v>
      </c>
      <c r="C6" s="7" t="s">
        <v>204</v>
      </c>
    </row>
    <row r="7" spans="1:3" s="3" customFormat="1" x14ac:dyDescent="0.25">
      <c r="A7" s="19" t="s">
        <v>205</v>
      </c>
      <c r="B7" s="3" t="s">
        <v>206</v>
      </c>
      <c r="C7" s="7" t="s">
        <v>207</v>
      </c>
    </row>
    <row r="8" spans="1:3" s="3" customFormat="1" x14ac:dyDescent="0.25">
      <c r="A8" s="19" t="s">
        <v>208</v>
      </c>
      <c r="B8" s="3" t="s">
        <v>209</v>
      </c>
      <c r="C8" s="7" t="s">
        <v>210</v>
      </c>
    </row>
    <row r="9" spans="1:3" s="3" customFormat="1" x14ac:dyDescent="0.25">
      <c r="A9" s="19" t="s">
        <v>211</v>
      </c>
      <c r="B9" s="3" t="s">
        <v>212</v>
      </c>
      <c r="C9" s="7" t="s">
        <v>213</v>
      </c>
    </row>
    <row r="10" spans="1:3" s="3" customFormat="1" x14ac:dyDescent="0.25">
      <c r="A10" s="19" t="s">
        <v>214</v>
      </c>
      <c r="B10" s="3" t="s">
        <v>215</v>
      </c>
      <c r="C10" s="7" t="s">
        <v>216</v>
      </c>
    </row>
    <row r="11" spans="1:3" s="3" customFormat="1" x14ac:dyDescent="0.25">
      <c r="A11" s="19" t="s">
        <v>217</v>
      </c>
      <c r="B11" s="3" t="s">
        <v>218</v>
      </c>
      <c r="C11" s="7" t="s">
        <v>219</v>
      </c>
    </row>
    <row r="12" spans="1:3" s="3" customFormat="1" x14ac:dyDescent="0.25">
      <c r="A12" s="19" t="s">
        <v>220</v>
      </c>
      <c r="B12" s="3" t="s">
        <v>221</v>
      </c>
      <c r="C12" s="7" t="s">
        <v>222</v>
      </c>
    </row>
    <row r="13" spans="1:3" s="3" customFormat="1" x14ac:dyDescent="0.25">
      <c r="A13" s="19" t="s">
        <v>223</v>
      </c>
      <c r="B13" s="3" t="s">
        <v>224</v>
      </c>
      <c r="C13" s="7" t="s">
        <v>225</v>
      </c>
    </row>
    <row r="14" spans="1:3" s="3" customFormat="1" x14ac:dyDescent="0.25">
      <c r="A14" s="19" t="s">
        <v>226</v>
      </c>
      <c r="B14" s="3" t="s">
        <v>227</v>
      </c>
      <c r="C14" s="7" t="s">
        <v>228</v>
      </c>
    </row>
    <row r="15" spans="1:3" s="3" customFormat="1" x14ac:dyDescent="0.25">
      <c r="A15" s="19" t="s">
        <v>229</v>
      </c>
      <c r="B15" s="3" t="s">
        <v>230</v>
      </c>
      <c r="C15" s="7" t="s">
        <v>231</v>
      </c>
    </row>
    <row r="16" spans="1:3" s="3" customFormat="1" x14ac:dyDescent="0.25">
      <c r="A16" s="19" t="s">
        <v>232</v>
      </c>
      <c r="B16" s="3" t="s">
        <v>233</v>
      </c>
      <c r="C16" s="7" t="s">
        <v>234</v>
      </c>
    </row>
    <row r="17" spans="1:3" s="3" customFormat="1" x14ac:dyDescent="0.25">
      <c r="A17" s="19" t="s">
        <v>235</v>
      </c>
      <c r="B17" s="3" t="s">
        <v>236</v>
      </c>
      <c r="C17" s="7" t="s">
        <v>237</v>
      </c>
    </row>
    <row r="18" spans="1:3" s="3" customFormat="1" x14ac:dyDescent="0.25">
      <c r="A18" s="19" t="s">
        <v>238</v>
      </c>
      <c r="B18" s="3" t="s">
        <v>239</v>
      </c>
      <c r="C18" s="7" t="s">
        <v>240</v>
      </c>
    </row>
    <row r="19" spans="1:3" s="3" customFormat="1" x14ac:dyDescent="0.25">
      <c r="A19" s="19" t="s">
        <v>241</v>
      </c>
      <c r="B19" s="3" t="s">
        <v>242</v>
      </c>
      <c r="C19" s="7" t="s">
        <v>243</v>
      </c>
    </row>
    <row r="20" spans="1:3" s="3" customFormat="1" x14ac:dyDescent="0.25">
      <c r="A20" s="19" t="s">
        <v>244</v>
      </c>
      <c r="B20" s="3" t="s">
        <v>245</v>
      </c>
      <c r="C20" s="7" t="s">
        <v>246</v>
      </c>
    </row>
    <row r="21" spans="1:3" s="3" customFormat="1" x14ac:dyDescent="0.25">
      <c r="A21" s="19" t="s">
        <v>247</v>
      </c>
      <c r="B21" s="3" t="s">
        <v>248</v>
      </c>
      <c r="C21" s="7" t="s">
        <v>249</v>
      </c>
    </row>
    <row r="22" spans="1:3" s="3" customFormat="1" x14ac:dyDescent="0.25">
      <c r="A22" s="19" t="s">
        <v>250</v>
      </c>
      <c r="B22" s="3" t="s">
        <v>251</v>
      </c>
      <c r="C22" s="7" t="s">
        <v>252</v>
      </c>
    </row>
    <row r="23" spans="1:3" s="3" customFormat="1" x14ac:dyDescent="0.25">
      <c r="A23" s="19" t="s">
        <v>253</v>
      </c>
      <c r="B23" s="3" t="s">
        <v>254</v>
      </c>
      <c r="C23" s="7" t="s">
        <v>255</v>
      </c>
    </row>
    <row r="24" spans="1:3" s="3" customFormat="1" x14ac:dyDescent="0.25">
      <c r="A24" s="19" t="s">
        <v>256</v>
      </c>
      <c r="B24" s="3" t="s">
        <v>257</v>
      </c>
      <c r="C24" s="7" t="s">
        <v>258</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O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4" width="14" customWidth="1"/>
    <col min="15" max="15" width="12" customWidth="1"/>
  </cols>
  <sheetData>
    <row r="1" ht="44" customHeight="1" spans="1:14" x14ac:dyDescent="0.25">
      <c r="A1" s="15" t="s">
        <v>259</v>
      </c>
      <c r="B1" s="15"/>
      <c r="C1" s="15"/>
      <c r="D1" s="15"/>
      <c r="E1" s="15"/>
      <c r="F1" s="15"/>
      <c r="G1" s="15"/>
      <c r="H1" s="15"/>
      <c r="I1" s="15"/>
      <c r="J1" s="15"/>
      <c r="K1" s="15"/>
      <c r="L1" s="15"/>
      <c r="M1" s="15"/>
      <c r="N1" s="15"/>
    </row>
    <row r="2" ht="30" customHeight="1" spans="1:15" s="21" customFormat="1" x14ac:dyDescent="0.25">
      <c r="A2" s="23" t="s">
        <v>128</v>
      </c>
      <c r="B2" s="23" t="s">
        <v>129</v>
      </c>
      <c r="C2" s="23" t="s">
        <v>260</v>
      </c>
      <c r="D2" s="23" t="s">
        <v>261</v>
      </c>
      <c r="E2" s="23" t="s">
        <v>262</v>
      </c>
      <c r="F2" s="23" t="s">
        <v>263</v>
      </c>
      <c r="G2" s="23" t="s">
        <v>264</v>
      </c>
      <c r="H2" s="23" t="s">
        <v>265</v>
      </c>
      <c r="I2" s="23" t="s">
        <v>266</v>
      </c>
      <c r="J2" s="23" t="s">
        <v>267</v>
      </c>
      <c r="K2" s="23" t="s">
        <v>268</v>
      </c>
      <c r="L2" s="23" t="s">
        <v>269</v>
      </c>
      <c r="M2" s="23" t="s">
        <v>270</v>
      </c>
      <c r="N2" s="23" t="s">
        <v>271</v>
      </c>
      <c r="O2" s="23" t="s">
        <v>272</v>
      </c>
    </row>
    <row r="3" spans="1:15" x14ac:dyDescent="0.25">
      <c r="A3" t="s">
        <v>273</v>
      </c>
      <c r="B3" t="s">
        <v>274</v>
      </c>
      <c r="C3" t="s">
        <v>275</v>
      </c>
      <c r="D3" s="24">
        <f>SUM('Z total'!C3:C72)</f>
        <v>572833.5</v>
      </c>
      <c r="E3" s="24">
        <f>SUM('Z total'!C3:C66)</f>
        <v>319526.19999999995</v>
      </c>
      <c r="F3" s="24">
        <f>SUM('Z domestic'!C67:C72)</f>
        <v>253307.30000000005</v>
      </c>
      <c r="G3" s="24">
        <f>'Z domestic'!C68</f>
        <v>55795.8</v>
      </c>
      <c r="H3" s="24">
        <f>'Z domestic'!C67</f>
        <v>230146.4</v>
      </c>
      <c r="I3" s="24">
        <f>'Z domestic'!C69+'Z domestic'!C70</f>
        <v>-32634.9</v>
      </c>
      <c r="J3" s="25">
        <f>IF(D3=0,0,F3/D3)</f>
        <v>0.44220056962450704</v>
      </c>
      <c r="K3" s="24">
        <f>SUM('Z domestic'!C3:BN3)</f>
        <v>372979.19999999984</v>
      </c>
      <c r="L3" s="24">
        <f>SUM('Z domestic'!BO3:BS3)</f>
        <v>159932.7</v>
      </c>
      <c r="M3" s="24">
        <v>39925.4</v>
      </c>
      <c r="N3" s="24">
        <f>K3+L3+M3</f>
        <v>572837.2999999999</v>
      </c>
      <c r="O3" s="26">
        <f>IF(D3=0,0,100*(N3-D3)/D3)</f>
        <v>0.0006633690243203567</v>
      </c>
    </row>
    <row r="4" spans="1:15" x14ac:dyDescent="0.25">
      <c r="A4" t="s">
        <v>276</v>
      </c>
      <c r="B4" t="s">
        <v>277</v>
      </c>
      <c r="C4" t="s">
        <v>275</v>
      </c>
      <c r="D4" s="24">
        <f>SUM('Z total'!D3:D72)</f>
        <v>62450.100000000006</v>
      </c>
      <c r="E4" s="24">
        <f>SUM('Z total'!D3:D66)</f>
        <v>31369.500000000007</v>
      </c>
      <c r="F4" s="24">
        <f>SUM('Z domestic'!D67:D72)</f>
        <v>31080.6</v>
      </c>
      <c r="G4" s="24">
        <f>'Z domestic'!D68</f>
        <v>9168.9</v>
      </c>
      <c r="H4" s="24">
        <f>'Z domestic'!D67</f>
        <v>21434.6</v>
      </c>
      <c r="I4" s="24">
        <f>'Z domestic'!D69+'Z domestic'!D70</f>
        <v>477.09999999999997</v>
      </c>
      <c r="J4" s="25">
        <f>IF(D4=0,0,F4/D4)</f>
        <v>0.4976869532634855</v>
      </c>
      <c r="K4" s="24">
        <f>SUM('Z domestic'!C4:BN4)</f>
        <v>45185.399999999965</v>
      </c>
      <c r="L4" s="24">
        <f>SUM('Z domestic'!BO4:BS4)</f>
        <v>14701.1</v>
      </c>
      <c r="M4" s="24">
        <v>2568.8</v>
      </c>
      <c r="N4" s="24">
        <f>K4+L4+M4</f>
        <v>62455.29999999997</v>
      </c>
      <c r="O4" s="26">
        <f>IF(D4=0,0,100*(N4-D4)/D4)</f>
        <v>0.008326647995685249</v>
      </c>
    </row>
    <row r="5" spans="1:15" x14ac:dyDescent="0.25">
      <c r="A5" t="s">
        <v>278</v>
      </c>
      <c r="B5" t="s">
        <v>279</v>
      </c>
      <c r="C5" t="s">
        <v>275</v>
      </c>
      <c r="D5" s="24">
        <f>SUM('Z total'!E3:E72)</f>
        <v>14733.900000000001</v>
      </c>
      <c r="E5" s="24">
        <f>SUM('Z total'!E3:E66)</f>
        <v>7802.700000000002</v>
      </c>
      <c r="F5" s="24">
        <f>SUM('Z domestic'!E67:E72)</f>
        <v>6931.2</v>
      </c>
      <c r="G5" s="24">
        <f>'Z domestic'!E68</f>
        <v>2540</v>
      </c>
      <c r="H5" s="24">
        <f>'Z domestic'!E67</f>
        <v>4307.4</v>
      </c>
      <c r="I5" s="24">
        <f>'Z domestic'!E69+'Z domestic'!E70</f>
        <v>83.80000000000001</v>
      </c>
      <c r="J5" s="25">
        <f>IF(D5=0,0,F5/D5)</f>
        <v>0.4704253456315028</v>
      </c>
      <c r="K5" s="24">
        <f>SUM('Z domestic'!C5:BN5)</f>
        <v>5664.900000000001</v>
      </c>
      <c r="L5" s="24">
        <f>SUM('Z domestic'!BO5:BS5)</f>
        <v>7865</v>
      </c>
      <c r="M5" s="24">
        <v>1209</v>
      </c>
      <c r="N5" s="24">
        <f>K5+L5+M5</f>
        <v>14738.900000000001</v>
      </c>
      <c r="O5" s="26">
        <f>IF(D5=0,0,100*(N5-D5)/D5)</f>
        <v>0.033935346378080475</v>
      </c>
    </row>
    <row r="6" spans="1:15" x14ac:dyDescent="0.25">
      <c r="A6" t="s">
        <v>280</v>
      </c>
      <c r="B6" t="s">
        <v>281</v>
      </c>
      <c r="C6" t="s">
        <v>280</v>
      </c>
      <c r="D6" s="24">
        <f>SUM('Z total'!F3:F72)</f>
        <v>108915.4</v>
      </c>
      <c r="E6" s="24">
        <f>SUM('Z total'!F3:F66)</f>
        <v>48798.69999999999</v>
      </c>
      <c r="F6" s="24">
        <f>SUM('Z domestic'!F67:F72)</f>
        <v>60116.700000000004</v>
      </c>
      <c r="G6" s="24">
        <f>'Z domestic'!F68</f>
        <v>19451.9</v>
      </c>
      <c r="H6" s="24">
        <f>'Z domestic'!F67</f>
        <v>38968.7</v>
      </c>
      <c r="I6" s="24">
        <f>'Z domestic'!F69+'Z domestic'!F70</f>
        <v>1696.1</v>
      </c>
      <c r="J6" s="25">
        <f>IF(D6=0,0,F6/D6)</f>
        <v>0.5519577580397264</v>
      </c>
      <c r="K6" s="24">
        <f>SUM('Z domestic'!C6:BN6)</f>
        <v>96253.69999999998</v>
      </c>
      <c r="L6" s="24">
        <f>SUM('Z domestic'!BO6:BS6)</f>
        <v>4526.1</v>
      </c>
      <c r="M6" s="24">
        <v>8138.9</v>
      </c>
      <c r="N6" s="24">
        <f>K6+L6+M6</f>
        <v>108918.69999999998</v>
      </c>
      <c r="O6" s="26">
        <f>IF(D6=0,0,100*(N6-D6)/D6)</f>
        <v>0.0030298745631823954</v>
      </c>
    </row>
    <row r="7" spans="1:15" x14ac:dyDescent="0.25">
      <c r="A7" t="s">
        <v>282</v>
      </c>
      <c r="B7" t="s">
        <v>283</v>
      </c>
      <c r="C7" t="s">
        <v>284</v>
      </c>
      <c r="D7" s="24">
        <f>SUM('Z total'!G3:G72)</f>
        <v>1359072.0000000002</v>
      </c>
      <c r="E7" s="24">
        <f>SUM('Z total'!G3:G66)</f>
        <v>1052883.1</v>
      </c>
      <c r="F7" s="24">
        <f>SUM('Z domestic'!G67:G72)</f>
        <v>306188.90000000014</v>
      </c>
      <c r="G7" s="24">
        <f>'Z domestic'!G68</f>
        <v>163173.1</v>
      </c>
      <c r="H7" s="24">
        <f>'Z domestic'!G67</f>
        <v>132312.7</v>
      </c>
      <c r="I7" s="24">
        <f>'Z domestic'!G69+'Z domestic'!G70</f>
        <v>10703.1</v>
      </c>
      <c r="J7" s="25">
        <f>IF(D7=0,0,F7/D7)</f>
        <v>0.22529262614489895</v>
      </c>
      <c r="K7" s="24">
        <f>SUM('Z domestic'!C7:BN7)</f>
        <v>519426.9999999998</v>
      </c>
      <c r="L7" s="24">
        <f>SUM('Z domestic'!BO7:BS7)</f>
        <v>657815.0000000001</v>
      </c>
      <c r="M7" s="24">
        <v>181831.19999999995</v>
      </c>
      <c r="N7" s="24">
        <f>K7+L7+M7</f>
        <v>1359073.2</v>
      </c>
      <c r="O7" s="26">
        <f>IF(D7=0,0,100*(N7-D7)/D7)</f>
        <v>0.00008829554282043946</v>
      </c>
    </row>
    <row r="8" spans="1:15" x14ac:dyDescent="0.25">
      <c r="A8" t="s">
        <v>145</v>
      </c>
      <c r="B8" t="s">
        <v>285</v>
      </c>
      <c r="C8" t="s">
        <v>284</v>
      </c>
      <c r="D8" s="24">
        <f>SUM('Z total'!H3:H72)</f>
        <v>227703.6</v>
      </c>
      <c r="E8" s="24">
        <f>SUM('Z total'!H3:H66)</f>
        <v>149210.69999999998</v>
      </c>
      <c r="F8" s="24">
        <f>SUM('Z domestic'!H67:H72)</f>
        <v>78492.90000000002</v>
      </c>
      <c r="G8" s="24">
        <f>'Z domestic'!H68</f>
        <v>44207.4</v>
      </c>
      <c r="H8" s="24">
        <f>'Z domestic'!H67</f>
        <v>32088.6</v>
      </c>
      <c r="I8" s="24">
        <f>'Z domestic'!H69+'Z domestic'!H70</f>
        <v>2196.9</v>
      </c>
      <c r="J8" s="25">
        <f>IF(D8=0,0,F8/D8)</f>
        <v>0.34471523506874735</v>
      </c>
      <c r="K8" s="24">
        <f>SUM('Z domestic'!C8:BN8)</f>
        <v>84304.00000000004</v>
      </c>
      <c r="L8" s="24">
        <f>SUM('Z domestic'!BO8:BS8)</f>
        <v>81422.30000000002</v>
      </c>
      <c r="M8" s="24">
        <v>61979.49999999999</v>
      </c>
      <c r="N8" s="24">
        <f>K8+L8+M8</f>
        <v>227705.80000000005</v>
      </c>
      <c r="O8" s="26">
        <f>IF(D8=0,0,100*(N8-D8)/D8)</f>
        <v>0.0009661682995089868</v>
      </c>
    </row>
    <row r="9" spans="1:15" x14ac:dyDescent="0.25">
      <c r="A9" t="s">
        <v>85</v>
      </c>
      <c r="B9" t="s">
        <v>286</v>
      </c>
      <c r="C9" t="s">
        <v>284</v>
      </c>
      <c r="D9" s="24">
        <f>SUM('Z total'!I3:I72)</f>
        <v>176754.9</v>
      </c>
      <c r="E9" s="24">
        <f>SUM('Z total'!I3:I66)</f>
        <v>122288.7</v>
      </c>
      <c r="F9" s="24">
        <f>SUM('Z domestic'!I67:I72)</f>
        <v>54466.2</v>
      </c>
      <c r="G9" s="24">
        <f>'Z domestic'!I68</f>
        <v>27376.6</v>
      </c>
      <c r="H9" s="24">
        <f>'Z domestic'!I67</f>
        <v>25626.3</v>
      </c>
      <c r="I9" s="24">
        <f>'Z domestic'!I69+'Z domestic'!I70</f>
        <v>1463.3</v>
      </c>
      <c r="J9" s="25">
        <f>IF(D9=0,0,F9/D9)</f>
        <v>0.30814534703139773</v>
      </c>
      <c r="K9" s="24">
        <f>SUM('Z domestic'!C9:BN9)</f>
        <v>122659.69999999998</v>
      </c>
      <c r="L9" s="24">
        <f>SUM('Z domestic'!BO9:BS9)</f>
        <v>26702.600000000002</v>
      </c>
      <c r="M9" s="24">
        <v>27394.6</v>
      </c>
      <c r="N9" s="24">
        <f>K9+L9+M9</f>
        <v>176756.9</v>
      </c>
      <c r="O9" s="26">
        <f>IF(D9=0,0,100*(N9-D9)/D9)</f>
        <v>0.0011315103569807096</v>
      </c>
    </row>
    <row r="10" spans="1:15" x14ac:dyDescent="0.25">
      <c r="A10" t="s">
        <v>87</v>
      </c>
      <c r="B10" t="s">
        <v>287</v>
      </c>
      <c r="C10" t="s">
        <v>284</v>
      </c>
      <c r="D10" s="24">
        <f>SUM('Z total'!J3:J72)</f>
        <v>223049.7</v>
      </c>
      <c r="E10" s="24">
        <f>SUM('Z total'!J3:J66)</f>
        <v>166729.20000000004</v>
      </c>
      <c r="F10" s="24">
        <f>SUM('Z domestic'!J67:J72)</f>
        <v>56320.49999999997</v>
      </c>
      <c r="G10" s="24">
        <f>'Z domestic'!J68</f>
        <v>28810.8</v>
      </c>
      <c r="H10" s="24">
        <f>'Z domestic'!J67</f>
        <v>25312.8</v>
      </c>
      <c r="I10" s="24">
        <f>'Z domestic'!J69+'Z domestic'!J70</f>
        <v>2196.9</v>
      </c>
      <c r="J10" s="25">
        <f>IF(D10=0,0,F10/D10)</f>
        <v>0.2525020208500615</v>
      </c>
      <c r="K10" s="24">
        <f>SUM('Z domestic'!C10:BN10)</f>
        <v>148174.79999999996</v>
      </c>
      <c r="L10" s="24">
        <f>SUM('Z domestic'!BO10:BS10)</f>
        <v>31336.600000000002</v>
      </c>
      <c r="M10" s="24">
        <v>43541.3</v>
      </c>
      <c r="N10" s="24">
        <f>K10+L10+M10</f>
        <v>223052.69999999995</v>
      </c>
      <c r="O10" s="26">
        <f>IF(D10=0,0,100*(N10-D10)/D10)</f>
        <v>0.0013449917215498574</v>
      </c>
    </row>
    <row r="11" spans="1:15" x14ac:dyDescent="0.25">
      <c r="A11" t="s">
        <v>89</v>
      </c>
      <c r="B11" t="s">
        <v>288</v>
      </c>
      <c r="C11" t="s">
        <v>284</v>
      </c>
      <c r="D11" s="24">
        <f>SUM('Z total'!K3:K72)</f>
        <v>70340.1</v>
      </c>
      <c r="E11" s="24">
        <f>SUM('Z total'!K3:K66)</f>
        <v>43673.200000000004</v>
      </c>
      <c r="F11" s="24">
        <f>SUM('Z domestic'!K67:K72)</f>
        <v>26666.9</v>
      </c>
      <c r="G11" s="24">
        <f>'Z domestic'!K68</f>
        <v>16842.9</v>
      </c>
      <c r="H11" s="24">
        <f>'Z domestic'!K67</f>
        <v>9276.4</v>
      </c>
      <c r="I11" s="24">
        <f>'Z domestic'!K69+'Z domestic'!K70</f>
        <v>547.6</v>
      </c>
      <c r="J11" s="25">
        <f>IF(D11=0,0,F11/D11)</f>
        <v>0.37911376298867927</v>
      </c>
      <c r="K11" s="24">
        <f>SUM('Z domestic'!C11:BN11)</f>
        <v>60115.10000000001</v>
      </c>
      <c r="L11" s="24">
        <f>SUM('Z domestic'!BO11:BS11)</f>
        <v>5520.999999999999</v>
      </c>
      <c r="M11" s="24">
        <v>4707.1</v>
      </c>
      <c r="N11" s="24">
        <f>K11+L11+M11</f>
        <v>70343.20000000001</v>
      </c>
      <c r="O11" s="26">
        <f>IF(D11=0,0,100*(N11-D11)/D11)</f>
        <v>0.0044071589321110155</v>
      </c>
    </row>
    <row r="12" spans="1:15" x14ac:dyDescent="0.25">
      <c r="A12" t="s">
        <v>91</v>
      </c>
      <c r="B12" t="s">
        <v>289</v>
      </c>
      <c r="C12" t="s">
        <v>284</v>
      </c>
      <c r="D12" s="24">
        <f>SUM('Z total'!L3:L72)</f>
        <v>544426.2999999998</v>
      </c>
      <c r="E12" s="24">
        <f>SUM('Z total'!L3:L66)</f>
        <v>477131.9999999998</v>
      </c>
      <c r="F12" s="24">
        <f>SUM('Z domestic'!L67:L72)</f>
        <v>67294.29999999999</v>
      </c>
      <c r="G12" s="24">
        <f>'Z domestic'!L68</f>
        <v>9163.1</v>
      </c>
      <c r="H12" s="24">
        <f>'Z domestic'!L67</f>
        <v>47156.4</v>
      </c>
      <c r="I12" s="24">
        <f>'Z domestic'!L69+'Z domestic'!L70</f>
        <v>10974.8</v>
      </c>
      <c r="J12" s="25">
        <f>IF(D12=0,0,F12/D12)</f>
        <v>0.1236058948658432</v>
      </c>
      <c r="K12" s="24">
        <f>SUM('Z domestic'!C12:BN12)</f>
        <v>296602.4000000001</v>
      </c>
      <c r="L12" s="24">
        <f>SUM('Z domestic'!BO12:BS12)</f>
        <v>140201.90000000002</v>
      </c>
      <c r="M12" s="24">
        <v>107624.59999999999</v>
      </c>
      <c r="N12" s="24">
        <f>K12+L12+M12</f>
        <v>544428.9000000001</v>
      </c>
      <c r="O12" s="26">
        <f>IF(D12=0,0,100*(N12-D12)/D12)</f>
        <v>0.00047756693611715007</v>
      </c>
    </row>
    <row r="13" spans="1:15" x14ac:dyDescent="0.25">
      <c r="A13" t="s">
        <v>93</v>
      </c>
      <c r="B13" t="s">
        <v>290</v>
      </c>
      <c r="C13" t="s">
        <v>284</v>
      </c>
      <c r="D13" s="24">
        <f>SUM('Z total'!M3:M72)</f>
        <v>634576.5</v>
      </c>
      <c r="E13" s="24">
        <f>SUM('Z total'!M3:M66)</f>
        <v>483601.39999999997</v>
      </c>
      <c r="F13" s="24">
        <f>SUM('Z domestic'!M67:M72)</f>
        <v>150975.10000000003</v>
      </c>
      <c r="G13" s="24">
        <f>'Z domestic'!M68</f>
        <v>78035.1</v>
      </c>
      <c r="H13" s="24">
        <f>'Z domestic'!M67</f>
        <v>65780.2</v>
      </c>
      <c r="I13" s="24">
        <f>'Z domestic'!M69+'Z domestic'!M70</f>
        <v>7159.799999999999</v>
      </c>
      <c r="J13" s="25">
        <f>IF(D13=0,0,F13/D13)</f>
        <v>0.2379147352604454</v>
      </c>
      <c r="K13" s="24">
        <f>SUM('Z domestic'!C13:BN13)</f>
        <v>368913.7999999999</v>
      </c>
      <c r="L13" s="24">
        <f>SUM('Z domestic'!BO13:BS13)</f>
        <v>74416.2</v>
      </c>
      <c r="M13" s="24">
        <v>191247.9</v>
      </c>
      <c r="N13" s="24">
        <f>K13+L13+M13</f>
        <v>634577.8999999999</v>
      </c>
      <c r="O13" s="26">
        <f>IF(D13=0,0,100*(N13-D13)/D13)</f>
        <v>0.00022061957853630767</v>
      </c>
    </row>
    <row r="14" spans="1:15" x14ac:dyDescent="0.25">
      <c r="A14" t="s">
        <v>95</v>
      </c>
      <c r="B14" t="s">
        <v>291</v>
      </c>
      <c r="C14" t="s">
        <v>284</v>
      </c>
      <c r="D14" s="24">
        <f>SUM('Z total'!N3:N72)</f>
        <v>371583.39999999985</v>
      </c>
      <c r="E14" s="24">
        <f>SUM('Z total'!N3:N66)</f>
        <v>193451.49999999994</v>
      </c>
      <c r="F14" s="24">
        <f>SUM('Z domestic'!N67:N72)</f>
        <v>178131.8999999999</v>
      </c>
      <c r="G14" s="24">
        <f>'Z domestic'!N68</f>
        <v>43594.6</v>
      </c>
      <c r="H14" s="24">
        <f>'Z domestic'!N67</f>
        <v>131798.9</v>
      </c>
      <c r="I14" s="24">
        <f>'Z domestic'!N69+'Z domestic'!N70</f>
        <v>2738.3999999999996</v>
      </c>
      <c r="J14" s="25">
        <f>IF(D14=0,0,F14/D14)</f>
        <v>0.4793860543824078</v>
      </c>
      <c r="K14" s="24">
        <f>SUM('Z domestic'!C14:BN14)</f>
        <v>96843.40000000001</v>
      </c>
      <c r="L14" s="24">
        <f>SUM('Z domestic'!BO14:BS14)</f>
        <v>81480.00000000001</v>
      </c>
      <c r="M14" s="24">
        <v>193262.19999999995</v>
      </c>
      <c r="N14" s="24">
        <f>K14+L14+M14</f>
        <v>371585.6</v>
      </c>
      <c r="O14" s="26">
        <f>IF(D14=0,0,100*(N14-D14)/D14)</f>
        <v>0.000592060894035648</v>
      </c>
    </row>
    <row r="15" spans="1:15" x14ac:dyDescent="0.25">
      <c r="A15" t="s">
        <v>97</v>
      </c>
      <c r="B15" t="s">
        <v>292</v>
      </c>
      <c r="C15" t="s">
        <v>284</v>
      </c>
      <c r="D15" s="24">
        <f>SUM('Z total'!O3:O72)</f>
        <v>356785.89999999997</v>
      </c>
      <c r="E15" s="24">
        <f>SUM('Z total'!O3:O66)</f>
        <v>245442.6</v>
      </c>
      <c r="F15" s="24">
        <f>SUM('Z domestic'!O67:O72)</f>
        <v>111343.29999999996</v>
      </c>
      <c r="G15" s="24">
        <f>'Z domestic'!O68</f>
        <v>66784.9</v>
      </c>
      <c r="H15" s="24">
        <f>'Z domestic'!O67</f>
        <v>41902.2</v>
      </c>
      <c r="I15" s="24">
        <f>'Z domestic'!O69+'Z domestic'!O70</f>
        <v>2656.2</v>
      </c>
      <c r="J15" s="25">
        <f>IF(D15=0,0,F15/D15)</f>
        <v>0.31207315087283427</v>
      </c>
      <c r="K15" s="24">
        <f>SUM('Z domestic'!C15:BN15)</f>
        <v>254363.5</v>
      </c>
      <c r="L15" s="24">
        <f>SUM('Z domestic'!BO15:BS15)</f>
        <v>37196</v>
      </c>
      <c r="M15" s="24">
        <v>65228.79999999999</v>
      </c>
      <c r="N15" s="24">
        <f>K15+L15+M15</f>
        <v>356788.3</v>
      </c>
      <c r="O15" s="26">
        <f>IF(D15=0,0,100*(N15-D15)/D15)</f>
        <v>0.0006726723225557655</v>
      </c>
    </row>
    <row r="16" spans="1:15" x14ac:dyDescent="0.25">
      <c r="A16" t="s">
        <v>99</v>
      </c>
      <c r="B16" t="s">
        <v>293</v>
      </c>
      <c r="C16" t="s">
        <v>284</v>
      </c>
      <c r="D16" s="24">
        <f>SUM('Z total'!P3:P72)</f>
        <v>265794.39999999997</v>
      </c>
      <c r="E16" s="24">
        <f>SUM('Z total'!P3:P66)</f>
        <v>177680.29999999996</v>
      </c>
      <c r="F16" s="24">
        <f>SUM('Z domestic'!P67:P72)</f>
        <v>88114.1</v>
      </c>
      <c r="G16" s="24">
        <f>'Z domestic'!P68</f>
        <v>48639</v>
      </c>
      <c r="H16" s="24">
        <f>'Z domestic'!P67</f>
        <v>34716.6</v>
      </c>
      <c r="I16" s="24">
        <f>'Z domestic'!P69+'Z domestic'!P70</f>
        <v>4758.5</v>
      </c>
      <c r="J16" s="25">
        <f>IF(D16=0,0,F16/D16)</f>
        <v>0.33151225157490155</v>
      </c>
      <c r="K16" s="24">
        <f>SUM('Z domestic'!C16:BN16)</f>
        <v>208910.1</v>
      </c>
      <c r="L16" s="24">
        <f>SUM('Z domestic'!BO16:BS16)</f>
        <v>24210.500000000004</v>
      </c>
      <c r="M16" s="24">
        <v>32675.999999999996</v>
      </c>
      <c r="N16" s="24">
        <f>K16+L16+M16</f>
        <v>265796.6</v>
      </c>
      <c r="O16" s="26">
        <f>IF(D16=0,0,100*(N16-D16)/D16)</f>
        <v>0.0008277074310112033</v>
      </c>
    </row>
    <row r="17" spans="1:15" x14ac:dyDescent="0.25">
      <c r="A17" t="s">
        <v>101</v>
      </c>
      <c r="B17" t="s">
        <v>294</v>
      </c>
      <c r="C17" t="s">
        <v>284</v>
      </c>
      <c r="D17" s="24">
        <f>SUM('Z total'!Q3:Q72)</f>
        <v>503363.9999999999</v>
      </c>
      <c r="E17" s="24">
        <f>SUM('Z total'!Q3:Q66)</f>
        <v>414830.09999999986</v>
      </c>
      <c r="F17" s="24">
        <f>SUM('Z domestic'!Q67:Q72)</f>
        <v>88533.90000000002</v>
      </c>
      <c r="G17" s="24">
        <f>'Z domestic'!Q68</f>
        <v>47120.7</v>
      </c>
      <c r="H17" s="24">
        <f>'Z domestic'!Q67</f>
        <v>37886.3</v>
      </c>
      <c r="I17" s="24">
        <f>'Z domestic'!Q69+'Z domestic'!Q70</f>
        <v>3526.9</v>
      </c>
      <c r="J17" s="25">
        <f>IF(D17=0,0,F17/D17)</f>
        <v>0.1758844494242736</v>
      </c>
      <c r="K17" s="24">
        <f>SUM('Z domestic'!C17:BN17)</f>
        <v>399656.39999999985</v>
      </c>
      <c r="L17" s="24">
        <f>SUM('Z domestic'!BO17:BS17)</f>
        <v>16903.6</v>
      </c>
      <c r="M17" s="24">
        <v>86804.3</v>
      </c>
      <c r="N17" s="24">
        <f>K17+L17+M17</f>
        <v>503364.2999999998</v>
      </c>
      <c r="O17" s="26">
        <f>IF(D17=0,0,100*(N17-D17)/D17)</f>
        <v>0.000059599017794310055</v>
      </c>
    </row>
    <row r="18" spans="1:15" x14ac:dyDescent="0.25">
      <c r="A18" t="s">
        <v>103</v>
      </c>
      <c r="B18" t="s">
        <v>295</v>
      </c>
      <c r="C18" t="s">
        <v>284</v>
      </c>
      <c r="D18" s="24">
        <f>SUM('Z total'!R3:R72)</f>
        <v>625037.3</v>
      </c>
      <c r="E18" s="24">
        <f>SUM('Z total'!R3:R66)</f>
        <v>404113.8000000001</v>
      </c>
      <c r="F18" s="24">
        <f>SUM('Z domestic'!R67:R72)</f>
        <v>220923.49999999994</v>
      </c>
      <c r="G18" s="24">
        <f>'Z domestic'!R68</f>
        <v>141421.8</v>
      </c>
      <c r="H18" s="24">
        <f>'Z domestic'!R67</f>
        <v>74974.8</v>
      </c>
      <c r="I18" s="24">
        <f>'Z domestic'!R69+'Z domestic'!R70</f>
        <v>4526.9</v>
      </c>
      <c r="J18" s="25">
        <f>IF(D18=0,0,F18/D18)</f>
        <v>0.3534565057157388</v>
      </c>
      <c r="K18" s="24">
        <f>SUM('Z domestic'!C18:BN18)</f>
        <v>447842.3000000001</v>
      </c>
      <c r="L18" s="24">
        <f>SUM('Z domestic'!BO18:BS18)</f>
        <v>100232.80000000002</v>
      </c>
      <c r="M18" s="24">
        <v>76962.9</v>
      </c>
      <c r="N18" s="24">
        <f>K18+L18+M18</f>
        <v>625038.0000000001</v>
      </c>
      <c r="O18" s="26">
        <f>IF(D18=0,0,100*(N18-D18)/D18)</f>
        <v>0.00011199331625006206</v>
      </c>
    </row>
    <row r="19" spans="1:15" x14ac:dyDescent="0.25">
      <c r="A19" t="s">
        <v>105</v>
      </c>
      <c r="B19" t="s">
        <v>296</v>
      </c>
      <c r="C19" t="s">
        <v>284</v>
      </c>
      <c r="D19" s="24">
        <f>SUM('Z total'!S3:S72)</f>
        <v>391662.0999999999</v>
      </c>
      <c r="E19" s="24">
        <f>SUM('Z total'!S3:S66)</f>
        <v>207468.49999999985</v>
      </c>
      <c r="F19" s="24">
        <f>SUM('Z domestic'!S67:S72)</f>
        <v>184193.60000000006</v>
      </c>
      <c r="G19" s="24">
        <f>'Z domestic'!S68</f>
        <v>64081</v>
      </c>
      <c r="H19" s="24">
        <f>'Z domestic'!S67</f>
        <v>118454.5</v>
      </c>
      <c r="I19" s="24">
        <f>'Z domestic'!S69+'Z domestic'!S70</f>
        <v>1658.1000000000001</v>
      </c>
      <c r="J19" s="25">
        <f>IF(D19=0,0,F19/D19)</f>
        <v>0.4702870152613697</v>
      </c>
      <c r="K19" s="24">
        <f>SUM('Z domestic'!C19:BN19)</f>
        <v>120127.50000000001</v>
      </c>
      <c r="L19" s="24">
        <f>SUM('Z domestic'!BO19:BS19)</f>
        <v>125647.3</v>
      </c>
      <c r="M19" s="24">
        <v>145889.1</v>
      </c>
      <c r="N19" s="24">
        <f>K19+L19+M19</f>
        <v>391663.9</v>
      </c>
      <c r="O19" s="26">
        <f>IF(D19=0,0,100*(N19-D19)/D19)</f>
        <v>0.0004595798266170697</v>
      </c>
    </row>
    <row r="20" spans="1:15" x14ac:dyDescent="0.25">
      <c r="A20" t="s">
        <v>107</v>
      </c>
      <c r="B20" t="s">
        <v>297</v>
      </c>
      <c r="C20" t="s">
        <v>284</v>
      </c>
      <c r="D20" s="24">
        <f>SUM('Z total'!T3:T72)</f>
        <v>385310.89999999985</v>
      </c>
      <c r="E20" s="24">
        <f>SUM('Z total'!T3:T66)</f>
        <v>264642.09999999986</v>
      </c>
      <c r="F20" s="24">
        <f>SUM('Z domestic'!T67:T72)</f>
        <v>120668.79999999999</v>
      </c>
      <c r="G20" s="24">
        <f>'Z domestic'!T68</f>
        <v>75910</v>
      </c>
      <c r="H20" s="24">
        <f>'Z domestic'!T67</f>
        <v>42546.6</v>
      </c>
      <c r="I20" s="24">
        <f>'Z domestic'!T69+'Z domestic'!T70</f>
        <v>2212.2000000000003</v>
      </c>
      <c r="J20" s="25">
        <f>IF(D20=0,0,F20/D20)</f>
        <v>0.3131725575373031</v>
      </c>
      <c r="K20" s="24">
        <f>SUM('Z domestic'!C20:BN20)</f>
        <v>182112.60000000006</v>
      </c>
      <c r="L20" s="24">
        <f>SUM('Z domestic'!BO20:BS20)</f>
        <v>100135.20000000001</v>
      </c>
      <c r="M20" s="24">
        <v>103065.69999999998</v>
      </c>
      <c r="N20" s="24">
        <f>K20+L20+M20</f>
        <v>385313.5</v>
      </c>
      <c r="O20" s="26">
        <f>IF(D20=0,0,100*(N20-D20)/D20)</f>
        <v>0.0006747797688073575</v>
      </c>
    </row>
    <row r="21" spans="1:15" x14ac:dyDescent="0.25">
      <c r="A21" t="s">
        <v>109</v>
      </c>
      <c r="B21" t="s">
        <v>298</v>
      </c>
      <c r="C21" t="s">
        <v>284</v>
      </c>
      <c r="D21" s="24">
        <f>SUM('Z total'!U3:U72)</f>
        <v>790221.4000000001</v>
      </c>
      <c r="E21" s="24">
        <f>SUM('Z total'!U3:U66)</f>
        <v>513768.4000000001</v>
      </c>
      <c r="F21" s="24">
        <f>SUM('Z domestic'!U67:U72)</f>
        <v>276453.00000000006</v>
      </c>
      <c r="G21" s="24">
        <f>'Z domestic'!U68</f>
        <v>170726.5</v>
      </c>
      <c r="H21" s="24">
        <f>'Z domestic'!U67</f>
        <v>102190.3</v>
      </c>
      <c r="I21" s="24">
        <f>'Z domestic'!U69+'Z domestic'!U70</f>
        <v>3536.2000000000003</v>
      </c>
      <c r="J21" s="25">
        <f>IF(D21=0,0,F21/D21)</f>
        <v>0.3498424618720779</v>
      </c>
      <c r="K21" s="24">
        <f>SUM('Z domestic'!C21:BN21)</f>
        <v>284924.5000000001</v>
      </c>
      <c r="L21" s="24">
        <f>SUM('Z domestic'!BO21:BS21)</f>
        <v>244544.1</v>
      </c>
      <c r="M21" s="24">
        <v>260755</v>
      </c>
      <c r="N21" s="24">
        <f>K21+L21+M21</f>
        <v>790223.6000000001</v>
      </c>
      <c r="O21" s="26">
        <f>IF(D21=0,0,100*(N21-D21)/D21)</f>
        <v>0.0002784029893335505</v>
      </c>
    </row>
    <row r="22" spans="1:15" x14ac:dyDescent="0.25">
      <c r="A22" t="s">
        <v>111</v>
      </c>
      <c r="B22" t="s">
        <v>299</v>
      </c>
      <c r="C22" t="s">
        <v>284</v>
      </c>
      <c r="D22" s="24">
        <f>SUM('Z total'!V3:V72)</f>
        <v>1078372.9000000004</v>
      </c>
      <c r="E22" s="24">
        <f>SUM('Z total'!V3:V66)</f>
        <v>801327.4000000005</v>
      </c>
      <c r="F22" s="24">
        <f>SUM('Z domestic'!V67:V72)</f>
        <v>277045.4999999999</v>
      </c>
      <c r="G22" s="24">
        <f>'Z domestic'!V68</f>
        <v>134665.4</v>
      </c>
      <c r="H22" s="24">
        <f>'Z domestic'!V67</f>
        <v>137475.3</v>
      </c>
      <c r="I22" s="24">
        <f>'Z domestic'!V69+'Z domestic'!V70</f>
        <v>4904.8</v>
      </c>
      <c r="J22" s="25">
        <f>IF(D22=0,0,F22/D22)</f>
        <v>0.25691066605994994</v>
      </c>
      <c r="K22" s="24">
        <f>SUM('Z domestic'!C22:BN22)</f>
        <v>386551.0999999999</v>
      </c>
      <c r="L22" s="24">
        <f>SUM('Z domestic'!BO22:BS22)</f>
        <v>436878.2</v>
      </c>
      <c r="M22" s="24">
        <v>254945.3</v>
      </c>
      <c r="N22" s="24">
        <f>K22+L22+M22</f>
        <v>1078374.5999999999</v>
      </c>
      <c r="O22" s="26">
        <f>IF(D22=0,0,100*(N22-D22)/D22)</f>
        <v>0.00015764491109594576</v>
      </c>
    </row>
    <row r="23" spans="1:15" x14ac:dyDescent="0.25">
      <c r="A23" t="s">
        <v>113</v>
      </c>
      <c r="B23" t="s">
        <v>300</v>
      </c>
      <c r="C23" t="s">
        <v>284</v>
      </c>
      <c r="D23" s="24">
        <f>SUM('Z total'!W3:W72)</f>
        <v>272900.4</v>
      </c>
      <c r="E23" s="24">
        <f>SUM('Z total'!W3:W66)</f>
        <v>202628.80000000002</v>
      </c>
      <c r="F23" s="24">
        <f>SUM('Z domestic'!W67:W72)</f>
        <v>70271.6</v>
      </c>
      <c r="G23" s="24">
        <f>'Z domestic'!W68</f>
        <v>40847.3</v>
      </c>
      <c r="H23" s="24">
        <f>'Z domestic'!W67</f>
        <v>28397.8</v>
      </c>
      <c r="I23" s="24">
        <f>'Z domestic'!W69+'Z domestic'!W70</f>
        <v>1026.5</v>
      </c>
      <c r="J23" s="25">
        <f>IF(D23=0,0,F23/D23)</f>
        <v>0.25749907292184254</v>
      </c>
      <c r="K23" s="24">
        <f>SUM('Z domestic'!C23:BN23)</f>
        <v>88880.10000000002</v>
      </c>
      <c r="L23" s="24">
        <f>SUM('Z domestic'!BO23:BS23)</f>
        <v>80285.29999999999</v>
      </c>
      <c r="M23" s="24">
        <v>103737.4</v>
      </c>
      <c r="N23" s="24">
        <f>K23+L23+M23</f>
        <v>272902.80000000005</v>
      </c>
      <c r="O23" s="26">
        <f>IF(D23=0,0,100*(N23-D23)/D23)</f>
        <v>0.0008794417303980804</v>
      </c>
    </row>
    <row r="24" spans="1:15" x14ac:dyDescent="0.25">
      <c r="A24" t="s">
        <v>301</v>
      </c>
      <c r="B24" t="s">
        <v>302</v>
      </c>
      <c r="C24" t="s">
        <v>284</v>
      </c>
      <c r="D24" s="24">
        <f>SUM('Z total'!X3:X72)</f>
        <v>279984.2</v>
      </c>
      <c r="E24" s="24">
        <f>SUM('Z total'!X3:X66)</f>
        <v>168919.50000000003</v>
      </c>
      <c r="F24" s="24">
        <f>SUM('Z domestic'!X67:X72)</f>
        <v>111064.69999999998</v>
      </c>
      <c r="G24" s="24">
        <f>'Z domestic'!X68</f>
        <v>62954.8</v>
      </c>
      <c r="H24" s="24">
        <f>'Z domestic'!X67</f>
        <v>45579.9</v>
      </c>
      <c r="I24" s="24">
        <f>'Z domestic'!X69+'Z domestic'!X70</f>
        <v>2530</v>
      </c>
      <c r="J24" s="25">
        <f>IF(D24=0,0,F24/D24)</f>
        <v>0.396682027057241</v>
      </c>
      <c r="K24" s="24">
        <f>SUM('Z domestic'!C24:BN24)</f>
        <v>78345.99999999999</v>
      </c>
      <c r="L24" s="24">
        <f>SUM('Z domestic'!BO24:BS24)</f>
        <v>122498</v>
      </c>
      <c r="M24" s="24">
        <v>79142.8</v>
      </c>
      <c r="N24" s="24">
        <f>K24+L24+M24</f>
        <v>279986.8</v>
      </c>
      <c r="O24" s="26">
        <f>IF(D24=0,0,100*(N24-D24)/D24)</f>
        <v>0.0009286238294792052</v>
      </c>
    </row>
    <row r="25" spans="1:15" x14ac:dyDescent="0.25">
      <c r="A25" t="s">
        <v>119</v>
      </c>
      <c r="B25" t="s">
        <v>303</v>
      </c>
      <c r="C25" t="s">
        <v>284</v>
      </c>
      <c r="D25" s="24">
        <f>SUM('Z total'!Y3:Y72)</f>
        <v>246618.30000000002</v>
      </c>
      <c r="E25" s="24">
        <f>SUM('Z total'!Y3:Y66)</f>
        <v>143866.69999999998</v>
      </c>
      <c r="F25" s="24">
        <f>SUM('Z domestic'!Y67:Y72)</f>
        <v>102751.60000000003</v>
      </c>
      <c r="G25" s="24">
        <f>'Z domestic'!Y68</f>
        <v>70079.3</v>
      </c>
      <c r="H25" s="24">
        <f>'Z domestic'!Y67</f>
        <v>30311.2</v>
      </c>
      <c r="I25" s="24">
        <f>'Z domestic'!Y69+'Z domestic'!Y70</f>
        <v>2361.1</v>
      </c>
      <c r="J25" s="25">
        <f>IF(D25=0,0,F25/D25)</f>
        <v>0.4166422362006389</v>
      </c>
      <c r="K25" s="24">
        <f>SUM('Z domestic'!C25:BN25)</f>
        <v>146177.9</v>
      </c>
      <c r="L25" s="24">
        <f>SUM('Z domestic'!BO25:BS25)</f>
        <v>78981</v>
      </c>
      <c r="M25" s="24">
        <v>21463</v>
      </c>
      <c r="N25" s="24">
        <f>K25+L25+M25</f>
        <v>246621.9</v>
      </c>
      <c r="O25" s="26">
        <f>IF(D25=0,0,100*(N25-D25)/D25)</f>
        <v>0.0014597456879626195</v>
      </c>
    </row>
    <row r="26" spans="1:15" x14ac:dyDescent="0.25">
      <c r="A26" t="s">
        <v>304</v>
      </c>
      <c r="B26" t="s">
        <v>305</v>
      </c>
      <c r="C26" t="s">
        <v>306</v>
      </c>
      <c r="D26" s="24">
        <f>SUM('Z total'!Z3:Z72)</f>
        <v>1119921.9000000004</v>
      </c>
      <c r="E26" s="24">
        <f>SUM('Z total'!Z3:Z66)</f>
        <v>691913.4000000005</v>
      </c>
      <c r="F26" s="24">
        <f>SUM('Z domestic'!Z67:Z72)</f>
        <v>428008.4999999999</v>
      </c>
      <c r="G26" s="24">
        <f>'Z domestic'!Z68</f>
        <v>83268.5</v>
      </c>
      <c r="H26" s="24">
        <f>'Z domestic'!Z67</f>
        <v>335246.8</v>
      </c>
      <c r="I26" s="24">
        <f>'Z domestic'!Z69+'Z domestic'!Z70</f>
        <v>9493.2</v>
      </c>
      <c r="J26" s="25">
        <f>IF(D26=0,0,F26/D26)</f>
        <v>0.38217709645645803</v>
      </c>
      <c r="K26" s="24">
        <f>SUM('Z domestic'!C26:BN26)</f>
        <v>777332.7000000001</v>
      </c>
      <c r="L26" s="24">
        <f>SUM('Z domestic'!BO26:BS26)</f>
        <v>323697.10000000003</v>
      </c>
      <c r="M26" s="24">
        <v>18893.1</v>
      </c>
      <c r="N26" s="24">
        <f>K26+L26+M26</f>
        <v>1119922.9000000001</v>
      </c>
      <c r="O26" s="26">
        <f>IF(D26=0,0,100*(N26-D26)/D26)</f>
        <v>0.0000892919407832965</v>
      </c>
    </row>
    <row r="27" spans="1:15" x14ac:dyDescent="0.25">
      <c r="A27" t="s">
        <v>307</v>
      </c>
      <c r="B27" t="s">
        <v>308</v>
      </c>
      <c r="C27" t="s">
        <v>309</v>
      </c>
      <c r="D27" s="24">
        <f>SUM('Z total'!AA3:AA72)</f>
        <v>70152.3</v>
      </c>
      <c r="E27" s="24">
        <f>SUM('Z total'!AA3:AA66)</f>
        <v>37053.899999999994</v>
      </c>
      <c r="F27" s="24">
        <f>SUM('Z domestic'!AA67:AA72)</f>
        <v>33098.40000000001</v>
      </c>
      <c r="G27" s="24">
        <f>'Z domestic'!AA68</f>
        <v>14135.1</v>
      </c>
      <c r="H27" s="24">
        <f>'Z domestic'!AA67</f>
        <v>17647.3</v>
      </c>
      <c r="I27" s="24">
        <f>'Z domestic'!AA69+'Z domestic'!AA70</f>
        <v>1316</v>
      </c>
      <c r="J27" s="25">
        <f>IF(D27=0,0,F27/D27)</f>
        <v>0.47180776681591347</v>
      </c>
      <c r="K27" s="24">
        <f>SUM('Z domestic'!C27:BN27)</f>
        <v>38601.899999999994</v>
      </c>
      <c r="L27" s="24">
        <f>SUM('Z domestic'!BO27:BS27)</f>
        <v>30653.5</v>
      </c>
      <c r="M27" s="24">
        <v>903</v>
      </c>
      <c r="N27" s="24">
        <f>K27+L27+M27</f>
        <v>70158.4</v>
      </c>
      <c r="O27" s="26">
        <f>IF(D27=0,0,100*(N27-D27)/D27)</f>
        <v>0.008695367079897978</v>
      </c>
    </row>
    <row r="28" spans="1:15" x14ac:dyDescent="0.25">
      <c r="A28" t="s">
        <v>310</v>
      </c>
      <c r="B28" t="s">
        <v>311</v>
      </c>
      <c r="C28" t="s">
        <v>309</v>
      </c>
      <c r="D28" s="24">
        <f>SUM('Z total'!AB3:AB72)</f>
        <v>290682.8</v>
      </c>
      <c r="E28" s="24">
        <f>SUM('Z total'!AB3:AB66)</f>
        <v>173759.69999999998</v>
      </c>
      <c r="F28" s="24">
        <f>SUM('Z domestic'!AB67:AB72)</f>
        <v>116923.1</v>
      </c>
      <c r="G28" s="24">
        <f>'Z domestic'!AB68</f>
        <v>49814.9</v>
      </c>
      <c r="H28" s="24">
        <f>'Z domestic'!AB67</f>
        <v>61027.4</v>
      </c>
      <c r="I28" s="24">
        <f>'Z domestic'!AB69+'Z domestic'!AB70</f>
        <v>6080.8</v>
      </c>
      <c r="J28" s="25">
        <f>IF(D28=0,0,F28/D28)</f>
        <v>0.402236045613982</v>
      </c>
      <c r="K28" s="24">
        <f>SUM('Z domestic'!C28:BN28)</f>
        <v>206551.4</v>
      </c>
      <c r="L28" s="24">
        <f>SUM('Z domestic'!BO28:BS28)</f>
        <v>70411.1</v>
      </c>
      <c r="M28" s="24">
        <v>13724.100000000002</v>
      </c>
      <c r="N28" s="24">
        <f>K28+L28+M28</f>
        <v>290686.6</v>
      </c>
      <c r="O28" s="26">
        <f>IF(D28=0,0,100*(N28-D28)/D28)</f>
        <v>0.0013072668902082102</v>
      </c>
    </row>
    <row r="29" spans="1:15" x14ac:dyDescent="0.25">
      <c r="A29" t="s">
        <v>312</v>
      </c>
      <c r="B29" t="s">
        <v>313</v>
      </c>
      <c r="C29" t="s">
        <v>312</v>
      </c>
      <c r="D29" s="24">
        <f>SUM('Z total'!AC3:AC72)</f>
        <v>2425374.0999999996</v>
      </c>
      <c r="E29" s="24">
        <f>SUM('Z total'!AC3:AC66)</f>
        <v>1534257.8999999997</v>
      </c>
      <c r="F29" s="24">
        <f>SUM('Z domestic'!AC67:AC72)</f>
        <v>891116.2</v>
      </c>
      <c r="G29" s="24">
        <f>'Z domestic'!AC68</f>
        <v>460011.2</v>
      </c>
      <c r="H29" s="24">
        <f>'Z domestic'!AC67</f>
        <v>398479.8</v>
      </c>
      <c r="I29" s="24">
        <f>'Z domestic'!AC69+'Z domestic'!AC70</f>
        <v>32625.199999999997</v>
      </c>
      <c r="J29" s="25">
        <f>IF(D29=0,0,F29/D29)</f>
        <v>0.36741391771273557</v>
      </c>
      <c r="K29" s="24">
        <f>SUM('Z domestic'!C29:BN29)</f>
        <v>865624.2999999999</v>
      </c>
      <c r="L29" s="24">
        <f>SUM('Z domestic'!BO29:BS29)</f>
        <v>1542497.9000000001</v>
      </c>
      <c r="M29" s="24">
        <v>17254.1</v>
      </c>
      <c r="N29" s="24">
        <f>K29+L29+M29</f>
        <v>2425376.3000000003</v>
      </c>
      <c r="O29" s="26">
        <f>IF(D29=0,0,100*(N29-D29)/D29)</f>
        <v>0.00009070765619976996</v>
      </c>
    </row>
    <row r="30" spans="1:15" x14ac:dyDescent="0.25">
      <c r="A30" t="s">
        <v>314</v>
      </c>
      <c r="B30" t="s">
        <v>315</v>
      </c>
      <c r="C30" t="s">
        <v>316</v>
      </c>
      <c r="D30" s="24">
        <f>SUM('Z total'!AD3:AD72)</f>
        <v>406251.7</v>
      </c>
      <c r="E30" s="24">
        <f>SUM('Z total'!AD3:AD66)</f>
        <v>193393.60000000003</v>
      </c>
      <c r="F30" s="24">
        <f>SUM('Z domestic'!AD67:AD72)</f>
        <v>212858.09999999998</v>
      </c>
      <c r="G30" s="24">
        <f>'Z domestic'!AD68</f>
        <v>116614.7</v>
      </c>
      <c r="H30" s="24">
        <f>'Z domestic'!AD67</f>
        <v>87315.4</v>
      </c>
      <c r="I30" s="24">
        <f>'Z domestic'!AD69+'Z domestic'!AD70</f>
        <v>8928</v>
      </c>
      <c r="J30" s="25">
        <f>IF(D30=0,0,F30/D30)</f>
        <v>0.5239562074447934</v>
      </c>
      <c r="K30" s="24">
        <f>SUM('Z domestic'!C30:BN30)</f>
        <v>192521.39999999997</v>
      </c>
      <c r="L30" s="24">
        <f>SUM('Z domestic'!BO30:BS30)</f>
        <v>183728.99999999997</v>
      </c>
      <c r="M30" s="24">
        <v>30001.799999999996</v>
      </c>
      <c r="N30" s="24">
        <f>K30+L30+M30</f>
        <v>406252.1999999999</v>
      </c>
      <c r="O30" s="26">
        <f>IF(D30=0,0,100*(N30-D30)/D30)</f>
        <v>0.00012307640804949246</v>
      </c>
    </row>
    <row r="31" spans="1:15" x14ac:dyDescent="0.25">
      <c r="A31" t="s">
        <v>317</v>
      </c>
      <c r="B31" t="s">
        <v>318</v>
      </c>
      <c r="C31" t="s">
        <v>316</v>
      </c>
      <c r="D31" s="24">
        <f>SUM('Z total'!AE3:AE72)</f>
        <v>1762441.2000000004</v>
      </c>
      <c r="E31" s="24">
        <f>SUM('Z total'!AE3:AE66)</f>
        <v>851246.1000000002</v>
      </c>
      <c r="F31" s="24">
        <f>SUM('Z domestic'!AE67:AE72)</f>
        <v>911195.1000000002</v>
      </c>
      <c r="G31" s="24">
        <f>'Z domestic'!AE68</f>
        <v>439785</v>
      </c>
      <c r="H31" s="24">
        <f>'Z domestic'!AE67</f>
        <v>472646.7</v>
      </c>
      <c r="I31" s="24">
        <f>'Z domestic'!AE69+'Z domestic'!AE70</f>
        <v>-1236.6000000000004</v>
      </c>
      <c r="J31" s="25">
        <f>IF(D31=0,0,F31/D31)</f>
        <v>0.5170073759056473</v>
      </c>
      <c r="K31" s="24">
        <f>SUM('Z domestic'!C31:BN31)</f>
        <v>996108.8999999998</v>
      </c>
      <c r="L31" s="24">
        <f>SUM('Z domestic'!BO31:BS31)</f>
        <v>474083.7</v>
      </c>
      <c r="M31" s="24">
        <v>292249.60000000003</v>
      </c>
      <c r="N31" s="24">
        <f>K31+L31+M31</f>
        <v>1762442.2</v>
      </c>
      <c r="O31" s="26">
        <f>IF(D31=0,0,100*(N31-D31)/D31)</f>
        <v>0.000056739481551744166</v>
      </c>
    </row>
    <row r="32" spans="1:15" x14ac:dyDescent="0.25">
      <c r="A32" t="s">
        <v>319</v>
      </c>
      <c r="B32" t="s">
        <v>320</v>
      </c>
      <c r="C32" t="s">
        <v>316</v>
      </c>
      <c r="D32" s="24">
        <f>SUM('Z total'!AF3:AF72)</f>
        <v>1120894.3</v>
      </c>
      <c r="E32" s="24">
        <f>SUM('Z total'!AF3:AF66)</f>
        <v>474326.19999999995</v>
      </c>
      <c r="F32" s="24">
        <f>SUM('Z domestic'!AF67:AF72)</f>
        <v>646568.1000000001</v>
      </c>
      <c r="G32" s="24">
        <f>'Z domestic'!AF68</f>
        <v>388581.7</v>
      </c>
      <c r="H32" s="24">
        <f>'Z domestic'!AF67</f>
        <v>220766.7</v>
      </c>
      <c r="I32" s="24">
        <f>'Z domestic'!AF69+'Z domestic'!AF70</f>
        <v>37219.7</v>
      </c>
      <c r="J32" s="25">
        <f>IF(D32=0,0,F32/D32)</f>
        <v>0.5768323560928091</v>
      </c>
      <c r="K32" s="24">
        <f>SUM('Z domestic'!C32:BN32)</f>
        <v>285475.79999999993</v>
      </c>
      <c r="L32" s="24">
        <f>SUM('Z domestic'!BO32:BS32)</f>
        <v>783414.7000000001</v>
      </c>
      <c r="M32" s="24">
        <v>52006.200000000004</v>
      </c>
      <c r="N32" s="24">
        <f>K32+L32+M32</f>
        <v>1120896.7</v>
      </c>
      <c r="O32" s="26">
        <f>IF(D32=0,0,100*(N32-D32)/D32)</f>
        <v>0.00021411474747501773</v>
      </c>
    </row>
    <row r="33" spans="1:15" x14ac:dyDescent="0.25">
      <c r="A33" t="s">
        <v>321</v>
      </c>
      <c r="B33" t="s">
        <v>322</v>
      </c>
      <c r="C33" t="s">
        <v>323</v>
      </c>
      <c r="D33" s="24">
        <f>SUM('Z total'!AG3:AG72)</f>
        <v>772155.4</v>
      </c>
      <c r="E33" s="24">
        <f>SUM('Z total'!AG3:AG66)</f>
        <v>438948.69999999995</v>
      </c>
      <c r="F33" s="24">
        <f>SUM('Z domestic'!AG67:AG72)</f>
        <v>333206.70000000007</v>
      </c>
      <c r="G33" s="24">
        <f>'Z domestic'!AG68</f>
        <v>198638.5</v>
      </c>
      <c r="H33" s="24">
        <f>'Z domestic'!AG67</f>
        <v>113506.3</v>
      </c>
      <c r="I33" s="24">
        <f>'Z domestic'!AG69+'Z domestic'!AG70</f>
        <v>21061.9</v>
      </c>
      <c r="J33" s="25">
        <f>IF(D33=0,0,F33/D33)</f>
        <v>0.4315280317925641</v>
      </c>
      <c r="K33" s="24">
        <f>SUM('Z domestic'!C33:BN33)</f>
        <v>499948.6000000001</v>
      </c>
      <c r="L33" s="24">
        <f>SUM('Z domestic'!BO33:BS33)</f>
        <v>181732.50000000003</v>
      </c>
      <c r="M33" s="24">
        <v>90476.80000000002</v>
      </c>
      <c r="N33" s="24">
        <f>K33+L33+M33</f>
        <v>772157.9000000001</v>
      </c>
      <c r="O33" s="26">
        <f>IF(D33=0,0,100*(N33-D33)/D33)</f>
        <v>0.00032376902369652533</v>
      </c>
    </row>
    <row r="34" spans="1:15" x14ac:dyDescent="0.25">
      <c r="A34" t="s">
        <v>134</v>
      </c>
      <c r="B34" t="s">
        <v>324</v>
      </c>
      <c r="C34" t="s">
        <v>323</v>
      </c>
      <c r="D34" s="24">
        <f>SUM('Z total'!AH3:AH72)</f>
        <v>233049.9</v>
      </c>
      <c r="E34" s="24">
        <f>SUM('Z total'!AH3:AH66)</f>
        <v>157351.3</v>
      </c>
      <c r="F34" s="24">
        <f>SUM('Z domestic'!AH67:AH72)</f>
        <v>75698.6</v>
      </c>
      <c r="G34" s="24">
        <f>'Z domestic'!AH68</f>
        <v>13497.9</v>
      </c>
      <c r="H34" s="24">
        <f>'Z domestic'!AH67</f>
        <v>59586.5</v>
      </c>
      <c r="I34" s="24">
        <f>'Z domestic'!AH69+'Z domestic'!AH70</f>
        <v>2614.2</v>
      </c>
      <c r="J34" s="25">
        <f>IF(D34=0,0,F34/D34)</f>
        <v>0.3248171314383744</v>
      </c>
      <c r="K34" s="24">
        <f>SUM('Z domestic'!C34:BN34)</f>
        <v>68262.59999999999</v>
      </c>
      <c r="L34" s="24">
        <f>SUM('Z domestic'!BO34:BS34)</f>
        <v>18075.899999999998</v>
      </c>
      <c r="M34" s="24">
        <v>146714.80000000002</v>
      </c>
      <c r="N34" s="24">
        <f>K34+L34+M34</f>
        <v>233053.3</v>
      </c>
      <c r="O34" s="26">
        <f>IF(D34=0,0,100*(N34-D34)/D34)</f>
        <v>0.0014589150220717894</v>
      </c>
    </row>
    <row r="35" spans="1:15" x14ac:dyDescent="0.25">
      <c r="A35" t="s">
        <v>137</v>
      </c>
      <c r="B35" t="s">
        <v>325</v>
      </c>
      <c r="C35" t="s">
        <v>323</v>
      </c>
      <c r="D35" s="24">
        <f>SUM('Z total'!AI3:AI72)</f>
        <v>158054.5</v>
      </c>
      <c r="E35" s="24">
        <f>SUM('Z total'!AI3:AI66)</f>
        <v>120519.2</v>
      </c>
      <c r="F35" s="24">
        <f>SUM('Z domestic'!AI67:AI72)</f>
        <v>37535.3</v>
      </c>
      <c r="G35" s="24">
        <f>'Z domestic'!AI68</f>
        <v>20724.1</v>
      </c>
      <c r="H35" s="24">
        <f>'Z domestic'!AI67</f>
        <v>11937.6</v>
      </c>
      <c r="I35" s="24">
        <f>'Z domestic'!AI69+'Z domestic'!AI70</f>
        <v>4873.6</v>
      </c>
      <c r="J35" s="25">
        <f>IF(D35=0,0,F35/D35)</f>
        <v>0.23748327317475937</v>
      </c>
      <c r="K35" s="24">
        <f>SUM('Z domestic'!C35:BN35)</f>
        <v>63872.89999999999</v>
      </c>
      <c r="L35" s="24">
        <f>SUM('Z domestic'!BO35:BS35)</f>
        <v>37607.200000000004</v>
      </c>
      <c r="M35" s="24">
        <v>56577.399999999994</v>
      </c>
      <c r="N35" s="24">
        <f>K35+L35+M35</f>
        <v>158057.5</v>
      </c>
      <c r="O35" s="26">
        <f>IF(D35=0,0,100*(N35-D35)/D35)</f>
        <v>0.0018980794599331244</v>
      </c>
    </row>
    <row r="36" spans="1:15" x14ac:dyDescent="0.25">
      <c r="A36" t="s">
        <v>326</v>
      </c>
      <c r="B36" t="s">
        <v>327</v>
      </c>
      <c r="C36" t="s">
        <v>323</v>
      </c>
      <c r="D36" s="24">
        <f>SUM('Z total'!AJ3:AJ72)</f>
        <v>718849.6000000001</v>
      </c>
      <c r="E36" s="24">
        <f>SUM('Z total'!AJ3:AJ66)</f>
        <v>435604.80000000005</v>
      </c>
      <c r="F36" s="24">
        <f>SUM('Z domestic'!AJ67:AJ72)</f>
        <v>283244.80000000005</v>
      </c>
      <c r="G36" s="24">
        <f>'Z domestic'!AJ68</f>
        <v>146271</v>
      </c>
      <c r="H36" s="24">
        <f>'Z domestic'!AJ67</f>
        <v>123878.1</v>
      </c>
      <c r="I36" s="24">
        <f>'Z domestic'!AJ69+'Z domestic'!AJ70</f>
        <v>13095.699999999999</v>
      </c>
      <c r="J36" s="25">
        <f>IF(D36=0,0,F36/D36)</f>
        <v>0.39402512013639573</v>
      </c>
      <c r="K36" s="24">
        <f>SUM('Z domestic'!C36:BN36)</f>
        <v>538062.4</v>
      </c>
      <c r="L36" s="24">
        <f>SUM('Z domestic'!BO36:BS36)</f>
        <v>112296.40000000001</v>
      </c>
      <c r="M36" s="24">
        <v>68493</v>
      </c>
      <c r="N36" s="24">
        <f>K36+L36+M36</f>
        <v>718851.8</v>
      </c>
      <c r="O36" s="26">
        <f>IF(D36=0,0,100*(N36-D36)/D36)</f>
        <v>0.00030604454672485506</v>
      </c>
    </row>
    <row r="37" spans="1:15" x14ac:dyDescent="0.25">
      <c r="A37" t="s">
        <v>328</v>
      </c>
      <c r="B37" t="s">
        <v>329</v>
      </c>
      <c r="C37" t="s">
        <v>323</v>
      </c>
      <c r="D37" s="24">
        <f>SUM('Z total'!AK3:AK72)</f>
        <v>144461.5</v>
      </c>
      <c r="E37" s="24">
        <f>SUM('Z total'!AK3:AK66)</f>
        <v>84940.09999999999</v>
      </c>
      <c r="F37" s="24">
        <f>SUM('Z domestic'!AK67:AK72)</f>
        <v>59521.40000000001</v>
      </c>
      <c r="G37" s="24">
        <f>'Z domestic'!AK68</f>
        <v>47483.1</v>
      </c>
      <c r="H37" s="24">
        <f>'Z domestic'!AK67</f>
        <v>8280.7</v>
      </c>
      <c r="I37" s="24">
        <f>'Z domestic'!AK69+'Z domestic'!AK70</f>
        <v>3757.6</v>
      </c>
      <c r="J37" s="25">
        <f>IF(D37=0,0,F37/D37)</f>
        <v>0.4120225804106977</v>
      </c>
      <c r="K37" s="24">
        <f>SUM('Z domestic'!C37:BN37)</f>
        <v>117864.7</v>
      </c>
      <c r="L37" s="24">
        <f>SUM('Z domestic'!BO37:BS37)</f>
        <v>10994.5</v>
      </c>
      <c r="M37" s="24">
        <v>15603.900000000001</v>
      </c>
      <c r="N37" s="24">
        <f>K37+L37+M37</f>
        <v>144463.1</v>
      </c>
      <c r="O37" s="26">
        <f>IF(D37=0,0,100*(N37-D37)/D37)</f>
        <v>0.0011075615302387285</v>
      </c>
    </row>
    <row r="38" spans="1:15" x14ac:dyDescent="0.25">
      <c r="A38" t="s">
        <v>330</v>
      </c>
      <c r="B38" t="s">
        <v>331</v>
      </c>
      <c r="C38" t="s">
        <v>330</v>
      </c>
      <c r="D38" s="24">
        <f>SUM('Z total'!AL3:AL72)</f>
        <v>887630.0999999997</v>
      </c>
      <c r="E38" s="24">
        <f>SUM('Z total'!AL3:AL66)</f>
        <v>454090.49999999977</v>
      </c>
      <c r="F38" s="24">
        <f>SUM('Z domestic'!AL67:AL72)</f>
        <v>433539.6</v>
      </c>
      <c r="G38" s="24">
        <f>'Z domestic'!AL68</f>
        <v>237266.2</v>
      </c>
      <c r="H38" s="24">
        <f>'Z domestic'!AL67</f>
        <v>178636.3</v>
      </c>
      <c r="I38" s="24">
        <f>'Z domestic'!AL69+'Z domestic'!AL70</f>
        <v>17637.1</v>
      </c>
      <c r="J38" s="25">
        <f>IF(D38=0,0,F38/D38)</f>
        <v>0.4884237251530791</v>
      </c>
      <c r="K38" s="24">
        <f>SUM('Z domestic'!C38:BN38)</f>
        <v>190230.5</v>
      </c>
      <c r="L38" s="24">
        <f>SUM('Z domestic'!BO38:BS38)</f>
        <v>690002.7999999999</v>
      </c>
      <c r="M38" s="24">
        <v>7397.1</v>
      </c>
      <c r="N38" s="24">
        <f>K38+L38+M38</f>
        <v>887630.3999999999</v>
      </c>
      <c r="O38" s="26">
        <f>IF(D38=0,0,100*(N38-D38)/D38)</f>
        <v>0.000033797862438754786</v>
      </c>
    </row>
    <row r="39" spans="1:15" x14ac:dyDescent="0.25">
      <c r="A39" t="s">
        <v>332</v>
      </c>
      <c r="B39" t="s">
        <v>333</v>
      </c>
      <c r="C39" t="s">
        <v>334</v>
      </c>
      <c r="D39" s="24">
        <f>SUM('Z total'!AM3:AM72)</f>
        <v>221296.19999999998</v>
      </c>
      <c r="E39" s="24">
        <f>SUM('Z total'!AM3:AM66)</f>
        <v>113680.49999999999</v>
      </c>
      <c r="F39" s="24">
        <f>SUM('Z domestic'!AM67:AM72)</f>
        <v>107615.7</v>
      </c>
      <c r="G39" s="24">
        <f>'Z domestic'!AM68</f>
        <v>41434.8</v>
      </c>
      <c r="H39" s="24">
        <f>'Z domestic'!AM67</f>
        <v>64425.8</v>
      </c>
      <c r="I39" s="24">
        <f>'Z domestic'!AM69+'Z domestic'!AM70</f>
        <v>1755.1000000000001</v>
      </c>
      <c r="J39" s="25">
        <f>IF(D39=0,0,F39/D39)</f>
        <v>0.4862970986397417</v>
      </c>
      <c r="K39" s="24">
        <f>SUM('Z domestic'!C39:BN39)</f>
        <v>81317.69999999998</v>
      </c>
      <c r="L39" s="24">
        <f>SUM('Z domestic'!BO39:BS39)</f>
        <v>64189.700000000004</v>
      </c>
      <c r="M39" s="24">
        <v>75790.9</v>
      </c>
      <c r="N39" s="24">
        <f>K39+L39+M39</f>
        <v>221298.3</v>
      </c>
      <c r="O39" s="26">
        <f>IF(D39=0,0,100*(N39-D39)/D39)</f>
        <v>0.0009489543878321547</v>
      </c>
    </row>
    <row r="40" spans="1:15" x14ac:dyDescent="0.25">
      <c r="A40" t="s">
        <v>335</v>
      </c>
      <c r="B40" t="s">
        <v>336</v>
      </c>
      <c r="C40" t="s">
        <v>334</v>
      </c>
      <c r="D40" s="24">
        <f>SUM('Z total'!AN3:AN72)</f>
        <v>172578.40000000002</v>
      </c>
      <c r="E40" s="24">
        <f>SUM('Z total'!AN3:AN66)</f>
        <v>104188.00000000001</v>
      </c>
      <c r="F40" s="24">
        <f>SUM('Z domestic'!AN67:AN72)</f>
        <v>68390.40000000001</v>
      </c>
      <c r="G40" s="24">
        <f>'Z domestic'!AN68</f>
        <v>36394.6</v>
      </c>
      <c r="H40" s="24">
        <f>'Z domestic'!AN67</f>
        <v>31726.2</v>
      </c>
      <c r="I40" s="24">
        <f>'Z domestic'!AN69+'Z domestic'!AN70</f>
        <v>269.5999999999999</v>
      </c>
      <c r="J40" s="25">
        <f>IF(D40=0,0,F40/D40)</f>
        <v>0.3962859778512259</v>
      </c>
      <c r="K40" s="24">
        <f>SUM('Z domestic'!C40:BN40)</f>
        <v>90153.79999999999</v>
      </c>
      <c r="L40" s="24">
        <f>SUM('Z domestic'!BO40:BS40)</f>
        <v>69162.8</v>
      </c>
      <c r="M40" s="24">
        <v>13264.600000000002</v>
      </c>
      <c r="N40" s="24">
        <f>K40+L40+M40</f>
        <v>172581.19999999998</v>
      </c>
      <c r="O40" s="26">
        <f>IF(D40=0,0,100*(N40-D40)/D40)</f>
        <v>0.0016224510135615803</v>
      </c>
    </row>
    <row r="41" spans="1:15" x14ac:dyDescent="0.25">
      <c r="A41" t="s">
        <v>337</v>
      </c>
      <c r="B41" t="s">
        <v>338</v>
      </c>
      <c r="C41" t="s">
        <v>334</v>
      </c>
      <c r="D41" s="24">
        <f>SUM('Z total'!AO3:AO72)</f>
        <v>344352.79999999993</v>
      </c>
      <c r="E41" s="24">
        <f>SUM('Z total'!AO3:AO66)</f>
        <v>207040.59999999995</v>
      </c>
      <c r="F41" s="24">
        <f>SUM('Z domestic'!AO67:AO72)</f>
        <v>137312.19999999998</v>
      </c>
      <c r="G41" s="24">
        <f>'Z domestic'!AO68</f>
        <v>46778.1</v>
      </c>
      <c r="H41" s="24">
        <f>'Z domestic'!AO67</f>
        <v>86386.5</v>
      </c>
      <c r="I41" s="24">
        <f>'Z domestic'!AO69+'Z domestic'!AO70</f>
        <v>4147.6</v>
      </c>
      <c r="J41" s="25">
        <f>IF(D41=0,0,F41/D41)</f>
        <v>0.3987544169816537</v>
      </c>
      <c r="K41" s="24">
        <f>SUM('Z domestic'!C41:BN41)</f>
        <v>189742.49999999994</v>
      </c>
      <c r="L41" s="24">
        <f>SUM('Z domestic'!BO41:BS41)</f>
        <v>135689.1</v>
      </c>
      <c r="M41" s="24">
        <v>18924.1</v>
      </c>
      <c r="N41" s="24">
        <f>K41+L41+M41</f>
        <v>344355.69999999995</v>
      </c>
      <c r="O41" s="26">
        <f>IF(D41=0,0,100*(N41-D41)/D41)</f>
        <v>0.0008421595526685107</v>
      </c>
    </row>
    <row r="42" spans="1:15" x14ac:dyDescent="0.25">
      <c r="A42" t="s">
        <v>339</v>
      </c>
      <c r="B42" t="s">
        <v>340</v>
      </c>
      <c r="C42" t="s">
        <v>334</v>
      </c>
      <c r="D42" s="24">
        <f>SUM('Z total'!AP3:AP72)</f>
        <v>1102310.4000000001</v>
      </c>
      <c r="E42" s="24">
        <f>SUM('Z total'!AP3:AP66)</f>
        <v>584342.9000000001</v>
      </c>
      <c r="F42" s="24">
        <f>SUM('Z domestic'!AP67:AP72)</f>
        <v>517967.5</v>
      </c>
      <c r="G42" s="24">
        <f>'Z domestic'!AP68</f>
        <v>326346.8</v>
      </c>
      <c r="H42" s="24">
        <f>'Z domestic'!AP67</f>
        <v>181778.8</v>
      </c>
      <c r="I42" s="24">
        <f>'Z domestic'!AP69+'Z domestic'!AP70</f>
        <v>9841.9</v>
      </c>
      <c r="J42" s="25">
        <f>IF(D42=0,0,F42/D42)</f>
        <v>0.46989260012424805</v>
      </c>
      <c r="K42" s="24">
        <f>SUM('Z domestic'!C42:BN42)</f>
        <v>610947.7</v>
      </c>
      <c r="L42" s="24">
        <f>SUM('Z domestic'!BO42:BS42)</f>
        <v>298455.8</v>
      </c>
      <c r="M42" s="24">
        <v>192909.00000000003</v>
      </c>
      <c r="N42" s="24">
        <f>K42+L42+M42</f>
        <v>1102312.5</v>
      </c>
      <c r="O42" s="26">
        <f>IF(D42=0,0,100*(N42-D42)/D42)</f>
        <v>0.00019050895281948728</v>
      </c>
    </row>
    <row r="43" spans="1:15" x14ac:dyDescent="0.25">
      <c r="A43" t="s">
        <v>341</v>
      </c>
      <c r="B43" t="s">
        <v>342</v>
      </c>
      <c r="C43" t="s">
        <v>343</v>
      </c>
      <c r="D43" s="24">
        <f>SUM('Z total'!AQ3:AQ72)</f>
        <v>834445.7000000001</v>
      </c>
      <c r="E43" s="24">
        <f>SUM('Z total'!AQ3:AQ66)</f>
        <v>369420.10000000015</v>
      </c>
      <c r="F43" s="24">
        <f>SUM('Z domestic'!AQ67:AQ72)</f>
        <v>465025.5999999999</v>
      </c>
      <c r="G43" s="24">
        <f>'Z domestic'!AQ68</f>
        <v>202559.6</v>
      </c>
      <c r="H43" s="24">
        <f>'Z domestic'!AQ67</f>
        <v>207063.7</v>
      </c>
      <c r="I43" s="24">
        <f>'Z domestic'!AQ69+'Z domestic'!AQ70</f>
        <v>55402.3</v>
      </c>
      <c r="J43" s="25">
        <f>IF(D43=0,0,F43/D43)</f>
        <v>0.5572868312461792</v>
      </c>
      <c r="K43" s="24">
        <f>SUM('Z domestic'!C43:BN43)</f>
        <v>556009.8999999998</v>
      </c>
      <c r="L43" s="24">
        <f>SUM('Z domestic'!BO43:BS43)</f>
        <v>181816.59999999998</v>
      </c>
      <c r="M43" s="24">
        <v>96621</v>
      </c>
      <c r="N43" s="24">
        <f>K43+L43+M43</f>
        <v>834447.4999999998</v>
      </c>
      <c r="O43" s="26">
        <f>IF(D43=0,0,100*(N43-D43)/D43)</f>
        <v>0.00021571205889295557</v>
      </c>
    </row>
    <row r="44" spans="1:15" x14ac:dyDescent="0.25">
      <c r="A44" t="s">
        <v>344</v>
      </c>
      <c r="B44" t="s">
        <v>345</v>
      </c>
      <c r="C44" t="s">
        <v>343</v>
      </c>
      <c r="D44" s="24">
        <f>SUM('Z total'!AR3:AR72)</f>
        <v>401186.1</v>
      </c>
      <c r="E44" s="24">
        <f>SUM('Z total'!AR3:AR66)</f>
        <v>249794.59999999995</v>
      </c>
      <c r="F44" s="24">
        <f>SUM('Z domestic'!AR67:AR72)</f>
        <v>151391.50000000003</v>
      </c>
      <c r="G44" s="24">
        <f>'Z domestic'!AR68</f>
        <v>52745.7</v>
      </c>
      <c r="H44" s="24">
        <f>'Z domestic'!AR67</f>
        <v>77592.6</v>
      </c>
      <c r="I44" s="24">
        <f>'Z domestic'!AR69+'Z domestic'!AR70</f>
        <v>21053.2</v>
      </c>
      <c r="J44" s="25">
        <f>IF(D44=0,0,F44/D44)</f>
        <v>0.3773597839007883</v>
      </c>
      <c r="K44" s="24">
        <f>SUM('Z domestic'!C44:BN44)</f>
        <v>134929.8</v>
      </c>
      <c r="L44" s="24">
        <f>SUM('Z domestic'!BO44:BS44)</f>
        <v>229409.1</v>
      </c>
      <c r="M44" s="24">
        <v>36852.2</v>
      </c>
      <c r="N44" s="24">
        <f>K44+L44+M44</f>
        <v>401191.10000000003</v>
      </c>
      <c r="O44" s="26">
        <f>IF(D44=0,0,100*(N44-D44)/D44)</f>
        <v>0.0012463043958755781</v>
      </c>
    </row>
    <row r="45" spans="1:15" x14ac:dyDescent="0.25">
      <c r="A45" t="s">
        <v>346</v>
      </c>
      <c r="B45" t="s">
        <v>347</v>
      </c>
      <c r="C45" t="s">
        <v>343</v>
      </c>
      <c r="D45" s="24">
        <f>SUM('Z total'!AS3:AS72)</f>
        <v>311316.99999999994</v>
      </c>
      <c r="E45" s="24">
        <f>SUM('Z total'!AS3:AS66)</f>
        <v>171183.49999999997</v>
      </c>
      <c r="F45" s="24">
        <f>SUM('Z domestic'!AS67:AS72)</f>
        <v>140133.49999999997</v>
      </c>
      <c r="G45" s="24">
        <f>'Z domestic'!AS68</f>
        <v>75668.7</v>
      </c>
      <c r="H45" s="24">
        <f>'Z domestic'!AS67</f>
        <v>50830.9</v>
      </c>
      <c r="I45" s="24">
        <f>'Z domestic'!AS69+'Z domestic'!AS70</f>
        <v>13633.9</v>
      </c>
      <c r="J45" s="25">
        <f>IF(D45=0,0,F45/D45)</f>
        <v>0.4501312167340685</v>
      </c>
      <c r="K45" s="24">
        <f>SUM('Z domestic'!C45:BN45)</f>
        <v>264405.70000000007</v>
      </c>
      <c r="L45" s="24">
        <f>SUM('Z domestic'!BO45:BS45)</f>
        <v>26570.1</v>
      </c>
      <c r="M45" s="24">
        <v>20344.499999999996</v>
      </c>
      <c r="N45" s="24">
        <f>K45+L45+M45</f>
        <v>311320.30000000005</v>
      </c>
      <c r="O45" s="26">
        <f>IF(D45=0,0,100*(N45-D45)/D45)</f>
        <v>0.001060012784430267</v>
      </c>
    </row>
    <row r="46" spans="1:15" x14ac:dyDescent="0.25">
      <c r="A46" t="s">
        <v>348</v>
      </c>
      <c r="B46" t="s">
        <v>349</v>
      </c>
      <c r="C46" t="s">
        <v>348</v>
      </c>
      <c r="D46" s="24">
        <f>SUM('Z total'!AT3:AT72)</f>
        <v>2108661.6</v>
      </c>
      <c r="E46" s="24">
        <f>SUM('Z total'!AT3:AT66)</f>
        <v>409097.30000000005</v>
      </c>
      <c r="F46" s="24">
        <f>SUM('Z domestic'!AT67:AT72)</f>
        <v>1699564.3</v>
      </c>
      <c r="G46" s="24">
        <f>'Z domestic'!AT68</f>
        <v>84237</v>
      </c>
      <c r="H46" s="24">
        <f>'Z domestic'!AT67</f>
        <v>1495163.6</v>
      </c>
      <c r="I46" s="24">
        <f>'Z domestic'!AT69+'Z domestic'!AT70</f>
        <v>120163.70000000001</v>
      </c>
      <c r="J46" s="25">
        <f>IF(D46=0,0,F46/D46)</f>
        <v>0.8059919619155582</v>
      </c>
      <c r="K46" s="24">
        <f>SUM('Z domestic'!C46:BN46)</f>
        <v>584277.7000000001</v>
      </c>
      <c r="L46" s="24">
        <f>SUM('Z domestic'!BO46:BS46)</f>
        <v>1519413.5999999999</v>
      </c>
      <c r="M46" s="24">
        <v>4973</v>
      </c>
      <c r="N46" s="24">
        <f>K46+L46+M46</f>
        <v>2108664.3</v>
      </c>
      <c r="O46" s="26">
        <f>IF(D46=0,0,100*(N46-D46)/D46)</f>
        <v>0.000128043304823603</v>
      </c>
    </row>
    <row r="47" spans="1:15" x14ac:dyDescent="0.25">
      <c r="A47" t="s">
        <v>350</v>
      </c>
      <c r="B47" t="s">
        <v>351</v>
      </c>
      <c r="C47" t="s">
        <v>352</v>
      </c>
      <c r="D47" s="24">
        <f>SUM('Z total'!AU3:AU72)</f>
        <v>1133952.2</v>
      </c>
      <c r="E47" s="24">
        <f>SUM('Z total'!AU3:AU66)</f>
        <v>567754.7999999999</v>
      </c>
      <c r="F47" s="24">
        <f>SUM('Z domestic'!AU67:AU72)</f>
        <v>566197.4</v>
      </c>
      <c r="G47" s="24">
        <f>'Z domestic'!AU68</f>
        <v>339931.2</v>
      </c>
      <c r="H47" s="24">
        <f>'Z domestic'!AU67</f>
        <v>210975.3</v>
      </c>
      <c r="I47" s="24">
        <f>'Z domestic'!AU69+'Z domestic'!AU70</f>
        <v>15290.9</v>
      </c>
      <c r="J47" s="25">
        <f>IF(D47=0,0,F47/D47)</f>
        <v>0.49931328675053505</v>
      </c>
      <c r="K47" s="24">
        <f>SUM('Z domestic'!C47:BN47)</f>
        <v>944038.5999999999</v>
      </c>
      <c r="L47" s="24">
        <f>SUM('Z domestic'!BO47:BS47)</f>
        <v>86348</v>
      </c>
      <c r="M47" s="24">
        <v>103566.6</v>
      </c>
      <c r="N47" s="24">
        <f>K47+L47+M47</f>
        <v>1133953.2</v>
      </c>
      <c r="O47" s="26">
        <f>IF(D47=0,0,100*(N47-D47)/D47)</f>
        <v>0.00008818713877294217</v>
      </c>
    </row>
    <row r="48" spans="1:15" x14ac:dyDescent="0.25">
      <c r="A48" t="s">
        <v>353</v>
      </c>
      <c r="B48" t="s">
        <v>354</v>
      </c>
      <c r="C48" t="s">
        <v>352</v>
      </c>
      <c r="D48" s="24">
        <f>SUM('Z total'!AV3:AV72)</f>
        <v>448418.20000000007</v>
      </c>
      <c r="E48" s="24">
        <f>SUM('Z total'!AV3:AV66)</f>
        <v>219118.80000000002</v>
      </c>
      <c r="F48" s="24">
        <f>SUM('Z domestic'!AV67:AV72)</f>
        <v>229299.40000000005</v>
      </c>
      <c r="G48" s="24">
        <f>'Z domestic'!AV68</f>
        <v>140991.6</v>
      </c>
      <c r="H48" s="24">
        <f>'Z domestic'!AV67</f>
        <v>83826.4</v>
      </c>
      <c r="I48" s="24">
        <f>'Z domestic'!AV69+'Z domestic'!AV70</f>
        <v>4481.4</v>
      </c>
      <c r="J48" s="25">
        <f>IF(D48=0,0,F48/D48)</f>
        <v>0.5113516801949609</v>
      </c>
      <c r="K48" s="24">
        <f>SUM('Z domestic'!C48:BN48)</f>
        <v>299321.2</v>
      </c>
      <c r="L48" s="24">
        <f>SUM('Z domestic'!BO48:BS48)</f>
        <v>117489</v>
      </c>
      <c r="M48" s="24">
        <v>31612</v>
      </c>
      <c r="N48" s="24">
        <f>K48+L48+M48</f>
        <v>448422.2</v>
      </c>
      <c r="O48" s="26">
        <f>IF(D48=0,0,100*(N48-D48)/D48)</f>
        <v>0.0008920244539324194</v>
      </c>
    </row>
    <row r="49" spans="1:15" x14ac:dyDescent="0.25">
      <c r="A49" t="s">
        <v>355</v>
      </c>
      <c r="B49" t="s">
        <v>356</v>
      </c>
      <c r="C49" t="s">
        <v>352</v>
      </c>
      <c r="D49" s="24">
        <f>SUM('Z total'!AW3:AW72)</f>
        <v>245570.9</v>
      </c>
      <c r="E49" s="24">
        <f>SUM('Z total'!AW3:AW66)</f>
        <v>84179.49999999999</v>
      </c>
      <c r="F49" s="24">
        <f>SUM('Z domestic'!AW67:AW72)</f>
        <v>161391.40000000002</v>
      </c>
      <c r="G49" s="24">
        <f>'Z domestic'!AW68</f>
        <v>80574.1</v>
      </c>
      <c r="H49" s="24">
        <f>'Z domestic'!AW67</f>
        <v>81112.1</v>
      </c>
      <c r="I49" s="24">
        <f>'Z domestic'!AW69+'Z domestic'!AW70</f>
        <v>-294.8000000000002</v>
      </c>
      <c r="J49" s="25">
        <f>IF(D49=0,0,F49/D49)</f>
        <v>0.6572089771222894</v>
      </c>
      <c r="K49" s="24">
        <f>SUM('Z domestic'!C49:BN49)</f>
        <v>42695.1</v>
      </c>
      <c r="L49" s="24">
        <f>SUM('Z domestic'!BO49:BS49)</f>
        <v>180853.1</v>
      </c>
      <c r="M49" s="24">
        <v>22025.500000000004</v>
      </c>
      <c r="N49" s="24">
        <f>K49+L49+M49</f>
        <v>245573.7</v>
      </c>
      <c r="O49" s="26">
        <f>IF(D49=0,0,100*(N49-D49)/D49)</f>
        <v>0.0011402002436027487</v>
      </c>
    </row>
    <row r="50" spans="1:15" x14ac:dyDescent="0.25">
      <c r="A50" t="s">
        <v>357</v>
      </c>
      <c r="B50" t="s">
        <v>358</v>
      </c>
      <c r="C50" t="s">
        <v>352</v>
      </c>
      <c r="D50" s="24">
        <f>SUM('Z total'!AX3:AX72)</f>
        <v>172665.50000000003</v>
      </c>
      <c r="E50" s="24">
        <f>SUM('Z total'!AX3:AX66)</f>
        <v>106165</v>
      </c>
      <c r="F50" s="24">
        <f>SUM('Z domestic'!AX67:AX72)</f>
        <v>66500.50000000003</v>
      </c>
      <c r="G50" s="24">
        <f>'Z domestic'!AX68</f>
        <v>40093.7</v>
      </c>
      <c r="H50" s="24">
        <f>'Z domestic'!AX67</f>
        <v>25001.2</v>
      </c>
      <c r="I50" s="24">
        <f>'Z domestic'!AX69+'Z domestic'!AX70</f>
        <v>1405.6</v>
      </c>
      <c r="J50" s="25">
        <f>IF(D50=0,0,F50/D50)</f>
        <v>0.3851406331896066</v>
      </c>
      <c r="K50" s="24">
        <f>SUM('Z domestic'!C50:BN50)</f>
        <v>147544.99999999994</v>
      </c>
      <c r="L50" s="24">
        <f>SUM('Z domestic'!BO50:BS50)</f>
        <v>3195.3</v>
      </c>
      <c r="M50" s="24">
        <v>21928.600000000002</v>
      </c>
      <c r="N50" s="24">
        <f>K50+L50+M50</f>
        <v>172668.89999999994</v>
      </c>
      <c r="O50" s="26">
        <f>IF(D50=0,0,100*(N50-D50)/D50)</f>
        <v>0.0019691252739585307</v>
      </c>
    </row>
    <row r="51" spans="1:15" x14ac:dyDescent="0.25">
      <c r="A51" t="s">
        <v>359</v>
      </c>
      <c r="B51" t="s">
        <v>360</v>
      </c>
      <c r="C51" t="s">
        <v>352</v>
      </c>
      <c r="D51" s="24">
        <f>SUM('Z total'!AY3:AY72)</f>
        <v>162735.4</v>
      </c>
      <c r="E51" s="24">
        <f>SUM('Z total'!AY3:AY66)</f>
        <v>79484.4</v>
      </c>
      <c r="F51" s="24">
        <f>SUM('Z domestic'!AY67:AY72)</f>
        <v>83251</v>
      </c>
      <c r="G51" s="24">
        <f>'Z domestic'!AY68</f>
        <v>34556.9</v>
      </c>
      <c r="H51" s="24">
        <f>'Z domestic'!AY67</f>
        <v>47044.1</v>
      </c>
      <c r="I51" s="24">
        <f>'Z domestic'!AY69+'Z domestic'!AY70</f>
        <v>1650</v>
      </c>
      <c r="J51" s="25">
        <f>IF(D51=0,0,F51/D51)</f>
        <v>0.5115727739631328</v>
      </c>
      <c r="K51" s="24">
        <f>SUM('Z domestic'!C51:BN51)</f>
        <v>126011.79999999999</v>
      </c>
      <c r="L51" s="24">
        <f>SUM('Z domestic'!BO51:BS51)</f>
        <v>27555.400000000005</v>
      </c>
      <c r="M51" s="24">
        <v>9171.5</v>
      </c>
      <c r="N51" s="24">
        <f>K51+L51+M51</f>
        <v>162738.69999999998</v>
      </c>
      <c r="O51" s="26">
        <f>IF(D51=0,0,100*(N51-D51)/D51)</f>
        <v>0.0020278316825892576</v>
      </c>
    </row>
    <row r="52" spans="1:15" x14ac:dyDescent="0.25">
      <c r="A52" t="s">
        <v>361</v>
      </c>
      <c r="B52" t="s">
        <v>362</v>
      </c>
      <c r="C52" t="s">
        <v>363</v>
      </c>
      <c r="D52" s="24">
        <f>SUM('Z total'!AZ3:AZ72)</f>
        <v>368437.2</v>
      </c>
      <c r="E52" s="24">
        <f>SUM('Z total'!AZ3:AZ66)</f>
        <v>171113.4</v>
      </c>
      <c r="F52" s="24">
        <f>SUM('Z domestic'!AZ67:AZ72)</f>
        <v>197323.80000000002</v>
      </c>
      <c r="G52" s="24">
        <f>'Z domestic'!AZ68</f>
        <v>33083.2</v>
      </c>
      <c r="H52" s="24">
        <f>'Z domestic'!AZ67</f>
        <v>159246.6</v>
      </c>
      <c r="I52" s="24">
        <f>'Z domestic'!AZ69+'Z domestic'!AZ70</f>
        <v>4994</v>
      </c>
      <c r="J52" s="25">
        <f>IF(D52=0,0,F52/D52)</f>
        <v>0.5355696981738001</v>
      </c>
      <c r="K52" s="24">
        <f>SUM('Z domestic'!C52:BN52)</f>
        <v>293578.60000000003</v>
      </c>
      <c r="L52" s="24">
        <f>SUM('Z domestic'!BO52:BS52)</f>
        <v>37001.4</v>
      </c>
      <c r="M52" s="24">
        <v>37859.3</v>
      </c>
      <c r="N52" s="24">
        <f>K52+L52+M52</f>
        <v>368439.30000000005</v>
      </c>
      <c r="O52" s="26">
        <f>IF(D52=0,0,100*(N52-D52)/D52)</f>
        <v>0.0005699750188186548</v>
      </c>
    </row>
    <row r="53" spans="1:15" x14ac:dyDescent="0.25">
      <c r="A53" t="s">
        <v>364</v>
      </c>
      <c r="B53" t="s">
        <v>365</v>
      </c>
      <c r="C53" t="s">
        <v>363</v>
      </c>
      <c r="D53" s="24">
        <f>SUM('Z total'!BA3:BA72)</f>
        <v>232880.9</v>
      </c>
      <c r="E53" s="24">
        <f>SUM('Z total'!BA3:BA66)</f>
        <v>54044.99999999999</v>
      </c>
      <c r="F53" s="24">
        <f>SUM('Z domestic'!BA67:BA72)</f>
        <v>178835.9</v>
      </c>
      <c r="G53" s="24">
        <f>'Z domestic'!BA68</f>
        <v>165308.9</v>
      </c>
      <c r="H53" s="24">
        <f>'Z domestic'!BA67</f>
        <v>11516.8</v>
      </c>
      <c r="I53" s="24">
        <f>'Z domestic'!BA69+'Z domestic'!BA70</f>
        <v>2010.2</v>
      </c>
      <c r="J53" s="25">
        <f>IF(D53=0,0,F53/D53)</f>
        <v>0.7679285849547988</v>
      </c>
      <c r="K53" s="24">
        <f>SUM('Z domestic'!C53:BN53)</f>
        <v>220778.69999999998</v>
      </c>
      <c r="L53" s="24">
        <f>SUM('Z domestic'!BO53:BS53)</f>
        <v>7545.200000000001</v>
      </c>
      <c r="M53" s="24">
        <v>4561.8</v>
      </c>
      <c r="N53" s="24">
        <f>K53+L53+M53</f>
        <v>232885.69999999998</v>
      </c>
      <c r="O53" s="26">
        <f>IF(D53=0,0,100*(N53-D53)/D53)</f>
        <v>0.002061139406459466</v>
      </c>
    </row>
    <row r="54" spans="1:15" x14ac:dyDescent="0.25">
      <c r="A54" t="s">
        <v>366</v>
      </c>
      <c r="B54" t="s">
        <v>367</v>
      </c>
      <c r="C54" t="s">
        <v>363</v>
      </c>
      <c r="D54" s="24">
        <f>SUM('Z total'!BB3:BB72)</f>
        <v>125342.90000000002</v>
      </c>
      <c r="E54" s="24">
        <f>SUM('Z total'!BB3:BB66)</f>
        <v>95304.8</v>
      </c>
      <c r="F54" s="24">
        <f>SUM('Z domestic'!BB67:BB72)</f>
        <v>30038.10000000002</v>
      </c>
      <c r="G54" s="24">
        <f>'Z domestic'!BB68</f>
        <v>12775</v>
      </c>
      <c r="H54" s="24">
        <f>'Z domestic'!BB67</f>
        <v>16841.4</v>
      </c>
      <c r="I54" s="24">
        <f>'Z domestic'!BB69+'Z domestic'!BB70</f>
        <v>421.69999999999993</v>
      </c>
      <c r="J54" s="25">
        <f>IF(D54=0,0,F54/D54)</f>
        <v>0.23964739925436554</v>
      </c>
      <c r="K54" s="24">
        <f>SUM('Z domestic'!C54:BN54)</f>
        <v>33206.299999999996</v>
      </c>
      <c r="L54" s="24">
        <f>SUM('Z domestic'!BO54:BS54)</f>
        <v>78654.09999999999</v>
      </c>
      <c r="M54" s="24">
        <v>13486.599999999999</v>
      </c>
      <c r="N54" s="24">
        <f>K54+L54+M54</f>
        <v>125347</v>
      </c>
      <c r="O54" s="26">
        <f>IF(D54=0,0,100*(N54-D54)/D54)</f>
        <v>0.0032710269189257343</v>
      </c>
    </row>
    <row r="55" spans="1:15" x14ac:dyDescent="0.25">
      <c r="A55" t="s">
        <v>368</v>
      </c>
      <c r="B55" t="s">
        <v>369</v>
      </c>
      <c r="C55" t="s">
        <v>363</v>
      </c>
      <c r="D55" s="24">
        <f>SUM('Z total'!BC3:BC72)</f>
        <v>638090.4</v>
      </c>
      <c r="E55" s="24">
        <f>SUM('Z total'!BC3:BC66)</f>
        <v>305442.39999999997</v>
      </c>
      <c r="F55" s="24">
        <f>SUM('Z domestic'!BC67:BC72)</f>
        <v>332648.00000000006</v>
      </c>
      <c r="G55" s="24">
        <f>'Z domestic'!BC68</f>
        <v>231395.7</v>
      </c>
      <c r="H55" s="24">
        <f>'Z domestic'!BC67</f>
        <v>97541.7</v>
      </c>
      <c r="I55" s="24">
        <f>'Z domestic'!BC69+'Z domestic'!BC70</f>
        <v>3710.5999999999995</v>
      </c>
      <c r="J55" s="25">
        <f>IF(D55=0,0,F55/D55)</f>
        <v>0.5213179825303751</v>
      </c>
      <c r="K55" s="24">
        <f>SUM('Z domestic'!C55:BN55)</f>
        <v>527990.4000000001</v>
      </c>
      <c r="L55" s="24">
        <f>SUM('Z domestic'!BO55:BS55)</f>
        <v>70654.7</v>
      </c>
      <c r="M55" s="24">
        <v>39447.5</v>
      </c>
      <c r="N55" s="24">
        <f>K55+L55+M55</f>
        <v>638092.6000000001</v>
      </c>
      <c r="O55" s="26">
        <f>IF(D55=0,0,100*(N55-D55)/D55)</f>
        <v>0.00034477873357540947</v>
      </c>
    </row>
    <row r="56" spans="1:15" x14ac:dyDescent="0.25">
      <c r="A56" t="s">
        <v>370</v>
      </c>
      <c r="B56" t="s">
        <v>371</v>
      </c>
      <c r="C56" t="s">
        <v>372</v>
      </c>
      <c r="D56" s="24">
        <f>SUM('Z total'!BD3:BD72)</f>
        <v>1436602.5999999999</v>
      </c>
      <c r="E56" s="24">
        <f>SUM('Z total'!BD3:BD66)</f>
        <v>422890.1</v>
      </c>
      <c r="F56" s="24">
        <f>SUM('Z domestic'!BD67:BD72)</f>
        <v>1013712.4999999999</v>
      </c>
      <c r="G56" s="24">
        <f>'Z domestic'!BD68</f>
        <v>713606.4</v>
      </c>
      <c r="H56" s="24">
        <f>'Z domestic'!BD67</f>
        <v>235106.9</v>
      </c>
      <c r="I56" s="24">
        <f>'Z domestic'!BD69+'Z domestic'!BD70</f>
        <v>64999.2</v>
      </c>
      <c r="J56" s="25">
        <f>IF(D56=0,0,F56/D56)</f>
        <v>0.7056318149500773</v>
      </c>
      <c r="K56" s="24">
        <f>SUM('Z domestic'!C56:BN56)</f>
        <v>170710.4</v>
      </c>
      <c r="L56" s="24">
        <f>SUM('Z domestic'!BO56:BS56)</f>
        <v>1249201.9</v>
      </c>
      <c r="M56" s="24">
        <v>16693.1</v>
      </c>
      <c r="N56" s="24">
        <f>K56+L56+M56</f>
        <v>1436605.4</v>
      </c>
      <c r="O56" s="26">
        <f>IF(D56=0,0,100*(N56-D56)/D56)</f>
        <v>0.0001949042831896403</v>
      </c>
    </row>
    <row r="57" spans="1:15" x14ac:dyDescent="0.25">
      <c r="A57" t="s">
        <v>373</v>
      </c>
      <c r="B57" t="s">
        <v>374</v>
      </c>
      <c r="C57" t="s">
        <v>375</v>
      </c>
      <c r="D57" s="24">
        <f>SUM('Z total'!BE3:BE72)</f>
        <v>944214.3999999999</v>
      </c>
      <c r="E57" s="24">
        <f>SUM('Z total'!BE3:BE66)</f>
        <v>185664.3</v>
      </c>
      <c r="F57" s="24">
        <f>SUM('Z domestic'!BE67:BE72)</f>
        <v>758550.0999999999</v>
      </c>
      <c r="G57" s="24">
        <f>'Z domestic'!BE68</f>
        <v>615661.2</v>
      </c>
      <c r="H57" s="24">
        <f>'Z domestic'!BE67</f>
        <v>119321.5</v>
      </c>
      <c r="I57" s="24">
        <f>'Z domestic'!BE69+'Z domestic'!BE70</f>
        <v>23567.4</v>
      </c>
      <c r="J57" s="25">
        <f>IF(D57=0,0,F57/D57)</f>
        <v>0.8033663752639231</v>
      </c>
      <c r="K57" s="24">
        <f>SUM('Z domestic'!C57:BN57)</f>
        <v>97535.90000000001</v>
      </c>
      <c r="L57" s="24">
        <f>SUM('Z domestic'!BO57:BS57)</f>
        <v>840547.2999999999</v>
      </c>
      <c r="M57" s="24">
        <v>6132.9</v>
      </c>
      <c r="N57" s="24">
        <f>K57+L57+M57</f>
        <v>944216.1</v>
      </c>
      <c r="O57" s="26">
        <f>IF(D57=0,0,100*(N57-D57)/D57)</f>
        <v>0.0001800438544416855</v>
      </c>
    </row>
    <row r="58" spans="1:15" x14ac:dyDescent="0.25">
      <c r="A58" t="s">
        <v>376</v>
      </c>
      <c r="B58" t="s">
        <v>377</v>
      </c>
      <c r="C58" t="s">
        <v>378</v>
      </c>
      <c r="D58" s="24">
        <f>SUM('Z total'!BF3:BF72)</f>
        <v>1254220</v>
      </c>
      <c r="E58" s="24">
        <f>SUM('Z total'!BF3:BF66)</f>
        <v>429079.7</v>
      </c>
      <c r="F58" s="24">
        <f>SUM('Z domestic'!BF67:BF72)</f>
        <v>825140.3</v>
      </c>
      <c r="G58" s="24">
        <f>'Z domestic'!BF68</f>
        <v>556785.3</v>
      </c>
      <c r="H58" s="24">
        <f>'Z domestic'!BF67</f>
        <v>221855.3</v>
      </c>
      <c r="I58" s="24">
        <f>'Z domestic'!BF69+'Z domestic'!BF70</f>
        <v>46499.700000000004</v>
      </c>
      <c r="J58" s="25">
        <f>IF(D58=0,0,F58/D58)</f>
        <v>0.6578911993111257</v>
      </c>
      <c r="K58" s="24">
        <f>SUM('Z domestic'!C58:BN58)</f>
        <v>111531.30000000002</v>
      </c>
      <c r="L58" s="24">
        <f>SUM('Z domestic'!BO58:BS58)</f>
        <v>1139500.2999999998</v>
      </c>
      <c r="M58" s="24">
        <v>3190.4999999999995</v>
      </c>
      <c r="N58" s="24">
        <f>K58+L58+M58</f>
        <v>1254222.0999999999</v>
      </c>
      <c r="O58" s="26">
        <f>IF(D58=0,0,100*(N58-D58)/D58)</f>
        <v>0.0001674347403055526</v>
      </c>
    </row>
    <row r="59" spans="1:15" x14ac:dyDescent="0.25">
      <c r="A59" t="s">
        <v>379</v>
      </c>
      <c r="B59" t="s">
        <v>380</v>
      </c>
      <c r="C59" t="s">
        <v>378</v>
      </c>
      <c r="D59" s="24">
        <f>SUM('Z total'!BG3:BG72)</f>
        <v>542212.2000000001</v>
      </c>
      <c r="E59" s="24">
        <f>SUM('Z total'!BG3:BG66)</f>
        <v>154707.90000000005</v>
      </c>
      <c r="F59" s="24">
        <f>SUM('Z domestic'!BG67:BG72)</f>
        <v>387504.30000000005</v>
      </c>
      <c r="G59" s="24">
        <f>'Z domestic'!BG68</f>
        <v>326038.8</v>
      </c>
      <c r="H59" s="24">
        <f>'Z domestic'!BG67</f>
        <v>43459.1</v>
      </c>
      <c r="I59" s="24">
        <f>'Z domestic'!BG69+'Z domestic'!BG70</f>
        <v>18006.4</v>
      </c>
      <c r="J59" s="25">
        <f>IF(D59=0,0,F59/D59)</f>
        <v>0.7146727794026029</v>
      </c>
      <c r="K59" s="24">
        <f>SUM('Z domestic'!C59:BN59)</f>
        <v>18577.7</v>
      </c>
      <c r="L59" s="24">
        <f>SUM('Z domestic'!BO59:BS59)</f>
        <v>523172.29999999993</v>
      </c>
      <c r="M59" s="24">
        <v>465.4999999999999</v>
      </c>
      <c r="N59" s="24">
        <f>K59+L59+M59</f>
        <v>542215.4999999999</v>
      </c>
      <c r="O59" s="26">
        <f>IF(D59=0,0,100*(N59-D59)/D59)</f>
        <v>0.000608617806816252</v>
      </c>
    </row>
    <row r="60" spans="1:15" x14ac:dyDescent="0.25">
      <c r="A60" t="s">
        <v>381</v>
      </c>
      <c r="B60" t="s">
        <v>382</v>
      </c>
      <c r="C60" t="s">
        <v>383</v>
      </c>
      <c r="D60" s="24">
        <f>SUM('Z total'!BH3:BH72)</f>
        <v>229136.40000000005</v>
      </c>
      <c r="E60" s="24">
        <f>SUM('Z total'!BH3:BH66)</f>
        <v>110967.40000000004</v>
      </c>
      <c r="F60" s="24">
        <f>SUM('Z domestic'!BH67:BH72)</f>
        <v>118169.00000000001</v>
      </c>
      <c r="G60" s="24">
        <f>'Z domestic'!BH68</f>
        <v>54191.3</v>
      </c>
      <c r="H60" s="24">
        <f>'Z domestic'!BH67</f>
        <v>55685.1</v>
      </c>
      <c r="I60" s="24">
        <f>'Z domestic'!BH69+'Z domestic'!BH70</f>
        <v>8292.6</v>
      </c>
      <c r="J60" s="25">
        <f>IF(D60=0,0,F60/D60)</f>
        <v>0.515714657295829</v>
      </c>
      <c r="K60" s="24">
        <f>SUM('Z domestic'!C60:BN60)</f>
        <v>52032.399999999994</v>
      </c>
      <c r="L60" s="24">
        <f>SUM('Z domestic'!BO60:BS60)</f>
        <v>169261.1</v>
      </c>
      <c r="M60" s="24">
        <v>7845.7</v>
      </c>
      <c r="N60" s="24">
        <f>K60+L60+M60</f>
        <v>229139.2</v>
      </c>
      <c r="O60" s="26">
        <f>IF(D60=0,0,100*(N60-D60)/D60)</f>
        <v>0.0012219795719624425</v>
      </c>
    </row>
    <row r="61" spans="1:15" x14ac:dyDescent="0.25">
      <c r="A61" t="s">
        <v>384</v>
      </c>
      <c r="B61" t="s">
        <v>385</v>
      </c>
      <c r="C61" t="s">
        <v>383</v>
      </c>
      <c r="D61" s="24">
        <f>SUM('Z total'!BI3:BI72)</f>
        <v>170870.30000000002</v>
      </c>
      <c r="E61" s="24">
        <f>SUM('Z total'!BI3:BI66)</f>
        <v>87487.6</v>
      </c>
      <c r="F61" s="24">
        <f>SUM('Z domestic'!BI67:BI72)</f>
        <v>83382.70000000001</v>
      </c>
      <c r="G61" s="24">
        <f>'Z domestic'!BI68</f>
        <v>54683.6</v>
      </c>
      <c r="H61" s="24">
        <f>'Z domestic'!BI67</f>
        <v>24019.6</v>
      </c>
      <c r="I61" s="24">
        <f>'Z domestic'!BI69+'Z domestic'!BI70</f>
        <v>4679.5</v>
      </c>
      <c r="J61" s="25">
        <f>IF(D61=0,0,F61/D61)</f>
        <v>0.4879882577604183</v>
      </c>
      <c r="K61" s="24">
        <f>SUM('Z domestic'!C61:BN61)</f>
        <v>58171.700000000004</v>
      </c>
      <c r="L61" s="24">
        <f>SUM('Z domestic'!BO61:BS61)</f>
        <v>111484.50000000001</v>
      </c>
      <c r="M61" s="24">
        <v>1215.6</v>
      </c>
      <c r="N61" s="24">
        <f>K61+L61+M61</f>
        <v>170871.80000000002</v>
      </c>
      <c r="O61" s="26">
        <f>IF(D61=0,0,100*(N61-D61)/D61)</f>
        <v>0.0008778588204035458</v>
      </c>
    </row>
    <row r="62" spans="1:15" x14ac:dyDescent="0.25">
      <c r="A62" t="s">
        <v>386</v>
      </c>
      <c r="B62" t="s">
        <v>387</v>
      </c>
      <c r="C62" t="s">
        <v>388</v>
      </c>
      <c r="D62" s="24">
        <f>SUM('Z total'!BJ3:BJ72)</f>
        <v>173882.49999999997</v>
      </c>
      <c r="E62" s="24">
        <f>SUM('Z total'!BJ3:BJ66)</f>
        <v>66854.79999999999</v>
      </c>
      <c r="F62" s="24">
        <f>SUM('Z domestic'!BJ67:BJ72)</f>
        <v>107027.69999999998</v>
      </c>
      <c r="G62" s="24">
        <f>'Z domestic'!BJ68</f>
        <v>89371.3</v>
      </c>
      <c r="H62" s="24">
        <f>'Z domestic'!BJ67</f>
        <v>10920.5</v>
      </c>
      <c r="I62" s="24">
        <f>'Z domestic'!BJ69+'Z domestic'!BJ70</f>
        <v>6735.9</v>
      </c>
      <c r="J62" s="25">
        <f>IF(D62=0,0,F62/D62)</f>
        <v>0.6155173752390264</v>
      </c>
      <c r="K62" s="24">
        <f>SUM('Z domestic'!C62:BN62)</f>
        <v>48404.100000000006</v>
      </c>
      <c r="L62" s="24">
        <f>SUM('Z domestic'!BO62:BS62)</f>
        <v>124432.00000000001</v>
      </c>
      <c r="M62" s="24">
        <v>1050.5</v>
      </c>
      <c r="N62" s="24">
        <f>K62+L62+M62</f>
        <v>173886.60000000003</v>
      </c>
      <c r="O62" s="26">
        <f>IF(D62=0,0,100*(N62-D62)/D62)</f>
        <v>0.0023579141087021575</v>
      </c>
    </row>
    <row r="63" spans="1:15" x14ac:dyDescent="0.25">
      <c r="A63" t="s">
        <v>389</v>
      </c>
      <c r="B63" t="s">
        <v>390</v>
      </c>
      <c r="C63" t="s">
        <v>388</v>
      </c>
      <c r="D63" s="24">
        <f>SUM('Z total'!BK3:BK72)</f>
        <v>32005</v>
      </c>
      <c r="E63" s="24">
        <f>SUM('Z total'!BK3:BK66)</f>
        <v>15102.600000000002</v>
      </c>
      <c r="F63" s="24">
        <f>SUM('Z domestic'!BK67:BK72)</f>
        <v>16902.399999999998</v>
      </c>
      <c r="G63" s="24">
        <f>'Z domestic'!BK68</f>
        <v>8515.5</v>
      </c>
      <c r="H63" s="24">
        <f>'Z domestic'!BK67</f>
        <v>7966</v>
      </c>
      <c r="I63" s="24">
        <f>'Z domestic'!BK69+'Z domestic'!BK70</f>
        <v>420.9</v>
      </c>
      <c r="J63" s="25">
        <f>IF(D63=0,0,F63/D63)</f>
        <v>0.5281174816434931</v>
      </c>
      <c r="K63" s="24">
        <f>SUM('Z domestic'!C63:BN63)</f>
        <v>17367.8</v>
      </c>
      <c r="L63" s="24">
        <f>SUM('Z domestic'!BO63:BS63)</f>
        <v>13264.400000000001</v>
      </c>
      <c r="M63" s="24">
        <v>1376.1999999999998</v>
      </c>
      <c r="N63" s="24">
        <f>K63+L63+M63</f>
        <v>32008.4</v>
      </c>
      <c r="O63" s="26">
        <f>IF(D63=0,0,100*(N63-D63)/D63)</f>
        <v>0.010623340103102069</v>
      </c>
    </row>
    <row r="64" spans="1:15" x14ac:dyDescent="0.25">
      <c r="A64" t="s">
        <v>391</v>
      </c>
      <c r="B64" t="s">
        <v>392</v>
      </c>
      <c r="C64" t="s">
        <v>388</v>
      </c>
      <c r="D64" s="24">
        <f>SUM('Z total'!BL3:BL72)</f>
        <v>188539.69999999998</v>
      </c>
      <c r="E64" s="24">
        <f>SUM('Z total'!BL3:BL66)</f>
        <v>72253.6</v>
      </c>
      <c r="F64" s="24">
        <f>SUM('Z domestic'!BL67:BL72)</f>
        <v>116286.09999999998</v>
      </c>
      <c r="G64" s="24">
        <f>'Z domestic'!BL68</f>
        <v>40841</v>
      </c>
      <c r="H64" s="24">
        <f>'Z domestic'!BL67</f>
        <v>73395.4</v>
      </c>
      <c r="I64" s="24">
        <f>'Z domestic'!BL69+'Z domestic'!BL70</f>
        <v>2049.7000000000003</v>
      </c>
      <c r="J64" s="25">
        <f>IF(D64=0,0,F64/D64)</f>
        <v>0.6167724887649656</v>
      </c>
      <c r="K64" s="24">
        <f>SUM('Z domestic'!C64:BN64)</f>
        <v>38656.5</v>
      </c>
      <c r="L64" s="24">
        <f>SUM('Z domestic'!BO64:BS64)</f>
        <v>148186.80000000002</v>
      </c>
      <c r="M64" s="24">
        <v>1699.6</v>
      </c>
      <c r="N64" s="24">
        <f>K64+L64+M64</f>
        <v>188542.90000000002</v>
      </c>
      <c r="O64" s="26">
        <f>IF(D64=0,0,100*(N64-D64)/D64)</f>
        <v>0.0016972552730489894</v>
      </c>
    </row>
    <row r="65" spans="1:15" x14ac:dyDescent="0.25">
      <c r="A65" t="s">
        <v>393</v>
      </c>
      <c r="B65" t="s">
        <v>394</v>
      </c>
      <c r="C65" t="s">
        <v>393</v>
      </c>
      <c r="D65" s="24">
        <f>SUM('Z total'!BM3:BM72)</f>
        <v>46032.7</v>
      </c>
      <c r="E65" s="24">
        <f>SUM('Z total'!BM3:BM66)</f>
        <v>0</v>
      </c>
      <c r="F65" s="24">
        <f>SUM('Z domestic'!BM67:BM72)</f>
        <v>46032.7</v>
      </c>
      <c r="G65" s="24">
        <f>'Z domestic'!BM68</f>
        <v>46020.6</v>
      </c>
      <c r="H65" s="24">
        <f>'Z domestic'!BM67</f>
        <v>12.1</v>
      </c>
      <c r="I65" s="24">
        <f>'Z domestic'!BM69+'Z domestic'!BM70</f>
        <v>0</v>
      </c>
      <c r="J65" s="25">
        <f>IF(D65=0,0,F65/D65)</f>
        <v>1</v>
      </c>
      <c r="K65" s="24">
        <f>SUM('Z domestic'!C65:BN65)</f>
        <v>651.5</v>
      </c>
      <c r="L65" s="24">
        <f>SUM('Z domestic'!BO65:BS65)</f>
        <v>45378.5</v>
      </c>
      <c r="M65" s="24">
        <v>2.8000000000000003</v>
      </c>
      <c r="N65" s="24">
        <f>K65+L65+M65</f>
        <v>46032.8</v>
      </c>
      <c r="O65" s="26">
        <f>IF(D65=0,0,100*(N65-D65)/D65)</f>
        <v>0.00021723687726017552</v>
      </c>
    </row>
    <row r="66" spans="1:15" x14ac:dyDescent="0.25">
      <c r="A66" t="s">
        <v>395</v>
      </c>
      <c r="B66" t="s">
        <v>396</v>
      </c>
      <c r="C66" t="s">
        <v>395</v>
      </c>
      <c r="D66" s="24">
        <f>SUM('Z total'!BN3:BN72)</f>
        <v>0</v>
      </c>
      <c r="E66" s="24">
        <f>SUM('Z total'!BN3:BN66)</f>
        <v>0</v>
      </c>
      <c r="F66" s="24">
        <f>SUM('Z domestic'!BN67:BN72)</f>
        <v>0</v>
      </c>
      <c r="G66" s="24">
        <f>'Z domestic'!BN68</f>
        <v>0</v>
      </c>
      <c r="H66" s="24">
        <f>'Z domestic'!BN67</f>
        <v>0</v>
      </c>
      <c r="I66" s="24">
        <f>'Z domestic'!BN69+'Z domestic'!BN70</f>
        <v>0</v>
      </c>
      <c r="J66" s="25">
        <f>IF(D66=0,0,F66/D66)</f>
        <v>0</v>
      </c>
      <c r="K66" s="24">
        <f>SUM('Z domestic'!C66:BN66)</f>
        <v>0</v>
      </c>
      <c r="L66" s="24">
        <f>SUM('Z domestic'!BO66:BS66)</f>
        <v>0</v>
      </c>
      <c r="M66" s="24">
        <v>0</v>
      </c>
      <c r="N66" s="24">
        <f>K66+L66+M66</f>
        <v>0</v>
      </c>
      <c r="O66" s="26">
        <f>IF(D66=0,0,100*(N66-D66)/D66)</f>
        <v>0</v>
      </c>
    </row>
  </sheetData>
  <mergeCells count="1">
    <mergeCell ref="A1:N1"/>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7" t="s">
        <v>397</v>
      </c>
      <c r="B1" s="27"/>
      <c r="C1" s="28" t="s">
        <v>273</v>
      </c>
      <c r="D1" s="28" t="s">
        <v>276</v>
      </c>
      <c r="E1" s="28" t="s">
        <v>278</v>
      </c>
      <c r="F1" s="28" t="s">
        <v>280</v>
      </c>
      <c r="G1" s="28" t="s">
        <v>282</v>
      </c>
      <c r="H1" s="28" t="s">
        <v>145</v>
      </c>
      <c r="I1" s="28" t="s">
        <v>85</v>
      </c>
      <c r="J1" s="28" t="s">
        <v>87</v>
      </c>
      <c r="K1" s="28" t="s">
        <v>89</v>
      </c>
      <c r="L1" s="28" t="s">
        <v>91</v>
      </c>
      <c r="M1" s="28" t="s">
        <v>93</v>
      </c>
      <c r="N1" s="28" t="s">
        <v>95</v>
      </c>
      <c r="O1" s="28" t="s">
        <v>97</v>
      </c>
      <c r="P1" s="28" t="s">
        <v>99</v>
      </c>
      <c r="Q1" s="28" t="s">
        <v>101</v>
      </c>
      <c r="R1" s="28" t="s">
        <v>103</v>
      </c>
      <c r="S1" s="28" t="s">
        <v>105</v>
      </c>
      <c r="T1" s="28" t="s">
        <v>107</v>
      </c>
      <c r="U1" s="28" t="s">
        <v>109</v>
      </c>
      <c r="V1" s="28" t="s">
        <v>111</v>
      </c>
      <c r="W1" s="28" t="s">
        <v>113</v>
      </c>
      <c r="X1" s="28" t="s">
        <v>301</v>
      </c>
      <c r="Y1" s="28" t="s">
        <v>119</v>
      </c>
      <c r="Z1" s="28" t="s">
        <v>304</v>
      </c>
      <c r="AA1" s="28" t="s">
        <v>307</v>
      </c>
      <c r="AB1" s="28" t="s">
        <v>310</v>
      </c>
      <c r="AC1" s="28" t="s">
        <v>312</v>
      </c>
      <c r="AD1" s="28" t="s">
        <v>314</v>
      </c>
      <c r="AE1" s="28" t="s">
        <v>317</v>
      </c>
      <c r="AF1" s="28" t="s">
        <v>319</v>
      </c>
      <c r="AG1" s="28" t="s">
        <v>321</v>
      </c>
      <c r="AH1" s="28" t="s">
        <v>134</v>
      </c>
      <c r="AI1" s="28" t="s">
        <v>137</v>
      </c>
      <c r="AJ1" s="28" t="s">
        <v>326</v>
      </c>
      <c r="AK1" s="28" t="s">
        <v>328</v>
      </c>
      <c r="AL1" s="28" t="s">
        <v>330</v>
      </c>
      <c r="AM1" s="28" t="s">
        <v>332</v>
      </c>
      <c r="AN1" s="28" t="s">
        <v>335</v>
      </c>
      <c r="AO1" s="28" t="s">
        <v>337</v>
      </c>
      <c r="AP1" s="28" t="s">
        <v>339</v>
      </c>
      <c r="AQ1" s="28" t="s">
        <v>341</v>
      </c>
      <c r="AR1" s="28" t="s">
        <v>344</v>
      </c>
      <c r="AS1" s="28" t="s">
        <v>346</v>
      </c>
      <c r="AT1" s="28" t="s">
        <v>348</v>
      </c>
      <c r="AU1" s="28" t="s">
        <v>350</v>
      </c>
      <c r="AV1" s="28" t="s">
        <v>353</v>
      </c>
      <c r="AW1" s="28" t="s">
        <v>355</v>
      </c>
      <c r="AX1" s="28" t="s">
        <v>357</v>
      </c>
      <c r="AY1" s="28" t="s">
        <v>359</v>
      </c>
      <c r="AZ1" s="28" t="s">
        <v>361</v>
      </c>
      <c r="BA1" s="28" t="s">
        <v>364</v>
      </c>
      <c r="BB1" s="28" t="s">
        <v>366</v>
      </c>
      <c r="BC1" s="28" t="s">
        <v>368</v>
      </c>
      <c r="BD1" s="28" t="s">
        <v>370</v>
      </c>
      <c r="BE1" s="28" t="s">
        <v>373</v>
      </c>
      <c r="BF1" s="28" t="s">
        <v>376</v>
      </c>
      <c r="BG1" s="28" t="s">
        <v>379</v>
      </c>
      <c r="BH1" s="28" t="s">
        <v>381</v>
      </c>
      <c r="BI1" s="28" t="s">
        <v>384</v>
      </c>
      <c r="BJ1" s="28" t="s">
        <v>386</v>
      </c>
      <c r="BK1" s="28" t="s">
        <v>389</v>
      </c>
      <c r="BL1" s="28" t="s">
        <v>391</v>
      </c>
      <c r="BM1" s="28" t="s">
        <v>393</v>
      </c>
      <c r="BN1" s="28" t="s">
        <v>395</v>
      </c>
      <c r="BO1" s="28" t="s">
        <v>398</v>
      </c>
      <c r="BP1" s="28" t="s">
        <v>399</v>
      </c>
      <c r="BQ1" s="28" t="s">
        <v>400</v>
      </c>
      <c r="BR1" s="28" t="s">
        <v>401</v>
      </c>
      <c r="BS1" s="28" t="s">
        <v>402</v>
      </c>
    </row>
    <row r="2" ht="46" customHeight="1" spans="1:71"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c r="BO2" s="29" t="s">
        <v>403</v>
      </c>
      <c r="BP2" s="29" t="s">
        <v>404</v>
      </c>
      <c r="BQ2" s="29" t="s">
        <v>405</v>
      </c>
      <c r="BR2" s="29" t="s">
        <v>406</v>
      </c>
      <c r="BS2" s="29" t="s">
        <v>407</v>
      </c>
    </row>
    <row r="3" spans="1:71" x14ac:dyDescent="0.25">
      <c r="A3" s="30" t="s">
        <v>273</v>
      </c>
      <c r="B3" s="31" t="s">
        <v>274</v>
      </c>
      <c r="C3" s="24">
        <v>70571.09999999996</v>
      </c>
      <c r="D3" s="24">
        <v>650.0000000000001</v>
      </c>
      <c r="E3" s="24">
        <v>99.79999999999997</v>
      </c>
      <c r="F3" s="24">
        <v>86.79999999999998</v>
      </c>
      <c r="G3" s="24">
        <v>277700.7</v>
      </c>
      <c r="H3" s="24">
        <v>3007</v>
      </c>
      <c r="I3" s="24">
        <v>432.8000000000001</v>
      </c>
      <c r="J3" s="24">
        <v>299.8000000000001</v>
      </c>
      <c r="K3" s="24">
        <v>25.500000000000004</v>
      </c>
      <c r="L3" s="24">
        <v>135.99999999999997</v>
      </c>
      <c r="M3" s="24">
        <v>2524.1</v>
      </c>
      <c r="N3" s="24">
        <v>571.4000000000001</v>
      </c>
      <c r="O3" s="24">
        <v>1811.2999999999995</v>
      </c>
      <c r="P3" s="24">
        <v>153.89999999999998</v>
      </c>
      <c r="Q3" s="24">
        <v>217.1</v>
      </c>
      <c r="R3" s="24">
        <v>202.89999999999995</v>
      </c>
      <c r="S3" s="24">
        <v>187.49999999999997</v>
      </c>
      <c r="T3" s="24">
        <v>121.39999999999998</v>
      </c>
      <c r="U3" s="24">
        <v>255.2</v>
      </c>
      <c r="V3" s="24">
        <v>313.59999999999997</v>
      </c>
      <c r="W3" s="24">
        <v>99.20000000000002</v>
      </c>
      <c r="X3" s="24">
        <v>273.5</v>
      </c>
      <c r="Y3" s="24">
        <v>78.6</v>
      </c>
      <c r="Z3" s="24">
        <v>1691.6999999999996</v>
      </c>
      <c r="AA3" s="24">
        <v>48.7</v>
      </c>
      <c r="AB3" s="24">
        <v>160.0999999999999</v>
      </c>
      <c r="AC3" s="24">
        <v>1429.2999999999997</v>
      </c>
      <c r="AD3" s="24">
        <v>132.29999999999995</v>
      </c>
      <c r="AE3" s="24">
        <v>7714.7</v>
      </c>
      <c r="AF3" s="24">
        <v>3623.199999999999</v>
      </c>
      <c r="AG3" s="24">
        <v>362.6000000000001</v>
      </c>
      <c r="AH3" s="24">
        <v>127.99999999999997</v>
      </c>
      <c r="AI3" s="24">
        <v>114.19999999999996</v>
      </c>
      <c r="AJ3" s="24">
        <v>380.90000000000003</v>
      </c>
      <c r="AK3" s="24">
        <v>28.6</v>
      </c>
      <c r="AL3" s="24">
        <v>15714.7</v>
      </c>
      <c r="AM3" s="24">
        <v>48.7</v>
      </c>
      <c r="AN3" s="24">
        <v>93.19999999999999</v>
      </c>
      <c r="AO3" s="24">
        <v>97.99999999999999</v>
      </c>
      <c r="AP3" s="24">
        <v>247.8</v>
      </c>
      <c r="AQ3" s="24">
        <v>63.50000000000001</v>
      </c>
      <c r="AR3" s="24">
        <v>59.1</v>
      </c>
      <c r="AS3" s="24">
        <v>43.9</v>
      </c>
      <c r="AT3" s="24">
        <v>434.0000000000001</v>
      </c>
      <c r="AU3" s="24">
        <v>336.79999999999995</v>
      </c>
      <c r="AV3" s="24">
        <v>222.79999999999998</v>
      </c>
      <c r="AW3" s="24">
        <v>266.70000000000016</v>
      </c>
      <c r="AX3" s="24">
        <v>58.90000000000001</v>
      </c>
      <c r="AY3" s="24">
        <v>155.19999999999996</v>
      </c>
      <c r="AZ3" s="24">
        <v>118.29999999999997</v>
      </c>
      <c r="BA3" s="24">
        <v>54.800000000000004</v>
      </c>
      <c r="BB3" s="24">
        <v>105.89999999999998</v>
      </c>
      <c r="BC3" s="24">
        <v>3887.199999999999</v>
      </c>
      <c r="BD3" s="24">
        <v>1637.3999999999996</v>
      </c>
      <c r="BE3" s="24">
        <v>785.4</v>
      </c>
      <c r="BF3" s="24">
        <v>1255</v>
      </c>
      <c r="BG3" s="24">
        <v>941.3000000000001</v>
      </c>
      <c r="BH3" s="24">
        <v>284.4000000000001</v>
      </c>
      <c r="BI3" s="24">
        <v>350.00000000000017</v>
      </c>
      <c r="BJ3" s="24">
        <v>155.29999999999995</v>
      </c>
      <c r="BK3" s="24">
        <v>12</v>
      </c>
      <c r="BL3" s="24">
        <v>198.79999999999993</v>
      </c>
      <c r="BM3" s="24">
        <v>0</v>
      </c>
      <c r="BN3" s="24">
        <v>0</v>
      </c>
      <c r="BO3" s="24">
        <v>2095.0999999999995</v>
      </c>
      <c r="BP3" s="24">
        <v>162315.9</v>
      </c>
      <c r="BQ3" s="24">
        <v>54.7</v>
      </c>
      <c r="BR3" s="24">
        <v>9660.400000000001</v>
      </c>
      <c r="BS3" s="24">
        <v>6044.799999999998</v>
      </c>
    </row>
    <row r="4" spans="1:71" x14ac:dyDescent="0.25">
      <c r="A4" s="30" t="s">
        <v>276</v>
      </c>
      <c r="B4" s="31" t="s">
        <v>277</v>
      </c>
      <c r="C4" s="24">
        <v>657.7</v>
      </c>
      <c r="D4" s="24">
        <v>15655.500000000002</v>
      </c>
      <c r="E4" s="24">
        <v>38.5</v>
      </c>
      <c r="F4" s="24">
        <v>69.8</v>
      </c>
      <c r="G4" s="24">
        <v>608.1</v>
      </c>
      <c r="H4" s="24">
        <v>18.100000000000005</v>
      </c>
      <c r="I4" s="24">
        <v>17009.399999999998</v>
      </c>
      <c r="J4" s="24">
        <v>7200.8</v>
      </c>
      <c r="K4" s="24">
        <v>10</v>
      </c>
      <c r="L4" s="24">
        <v>10.7</v>
      </c>
      <c r="M4" s="24">
        <v>307.20000000000005</v>
      </c>
      <c r="N4" s="24">
        <v>16.599999999999998</v>
      </c>
      <c r="O4" s="24">
        <v>79.89999999999998</v>
      </c>
      <c r="P4" s="24">
        <v>34.70000000000001</v>
      </c>
      <c r="Q4" s="24">
        <v>32.1</v>
      </c>
      <c r="R4" s="24">
        <v>34.1</v>
      </c>
      <c r="S4" s="24">
        <v>10</v>
      </c>
      <c r="T4" s="24">
        <v>17.5</v>
      </c>
      <c r="U4" s="24">
        <v>22.100000000000005</v>
      </c>
      <c r="V4" s="24">
        <v>47.50000000000001</v>
      </c>
      <c r="W4" s="24">
        <v>8.1</v>
      </c>
      <c r="X4" s="24">
        <v>1000.7</v>
      </c>
      <c r="Y4" s="24">
        <v>5.6</v>
      </c>
      <c r="Z4" s="24">
        <v>1231.3</v>
      </c>
      <c r="AA4" s="24">
        <v>5.1</v>
      </c>
      <c r="AB4" s="24">
        <v>20.1</v>
      </c>
      <c r="AC4" s="24">
        <v>756.5000000000002</v>
      </c>
      <c r="AD4" s="24">
        <v>13.2</v>
      </c>
      <c r="AE4" s="24">
        <v>278.20000000000005</v>
      </c>
      <c r="AF4" s="24">
        <v>51.300000000000004</v>
      </c>
      <c r="AG4" s="24">
        <v>57.900000000000006</v>
      </c>
      <c r="AH4" s="24">
        <v>2.2</v>
      </c>
      <c r="AI4" s="24">
        <v>7.299999999999998</v>
      </c>
      <c r="AJ4" s="24">
        <v>27.200000000000003</v>
      </c>
      <c r="AK4" s="24">
        <v>1.9</v>
      </c>
      <c r="AL4" s="24">
        <v>92.09999999999997</v>
      </c>
      <c r="AM4" s="24">
        <v>2.8000000000000003</v>
      </c>
      <c r="AN4" s="24">
        <v>4.9</v>
      </c>
      <c r="AO4" s="24">
        <v>3.9</v>
      </c>
      <c r="AP4" s="24">
        <v>15.6</v>
      </c>
      <c r="AQ4" s="24">
        <v>5.2</v>
      </c>
      <c r="AR4" s="24">
        <v>1.2</v>
      </c>
      <c r="AS4" s="24">
        <v>2.1</v>
      </c>
      <c r="AT4" s="24">
        <v>41.300000000000004</v>
      </c>
      <c r="AU4" s="24">
        <v>14.499999999999998</v>
      </c>
      <c r="AV4" s="24">
        <v>47.400000000000006</v>
      </c>
      <c r="AW4" s="24">
        <v>11.299999999999999</v>
      </c>
      <c r="AX4" s="24">
        <v>4.7</v>
      </c>
      <c r="AY4" s="24">
        <v>5.9</v>
      </c>
      <c r="AZ4" s="24">
        <v>4.199999999999999</v>
      </c>
      <c r="BA4" s="24">
        <v>2.8</v>
      </c>
      <c r="BB4" s="24">
        <v>2.7</v>
      </c>
      <c r="BC4" s="24">
        <v>159.39999999999998</v>
      </c>
      <c r="BD4" s="24">
        <v>277.0000000000001</v>
      </c>
      <c r="BE4" s="24">
        <v>31.7</v>
      </c>
      <c r="BF4" s="24">
        <v>46.20000000000001</v>
      </c>
      <c r="BG4" s="24">
        <v>17.000000000000004</v>
      </c>
      <c r="BH4" s="24">
        <v>34.40000000000001</v>
      </c>
      <c r="BI4" s="24">
        <v>21.599999999999998</v>
      </c>
      <c r="BJ4" s="24">
        <v>16.900000000000002</v>
      </c>
      <c r="BK4" s="24">
        <v>7.4</v>
      </c>
      <c r="BL4" s="24">
        <v>22.600000000000005</v>
      </c>
      <c r="BM4" s="24">
        <v>0</v>
      </c>
      <c r="BN4" s="24">
        <v>0</v>
      </c>
      <c r="BO4" s="24">
        <v>1548.1</v>
      </c>
      <c r="BP4" s="24">
        <v>11793.300000000005</v>
      </c>
      <c r="BQ4" s="24">
        <v>8.1</v>
      </c>
      <c r="BR4" s="24">
        <v>490.00000000000006</v>
      </c>
      <c r="BS4" s="24">
        <v>1176.5000000000002</v>
      </c>
    </row>
    <row r="5" spans="1:71" x14ac:dyDescent="0.25">
      <c r="A5" s="30" t="s">
        <v>278</v>
      </c>
      <c r="B5" s="31" t="s">
        <v>279</v>
      </c>
      <c r="C5" s="24">
        <v>45.099999999999994</v>
      </c>
      <c r="D5" s="24">
        <v>3</v>
      </c>
      <c r="E5" s="24">
        <v>533.6</v>
      </c>
      <c r="F5" s="24">
        <v>0.9</v>
      </c>
      <c r="G5" s="24">
        <v>6400.999999999999</v>
      </c>
      <c r="H5" s="24">
        <v>7.099999999999999</v>
      </c>
      <c r="I5" s="24">
        <v>2</v>
      </c>
      <c r="J5" s="24">
        <v>1.4</v>
      </c>
      <c r="K5" s="24">
        <v>0.5</v>
      </c>
      <c r="L5" s="24">
        <v>5.199999999999999</v>
      </c>
      <c r="M5" s="24">
        <v>36.6</v>
      </c>
      <c r="N5" s="24">
        <v>57.1</v>
      </c>
      <c r="O5" s="24">
        <v>1.8</v>
      </c>
      <c r="P5" s="24">
        <v>1.8</v>
      </c>
      <c r="Q5" s="24">
        <v>1.9000000000000001</v>
      </c>
      <c r="R5" s="24">
        <v>3</v>
      </c>
      <c r="S5" s="24">
        <v>1.5000000000000004</v>
      </c>
      <c r="T5" s="24">
        <v>1.8</v>
      </c>
      <c r="U5" s="24">
        <v>2.6000000000000005</v>
      </c>
      <c r="V5" s="24">
        <v>2.7</v>
      </c>
      <c r="W5" s="24">
        <v>0.8</v>
      </c>
      <c r="X5" s="24">
        <v>6.1</v>
      </c>
      <c r="Y5" s="24">
        <v>1.5</v>
      </c>
      <c r="Z5" s="24">
        <v>26.800000000000004</v>
      </c>
      <c r="AA5" s="24">
        <v>0.5</v>
      </c>
      <c r="AB5" s="24">
        <v>2.8000000000000003</v>
      </c>
      <c r="AC5" s="24">
        <v>49.900000000000006</v>
      </c>
      <c r="AD5" s="24">
        <v>1.5</v>
      </c>
      <c r="AE5" s="24">
        <v>44.20000000000001</v>
      </c>
      <c r="AF5" s="24">
        <v>25.400000000000002</v>
      </c>
      <c r="AG5" s="24">
        <v>4.899999999999999</v>
      </c>
      <c r="AH5" s="24">
        <v>11.300000000000002</v>
      </c>
      <c r="AI5" s="24">
        <v>1.2000000000000002</v>
      </c>
      <c r="AJ5" s="24">
        <v>11.6</v>
      </c>
      <c r="AK5" s="24">
        <v>0.3</v>
      </c>
      <c r="AL5" s="24">
        <v>2617.499999999999</v>
      </c>
      <c r="AM5" s="24">
        <v>0.6</v>
      </c>
      <c r="AN5" s="24">
        <v>3.5</v>
      </c>
      <c r="AO5" s="24">
        <v>2.9000000000000004</v>
      </c>
      <c r="AP5" s="24">
        <v>10.9</v>
      </c>
      <c r="AQ5" s="24">
        <v>2.9000000000000004</v>
      </c>
      <c r="AR5" s="24">
        <v>1.5</v>
      </c>
      <c r="AS5" s="24">
        <v>0.7</v>
      </c>
      <c r="AT5" s="24">
        <v>5.5</v>
      </c>
      <c r="AU5" s="24">
        <v>11.5</v>
      </c>
      <c r="AV5" s="24">
        <v>3.8000000000000003</v>
      </c>
      <c r="AW5" s="24">
        <v>3.4000000000000004</v>
      </c>
      <c r="AX5" s="24">
        <v>1.5</v>
      </c>
      <c r="AY5" s="24">
        <v>3</v>
      </c>
      <c r="AZ5" s="24">
        <v>10.899999999999999</v>
      </c>
      <c r="BA5" s="24">
        <v>0.4</v>
      </c>
      <c r="BB5" s="24">
        <v>0.8</v>
      </c>
      <c r="BC5" s="24">
        <v>17.500000000000004</v>
      </c>
      <c r="BD5" s="24">
        <v>21.900000000000006</v>
      </c>
      <c r="BE5" s="24">
        <v>16.2</v>
      </c>
      <c r="BF5" s="24">
        <v>65.9</v>
      </c>
      <c r="BG5" s="24">
        <v>67.89999999999999</v>
      </c>
      <c r="BH5" s="24">
        <v>20.2</v>
      </c>
      <c r="BI5" s="24">
        <v>22</v>
      </c>
      <c r="BJ5" s="24">
        <v>41.1</v>
      </c>
      <c r="BK5" s="24">
        <v>0.2</v>
      </c>
      <c r="BL5" s="24">
        <v>1.7000000000000002</v>
      </c>
      <c r="BM5" s="24">
        <v>0</v>
      </c>
      <c r="BN5" s="24">
        <v>0</v>
      </c>
      <c r="BO5" s="24">
        <v>18.5</v>
      </c>
      <c r="BP5" s="24">
        <v>10921.6</v>
      </c>
      <c r="BQ5" s="24">
        <v>2.5</v>
      </c>
      <c r="BR5" s="24">
        <v>88.19999999999997</v>
      </c>
      <c r="BS5" s="24">
        <v>-478.50000000000006</v>
      </c>
    </row>
    <row r="6" spans="1:71" x14ac:dyDescent="0.25">
      <c r="A6" s="30" t="s">
        <v>280</v>
      </c>
      <c r="B6" s="31" t="s">
        <v>281</v>
      </c>
      <c r="C6" s="24">
        <v>2213.3</v>
      </c>
      <c r="D6" s="24">
        <v>79.1</v>
      </c>
      <c r="E6" s="24">
        <v>57.900000000000006</v>
      </c>
      <c r="F6" s="24">
        <v>7306.699999999998</v>
      </c>
      <c r="G6" s="24">
        <v>3674</v>
      </c>
      <c r="H6" s="24">
        <v>489.19999999999993</v>
      </c>
      <c r="I6" s="24">
        <v>172.89999999999995</v>
      </c>
      <c r="J6" s="24">
        <v>2197.5</v>
      </c>
      <c r="K6" s="24">
        <v>135.6</v>
      </c>
      <c r="L6" s="24">
        <v>286821.29999999993</v>
      </c>
      <c r="M6" s="24">
        <v>17764.6</v>
      </c>
      <c r="N6" s="24">
        <v>597</v>
      </c>
      <c r="O6" s="24">
        <v>912.7000000000002</v>
      </c>
      <c r="P6" s="24">
        <v>15250.699999999995</v>
      </c>
      <c r="Q6" s="24">
        <v>45202.59999999999</v>
      </c>
      <c r="R6" s="24">
        <v>3199.9999999999995</v>
      </c>
      <c r="S6" s="24">
        <v>292.3999999999999</v>
      </c>
      <c r="T6" s="24">
        <v>1207.1</v>
      </c>
      <c r="U6" s="24">
        <v>1770.9999999999995</v>
      </c>
      <c r="V6" s="24">
        <v>1324.3999999999996</v>
      </c>
      <c r="W6" s="24">
        <v>456.6</v>
      </c>
      <c r="X6" s="24">
        <v>1107.9</v>
      </c>
      <c r="Y6" s="24">
        <v>265</v>
      </c>
      <c r="Z6" s="24">
        <v>89694.70000000001</v>
      </c>
      <c r="AA6" s="24">
        <v>187.09999999999997</v>
      </c>
      <c r="AB6" s="24">
        <v>679.1</v>
      </c>
      <c r="AC6" s="24">
        <v>18437.399999999994</v>
      </c>
      <c r="AD6" s="24">
        <v>150.3</v>
      </c>
      <c r="AE6" s="24">
        <v>2251.7999999999993</v>
      </c>
      <c r="AF6" s="24">
        <v>592.5000000000001</v>
      </c>
      <c r="AG6" s="24">
        <v>1033.6</v>
      </c>
      <c r="AH6" s="24">
        <v>222.7</v>
      </c>
      <c r="AI6" s="24">
        <v>160.1</v>
      </c>
      <c r="AJ6" s="24">
        <v>806.2000000000003</v>
      </c>
      <c r="AK6" s="24">
        <v>53.900000000000006</v>
      </c>
      <c r="AL6" s="24">
        <v>863.2</v>
      </c>
      <c r="AM6" s="24">
        <v>41.900000000000006</v>
      </c>
      <c r="AN6" s="24">
        <v>36.900000000000006</v>
      </c>
      <c r="AO6" s="24">
        <v>102.19999999999999</v>
      </c>
      <c r="AP6" s="24">
        <v>252.70000000000002</v>
      </c>
      <c r="AQ6" s="24">
        <v>85.59999999999997</v>
      </c>
      <c r="AR6" s="24">
        <v>25.699999999999996</v>
      </c>
      <c r="AS6" s="24">
        <v>51.7</v>
      </c>
      <c r="AT6" s="24">
        <v>546.4000000000001</v>
      </c>
      <c r="AU6" s="24">
        <v>1867.6</v>
      </c>
      <c r="AV6" s="24">
        <v>574.9000000000001</v>
      </c>
      <c r="AW6" s="24">
        <v>132.09999999999997</v>
      </c>
      <c r="AX6" s="24">
        <v>44.6</v>
      </c>
      <c r="AY6" s="24">
        <v>76.79999999999997</v>
      </c>
      <c r="AZ6" s="24">
        <v>87.4</v>
      </c>
      <c r="BA6" s="24">
        <v>65.7</v>
      </c>
      <c r="BB6" s="24">
        <v>17.900000000000002</v>
      </c>
      <c r="BC6" s="24">
        <v>802.6000000000001</v>
      </c>
      <c r="BD6" s="24">
        <v>1411.2000000000003</v>
      </c>
      <c r="BE6" s="24">
        <v>359.4</v>
      </c>
      <c r="BF6" s="24">
        <v>862.5000000000002</v>
      </c>
      <c r="BG6" s="24">
        <v>399.4999999999999</v>
      </c>
      <c r="BH6" s="24">
        <v>91.49999999999999</v>
      </c>
      <c r="BI6" s="24">
        <v>130.59999999999997</v>
      </c>
      <c r="BJ6" s="24">
        <v>151</v>
      </c>
      <c r="BK6" s="24">
        <v>11</v>
      </c>
      <c r="BL6" s="24">
        <v>139.49999999999997</v>
      </c>
      <c r="BM6" s="24">
        <v>0</v>
      </c>
      <c r="BN6" s="24">
        <v>0</v>
      </c>
      <c r="BO6" s="24">
        <v>515</v>
      </c>
      <c r="BP6" s="24">
        <v>25332.4</v>
      </c>
      <c r="BQ6" s="24">
        <v>5.1</v>
      </c>
      <c r="BR6" s="24">
        <v>2604.3999999999996</v>
      </c>
      <c r="BS6" s="24">
        <v>1576.5000000000005</v>
      </c>
    </row>
    <row r="7" spans="1:71" x14ac:dyDescent="0.25">
      <c r="A7" s="30" t="s">
        <v>282</v>
      </c>
      <c r="B7" s="31" t="s">
        <v>283</v>
      </c>
      <c r="C7" s="24">
        <v>57568.70000000001</v>
      </c>
      <c r="D7" s="24">
        <v>145.99999999999991</v>
      </c>
      <c r="E7" s="24">
        <v>661.7</v>
      </c>
      <c r="F7" s="24">
        <v>282.5</v>
      </c>
      <c r="G7" s="24">
        <v>243745.69999999998</v>
      </c>
      <c r="H7" s="24">
        <v>2290.3999999999996</v>
      </c>
      <c r="I7" s="24">
        <v>405.9</v>
      </c>
      <c r="J7" s="24">
        <v>1047.8000000000002</v>
      </c>
      <c r="K7" s="24">
        <v>167.10000000000002</v>
      </c>
      <c r="L7" s="24">
        <v>1400.8</v>
      </c>
      <c r="M7" s="24">
        <v>13029.4</v>
      </c>
      <c r="N7" s="24">
        <v>3934</v>
      </c>
      <c r="O7" s="24">
        <v>1607.0999999999997</v>
      </c>
      <c r="P7" s="24">
        <v>813.4999999999998</v>
      </c>
      <c r="Q7" s="24">
        <v>1272.4000000000003</v>
      </c>
      <c r="R7" s="24">
        <v>913.0000000000001</v>
      </c>
      <c r="S7" s="24">
        <v>733.8000000000001</v>
      </c>
      <c r="T7" s="24">
        <v>720.8000000000002</v>
      </c>
      <c r="U7" s="24">
        <v>1229.6000000000001</v>
      </c>
      <c r="V7" s="24">
        <v>1459.9</v>
      </c>
      <c r="W7" s="24">
        <v>379.7999999999999</v>
      </c>
      <c r="X7" s="24">
        <v>1177.5000000000005</v>
      </c>
      <c r="Y7" s="24">
        <v>427.9000000000001</v>
      </c>
      <c r="Z7" s="24">
        <v>2121.2000000000003</v>
      </c>
      <c r="AA7" s="24">
        <v>131.2</v>
      </c>
      <c r="AB7" s="24">
        <v>1128.8999999999999</v>
      </c>
      <c r="AC7" s="24">
        <v>3947.6000000000004</v>
      </c>
      <c r="AD7" s="24">
        <v>848.2000000000002</v>
      </c>
      <c r="AE7" s="24">
        <v>15352.2</v>
      </c>
      <c r="AF7" s="24">
        <v>7753.500000000001</v>
      </c>
      <c r="AG7" s="24">
        <v>1903.8000000000002</v>
      </c>
      <c r="AH7" s="24">
        <v>897.8000000000001</v>
      </c>
      <c r="AI7" s="24">
        <v>593.2000000000002</v>
      </c>
      <c r="AJ7" s="24">
        <v>1446.3999999999999</v>
      </c>
      <c r="AK7" s="24">
        <v>180.09999999999997</v>
      </c>
      <c r="AL7" s="24">
        <v>124617.40000000001</v>
      </c>
      <c r="AM7" s="24">
        <v>572.0999999999999</v>
      </c>
      <c r="AN7" s="24">
        <v>657.4</v>
      </c>
      <c r="AO7" s="24">
        <v>738.4000000000002</v>
      </c>
      <c r="AP7" s="24">
        <v>2370.7999999999993</v>
      </c>
      <c r="AQ7" s="24">
        <v>557.1000000000001</v>
      </c>
      <c r="AR7" s="24">
        <v>255.39999999999995</v>
      </c>
      <c r="AS7" s="24">
        <v>373.6</v>
      </c>
      <c r="AT7" s="24">
        <v>982.6999999999999</v>
      </c>
      <c r="AU7" s="24">
        <v>2743.9000000000005</v>
      </c>
      <c r="AV7" s="24">
        <v>826.7999999999998</v>
      </c>
      <c r="AW7" s="24">
        <v>1033.6999999999998</v>
      </c>
      <c r="AX7" s="24">
        <v>605.0000000000001</v>
      </c>
      <c r="AY7" s="24">
        <v>712.9</v>
      </c>
      <c r="AZ7" s="24">
        <v>1025.8999999999999</v>
      </c>
      <c r="BA7" s="24">
        <v>282.5000000000001</v>
      </c>
      <c r="BB7" s="24">
        <v>442.3000000000001</v>
      </c>
      <c r="BC7" s="24">
        <v>2325.8000000000006</v>
      </c>
      <c r="BD7" s="24">
        <v>7064.5</v>
      </c>
      <c r="BE7" s="24">
        <v>6458.200000000002</v>
      </c>
      <c r="BF7" s="24">
        <v>14259.1</v>
      </c>
      <c r="BG7" s="24">
        <v>9150.800000000003</v>
      </c>
      <c r="BH7" s="24">
        <v>1036.4</v>
      </c>
      <c r="BI7" s="24">
        <v>2788</v>
      </c>
      <c r="BJ7" s="24">
        <v>1464.2999999999997</v>
      </c>
      <c r="BK7" s="24">
        <v>114.69999999999999</v>
      </c>
      <c r="BL7" s="24">
        <v>542.9000000000001</v>
      </c>
      <c r="BM7" s="24">
        <v>0</v>
      </c>
      <c r="BN7" s="24">
        <v>0</v>
      </c>
      <c r="BO7" s="24">
        <v>2200.999999999999</v>
      </c>
      <c r="BP7" s="24">
        <v>680115.0000000002</v>
      </c>
      <c r="BQ7" s="24">
        <v>332.6000000000001</v>
      </c>
      <c r="BR7" s="24">
        <v>4538.9</v>
      </c>
      <c r="BS7" s="24">
        <v>21017.2</v>
      </c>
    </row>
    <row r="8" spans="1:71" x14ac:dyDescent="0.25">
      <c r="A8" s="30" t="s">
        <v>145</v>
      </c>
      <c r="B8" s="31" t="s">
        <v>285</v>
      </c>
      <c r="C8" s="24">
        <v>842.5999999999999</v>
      </c>
      <c r="D8" s="24">
        <v>59.30000000000001</v>
      </c>
      <c r="E8" s="24">
        <v>109.1</v>
      </c>
      <c r="F8" s="24">
        <v>101.5</v>
      </c>
      <c r="G8" s="24">
        <v>1489.2000000000003</v>
      </c>
      <c r="H8" s="24">
        <v>54731.6</v>
      </c>
      <c r="I8" s="24">
        <v>956.8000000000001</v>
      </c>
      <c r="J8" s="24">
        <v>1708.7000000000003</v>
      </c>
      <c r="K8" s="24">
        <v>550.2999999999997</v>
      </c>
      <c r="L8" s="24">
        <v>250.29999999999993</v>
      </c>
      <c r="M8" s="24">
        <v>1377.6000000000001</v>
      </c>
      <c r="N8" s="24">
        <v>604.8000000000001</v>
      </c>
      <c r="O8" s="24">
        <v>3236.2000000000003</v>
      </c>
      <c r="P8" s="24">
        <v>725.8</v>
      </c>
      <c r="Q8" s="24">
        <v>476.2</v>
      </c>
      <c r="R8" s="24">
        <v>1085.6999999999998</v>
      </c>
      <c r="S8" s="24">
        <v>442.70000000000005</v>
      </c>
      <c r="T8" s="24">
        <v>611</v>
      </c>
      <c r="U8" s="24">
        <v>1103.1000000000001</v>
      </c>
      <c r="V8" s="24">
        <v>5805.200000000001</v>
      </c>
      <c r="W8" s="24">
        <v>832.5</v>
      </c>
      <c r="X8" s="24">
        <v>5228.7</v>
      </c>
      <c r="Y8" s="24">
        <v>601.5000000000002</v>
      </c>
      <c r="Z8" s="24">
        <v>693.5999999999999</v>
      </c>
      <c r="AA8" s="24">
        <v>60.20000000000002</v>
      </c>
      <c r="AB8" s="24">
        <v>542.8</v>
      </c>
      <c r="AC8" s="24">
        <v>3787.8000000000006</v>
      </c>
      <c r="AD8" s="24">
        <v>690.5000000000001</v>
      </c>
      <c r="AE8" s="24">
        <v>5315.6</v>
      </c>
      <c r="AF8" s="24">
        <v>2538.8</v>
      </c>
      <c r="AG8" s="24">
        <v>750.2</v>
      </c>
      <c r="AH8" s="24">
        <v>186.29999999999993</v>
      </c>
      <c r="AI8" s="24">
        <v>99.19999999999999</v>
      </c>
      <c r="AJ8" s="24">
        <v>618.4000000000001</v>
      </c>
      <c r="AK8" s="24">
        <v>155.09999999999997</v>
      </c>
      <c r="AL8" s="24">
        <v>1985.9</v>
      </c>
      <c r="AM8" s="24">
        <v>153.49999999999994</v>
      </c>
      <c r="AN8" s="24">
        <v>789</v>
      </c>
      <c r="AO8" s="24">
        <v>368.0000000000001</v>
      </c>
      <c r="AP8" s="24">
        <v>538.9</v>
      </c>
      <c r="AQ8" s="24">
        <v>192.49999999999994</v>
      </c>
      <c r="AR8" s="24">
        <v>73.10000000000002</v>
      </c>
      <c r="AS8" s="24">
        <v>77.80000000000001</v>
      </c>
      <c r="AT8" s="24">
        <v>589.1</v>
      </c>
      <c r="AU8" s="24">
        <v>972.6000000000004</v>
      </c>
      <c r="AV8" s="24">
        <v>443.2</v>
      </c>
      <c r="AW8" s="24">
        <v>252.89999999999998</v>
      </c>
      <c r="AX8" s="24">
        <v>137.19999999999996</v>
      </c>
      <c r="AY8" s="24">
        <v>592.4</v>
      </c>
      <c r="AZ8" s="24">
        <v>439.2000000000001</v>
      </c>
      <c r="BA8" s="24">
        <v>199.69999999999996</v>
      </c>
      <c r="BB8" s="24">
        <v>114.69999999999995</v>
      </c>
      <c r="BC8" s="24">
        <v>1735.0000000000002</v>
      </c>
      <c r="BD8" s="24">
        <v>1856.2</v>
      </c>
      <c r="BE8" s="24">
        <v>662.2000000000002</v>
      </c>
      <c r="BF8" s="24">
        <v>4351.2</v>
      </c>
      <c r="BG8" s="24">
        <v>1377.5</v>
      </c>
      <c r="BH8" s="24">
        <v>949.0000000000001</v>
      </c>
      <c r="BI8" s="24">
        <v>652.2</v>
      </c>
      <c r="BJ8" s="24">
        <v>225.69999999999996</v>
      </c>
      <c r="BK8" s="24">
        <v>291.79999999999995</v>
      </c>
      <c r="BL8" s="24">
        <v>736.2</v>
      </c>
      <c r="BM8" s="24">
        <v>0</v>
      </c>
      <c r="BN8" s="24">
        <v>0</v>
      </c>
      <c r="BO8" s="24">
        <v>813.4000000000002</v>
      </c>
      <c r="BP8" s="24">
        <v>157735.70000000004</v>
      </c>
      <c r="BQ8" s="24">
        <v>114.4</v>
      </c>
      <c r="BR8" s="24">
        <v>3572.7999999999993</v>
      </c>
      <c r="BS8" s="24">
        <v>13327.599999999999</v>
      </c>
    </row>
    <row r="9" spans="1:71" x14ac:dyDescent="0.25">
      <c r="A9" s="30" t="s">
        <v>85</v>
      </c>
      <c r="B9" s="31" t="s">
        <v>286</v>
      </c>
      <c r="C9" s="24">
        <v>1656.5</v>
      </c>
      <c r="D9" s="24">
        <v>494.3</v>
      </c>
      <c r="E9" s="24">
        <v>76.69999999999997</v>
      </c>
      <c r="F9" s="24">
        <v>192.99999999999991</v>
      </c>
      <c r="G9" s="24">
        <v>4199.9</v>
      </c>
      <c r="H9" s="24">
        <v>304.20000000000016</v>
      </c>
      <c r="I9" s="24">
        <v>34211.600000000006</v>
      </c>
      <c r="J9" s="24">
        <v>4825.100000000001</v>
      </c>
      <c r="K9" s="24">
        <v>192.6</v>
      </c>
      <c r="L9" s="24">
        <v>141.19999999999996</v>
      </c>
      <c r="M9" s="24">
        <v>1252.4999999999998</v>
      </c>
      <c r="N9" s="24">
        <v>324.8000000000001</v>
      </c>
      <c r="O9" s="24">
        <v>952.5999999999999</v>
      </c>
      <c r="P9" s="24">
        <v>1540.8999999999999</v>
      </c>
      <c r="Q9" s="24">
        <v>921.3000000000004</v>
      </c>
      <c r="R9" s="24">
        <v>2117.0999999999995</v>
      </c>
      <c r="S9" s="24">
        <v>365.8</v>
      </c>
      <c r="T9" s="24">
        <v>735.4</v>
      </c>
      <c r="U9" s="24">
        <v>1336.7999999999997</v>
      </c>
      <c r="V9" s="24">
        <v>1651.9</v>
      </c>
      <c r="W9" s="24">
        <v>1113.7</v>
      </c>
      <c r="X9" s="24">
        <v>15584.500000000002</v>
      </c>
      <c r="Y9" s="24">
        <v>497.6000000000002</v>
      </c>
      <c r="Z9" s="24">
        <v>2874.1</v>
      </c>
      <c r="AA9" s="24">
        <v>54.900000000000006</v>
      </c>
      <c r="AB9" s="24">
        <v>459.2000000000001</v>
      </c>
      <c r="AC9" s="24">
        <v>41890.09999999999</v>
      </c>
      <c r="AD9" s="24">
        <v>302.09999999999997</v>
      </c>
      <c r="AE9" s="24">
        <v>2789.2000000000007</v>
      </c>
      <c r="AF9" s="24">
        <v>1070.7000000000003</v>
      </c>
      <c r="AG9" s="24">
        <v>814.2000000000003</v>
      </c>
      <c r="AH9" s="24">
        <v>41.800000000000004</v>
      </c>
      <c r="AI9" s="24">
        <v>36</v>
      </c>
      <c r="AJ9" s="24">
        <v>795.3000000000001</v>
      </c>
      <c r="AK9" s="24">
        <v>44.50000000000001</v>
      </c>
      <c r="AL9" s="24">
        <v>807.6000000000001</v>
      </c>
      <c r="AM9" s="24">
        <v>131.29999999999998</v>
      </c>
      <c r="AN9" s="24">
        <v>503.10000000000014</v>
      </c>
      <c r="AO9" s="24">
        <v>210.29999999999993</v>
      </c>
      <c r="AP9" s="24">
        <v>339</v>
      </c>
      <c r="AQ9" s="24">
        <v>76.6</v>
      </c>
      <c r="AR9" s="24">
        <v>44.199999999999996</v>
      </c>
      <c r="AS9" s="24">
        <v>58.00000000000001</v>
      </c>
      <c r="AT9" s="24">
        <v>2230.9</v>
      </c>
      <c r="AU9" s="24">
        <v>425.49999999999994</v>
      </c>
      <c r="AV9" s="24">
        <v>285.30000000000007</v>
      </c>
      <c r="AW9" s="24">
        <v>86.19999999999997</v>
      </c>
      <c r="AX9" s="24">
        <v>181.59999999999994</v>
      </c>
      <c r="AY9" s="24">
        <v>245.8</v>
      </c>
      <c r="AZ9" s="24">
        <v>247.70000000000002</v>
      </c>
      <c r="BA9" s="24">
        <v>36.90000000000001</v>
      </c>
      <c r="BB9" s="24">
        <v>26.400000000000002</v>
      </c>
      <c r="BC9" s="24">
        <v>1664.6999999999991</v>
      </c>
      <c r="BD9" s="24">
        <v>433.4000000000001</v>
      </c>
      <c r="BE9" s="24">
        <v>377</v>
      </c>
      <c r="BF9" s="24">
        <v>808.6</v>
      </c>
      <c r="BG9" s="24">
        <v>242.39999999999998</v>
      </c>
      <c r="BH9" s="24">
        <v>442.9000000000001</v>
      </c>
      <c r="BI9" s="24">
        <v>253.39999999999998</v>
      </c>
      <c r="BJ9" s="24">
        <v>182.2</v>
      </c>
      <c r="BK9" s="24">
        <v>101.89999999999998</v>
      </c>
      <c r="BL9" s="24">
        <v>1147.5999999999997</v>
      </c>
      <c r="BM9" s="24">
        <v>0</v>
      </c>
      <c r="BN9" s="24">
        <v>0</v>
      </c>
      <c r="BO9" s="24">
        <v>243.09999999999997</v>
      </c>
      <c r="BP9" s="24">
        <v>13972.9</v>
      </c>
      <c r="BQ9" s="24">
        <v>16.1</v>
      </c>
      <c r="BR9" s="24">
        <v>11532.100000000002</v>
      </c>
      <c r="BS9" s="24">
        <v>4028.9</v>
      </c>
    </row>
    <row r="10" spans="1:71" x14ac:dyDescent="0.25">
      <c r="A10" s="30" t="s">
        <v>87</v>
      </c>
      <c r="B10" s="31" t="s">
        <v>287</v>
      </c>
      <c r="C10" s="24">
        <v>826.8000000000001</v>
      </c>
      <c r="D10" s="24">
        <v>284.00000000000006</v>
      </c>
      <c r="E10" s="24">
        <v>36.00000000000001</v>
      </c>
      <c r="F10" s="24">
        <v>164.29999999999998</v>
      </c>
      <c r="G10" s="24">
        <v>19786.099999999995</v>
      </c>
      <c r="H10" s="24">
        <v>1207.1</v>
      </c>
      <c r="I10" s="24">
        <v>2262.7999999999997</v>
      </c>
      <c r="J10" s="24">
        <v>49833.399999999994</v>
      </c>
      <c r="K10" s="24">
        <v>8954.1</v>
      </c>
      <c r="L10" s="24">
        <v>263.1000000000001</v>
      </c>
      <c r="M10" s="24">
        <v>5001.4000000000015</v>
      </c>
      <c r="N10" s="24">
        <v>2751.6999999999994</v>
      </c>
      <c r="O10" s="24">
        <v>3176.9</v>
      </c>
      <c r="P10" s="24">
        <v>1563.1999999999998</v>
      </c>
      <c r="Q10" s="24">
        <v>1013.7999999999998</v>
      </c>
      <c r="R10" s="24">
        <v>1647.0999999999995</v>
      </c>
      <c r="S10" s="24">
        <v>1058.3</v>
      </c>
      <c r="T10" s="24">
        <v>1932.6999999999991</v>
      </c>
      <c r="U10" s="24">
        <v>1802</v>
      </c>
      <c r="V10" s="24">
        <v>1267.9999999999998</v>
      </c>
      <c r="W10" s="24">
        <v>282.60000000000014</v>
      </c>
      <c r="X10" s="24">
        <v>2626.9999999999986</v>
      </c>
      <c r="Y10" s="24">
        <v>417.9000000000001</v>
      </c>
      <c r="Z10" s="24">
        <v>1533.7000000000003</v>
      </c>
      <c r="AA10" s="24">
        <v>101.39999999999999</v>
      </c>
      <c r="AB10" s="24">
        <v>1407.1999999999994</v>
      </c>
      <c r="AC10" s="24">
        <v>2791.600000000001</v>
      </c>
      <c r="AD10" s="24">
        <v>633.6999999999999</v>
      </c>
      <c r="AE10" s="24">
        <v>7127.100000000001</v>
      </c>
      <c r="AF10" s="24">
        <v>3947.5999999999995</v>
      </c>
      <c r="AG10" s="24">
        <v>1057.8999999999996</v>
      </c>
      <c r="AH10" s="24">
        <v>108.89999999999996</v>
      </c>
      <c r="AI10" s="24">
        <v>83.89999999999999</v>
      </c>
      <c r="AJ10" s="24">
        <v>1274.3999999999996</v>
      </c>
      <c r="AK10" s="24">
        <v>218.20000000000002</v>
      </c>
      <c r="AL10" s="24">
        <v>3033.5999999999995</v>
      </c>
      <c r="AM10" s="24">
        <v>3364.8999999999996</v>
      </c>
      <c r="AN10" s="24">
        <v>686.8000000000003</v>
      </c>
      <c r="AO10" s="24">
        <v>295.30000000000007</v>
      </c>
      <c r="AP10" s="24">
        <v>1419.6000000000004</v>
      </c>
      <c r="AQ10" s="24">
        <v>1071.9</v>
      </c>
      <c r="AR10" s="24">
        <v>471.90000000000015</v>
      </c>
      <c r="AS10" s="24">
        <v>915.6999999999999</v>
      </c>
      <c r="AT10" s="24">
        <v>811</v>
      </c>
      <c r="AU10" s="24">
        <v>3202.8999999999996</v>
      </c>
      <c r="AV10" s="24">
        <v>1900.1999999999996</v>
      </c>
      <c r="AW10" s="24">
        <v>381.80000000000007</v>
      </c>
      <c r="AX10" s="24">
        <v>1388.3999999999994</v>
      </c>
      <c r="AY10" s="24">
        <v>1338.1999999999998</v>
      </c>
      <c r="AZ10" s="24">
        <v>476.7</v>
      </c>
      <c r="BA10" s="24">
        <v>157.19999999999996</v>
      </c>
      <c r="BB10" s="24">
        <v>408.9000000000002</v>
      </c>
      <c r="BC10" s="24">
        <v>4443.300000000001</v>
      </c>
      <c r="BD10" s="24">
        <v>2280.2000000000007</v>
      </c>
      <c r="BE10" s="24">
        <v>1363.5999999999995</v>
      </c>
      <c r="BF10" s="24">
        <v>1713.9000000000003</v>
      </c>
      <c r="BG10" s="24">
        <v>1097.9</v>
      </c>
      <c r="BH10" s="24">
        <v>1218.9999999999995</v>
      </c>
      <c r="BI10" s="24">
        <v>392.00000000000006</v>
      </c>
      <c r="BJ10" s="24">
        <v>426.29999999999995</v>
      </c>
      <c r="BK10" s="24">
        <v>73.29999999999997</v>
      </c>
      <c r="BL10" s="24">
        <v>270.09999999999997</v>
      </c>
      <c r="BM10" s="24">
        <v>0</v>
      </c>
      <c r="BN10" s="24">
        <v>0</v>
      </c>
      <c r="BO10" s="24">
        <v>448.1</v>
      </c>
      <c r="BP10" s="24">
        <v>36023.2</v>
      </c>
      <c r="BQ10" s="24">
        <v>6.699999999999999</v>
      </c>
      <c r="BR10" s="24">
        <v>1380.5999999999997</v>
      </c>
      <c r="BS10" s="24">
        <v>-3550.100000000001</v>
      </c>
    </row>
    <row r="11" spans="1:71" x14ac:dyDescent="0.25">
      <c r="A11" s="30" t="s">
        <v>89</v>
      </c>
      <c r="B11" s="31" t="s">
        <v>288</v>
      </c>
      <c r="C11" s="24">
        <v>128.6</v>
      </c>
      <c r="D11" s="24">
        <v>13.399999999999997</v>
      </c>
      <c r="E11" s="24">
        <v>11.099999999999998</v>
      </c>
      <c r="F11" s="24">
        <v>33.00000000000001</v>
      </c>
      <c r="G11" s="24">
        <v>1875.5999999999997</v>
      </c>
      <c r="H11" s="24">
        <v>350.10000000000014</v>
      </c>
      <c r="I11" s="24">
        <v>496.6000000000001</v>
      </c>
      <c r="J11" s="24">
        <v>2947.4999999999995</v>
      </c>
      <c r="K11" s="24">
        <v>4931.8</v>
      </c>
      <c r="L11" s="24">
        <v>95.79999999999997</v>
      </c>
      <c r="M11" s="24">
        <v>777.0000000000002</v>
      </c>
      <c r="N11" s="24">
        <v>505.5</v>
      </c>
      <c r="O11" s="24">
        <v>767.9999999999999</v>
      </c>
      <c r="P11" s="24">
        <v>199.89999999999995</v>
      </c>
      <c r="Q11" s="24">
        <v>257.49999999999994</v>
      </c>
      <c r="R11" s="24">
        <v>520.9</v>
      </c>
      <c r="S11" s="24">
        <v>261</v>
      </c>
      <c r="T11" s="24">
        <v>352.90000000000015</v>
      </c>
      <c r="U11" s="24">
        <v>774.0999999999999</v>
      </c>
      <c r="V11" s="24">
        <v>844.8999999999997</v>
      </c>
      <c r="W11" s="24">
        <v>118.49999999999994</v>
      </c>
      <c r="X11" s="24">
        <v>489.6</v>
      </c>
      <c r="Y11" s="24">
        <v>114.59999999999998</v>
      </c>
      <c r="Z11" s="24">
        <v>496.9</v>
      </c>
      <c r="AA11" s="24">
        <v>55.5</v>
      </c>
      <c r="AB11" s="24">
        <v>351.2000000000001</v>
      </c>
      <c r="AC11" s="24">
        <v>908.7999999999997</v>
      </c>
      <c r="AD11" s="24">
        <v>766.7000000000002</v>
      </c>
      <c r="AE11" s="24">
        <v>3334.2999999999993</v>
      </c>
      <c r="AF11" s="24">
        <v>3727.5</v>
      </c>
      <c r="AG11" s="24">
        <v>798.1</v>
      </c>
      <c r="AH11" s="24">
        <v>36.00000000000001</v>
      </c>
      <c r="AI11" s="24">
        <v>70.49999999999997</v>
      </c>
      <c r="AJ11" s="24">
        <v>547.1000000000001</v>
      </c>
      <c r="AK11" s="24">
        <v>555.4000000000001</v>
      </c>
      <c r="AL11" s="24">
        <v>1102.2000000000003</v>
      </c>
      <c r="AM11" s="24">
        <v>6782.399999999998</v>
      </c>
      <c r="AN11" s="24">
        <v>1638.3999999999994</v>
      </c>
      <c r="AO11" s="24">
        <v>903.6999999999996</v>
      </c>
      <c r="AP11" s="24">
        <v>1525.3999999999996</v>
      </c>
      <c r="AQ11" s="24">
        <v>1630.1999999999996</v>
      </c>
      <c r="AR11" s="24">
        <v>946.4999999999998</v>
      </c>
      <c r="AS11" s="24">
        <v>1390.1</v>
      </c>
      <c r="AT11" s="24">
        <v>652.2000000000003</v>
      </c>
      <c r="AU11" s="24">
        <v>2450.4999999999995</v>
      </c>
      <c r="AV11" s="24">
        <v>1415.1000000000004</v>
      </c>
      <c r="AW11" s="24">
        <v>623.4000000000002</v>
      </c>
      <c r="AX11" s="24">
        <v>1941.7999999999995</v>
      </c>
      <c r="AY11" s="24">
        <v>1171.8</v>
      </c>
      <c r="AZ11" s="24">
        <v>396.8</v>
      </c>
      <c r="BA11" s="24">
        <v>268.1000000000001</v>
      </c>
      <c r="BB11" s="24">
        <v>642.3000000000002</v>
      </c>
      <c r="BC11" s="24">
        <v>3198.3</v>
      </c>
      <c r="BD11" s="24">
        <v>2301.2999999999997</v>
      </c>
      <c r="BE11" s="24">
        <v>1690.7999999999997</v>
      </c>
      <c r="BF11" s="24">
        <v>721.1999999999998</v>
      </c>
      <c r="BG11" s="24">
        <v>967.6999999999999</v>
      </c>
      <c r="BH11" s="24">
        <v>1571.9</v>
      </c>
      <c r="BI11" s="24">
        <v>725.3000000000002</v>
      </c>
      <c r="BJ11" s="24">
        <v>888.2000000000002</v>
      </c>
      <c r="BK11" s="24">
        <v>48.20000000000002</v>
      </c>
      <c r="BL11" s="24">
        <v>210.79999999999993</v>
      </c>
      <c r="BM11" s="24">
        <v>0</v>
      </c>
      <c r="BN11" s="24">
        <v>0</v>
      </c>
      <c r="BO11" s="24">
        <v>95.6</v>
      </c>
      <c r="BP11" s="24">
        <v>7648.300000000001</v>
      </c>
      <c r="BQ11" s="24">
        <v>30.8</v>
      </c>
      <c r="BR11" s="24">
        <v>1178.6999999999998</v>
      </c>
      <c r="BS11" s="24">
        <v>-3910.500000000001</v>
      </c>
    </row>
    <row r="12" spans="1:71" x14ac:dyDescent="0.25">
      <c r="A12" s="30" t="s">
        <v>91</v>
      </c>
      <c r="B12" s="31" t="s">
        <v>289</v>
      </c>
      <c r="C12" s="24">
        <v>14104.5</v>
      </c>
      <c r="D12" s="24">
        <v>1195.9999999999993</v>
      </c>
      <c r="E12" s="24">
        <v>663.7</v>
      </c>
      <c r="F12" s="24">
        <v>2108.3999999999996</v>
      </c>
      <c r="G12" s="24">
        <v>5136.900000000001</v>
      </c>
      <c r="H12" s="24">
        <v>1025.9</v>
      </c>
      <c r="I12" s="24">
        <v>1051.1</v>
      </c>
      <c r="J12" s="24">
        <v>1299.9999999999995</v>
      </c>
      <c r="K12" s="24">
        <v>334.5000000000001</v>
      </c>
      <c r="L12" s="24">
        <v>46366.8</v>
      </c>
      <c r="M12" s="24">
        <v>43212.999999999985</v>
      </c>
      <c r="N12" s="24">
        <v>1513.5</v>
      </c>
      <c r="O12" s="24">
        <v>3557.9999999999995</v>
      </c>
      <c r="P12" s="24">
        <v>5929.799999999998</v>
      </c>
      <c r="Q12" s="24">
        <v>7521.599999999999</v>
      </c>
      <c r="R12" s="24">
        <v>2254.7</v>
      </c>
      <c r="S12" s="24">
        <v>668.9000000000002</v>
      </c>
      <c r="T12" s="24">
        <v>1498</v>
      </c>
      <c r="U12" s="24">
        <v>1971.7999999999995</v>
      </c>
      <c r="V12" s="24">
        <v>3150.4000000000005</v>
      </c>
      <c r="W12" s="24">
        <v>572.3000000000001</v>
      </c>
      <c r="X12" s="24">
        <v>1358.0000000000005</v>
      </c>
      <c r="Y12" s="24">
        <v>1129.3999999999999</v>
      </c>
      <c r="Z12" s="24">
        <v>13120.199999999995</v>
      </c>
      <c r="AA12" s="24">
        <v>284.1</v>
      </c>
      <c r="AB12" s="24">
        <v>3305.3999999999996</v>
      </c>
      <c r="AC12" s="24">
        <v>24582.1</v>
      </c>
      <c r="AD12" s="24">
        <v>2973.2999999999997</v>
      </c>
      <c r="AE12" s="24">
        <v>10479.900000000001</v>
      </c>
      <c r="AF12" s="24">
        <v>3720.8999999999996</v>
      </c>
      <c r="AG12" s="24">
        <v>45254.2</v>
      </c>
      <c r="AH12" s="24">
        <v>23804.6</v>
      </c>
      <c r="AI12" s="24">
        <v>21056.600000000002</v>
      </c>
      <c r="AJ12" s="24">
        <v>7797.700000000001</v>
      </c>
      <c r="AK12" s="24">
        <v>1774</v>
      </c>
      <c r="AL12" s="24">
        <v>2547.6000000000004</v>
      </c>
      <c r="AM12" s="24">
        <v>308.40000000000015</v>
      </c>
      <c r="AN12" s="24">
        <v>645.0000000000001</v>
      </c>
      <c r="AO12" s="24">
        <v>553.4000000000001</v>
      </c>
      <c r="AP12" s="24">
        <v>1381.7</v>
      </c>
      <c r="AQ12" s="24">
        <v>630.2</v>
      </c>
      <c r="AR12" s="24">
        <v>741.4</v>
      </c>
      <c r="AS12" s="24">
        <v>1699.3999999999996</v>
      </c>
      <c r="AT12" s="24">
        <v>1241.5999999999995</v>
      </c>
      <c r="AU12" s="24">
        <v>2837.599999999999</v>
      </c>
      <c r="AV12" s="24">
        <v>1368.5999999999995</v>
      </c>
      <c r="AW12" s="24">
        <v>595.2000000000002</v>
      </c>
      <c r="AX12" s="24">
        <v>434.90000000000003</v>
      </c>
      <c r="AY12" s="24">
        <v>630.0000000000002</v>
      </c>
      <c r="AZ12" s="24">
        <v>3173.0999999999995</v>
      </c>
      <c r="BA12" s="24">
        <v>317.1</v>
      </c>
      <c r="BB12" s="24">
        <v>306.2</v>
      </c>
      <c r="BC12" s="24">
        <v>3365.7000000000007</v>
      </c>
      <c r="BD12" s="24">
        <v>5713.100000000001</v>
      </c>
      <c r="BE12" s="24">
        <v>1757.7000000000003</v>
      </c>
      <c r="BF12" s="24">
        <v>2907.4000000000005</v>
      </c>
      <c r="BG12" s="24">
        <v>1422.3999999999996</v>
      </c>
      <c r="BH12" s="24">
        <v>750</v>
      </c>
      <c r="BI12" s="24">
        <v>838.2000000000002</v>
      </c>
      <c r="BJ12" s="24">
        <v>754.1000000000001</v>
      </c>
      <c r="BK12" s="24">
        <v>131.29999999999998</v>
      </c>
      <c r="BL12" s="24">
        <v>1147.4999999999993</v>
      </c>
      <c r="BM12" s="24">
        <v>0</v>
      </c>
      <c r="BN12" s="24">
        <v>0</v>
      </c>
      <c r="BO12" s="24">
        <v>1109.7000000000003</v>
      </c>
      <c r="BP12" s="24">
        <v>160639.50000000003</v>
      </c>
      <c r="BQ12" s="24">
        <v>15.2</v>
      </c>
      <c r="BR12" s="24">
        <v>1817.8</v>
      </c>
      <c r="BS12" s="24">
        <v>-8746.5</v>
      </c>
    </row>
    <row r="13" spans="1:71" x14ac:dyDescent="0.25">
      <c r="A13" s="30" t="s">
        <v>93</v>
      </c>
      <c r="B13" s="31" t="s">
        <v>290</v>
      </c>
      <c r="C13" s="24">
        <v>22697.4</v>
      </c>
      <c r="D13" s="24">
        <v>314.4</v>
      </c>
      <c r="E13" s="24">
        <v>206.39999999999998</v>
      </c>
      <c r="F13" s="24">
        <v>1077.1999999999998</v>
      </c>
      <c r="G13" s="24">
        <v>13551.699999999999</v>
      </c>
      <c r="H13" s="24">
        <v>8641.5</v>
      </c>
      <c r="I13" s="24">
        <v>5142.500000000001</v>
      </c>
      <c r="J13" s="24">
        <v>8514.5</v>
      </c>
      <c r="K13" s="24">
        <v>2223.1000000000004</v>
      </c>
      <c r="L13" s="24">
        <v>16052.899999999998</v>
      </c>
      <c r="M13" s="24">
        <v>144520.4</v>
      </c>
      <c r="N13" s="24">
        <v>20059.300000000003</v>
      </c>
      <c r="O13" s="24">
        <v>53745.29999999999</v>
      </c>
      <c r="P13" s="24">
        <v>8240.600000000004</v>
      </c>
      <c r="Q13" s="24">
        <v>8783.6</v>
      </c>
      <c r="R13" s="24">
        <v>8313.199999999999</v>
      </c>
      <c r="S13" s="24">
        <v>4068.700000000001</v>
      </c>
      <c r="T13" s="24">
        <v>7289.200000000002</v>
      </c>
      <c r="U13" s="24">
        <v>5609.4</v>
      </c>
      <c r="V13" s="24">
        <v>11474.300000000001</v>
      </c>
      <c r="W13" s="24">
        <v>3078.0999999999995</v>
      </c>
      <c r="X13" s="24">
        <v>6398.7</v>
      </c>
      <c r="Y13" s="24">
        <v>2123.9999999999995</v>
      </c>
      <c r="Z13" s="24">
        <v>11992.199999999997</v>
      </c>
      <c r="AA13" s="24">
        <v>637.1</v>
      </c>
      <c r="AB13" s="24">
        <v>2494.6999999999994</v>
      </c>
      <c r="AC13" s="24">
        <v>22844.3</v>
      </c>
      <c r="AD13" s="24">
        <v>2473.6000000000004</v>
      </c>
      <c r="AE13" s="24">
        <v>10938.500000000004</v>
      </c>
      <c r="AF13" s="24">
        <v>2887.7</v>
      </c>
      <c r="AG13" s="24">
        <v>3937.8000000000006</v>
      </c>
      <c r="AH13" s="24">
        <v>533.9999999999999</v>
      </c>
      <c r="AI13" s="24">
        <v>933.9999999999999</v>
      </c>
      <c r="AJ13" s="24">
        <v>1592.5</v>
      </c>
      <c r="AK13" s="24">
        <v>213</v>
      </c>
      <c r="AL13" s="24">
        <v>3275.2999999999993</v>
      </c>
      <c r="AM13" s="24">
        <v>2053.7999999999997</v>
      </c>
      <c r="AN13" s="24">
        <v>502.1000000000001</v>
      </c>
      <c r="AO13" s="24">
        <v>463.3</v>
      </c>
      <c r="AP13" s="24">
        <v>1983.8999999999996</v>
      </c>
      <c r="AQ13" s="24">
        <v>477.4000000000001</v>
      </c>
      <c r="AR13" s="24">
        <v>237.50000000000003</v>
      </c>
      <c r="AS13" s="24">
        <v>268.9</v>
      </c>
      <c r="AT13" s="24">
        <v>2773.2</v>
      </c>
      <c r="AU13" s="24">
        <v>1862.1999999999998</v>
      </c>
      <c r="AV13" s="24">
        <v>1903.4999999999993</v>
      </c>
      <c r="AW13" s="24">
        <v>2594.9999999999995</v>
      </c>
      <c r="AX13" s="24">
        <v>337.60000000000014</v>
      </c>
      <c r="AY13" s="24">
        <v>936.4999999999999</v>
      </c>
      <c r="AZ13" s="24">
        <v>1373.2</v>
      </c>
      <c r="BA13" s="24">
        <v>154.4</v>
      </c>
      <c r="BB13" s="24">
        <v>175.59999999999997</v>
      </c>
      <c r="BC13" s="24">
        <v>6394.899999999999</v>
      </c>
      <c r="BD13" s="24">
        <v>2538.199999999999</v>
      </c>
      <c r="BE13" s="24">
        <v>1214.8999999999996</v>
      </c>
      <c r="BF13" s="24">
        <v>13301.399999999996</v>
      </c>
      <c r="BG13" s="24">
        <v>1608.6</v>
      </c>
      <c r="BH13" s="24">
        <v>712.9999999999999</v>
      </c>
      <c r="BI13" s="24">
        <v>493.9000000000001</v>
      </c>
      <c r="BJ13" s="24">
        <v>494.2</v>
      </c>
      <c r="BK13" s="24">
        <v>91.10000000000001</v>
      </c>
      <c r="BL13" s="24">
        <v>2842.5999999999995</v>
      </c>
      <c r="BM13" s="24">
        <v>0</v>
      </c>
      <c r="BN13" s="24">
        <v>0</v>
      </c>
      <c r="BO13" s="24">
        <v>4885.100000000002</v>
      </c>
      <c r="BP13" s="24">
        <v>75927.39999999998</v>
      </c>
      <c r="BQ13" s="24">
        <v>99.8</v>
      </c>
      <c r="BR13" s="24">
        <v>10244.500000000004</v>
      </c>
      <c r="BS13" s="24">
        <v>-3150.7000000000007</v>
      </c>
    </row>
    <row r="14" spans="1:71" x14ac:dyDescent="0.25">
      <c r="A14" s="30" t="s">
        <v>95</v>
      </c>
      <c r="B14" s="31" t="s">
        <v>291</v>
      </c>
      <c r="C14" s="24">
        <v>2302.799999999999</v>
      </c>
      <c r="D14" s="24">
        <v>24.700000000000003</v>
      </c>
      <c r="E14" s="24">
        <v>30.900000000000002</v>
      </c>
      <c r="F14" s="24">
        <v>83.5</v>
      </c>
      <c r="G14" s="24">
        <v>4307.5</v>
      </c>
      <c r="H14" s="24">
        <v>406.3</v>
      </c>
      <c r="I14" s="24">
        <v>300.3</v>
      </c>
      <c r="J14" s="24">
        <v>386.50000000000006</v>
      </c>
      <c r="K14" s="24">
        <v>131.59999999999997</v>
      </c>
      <c r="L14" s="24">
        <v>573.8000000000001</v>
      </c>
      <c r="M14" s="24">
        <v>6191.600000000002</v>
      </c>
      <c r="N14" s="24">
        <v>36651.39999999999</v>
      </c>
      <c r="O14" s="24">
        <v>2759.0999999999995</v>
      </c>
      <c r="P14" s="24">
        <v>587.7</v>
      </c>
      <c r="Q14" s="24">
        <v>498.80000000000007</v>
      </c>
      <c r="R14" s="24">
        <v>599.2999999999998</v>
      </c>
      <c r="S14" s="24">
        <v>748</v>
      </c>
      <c r="T14" s="24">
        <v>556.3999999999999</v>
      </c>
      <c r="U14" s="24">
        <v>1050.9</v>
      </c>
      <c r="V14" s="24">
        <v>1215.5</v>
      </c>
      <c r="W14" s="24">
        <v>261.59999999999997</v>
      </c>
      <c r="X14" s="24">
        <v>694.5000000000001</v>
      </c>
      <c r="Y14" s="24">
        <v>218.49999999999994</v>
      </c>
      <c r="Z14" s="24">
        <v>821.7</v>
      </c>
      <c r="AA14" s="24">
        <v>55.50000000000001</v>
      </c>
      <c r="AB14" s="24">
        <v>401.1000000000001</v>
      </c>
      <c r="AC14" s="24">
        <v>2407.6</v>
      </c>
      <c r="AD14" s="24">
        <v>342.50000000000006</v>
      </c>
      <c r="AE14" s="24">
        <v>8858.2</v>
      </c>
      <c r="AF14" s="24">
        <v>1580.1000000000001</v>
      </c>
      <c r="AG14" s="24">
        <v>545.7000000000002</v>
      </c>
      <c r="AH14" s="24">
        <v>174.29999999999998</v>
      </c>
      <c r="AI14" s="24">
        <v>282.3000000000001</v>
      </c>
      <c r="AJ14" s="24">
        <v>514.9999999999999</v>
      </c>
      <c r="AK14" s="24">
        <v>88.49999999999999</v>
      </c>
      <c r="AL14" s="24">
        <v>852.1999999999998</v>
      </c>
      <c r="AM14" s="24">
        <v>783.2000000000003</v>
      </c>
      <c r="AN14" s="24">
        <v>269.9000000000001</v>
      </c>
      <c r="AO14" s="24">
        <v>316.00000000000006</v>
      </c>
      <c r="AP14" s="24">
        <v>1821.6999999999998</v>
      </c>
      <c r="AQ14" s="24">
        <v>332.60000000000014</v>
      </c>
      <c r="AR14" s="24">
        <v>156.1</v>
      </c>
      <c r="AS14" s="24">
        <v>187.4</v>
      </c>
      <c r="AT14" s="24">
        <v>497.0000000000001</v>
      </c>
      <c r="AU14" s="24">
        <v>1705.5000000000002</v>
      </c>
      <c r="AV14" s="24">
        <v>571.0000000000001</v>
      </c>
      <c r="AW14" s="24">
        <v>1803.3</v>
      </c>
      <c r="AX14" s="24">
        <v>209.8</v>
      </c>
      <c r="AY14" s="24">
        <v>1295.9</v>
      </c>
      <c r="AZ14" s="24">
        <v>1139.6</v>
      </c>
      <c r="BA14" s="24">
        <v>99.09999999999997</v>
      </c>
      <c r="BB14" s="24">
        <v>94.29999999999995</v>
      </c>
      <c r="BC14" s="24">
        <v>1073.8000000000004</v>
      </c>
      <c r="BD14" s="24">
        <v>2172.1000000000004</v>
      </c>
      <c r="BE14" s="24">
        <v>823.6000000000001</v>
      </c>
      <c r="BF14" s="24">
        <v>41308.100000000006</v>
      </c>
      <c r="BG14" s="24">
        <v>3254</v>
      </c>
      <c r="BH14" s="24">
        <v>214.09999999999997</v>
      </c>
      <c r="BI14" s="24">
        <v>199.49999999999997</v>
      </c>
      <c r="BJ14" s="24">
        <v>158.29999999999998</v>
      </c>
      <c r="BK14" s="24">
        <v>19.300000000000004</v>
      </c>
      <c r="BL14" s="24">
        <v>219.89999999999992</v>
      </c>
      <c r="BM14" s="24">
        <v>0</v>
      </c>
      <c r="BN14" s="24">
        <v>0</v>
      </c>
      <c r="BO14" s="24">
        <v>68668.2</v>
      </c>
      <c r="BP14" s="24">
        <v>67923.79999999999</v>
      </c>
      <c r="BQ14" s="24">
        <v>149.69999999999996</v>
      </c>
      <c r="BR14" s="24">
        <v>19050.500000000004</v>
      </c>
      <c r="BS14" s="24">
        <v>-31803.599999999988</v>
      </c>
    </row>
    <row r="15" spans="1:71" x14ac:dyDescent="0.25">
      <c r="A15" s="30" t="s">
        <v>97</v>
      </c>
      <c r="B15" s="31" t="s">
        <v>292</v>
      </c>
      <c r="C15" s="24">
        <v>2656.8</v>
      </c>
      <c r="D15" s="24">
        <v>89.99999999999999</v>
      </c>
      <c r="E15" s="24">
        <v>77.69999999999997</v>
      </c>
      <c r="F15" s="24">
        <v>362.3999999999999</v>
      </c>
      <c r="G15" s="24">
        <v>20433.299999999992</v>
      </c>
      <c r="H15" s="24">
        <v>2811.4</v>
      </c>
      <c r="I15" s="24">
        <v>1652.3000000000002</v>
      </c>
      <c r="J15" s="24">
        <v>3158.1</v>
      </c>
      <c r="K15" s="24">
        <v>1022.8000000000002</v>
      </c>
      <c r="L15" s="24">
        <v>1816.8999999999999</v>
      </c>
      <c r="M15" s="24">
        <v>10129.900000000001</v>
      </c>
      <c r="N15" s="24">
        <v>5666.099999999999</v>
      </c>
      <c r="O15" s="24">
        <v>45415.900000000016</v>
      </c>
      <c r="P15" s="24">
        <v>3829.9</v>
      </c>
      <c r="Q15" s="24">
        <v>2968.5</v>
      </c>
      <c r="R15" s="24">
        <v>9010.100000000004</v>
      </c>
      <c r="S15" s="24">
        <v>4079.8999999999996</v>
      </c>
      <c r="T15" s="24">
        <v>9993.600000000002</v>
      </c>
      <c r="U15" s="24">
        <v>13593.6</v>
      </c>
      <c r="V15" s="24">
        <v>34822</v>
      </c>
      <c r="W15" s="24">
        <v>2827.0000000000005</v>
      </c>
      <c r="X15" s="24">
        <v>6860.200000000002</v>
      </c>
      <c r="Y15" s="24">
        <v>2543.3000000000006</v>
      </c>
      <c r="Z15" s="24">
        <v>1398.5</v>
      </c>
      <c r="AA15" s="24">
        <v>199.1</v>
      </c>
      <c r="AB15" s="24">
        <v>1711.8000000000006</v>
      </c>
      <c r="AC15" s="24">
        <v>55286.899999999994</v>
      </c>
      <c r="AD15" s="24">
        <v>5058.5</v>
      </c>
      <c r="AE15" s="24">
        <v>7882.2</v>
      </c>
      <c r="AF15" s="24">
        <v>4604.4</v>
      </c>
      <c r="AG15" s="24">
        <v>5012.100000000001</v>
      </c>
      <c r="AH15" s="24">
        <v>129.7</v>
      </c>
      <c r="AI15" s="24">
        <v>208.09999999999994</v>
      </c>
      <c r="AJ15" s="24">
        <v>1741.5</v>
      </c>
      <c r="AK15" s="24">
        <v>227.6</v>
      </c>
      <c r="AL15" s="24">
        <v>1491</v>
      </c>
      <c r="AM15" s="24">
        <v>467.70000000000005</v>
      </c>
      <c r="AN15" s="24">
        <v>336.1</v>
      </c>
      <c r="AO15" s="24">
        <v>1044.6</v>
      </c>
      <c r="AP15" s="24">
        <v>1122.9</v>
      </c>
      <c r="AQ15" s="24">
        <v>475.4000000000001</v>
      </c>
      <c r="AR15" s="24">
        <v>275.2000000000001</v>
      </c>
      <c r="AS15" s="24">
        <v>229.49999999999997</v>
      </c>
      <c r="AT15" s="24">
        <v>2892.6000000000004</v>
      </c>
      <c r="AU15" s="24">
        <v>1589.3999999999999</v>
      </c>
      <c r="AV15" s="24">
        <v>1861.3999999999999</v>
      </c>
      <c r="AW15" s="24">
        <v>604.0000000000002</v>
      </c>
      <c r="AX15" s="24">
        <v>550.1999999999999</v>
      </c>
      <c r="AY15" s="24">
        <v>732.1</v>
      </c>
      <c r="AZ15" s="24">
        <v>865.9000000000001</v>
      </c>
      <c r="BA15" s="24">
        <v>92.80000000000003</v>
      </c>
      <c r="BB15" s="24">
        <v>91.29999999999997</v>
      </c>
      <c r="BC15" s="24">
        <v>4028.399999999999</v>
      </c>
      <c r="BD15" s="24">
        <v>1255.5999999999997</v>
      </c>
      <c r="BE15" s="24">
        <v>475.1000000000001</v>
      </c>
      <c r="BF15" s="24">
        <v>3297.3</v>
      </c>
      <c r="BG15" s="24">
        <v>1125.0999999999997</v>
      </c>
      <c r="BH15" s="24">
        <v>642.8000000000001</v>
      </c>
      <c r="BI15" s="24">
        <v>293.2000000000001</v>
      </c>
      <c r="BJ15" s="24">
        <v>246.69999999999996</v>
      </c>
      <c r="BK15" s="24">
        <v>222.2</v>
      </c>
      <c r="BL15" s="24">
        <v>510.40000000000003</v>
      </c>
      <c r="BM15" s="24">
        <v>0</v>
      </c>
      <c r="BN15" s="24">
        <v>0</v>
      </c>
      <c r="BO15" s="24">
        <v>777.2</v>
      </c>
      <c r="BP15" s="24">
        <v>36336.399999999994</v>
      </c>
      <c r="BQ15" s="24">
        <v>34.2</v>
      </c>
      <c r="BR15" s="24">
        <v>10027.700000000004</v>
      </c>
      <c r="BS15" s="24">
        <v>-1753.7000000000003</v>
      </c>
    </row>
    <row r="16" spans="1:71" x14ac:dyDescent="0.25">
      <c r="A16" s="30" t="s">
        <v>99</v>
      </c>
      <c r="B16" s="31" t="s">
        <v>293</v>
      </c>
      <c r="C16" s="24">
        <v>2048.3</v>
      </c>
      <c r="D16" s="24">
        <v>81.89999999999998</v>
      </c>
      <c r="E16" s="24">
        <v>67.39999999999999</v>
      </c>
      <c r="F16" s="24">
        <v>946.1</v>
      </c>
      <c r="G16" s="24">
        <v>8576.2</v>
      </c>
      <c r="H16" s="24">
        <v>584.6</v>
      </c>
      <c r="I16" s="24">
        <v>1897.8</v>
      </c>
      <c r="J16" s="24">
        <v>373.9000000000001</v>
      </c>
      <c r="K16" s="24">
        <v>73.2</v>
      </c>
      <c r="L16" s="24">
        <v>1328.5</v>
      </c>
      <c r="M16" s="24">
        <v>3915.0000000000005</v>
      </c>
      <c r="N16" s="24">
        <v>1582.8999999999996</v>
      </c>
      <c r="O16" s="24">
        <v>2905.1999999999994</v>
      </c>
      <c r="P16" s="24">
        <v>29592</v>
      </c>
      <c r="Q16" s="24">
        <v>4596.299999999998</v>
      </c>
      <c r="R16" s="24">
        <v>4312.999999999999</v>
      </c>
      <c r="S16" s="24">
        <v>1712.5</v>
      </c>
      <c r="T16" s="24">
        <v>3264.6</v>
      </c>
      <c r="U16" s="24">
        <v>2893.8</v>
      </c>
      <c r="V16" s="24">
        <v>6570.700000000002</v>
      </c>
      <c r="W16" s="24">
        <v>1140.5999999999997</v>
      </c>
      <c r="X16" s="24">
        <v>2245</v>
      </c>
      <c r="Y16" s="24">
        <v>867.5</v>
      </c>
      <c r="Z16" s="24">
        <v>3053.3999999999996</v>
      </c>
      <c r="AA16" s="24">
        <v>345.50000000000006</v>
      </c>
      <c r="AB16" s="24">
        <v>1222.6999999999996</v>
      </c>
      <c r="AC16" s="24">
        <v>123208.39999999998</v>
      </c>
      <c r="AD16" s="24">
        <v>1268.9000000000003</v>
      </c>
      <c r="AE16" s="24">
        <v>3010.8000000000006</v>
      </c>
      <c r="AF16" s="24">
        <v>1110.4999999999998</v>
      </c>
      <c r="AG16" s="24">
        <v>1023.6</v>
      </c>
      <c r="AH16" s="24">
        <v>84.8</v>
      </c>
      <c r="AI16" s="24">
        <v>131.59999999999997</v>
      </c>
      <c r="AJ16" s="24">
        <v>860.1000000000004</v>
      </c>
      <c r="AK16" s="24">
        <v>43.10000000000001</v>
      </c>
      <c r="AL16" s="24">
        <v>1729.4</v>
      </c>
      <c r="AM16" s="24">
        <v>87.7</v>
      </c>
      <c r="AN16" s="24">
        <v>63.2</v>
      </c>
      <c r="AO16" s="24">
        <v>427.20000000000005</v>
      </c>
      <c r="AP16" s="24">
        <v>484.7000000000001</v>
      </c>
      <c r="AQ16" s="24">
        <v>143.3</v>
      </c>
      <c r="AR16" s="24">
        <v>40.800000000000004</v>
      </c>
      <c r="AS16" s="24">
        <v>61.2</v>
      </c>
      <c r="AT16" s="24">
        <v>4277.9</v>
      </c>
      <c r="AU16" s="24">
        <v>616.1</v>
      </c>
      <c r="AV16" s="24">
        <v>596.9000000000001</v>
      </c>
      <c r="AW16" s="24">
        <v>481.90000000000003</v>
      </c>
      <c r="AX16" s="24">
        <v>146.29999999999998</v>
      </c>
      <c r="AY16" s="24">
        <v>260.79999999999995</v>
      </c>
      <c r="AZ16" s="24">
        <v>372.1</v>
      </c>
      <c r="BA16" s="24">
        <v>50.40000000000001</v>
      </c>
      <c r="BB16" s="24">
        <v>51.00000000000001</v>
      </c>
      <c r="BC16" s="24">
        <v>1939.1000000000001</v>
      </c>
      <c r="BD16" s="24">
        <v>1184.5999999999995</v>
      </c>
      <c r="BE16" s="24">
        <v>533.3000000000002</v>
      </c>
      <c r="BF16" s="24">
        <v>1782.3000000000004</v>
      </c>
      <c r="BG16" s="24">
        <v>339.00000000000006</v>
      </c>
      <c r="BH16" s="24">
        <v>478.79999999999995</v>
      </c>
      <c r="BI16" s="24">
        <v>229.4</v>
      </c>
      <c r="BJ16" s="24">
        <v>283.40000000000003</v>
      </c>
      <c r="BK16" s="24">
        <v>61.4</v>
      </c>
      <c r="BL16" s="24">
        <v>465.2000000000001</v>
      </c>
      <c r="BM16" s="24">
        <v>0</v>
      </c>
      <c r="BN16" s="24">
        <v>0</v>
      </c>
      <c r="BO16" s="24">
        <v>289.9000000000001</v>
      </c>
      <c r="BP16" s="24">
        <v>24221.1</v>
      </c>
      <c r="BQ16" s="24">
        <v>11.7</v>
      </c>
      <c r="BR16" s="24">
        <v>11129.800000000005</v>
      </c>
      <c r="BS16" s="24">
        <v>-8151.300000000001</v>
      </c>
    </row>
    <row r="17" spans="1:71" x14ac:dyDescent="0.25">
      <c r="A17" s="30" t="s">
        <v>101</v>
      </c>
      <c r="B17" s="31" t="s">
        <v>294</v>
      </c>
      <c r="C17" s="24">
        <v>643.9999999999998</v>
      </c>
      <c r="D17" s="24">
        <v>41.40000000000001</v>
      </c>
      <c r="E17" s="24">
        <v>10.5</v>
      </c>
      <c r="F17" s="24">
        <v>486.50000000000006</v>
      </c>
      <c r="G17" s="24">
        <v>3211.6999999999994</v>
      </c>
      <c r="H17" s="24">
        <v>549.4000000000002</v>
      </c>
      <c r="I17" s="24">
        <v>836.8000000000005</v>
      </c>
      <c r="J17" s="24">
        <v>752.6000000000003</v>
      </c>
      <c r="K17" s="24">
        <v>232.50000000000003</v>
      </c>
      <c r="L17" s="24">
        <v>1120.0999999999997</v>
      </c>
      <c r="M17" s="24">
        <v>6613.299999999997</v>
      </c>
      <c r="N17" s="24">
        <v>1288.4999999999998</v>
      </c>
      <c r="O17" s="24">
        <v>5091.700000000001</v>
      </c>
      <c r="P17" s="24">
        <v>3051.1</v>
      </c>
      <c r="Q17" s="24">
        <v>151064</v>
      </c>
      <c r="R17" s="24">
        <v>88376.6</v>
      </c>
      <c r="S17" s="24">
        <v>4907.6</v>
      </c>
      <c r="T17" s="24">
        <v>25435.599999999995</v>
      </c>
      <c r="U17" s="24">
        <v>39302.599999999984</v>
      </c>
      <c r="V17" s="24">
        <v>42972.7</v>
      </c>
      <c r="W17" s="24">
        <v>6378.4</v>
      </c>
      <c r="X17" s="24">
        <v>10801.499999999998</v>
      </c>
      <c r="Y17" s="24">
        <v>7082.099999999997</v>
      </c>
      <c r="Z17" s="24">
        <v>2299.0999999999995</v>
      </c>
      <c r="AA17" s="24">
        <v>435.59999999999997</v>
      </c>
      <c r="AB17" s="24">
        <v>5397.5</v>
      </c>
      <c r="AC17" s="24">
        <v>33981.5</v>
      </c>
      <c r="AD17" s="24">
        <v>1323.9</v>
      </c>
      <c r="AE17" s="24">
        <v>4521.100000000003</v>
      </c>
      <c r="AF17" s="24">
        <v>1097.4</v>
      </c>
      <c r="AG17" s="24">
        <v>2033.2999999999993</v>
      </c>
      <c r="AH17" s="24">
        <v>130.39999999999995</v>
      </c>
      <c r="AI17" s="24">
        <v>132.39999999999998</v>
      </c>
      <c r="AJ17" s="24">
        <v>1156.7</v>
      </c>
      <c r="AK17" s="24">
        <v>41.90000000000001</v>
      </c>
      <c r="AL17" s="24">
        <v>457.90000000000015</v>
      </c>
      <c r="AM17" s="24">
        <v>129.99999999999997</v>
      </c>
      <c r="AN17" s="24">
        <v>79.79999999999998</v>
      </c>
      <c r="AO17" s="24">
        <v>372.30000000000007</v>
      </c>
      <c r="AP17" s="24">
        <v>742.7</v>
      </c>
      <c r="AQ17" s="24">
        <v>124.79999999999998</v>
      </c>
      <c r="AR17" s="24">
        <v>45.60000000000001</v>
      </c>
      <c r="AS17" s="24">
        <v>73.69999999999997</v>
      </c>
      <c r="AT17" s="24">
        <v>1534.3999999999996</v>
      </c>
      <c r="AU17" s="24">
        <v>816.5</v>
      </c>
      <c r="AV17" s="24">
        <v>1987.2999999999997</v>
      </c>
      <c r="AW17" s="24">
        <v>340.50000000000006</v>
      </c>
      <c r="AX17" s="24">
        <v>322.20000000000016</v>
      </c>
      <c r="AY17" s="24">
        <v>459.80000000000007</v>
      </c>
      <c r="AZ17" s="24">
        <v>452.6</v>
      </c>
      <c r="BA17" s="24">
        <v>46.500000000000014</v>
      </c>
      <c r="BB17" s="24">
        <v>33.60000000000001</v>
      </c>
      <c r="BC17" s="24">
        <v>833.1</v>
      </c>
      <c r="BD17" s="24">
        <v>1215.8</v>
      </c>
      <c r="BE17" s="24">
        <v>218.79999999999998</v>
      </c>
      <c r="BF17" s="24">
        <v>1989.3999999999996</v>
      </c>
      <c r="BG17" s="24">
        <v>137.29999999999998</v>
      </c>
      <c r="BH17" s="24">
        <v>287.20000000000005</v>
      </c>
      <c r="BI17" s="24">
        <v>136.29999999999995</v>
      </c>
      <c r="BJ17" s="24">
        <v>69.99999999999999</v>
      </c>
      <c r="BK17" s="24">
        <v>196.8</v>
      </c>
      <c r="BL17" s="24">
        <v>175.79999999999995</v>
      </c>
      <c r="BM17" s="24">
        <v>0</v>
      </c>
      <c r="BN17" s="24">
        <v>0</v>
      </c>
      <c r="BO17" s="24">
        <v>563.4000000000002</v>
      </c>
      <c r="BP17" s="24">
        <v>6757.600000000002</v>
      </c>
      <c r="BQ17" s="24">
        <v>15.3</v>
      </c>
      <c r="BR17" s="24">
        <v>9291.199999999999</v>
      </c>
      <c r="BS17" s="24">
        <v>962.6999999999999</v>
      </c>
    </row>
    <row r="18" spans="1:71" x14ac:dyDescent="0.25">
      <c r="A18" s="30" t="s">
        <v>103</v>
      </c>
      <c r="B18" s="31" t="s">
        <v>295</v>
      </c>
      <c r="C18" s="24">
        <v>4294.6</v>
      </c>
      <c r="D18" s="24">
        <v>165.6</v>
      </c>
      <c r="E18" s="24">
        <v>109.29999999999995</v>
      </c>
      <c r="F18" s="24">
        <v>949.3999999999999</v>
      </c>
      <c r="G18" s="24">
        <v>11330.1</v>
      </c>
      <c r="H18" s="24">
        <v>1480.1</v>
      </c>
      <c r="I18" s="24">
        <v>2377.9</v>
      </c>
      <c r="J18" s="24">
        <v>1153.5999999999997</v>
      </c>
      <c r="K18" s="24">
        <v>394.1000000000001</v>
      </c>
      <c r="L18" s="24">
        <v>1906.1000000000001</v>
      </c>
      <c r="M18" s="24">
        <v>4781.499999999998</v>
      </c>
      <c r="N18" s="24">
        <v>1793.0000000000002</v>
      </c>
      <c r="O18" s="24">
        <v>6719.799999999999</v>
      </c>
      <c r="P18" s="24">
        <v>3051.4</v>
      </c>
      <c r="Q18" s="24">
        <v>18148.7</v>
      </c>
      <c r="R18" s="24">
        <v>101520.69999999997</v>
      </c>
      <c r="S18" s="24">
        <v>6222.599999999999</v>
      </c>
      <c r="T18" s="24">
        <v>15277.9</v>
      </c>
      <c r="U18" s="24">
        <v>68217.30000000003</v>
      </c>
      <c r="V18" s="24">
        <v>51674.799999999996</v>
      </c>
      <c r="W18" s="24">
        <v>14475.900000000003</v>
      </c>
      <c r="X18" s="24">
        <v>8430.5</v>
      </c>
      <c r="Y18" s="24">
        <v>13363.600000000004</v>
      </c>
      <c r="Z18" s="24">
        <v>4314.699999999999</v>
      </c>
      <c r="AA18" s="24">
        <v>713.1000000000001</v>
      </c>
      <c r="AB18" s="24">
        <v>4061.4999999999995</v>
      </c>
      <c r="AC18" s="24">
        <v>96821.99999999999</v>
      </c>
      <c r="AD18" s="24">
        <v>4073.3999999999996</v>
      </c>
      <c r="AE18" s="24">
        <v>6938.200000000001</v>
      </c>
      <c r="AF18" s="24">
        <v>2060.9000000000005</v>
      </c>
      <c r="AG18" s="24">
        <v>2928.1000000000004</v>
      </c>
      <c r="AH18" s="24">
        <v>350</v>
      </c>
      <c r="AI18" s="24">
        <v>418.1000000000001</v>
      </c>
      <c r="AJ18" s="24">
        <v>3272.999999999999</v>
      </c>
      <c r="AK18" s="24">
        <v>134.79999999999995</v>
      </c>
      <c r="AL18" s="24">
        <v>1819.4999999999995</v>
      </c>
      <c r="AM18" s="24">
        <v>239.69999999999996</v>
      </c>
      <c r="AN18" s="24">
        <v>202.89999999999998</v>
      </c>
      <c r="AO18" s="24">
        <v>1055.9</v>
      </c>
      <c r="AP18" s="24">
        <v>1393.3000000000002</v>
      </c>
      <c r="AQ18" s="24">
        <v>339.7000000000001</v>
      </c>
      <c r="AR18" s="24">
        <v>133.89999999999995</v>
      </c>
      <c r="AS18" s="24">
        <v>125.69999999999996</v>
      </c>
      <c r="AT18" s="24">
        <v>2719.2000000000007</v>
      </c>
      <c r="AU18" s="24">
        <v>1435.3999999999999</v>
      </c>
      <c r="AV18" s="24">
        <v>3570.699999999999</v>
      </c>
      <c r="AW18" s="24">
        <v>536.1000000000001</v>
      </c>
      <c r="AX18" s="24">
        <v>601.6000000000001</v>
      </c>
      <c r="AY18" s="24">
        <v>563.5</v>
      </c>
      <c r="AZ18" s="24">
        <v>1107.4000000000003</v>
      </c>
      <c r="BA18" s="24">
        <v>124.89999999999998</v>
      </c>
      <c r="BB18" s="24">
        <v>118.99999999999996</v>
      </c>
      <c r="BC18" s="24">
        <v>3487.899999999999</v>
      </c>
      <c r="BD18" s="24">
        <v>3932.0999999999995</v>
      </c>
      <c r="BE18" s="24">
        <v>553.9</v>
      </c>
      <c r="BF18" s="24">
        <v>1601.8999999999999</v>
      </c>
      <c r="BG18" s="24">
        <v>555.4</v>
      </c>
      <c r="BH18" s="24">
        <v>889.0000000000001</v>
      </c>
      <c r="BI18" s="24">
        <v>363.90000000000015</v>
      </c>
      <c r="BJ18" s="24">
        <v>287.80000000000007</v>
      </c>
      <c r="BK18" s="24">
        <v>408.3000000000001</v>
      </c>
      <c r="BL18" s="24">
        <v>421.7</v>
      </c>
      <c r="BM18" s="24">
        <v>0</v>
      </c>
      <c r="BN18" s="24">
        <v>0</v>
      </c>
      <c r="BO18" s="24">
        <v>889.3000000000001</v>
      </c>
      <c r="BP18" s="24">
        <v>30863.099999999995</v>
      </c>
      <c r="BQ18" s="24">
        <v>71.39999999999999</v>
      </c>
      <c r="BR18" s="24">
        <v>77930.20000000001</v>
      </c>
      <c r="BS18" s="24">
        <v>3332.400000000001</v>
      </c>
    </row>
    <row r="19" spans="1:71" x14ac:dyDescent="0.25">
      <c r="A19" s="30" t="s">
        <v>105</v>
      </c>
      <c r="B19" s="31" t="s">
        <v>296</v>
      </c>
      <c r="C19" s="24">
        <v>503.4</v>
      </c>
      <c r="D19" s="24">
        <v>55.60000000000001</v>
      </c>
      <c r="E19" s="24">
        <v>20.400000000000002</v>
      </c>
      <c r="F19" s="24">
        <v>134.1</v>
      </c>
      <c r="G19" s="24">
        <v>1112.8999999999999</v>
      </c>
      <c r="H19" s="24">
        <v>178</v>
      </c>
      <c r="I19" s="24">
        <v>209.39999999999995</v>
      </c>
      <c r="J19" s="24">
        <v>291.9000000000001</v>
      </c>
      <c r="K19" s="24">
        <v>338.20000000000005</v>
      </c>
      <c r="L19" s="24">
        <v>408.19999999999993</v>
      </c>
      <c r="M19" s="24">
        <v>1110.0000000000002</v>
      </c>
      <c r="N19" s="24">
        <v>1224</v>
      </c>
      <c r="O19" s="24">
        <v>799.3999999999999</v>
      </c>
      <c r="P19" s="24">
        <v>608.5999999999999</v>
      </c>
      <c r="Q19" s="24">
        <v>945.9</v>
      </c>
      <c r="R19" s="24">
        <v>2590.2999999999993</v>
      </c>
      <c r="S19" s="24">
        <v>52982.49999999999</v>
      </c>
      <c r="T19" s="24">
        <v>14443.099999999997</v>
      </c>
      <c r="U19" s="24">
        <v>9728.900000000001</v>
      </c>
      <c r="V19" s="24">
        <v>12776.499999999998</v>
      </c>
      <c r="W19" s="24">
        <v>5226.500000000001</v>
      </c>
      <c r="X19" s="24">
        <v>2838.5000000000005</v>
      </c>
      <c r="Y19" s="24">
        <v>5399.5</v>
      </c>
      <c r="Z19" s="24">
        <v>3336.6999999999994</v>
      </c>
      <c r="AA19" s="24">
        <v>209.2</v>
      </c>
      <c r="AB19" s="24">
        <v>439.99999999999994</v>
      </c>
      <c r="AC19" s="24">
        <v>10202.500000000002</v>
      </c>
      <c r="AD19" s="24">
        <v>925.5999999999999</v>
      </c>
      <c r="AE19" s="24">
        <v>5332.700000000001</v>
      </c>
      <c r="AF19" s="24">
        <v>1670.0999999999997</v>
      </c>
      <c r="AG19" s="24">
        <v>1062.1</v>
      </c>
      <c r="AH19" s="24">
        <v>244.9</v>
      </c>
      <c r="AI19" s="24">
        <v>437.5999999999999</v>
      </c>
      <c r="AJ19" s="24">
        <v>1060.6000000000001</v>
      </c>
      <c r="AK19" s="24">
        <v>329.09999999999997</v>
      </c>
      <c r="AL19" s="24">
        <v>787.3</v>
      </c>
      <c r="AM19" s="24">
        <v>1344.6000000000004</v>
      </c>
      <c r="AN19" s="24">
        <v>1255.6</v>
      </c>
      <c r="AO19" s="24">
        <v>8128.9</v>
      </c>
      <c r="AP19" s="24">
        <v>13469.300000000005</v>
      </c>
      <c r="AQ19" s="24">
        <v>610.1000000000001</v>
      </c>
      <c r="AR19" s="24">
        <v>370.50000000000006</v>
      </c>
      <c r="AS19" s="24">
        <v>496.9000000000001</v>
      </c>
      <c r="AT19" s="24">
        <v>736.7000000000002</v>
      </c>
      <c r="AU19" s="24">
        <v>1817.3000000000002</v>
      </c>
      <c r="AV19" s="24">
        <v>3315.399999999999</v>
      </c>
      <c r="AW19" s="24">
        <v>2017.0999999999997</v>
      </c>
      <c r="AX19" s="24">
        <v>762.1</v>
      </c>
      <c r="AY19" s="24">
        <v>823.6</v>
      </c>
      <c r="AZ19" s="24">
        <v>1263.1</v>
      </c>
      <c r="BA19" s="24">
        <v>213.59999999999997</v>
      </c>
      <c r="BB19" s="24">
        <v>118.8</v>
      </c>
      <c r="BC19" s="24">
        <v>2722.3</v>
      </c>
      <c r="BD19" s="24">
        <v>3023.7</v>
      </c>
      <c r="BE19" s="24">
        <v>1220.8999999999996</v>
      </c>
      <c r="BF19" s="24">
        <v>5094.799999999999</v>
      </c>
      <c r="BG19" s="24">
        <v>1077.8</v>
      </c>
      <c r="BH19" s="24">
        <v>1526</v>
      </c>
      <c r="BI19" s="24">
        <v>453.5000000000002</v>
      </c>
      <c r="BJ19" s="24">
        <v>312.19999999999993</v>
      </c>
      <c r="BK19" s="24">
        <v>1179.3</v>
      </c>
      <c r="BL19" s="24">
        <v>219.39999999999998</v>
      </c>
      <c r="BM19" s="24">
        <v>0</v>
      </c>
      <c r="BN19" s="24">
        <v>0</v>
      </c>
      <c r="BO19" s="24">
        <v>3495.0999999999995</v>
      </c>
      <c r="BP19" s="24">
        <v>77147.99999999997</v>
      </c>
      <c r="BQ19" s="24">
        <v>202.39999999999998</v>
      </c>
      <c r="BR19" s="24">
        <v>120134.7</v>
      </c>
      <c r="BS19" s="24">
        <v>20715.200000000004</v>
      </c>
    </row>
    <row r="20" spans="1:71" x14ac:dyDescent="0.25">
      <c r="A20" s="30" t="s">
        <v>107</v>
      </c>
      <c r="B20" s="31" t="s">
        <v>297</v>
      </c>
      <c r="C20" s="24">
        <v>946.0999999999998</v>
      </c>
      <c r="D20" s="24">
        <v>69.80000000000001</v>
      </c>
      <c r="E20" s="24">
        <v>41.40000000000001</v>
      </c>
      <c r="F20" s="24">
        <v>313.2000000000001</v>
      </c>
      <c r="G20" s="24">
        <v>3341.2</v>
      </c>
      <c r="H20" s="24">
        <v>387.40000000000003</v>
      </c>
      <c r="I20" s="24">
        <v>445.80000000000007</v>
      </c>
      <c r="J20" s="24">
        <v>601.1</v>
      </c>
      <c r="K20" s="24">
        <v>191.39999999999992</v>
      </c>
      <c r="L20" s="24">
        <v>611.1000000000001</v>
      </c>
      <c r="M20" s="24">
        <v>1594.5</v>
      </c>
      <c r="N20" s="24">
        <v>1020.8000000000002</v>
      </c>
      <c r="O20" s="24">
        <v>1536.5999999999997</v>
      </c>
      <c r="P20" s="24">
        <v>914.5</v>
      </c>
      <c r="Q20" s="24">
        <v>3370.7</v>
      </c>
      <c r="R20" s="24">
        <v>5816.900000000001</v>
      </c>
      <c r="S20" s="24">
        <v>12393.999999999998</v>
      </c>
      <c r="T20" s="24">
        <v>54562.19999999998</v>
      </c>
      <c r="U20" s="24">
        <v>22365.899999999994</v>
      </c>
      <c r="V20" s="24">
        <v>28113.7</v>
      </c>
      <c r="W20" s="24">
        <v>5927.499999999998</v>
      </c>
      <c r="X20" s="24">
        <v>2542.900000000001</v>
      </c>
      <c r="Y20" s="24">
        <v>6482.7</v>
      </c>
      <c r="Z20" s="24">
        <v>9446.199999999999</v>
      </c>
      <c r="AA20" s="24">
        <v>387.90000000000003</v>
      </c>
      <c r="AB20" s="24">
        <v>1124.2000000000003</v>
      </c>
      <c r="AC20" s="24">
        <v>45335.899999999994</v>
      </c>
      <c r="AD20" s="24">
        <v>2034.9999999999995</v>
      </c>
      <c r="AE20" s="24">
        <v>4673.9</v>
      </c>
      <c r="AF20" s="24">
        <v>1742.8999999999999</v>
      </c>
      <c r="AG20" s="24">
        <v>2075.2</v>
      </c>
      <c r="AH20" s="24">
        <v>266.59999999999997</v>
      </c>
      <c r="AI20" s="24">
        <v>456.8000000000002</v>
      </c>
      <c r="AJ20" s="24">
        <v>1705.3000000000002</v>
      </c>
      <c r="AK20" s="24">
        <v>207.49999999999997</v>
      </c>
      <c r="AL20" s="24">
        <v>2088.7999999999997</v>
      </c>
      <c r="AM20" s="24">
        <v>258.7</v>
      </c>
      <c r="AN20" s="24">
        <v>451.7999999999999</v>
      </c>
      <c r="AO20" s="24">
        <v>2567.2999999999997</v>
      </c>
      <c r="AP20" s="24">
        <v>2918.8</v>
      </c>
      <c r="AQ20" s="24">
        <v>251.99999999999997</v>
      </c>
      <c r="AR20" s="24">
        <v>122.59999999999998</v>
      </c>
      <c r="AS20" s="24">
        <v>189.39999999999998</v>
      </c>
      <c r="AT20" s="24">
        <v>2364.7</v>
      </c>
      <c r="AU20" s="24">
        <v>1504.7000000000003</v>
      </c>
      <c r="AV20" s="24">
        <v>2145.4000000000005</v>
      </c>
      <c r="AW20" s="24">
        <v>765.7000000000002</v>
      </c>
      <c r="AX20" s="24">
        <v>292.20000000000005</v>
      </c>
      <c r="AY20" s="24">
        <v>531.9</v>
      </c>
      <c r="AZ20" s="24">
        <v>1107.6999999999998</v>
      </c>
      <c r="BA20" s="24">
        <v>102.99999999999999</v>
      </c>
      <c r="BB20" s="24">
        <v>105.49999999999997</v>
      </c>
      <c r="BC20" s="24">
        <v>1788.3000000000002</v>
      </c>
      <c r="BD20" s="24">
        <v>1590.6999999999994</v>
      </c>
      <c r="BE20" s="24">
        <v>559.1000000000001</v>
      </c>
      <c r="BF20" s="24">
        <v>1368.8999999999996</v>
      </c>
      <c r="BG20" s="24">
        <v>546.2000000000002</v>
      </c>
      <c r="BH20" s="24">
        <v>882</v>
      </c>
      <c r="BI20" s="24">
        <v>378.6000000000002</v>
      </c>
      <c r="BJ20" s="24">
        <v>155.39999999999995</v>
      </c>
      <c r="BK20" s="24">
        <v>528.2000000000002</v>
      </c>
      <c r="BL20" s="24">
        <v>655.1000000000001</v>
      </c>
      <c r="BM20" s="24">
        <v>0</v>
      </c>
      <c r="BN20" s="24">
        <v>0</v>
      </c>
      <c r="BO20" s="24">
        <v>961.2</v>
      </c>
      <c r="BP20" s="24">
        <v>62272.1</v>
      </c>
      <c r="BQ20" s="24">
        <v>76.49999999999997</v>
      </c>
      <c r="BR20" s="24">
        <v>61920.100000000006</v>
      </c>
      <c r="BS20" s="24">
        <v>11492.100000000002</v>
      </c>
    </row>
    <row r="21" spans="1:71" x14ac:dyDescent="0.25">
      <c r="A21" s="30" t="s">
        <v>109</v>
      </c>
      <c r="B21" s="31" t="s">
        <v>298</v>
      </c>
      <c r="C21" s="24">
        <v>4050.6999999999994</v>
      </c>
      <c r="D21" s="24">
        <v>447.70000000000005</v>
      </c>
      <c r="E21" s="24">
        <v>126.10000000000001</v>
      </c>
      <c r="F21" s="24">
        <v>1232.8</v>
      </c>
      <c r="G21" s="24">
        <v>6764.800000000001</v>
      </c>
      <c r="H21" s="24">
        <v>1162.8</v>
      </c>
      <c r="I21" s="24">
        <v>1029.2</v>
      </c>
      <c r="J21" s="24">
        <v>1965.1999999999998</v>
      </c>
      <c r="K21" s="24">
        <v>539.6000000000001</v>
      </c>
      <c r="L21" s="24">
        <v>1816.6999999999998</v>
      </c>
      <c r="M21" s="24">
        <v>3971.399999999999</v>
      </c>
      <c r="N21" s="24">
        <v>1936.7999999999997</v>
      </c>
      <c r="O21" s="24">
        <v>3768.8999999999996</v>
      </c>
      <c r="P21" s="24">
        <v>2313.600000000001</v>
      </c>
      <c r="Q21" s="24">
        <v>7536.400000000002</v>
      </c>
      <c r="R21" s="24">
        <v>13006.199999999997</v>
      </c>
      <c r="S21" s="24">
        <v>5325.8</v>
      </c>
      <c r="T21" s="24">
        <v>9670.300000000003</v>
      </c>
      <c r="U21" s="24">
        <v>116068.90000000002</v>
      </c>
      <c r="V21" s="24">
        <v>36259.90000000001</v>
      </c>
      <c r="W21" s="24">
        <v>9865.9</v>
      </c>
      <c r="X21" s="24">
        <v>2582.1</v>
      </c>
      <c r="Y21" s="24">
        <v>13868.799999999992</v>
      </c>
      <c r="Z21" s="24">
        <v>6100.099999999999</v>
      </c>
      <c r="AA21" s="24">
        <v>794.1999999999999</v>
      </c>
      <c r="AB21" s="24">
        <v>2909.399999999999</v>
      </c>
      <c r="AC21" s="24">
        <v>31917.199999999997</v>
      </c>
      <c r="AD21" s="24">
        <v>4162.100000000001</v>
      </c>
      <c r="AE21" s="24">
        <v>5590</v>
      </c>
      <c r="AF21" s="24">
        <v>2708.7999999999997</v>
      </c>
      <c r="AG21" s="24">
        <v>2986.6999999999985</v>
      </c>
      <c r="AH21" s="24">
        <v>886.9000000000002</v>
      </c>
      <c r="AI21" s="24">
        <v>1274.6999999999998</v>
      </c>
      <c r="AJ21" s="24">
        <v>4497.7</v>
      </c>
      <c r="AK21" s="24">
        <v>282.1</v>
      </c>
      <c r="AL21" s="24">
        <v>2169.1</v>
      </c>
      <c r="AM21" s="24">
        <v>505.2000000000001</v>
      </c>
      <c r="AN21" s="24">
        <v>429.90000000000015</v>
      </c>
      <c r="AO21" s="24">
        <v>1671.2</v>
      </c>
      <c r="AP21" s="24">
        <v>2934.5000000000005</v>
      </c>
      <c r="AQ21" s="24">
        <v>774.7</v>
      </c>
      <c r="AR21" s="24">
        <v>483.4</v>
      </c>
      <c r="AS21" s="24">
        <v>331.3</v>
      </c>
      <c r="AT21" s="24">
        <v>1831.4</v>
      </c>
      <c r="AU21" s="24">
        <v>2539.4999999999995</v>
      </c>
      <c r="AV21" s="24">
        <v>2858.6000000000004</v>
      </c>
      <c r="AW21" s="24">
        <v>1402.4999999999995</v>
      </c>
      <c r="AX21" s="24">
        <v>370.40000000000003</v>
      </c>
      <c r="AY21" s="24">
        <v>660.5999999999999</v>
      </c>
      <c r="AZ21" s="24">
        <v>2733.199999999999</v>
      </c>
      <c r="BA21" s="24">
        <v>226.4</v>
      </c>
      <c r="BB21" s="24">
        <v>209.39999999999998</v>
      </c>
      <c r="BC21" s="24">
        <v>3191.7000000000007</v>
      </c>
      <c r="BD21" s="24">
        <v>2413.6</v>
      </c>
      <c r="BE21" s="24">
        <v>672.6000000000001</v>
      </c>
      <c r="BF21" s="24">
        <v>2493.7000000000003</v>
      </c>
      <c r="BG21" s="24">
        <v>964.6999999999999</v>
      </c>
      <c r="BH21" s="24">
        <v>749.9000000000003</v>
      </c>
      <c r="BI21" s="24">
        <v>439.20000000000005</v>
      </c>
      <c r="BJ21" s="24">
        <v>472.00000000000017</v>
      </c>
      <c r="BK21" s="24">
        <v>266.50000000000006</v>
      </c>
      <c r="BL21" s="24">
        <v>448.2000000000001</v>
      </c>
      <c r="BM21" s="24">
        <v>0</v>
      </c>
      <c r="BN21" s="24">
        <v>0</v>
      </c>
      <c r="BO21" s="24">
        <v>2358.7999999999993</v>
      </c>
      <c r="BP21" s="24">
        <v>27999.800000000003</v>
      </c>
      <c r="BQ21" s="24">
        <v>162.09999999999997</v>
      </c>
      <c r="BR21" s="24">
        <v>253068.80000000005</v>
      </c>
      <c r="BS21" s="24">
        <v>12859.000000000004</v>
      </c>
    </row>
    <row r="22" spans="1:71" x14ac:dyDescent="0.25">
      <c r="A22" s="30" t="s">
        <v>111</v>
      </c>
      <c r="B22" s="31" t="s">
        <v>299</v>
      </c>
      <c r="C22" s="24">
        <v>1614.6999999999994</v>
      </c>
      <c r="D22" s="24">
        <v>150.7</v>
      </c>
      <c r="E22" s="24">
        <v>35.600000000000016</v>
      </c>
      <c r="F22" s="24">
        <v>267.7</v>
      </c>
      <c r="G22" s="24">
        <v>2063.9</v>
      </c>
      <c r="H22" s="24">
        <v>427.3</v>
      </c>
      <c r="I22" s="24">
        <v>440.6</v>
      </c>
      <c r="J22" s="24">
        <v>429.8000000000001</v>
      </c>
      <c r="K22" s="24">
        <v>173.89999999999995</v>
      </c>
      <c r="L22" s="24">
        <v>540.3000000000002</v>
      </c>
      <c r="M22" s="24">
        <v>2050.7000000000003</v>
      </c>
      <c r="N22" s="24">
        <v>765.2000000000003</v>
      </c>
      <c r="O22" s="24">
        <v>1876.3000000000006</v>
      </c>
      <c r="P22" s="24">
        <v>1858.2</v>
      </c>
      <c r="Q22" s="24">
        <v>1331.6</v>
      </c>
      <c r="R22" s="24">
        <v>4704.200000000001</v>
      </c>
      <c r="S22" s="24">
        <v>2047.6999999999998</v>
      </c>
      <c r="T22" s="24">
        <v>5004.299999999998</v>
      </c>
      <c r="U22" s="24">
        <v>20364.299999999992</v>
      </c>
      <c r="V22" s="24">
        <v>283646.6</v>
      </c>
      <c r="W22" s="24">
        <v>3324.4000000000005</v>
      </c>
      <c r="X22" s="24">
        <v>1045.1999999999998</v>
      </c>
      <c r="Y22" s="24">
        <v>4415.999999999999</v>
      </c>
      <c r="Z22" s="24">
        <v>1812.1</v>
      </c>
      <c r="AA22" s="24">
        <v>183.69999999999996</v>
      </c>
      <c r="AB22" s="24">
        <v>2719.6</v>
      </c>
      <c r="AC22" s="24">
        <v>9586.700000000004</v>
      </c>
      <c r="AD22" s="24">
        <v>26930.999999999996</v>
      </c>
      <c r="AE22" s="24">
        <v>4377.8</v>
      </c>
      <c r="AF22" s="24">
        <v>2789.4</v>
      </c>
      <c r="AG22" s="24">
        <v>13198.900000000001</v>
      </c>
      <c r="AH22" s="24">
        <v>267.1</v>
      </c>
      <c r="AI22" s="24">
        <v>744.1</v>
      </c>
      <c r="AJ22" s="24">
        <v>4295.799999999999</v>
      </c>
      <c r="AK22" s="24">
        <v>1469.5999999999997</v>
      </c>
      <c r="AL22" s="24">
        <v>955.5000000000001</v>
      </c>
      <c r="AM22" s="24">
        <v>305.60000000000014</v>
      </c>
      <c r="AN22" s="24">
        <v>367.8000000000002</v>
      </c>
      <c r="AO22" s="24">
        <v>778.1999999999998</v>
      </c>
      <c r="AP22" s="24">
        <v>2435.2000000000007</v>
      </c>
      <c r="AQ22" s="24">
        <v>880.5000000000001</v>
      </c>
      <c r="AR22" s="24">
        <v>708.3000000000001</v>
      </c>
      <c r="AS22" s="24">
        <v>428.4</v>
      </c>
      <c r="AT22" s="24">
        <v>1081.5999999999997</v>
      </c>
      <c r="AU22" s="24">
        <v>2354.399999999999</v>
      </c>
      <c r="AV22" s="24">
        <v>1140.8</v>
      </c>
      <c r="AW22" s="24">
        <v>1411.7999999999995</v>
      </c>
      <c r="AX22" s="24">
        <v>358.30000000000024</v>
      </c>
      <c r="AY22" s="24">
        <v>519.2</v>
      </c>
      <c r="AZ22" s="24">
        <v>4201.6</v>
      </c>
      <c r="BA22" s="24">
        <v>159.69999999999996</v>
      </c>
      <c r="BB22" s="24">
        <v>277.3000000000001</v>
      </c>
      <c r="BC22" s="24">
        <v>1812.9999999999998</v>
      </c>
      <c r="BD22" s="24">
        <v>2021.3000000000004</v>
      </c>
      <c r="BE22" s="24">
        <v>594.9000000000001</v>
      </c>
      <c r="BF22" s="24">
        <v>1274.4000000000003</v>
      </c>
      <c r="BG22" s="24">
        <v>557</v>
      </c>
      <c r="BH22" s="24">
        <v>403.00000000000017</v>
      </c>
      <c r="BI22" s="24">
        <v>431.4000000000001</v>
      </c>
      <c r="BJ22" s="24">
        <v>358.8000000000001</v>
      </c>
      <c r="BK22" s="24">
        <v>77.49999999999999</v>
      </c>
      <c r="BL22" s="24">
        <v>233.09999999999997</v>
      </c>
      <c r="BM22" s="24">
        <v>0</v>
      </c>
      <c r="BN22" s="24">
        <v>0</v>
      </c>
      <c r="BO22" s="24">
        <v>4112.7</v>
      </c>
      <c r="BP22" s="24">
        <v>267366.6</v>
      </c>
      <c r="BQ22" s="24">
        <v>532.7000000000003</v>
      </c>
      <c r="BR22" s="24">
        <v>209596.69999999992</v>
      </c>
      <c r="BS22" s="24">
        <v>21306.199999999997</v>
      </c>
    </row>
    <row r="23" spans="1:71" x14ac:dyDescent="0.25">
      <c r="A23" s="30" t="s">
        <v>113</v>
      </c>
      <c r="B23" s="31" t="s">
        <v>300</v>
      </c>
      <c r="C23" s="24">
        <v>335.19999999999993</v>
      </c>
      <c r="D23" s="24">
        <v>36.70000000000001</v>
      </c>
      <c r="E23" s="24">
        <v>115.49999999999997</v>
      </c>
      <c r="F23" s="24">
        <v>183.8</v>
      </c>
      <c r="G23" s="24">
        <v>536.5000000000001</v>
      </c>
      <c r="H23" s="24">
        <v>136.8</v>
      </c>
      <c r="I23" s="24">
        <v>106.19999999999997</v>
      </c>
      <c r="J23" s="24">
        <v>160.59999999999994</v>
      </c>
      <c r="K23" s="24">
        <v>52.60000000000001</v>
      </c>
      <c r="L23" s="24">
        <v>127</v>
      </c>
      <c r="M23" s="24">
        <v>380.9000000000001</v>
      </c>
      <c r="N23" s="24">
        <v>174.79999999999995</v>
      </c>
      <c r="O23" s="24">
        <v>380.8</v>
      </c>
      <c r="P23" s="24">
        <v>223.8</v>
      </c>
      <c r="Q23" s="24">
        <v>512.3999999999999</v>
      </c>
      <c r="R23" s="24">
        <v>995.3000000000002</v>
      </c>
      <c r="S23" s="24">
        <v>502.4000000000001</v>
      </c>
      <c r="T23" s="24">
        <v>904.9</v>
      </c>
      <c r="U23" s="24">
        <v>1192.5999999999997</v>
      </c>
      <c r="V23" s="24">
        <v>1911.6</v>
      </c>
      <c r="W23" s="24">
        <v>76427.29999999999</v>
      </c>
      <c r="X23" s="24">
        <v>496.80000000000007</v>
      </c>
      <c r="Y23" s="24">
        <v>6729.400000000001</v>
      </c>
      <c r="Z23" s="24">
        <v>1254.6999999999996</v>
      </c>
      <c r="AA23" s="24">
        <v>93.89999999999998</v>
      </c>
      <c r="AB23" s="24">
        <v>244.29999999999998</v>
      </c>
      <c r="AC23" s="24">
        <v>2312.6999999999994</v>
      </c>
      <c r="AD23" s="24">
        <v>714.3000000000001</v>
      </c>
      <c r="AE23" s="24">
        <v>1074.3</v>
      </c>
      <c r="AF23" s="24">
        <v>513.4000000000001</v>
      </c>
      <c r="AG23" s="24">
        <v>3753.8000000000006</v>
      </c>
      <c r="AH23" s="24">
        <v>488.50000000000006</v>
      </c>
      <c r="AI23" s="24">
        <v>4783.100000000001</v>
      </c>
      <c r="AJ23" s="24">
        <v>2102.8999999999996</v>
      </c>
      <c r="AK23" s="24">
        <v>32.30000000000001</v>
      </c>
      <c r="AL23" s="24">
        <v>400.8000000000001</v>
      </c>
      <c r="AM23" s="24">
        <v>58.20000000000001</v>
      </c>
      <c r="AN23" s="24">
        <v>80.29999999999997</v>
      </c>
      <c r="AO23" s="24">
        <v>228.1</v>
      </c>
      <c r="AP23" s="24">
        <v>533.1000000000001</v>
      </c>
      <c r="AQ23" s="24">
        <v>96.79999999999997</v>
      </c>
      <c r="AR23" s="24">
        <v>35.9</v>
      </c>
      <c r="AS23" s="24">
        <v>66.19999999999996</v>
      </c>
      <c r="AT23" s="24">
        <v>271.6</v>
      </c>
      <c r="AU23" s="24">
        <v>322.49999999999994</v>
      </c>
      <c r="AV23" s="24">
        <v>302.7</v>
      </c>
      <c r="AW23" s="24">
        <v>258.59999999999997</v>
      </c>
      <c r="AX23" s="24">
        <v>68.69999999999996</v>
      </c>
      <c r="AY23" s="24">
        <v>275.9000000000001</v>
      </c>
      <c r="AZ23" s="24">
        <v>1182.9999999999998</v>
      </c>
      <c r="BA23" s="24">
        <v>36.60000000000001</v>
      </c>
      <c r="BB23" s="24">
        <v>39.60000000000001</v>
      </c>
      <c r="BC23" s="24">
        <v>492.5</v>
      </c>
      <c r="BD23" s="24">
        <v>8257.400000000003</v>
      </c>
      <c r="BE23" s="24">
        <v>162.89999999999998</v>
      </c>
      <c r="BF23" s="24">
        <v>615.3999999999999</v>
      </c>
      <c r="BG23" s="24">
        <v>121.19999999999999</v>
      </c>
      <c r="BH23" s="24">
        <v>113.79999999999995</v>
      </c>
      <c r="BI23" s="24">
        <v>169.99999999999997</v>
      </c>
      <c r="BJ23" s="24">
        <v>67.99999999999999</v>
      </c>
      <c r="BK23" s="24">
        <v>31.500000000000004</v>
      </c>
      <c r="BL23" s="24">
        <v>103.79999999999998</v>
      </c>
      <c r="BM23" s="24">
        <v>0</v>
      </c>
      <c r="BN23" s="24">
        <v>0</v>
      </c>
      <c r="BO23" s="24">
        <v>1911.8</v>
      </c>
      <c r="BP23" s="24">
        <v>30170</v>
      </c>
      <c r="BQ23" s="24">
        <v>48.80000000000001</v>
      </c>
      <c r="BR23" s="24">
        <v>109798.7</v>
      </c>
      <c r="BS23" s="24">
        <v>-23454</v>
      </c>
    </row>
    <row r="24" spans="1:71" x14ac:dyDescent="0.25">
      <c r="A24" s="30" t="s">
        <v>301</v>
      </c>
      <c r="B24" s="31" t="s">
        <v>302</v>
      </c>
      <c r="C24" s="24">
        <v>517.1999999999999</v>
      </c>
      <c r="D24" s="24">
        <v>28.50000000000001</v>
      </c>
      <c r="E24" s="24">
        <v>26.600000000000005</v>
      </c>
      <c r="F24" s="24">
        <v>81.19999999999999</v>
      </c>
      <c r="G24" s="24">
        <v>2102.1999999999994</v>
      </c>
      <c r="H24" s="24">
        <v>957.0999999999999</v>
      </c>
      <c r="I24" s="24">
        <v>1590.9999999999998</v>
      </c>
      <c r="J24" s="24">
        <v>512.6</v>
      </c>
      <c r="K24" s="24">
        <v>158.39999999999995</v>
      </c>
      <c r="L24" s="24">
        <v>224.19999999999996</v>
      </c>
      <c r="M24" s="24">
        <v>1783.3999999999999</v>
      </c>
      <c r="N24" s="24">
        <v>1672</v>
      </c>
      <c r="O24" s="24">
        <v>1020.4000000000001</v>
      </c>
      <c r="P24" s="24">
        <v>542.8000000000002</v>
      </c>
      <c r="Q24" s="24">
        <v>1164.3</v>
      </c>
      <c r="R24" s="24">
        <v>1570.5999999999997</v>
      </c>
      <c r="S24" s="24">
        <v>1847.5</v>
      </c>
      <c r="T24" s="24">
        <v>957.2</v>
      </c>
      <c r="U24" s="24">
        <v>2109</v>
      </c>
      <c r="V24" s="24">
        <v>3215.5</v>
      </c>
      <c r="W24" s="24">
        <v>668.5000000000003</v>
      </c>
      <c r="X24" s="24">
        <v>14497.900000000005</v>
      </c>
      <c r="Y24" s="24">
        <v>1122.9000000000005</v>
      </c>
      <c r="Z24" s="24">
        <v>767.4000000000001</v>
      </c>
      <c r="AA24" s="24">
        <v>74.19999999999999</v>
      </c>
      <c r="AB24" s="24">
        <v>381.00000000000006</v>
      </c>
      <c r="AC24" s="24">
        <v>9809.500000000004</v>
      </c>
      <c r="AD24" s="24">
        <v>722.8</v>
      </c>
      <c r="AE24" s="24">
        <v>2894.8000000000006</v>
      </c>
      <c r="AF24" s="24">
        <v>1994.1000000000001</v>
      </c>
      <c r="AG24" s="24">
        <v>804.5000000000003</v>
      </c>
      <c r="AH24" s="24">
        <v>131.4</v>
      </c>
      <c r="AI24" s="24">
        <v>126.3</v>
      </c>
      <c r="AJ24" s="24">
        <v>530.3000000000001</v>
      </c>
      <c r="AK24" s="24">
        <v>58.00000000000001</v>
      </c>
      <c r="AL24" s="24">
        <v>2083.6</v>
      </c>
      <c r="AM24" s="24">
        <v>303.90000000000003</v>
      </c>
      <c r="AN24" s="24">
        <v>788.5000000000002</v>
      </c>
      <c r="AO24" s="24">
        <v>461.70000000000005</v>
      </c>
      <c r="AP24" s="24">
        <v>1167.5000000000002</v>
      </c>
      <c r="AQ24" s="24">
        <v>307.40000000000003</v>
      </c>
      <c r="AR24" s="24">
        <v>120.29999999999997</v>
      </c>
      <c r="AS24" s="24">
        <v>153.5</v>
      </c>
      <c r="AT24" s="24">
        <v>1357.0999999999995</v>
      </c>
      <c r="AU24" s="24">
        <v>1039.5</v>
      </c>
      <c r="AV24" s="24">
        <v>609.9000000000003</v>
      </c>
      <c r="AW24" s="24">
        <v>520.6000000000003</v>
      </c>
      <c r="AX24" s="24">
        <v>359.49999999999994</v>
      </c>
      <c r="AY24" s="24">
        <v>599.4000000000003</v>
      </c>
      <c r="AZ24" s="24">
        <v>731.3000000000001</v>
      </c>
      <c r="BA24" s="24">
        <v>168.2</v>
      </c>
      <c r="BB24" s="24">
        <v>78.89999999999999</v>
      </c>
      <c r="BC24" s="24">
        <v>1283.3000000000002</v>
      </c>
      <c r="BD24" s="24">
        <v>1290.8999999999999</v>
      </c>
      <c r="BE24" s="24">
        <v>989.0999999999998</v>
      </c>
      <c r="BF24" s="24">
        <v>23793.800000000003</v>
      </c>
      <c r="BG24" s="24">
        <v>1907.6000000000001</v>
      </c>
      <c r="BH24" s="24">
        <v>1149.6000000000001</v>
      </c>
      <c r="BI24" s="24">
        <v>1019.8000000000002</v>
      </c>
      <c r="BJ24" s="24">
        <v>371.09999999999997</v>
      </c>
      <c r="BK24" s="24">
        <v>101.69999999999997</v>
      </c>
      <c r="BL24" s="24">
        <v>333.40000000000015</v>
      </c>
      <c r="BM24" s="24">
        <v>0</v>
      </c>
      <c r="BN24" s="24">
        <v>0</v>
      </c>
      <c r="BO24" s="24">
        <v>9139.000000000004</v>
      </c>
      <c r="BP24" s="24">
        <v>108102.90000000002</v>
      </c>
      <c r="BQ24" s="24">
        <v>63.40000000000001</v>
      </c>
      <c r="BR24" s="24">
        <v>47028.700000000004</v>
      </c>
      <c r="BS24" s="24">
        <v>2607.5</v>
      </c>
    </row>
    <row r="25" spans="1:71" x14ac:dyDescent="0.25">
      <c r="A25" s="30" t="s">
        <v>119</v>
      </c>
      <c r="B25" s="31" t="s">
        <v>303</v>
      </c>
      <c r="C25" s="24">
        <v>8344.7</v>
      </c>
      <c r="D25" s="24">
        <v>201.39999999999992</v>
      </c>
      <c r="E25" s="24">
        <v>130.1</v>
      </c>
      <c r="F25" s="24">
        <v>1653.7999999999997</v>
      </c>
      <c r="G25" s="24">
        <v>5158.3</v>
      </c>
      <c r="H25" s="24">
        <v>689.9</v>
      </c>
      <c r="I25" s="24">
        <v>1100.4999999999998</v>
      </c>
      <c r="J25" s="24">
        <v>1707.0000000000002</v>
      </c>
      <c r="K25" s="24">
        <v>369.90000000000003</v>
      </c>
      <c r="L25" s="24">
        <v>1372.0000000000002</v>
      </c>
      <c r="M25" s="24">
        <v>4043.6</v>
      </c>
      <c r="N25" s="24">
        <v>767.5999999999999</v>
      </c>
      <c r="O25" s="24">
        <v>1541.3</v>
      </c>
      <c r="P25" s="24">
        <v>2106.4</v>
      </c>
      <c r="Q25" s="24">
        <v>5730.1</v>
      </c>
      <c r="R25" s="24">
        <v>5204.200000000001</v>
      </c>
      <c r="S25" s="24">
        <v>1863.4999999999998</v>
      </c>
      <c r="T25" s="24">
        <v>2738.6</v>
      </c>
      <c r="U25" s="24">
        <v>8851.5</v>
      </c>
      <c r="V25" s="24">
        <v>6888.200000000001</v>
      </c>
      <c r="W25" s="24">
        <v>5409.4</v>
      </c>
      <c r="X25" s="24">
        <v>1364.3999999999999</v>
      </c>
      <c r="Y25" s="24">
        <v>11887.300000000001</v>
      </c>
      <c r="Z25" s="24">
        <v>10752.6</v>
      </c>
      <c r="AA25" s="24">
        <v>632.9000000000001</v>
      </c>
      <c r="AB25" s="24">
        <v>1664.4</v>
      </c>
      <c r="AC25" s="24">
        <v>9654.2</v>
      </c>
      <c r="AD25" s="24">
        <v>1033.9999999999998</v>
      </c>
      <c r="AE25" s="24">
        <v>4008.5999999999995</v>
      </c>
      <c r="AF25" s="24">
        <v>2626.0999999999995</v>
      </c>
      <c r="AG25" s="24">
        <v>6491.400000000001</v>
      </c>
      <c r="AH25" s="24">
        <v>4389.4</v>
      </c>
      <c r="AI25" s="24">
        <v>7729.6</v>
      </c>
      <c r="AJ25" s="24">
        <v>2861.5999999999995</v>
      </c>
      <c r="AK25" s="24">
        <v>190.19999999999993</v>
      </c>
      <c r="AL25" s="24">
        <v>1621.3</v>
      </c>
      <c r="AM25" s="24">
        <v>200.59999999999997</v>
      </c>
      <c r="AN25" s="24">
        <v>261.50000000000017</v>
      </c>
      <c r="AO25" s="24">
        <v>2549.8</v>
      </c>
      <c r="AP25" s="24">
        <v>2090.1999999999994</v>
      </c>
      <c r="AQ25" s="24">
        <v>345.9000000000001</v>
      </c>
      <c r="AR25" s="24">
        <v>176.09999999999994</v>
      </c>
      <c r="AS25" s="24">
        <v>207.5</v>
      </c>
      <c r="AT25" s="24">
        <v>2094.8000000000006</v>
      </c>
      <c r="AU25" s="24">
        <v>1330.4</v>
      </c>
      <c r="AV25" s="24">
        <v>831.3999999999999</v>
      </c>
      <c r="AW25" s="24">
        <v>801.1</v>
      </c>
      <c r="AX25" s="24">
        <v>192.69999999999996</v>
      </c>
      <c r="AY25" s="24">
        <v>469.3</v>
      </c>
      <c r="AZ25" s="24">
        <v>2091.2000000000003</v>
      </c>
      <c r="BA25" s="24">
        <v>364.30000000000007</v>
      </c>
      <c r="BB25" s="24">
        <v>110.29999999999997</v>
      </c>
      <c r="BC25" s="24">
        <v>1645.4</v>
      </c>
      <c r="BD25" s="24">
        <v>5066.200000000003</v>
      </c>
      <c r="BE25" s="24">
        <v>514.0999999999999</v>
      </c>
      <c r="BF25" s="24">
        <v>3340.4</v>
      </c>
      <c r="BG25" s="24">
        <v>784.1</v>
      </c>
      <c r="BH25" s="24">
        <v>389.80000000000007</v>
      </c>
      <c r="BI25" s="24">
        <v>455.30000000000007</v>
      </c>
      <c r="BJ25" s="24">
        <v>125.19999999999997</v>
      </c>
      <c r="BK25" s="24">
        <v>71.59999999999998</v>
      </c>
      <c r="BL25" s="24">
        <v>337.90000000000003</v>
      </c>
      <c r="BM25" s="24">
        <v>0</v>
      </c>
      <c r="BN25" s="24">
        <v>0</v>
      </c>
      <c r="BO25" s="24">
        <v>323.80000000000007</v>
      </c>
      <c r="BP25" s="24">
        <v>5895.700000000001</v>
      </c>
      <c r="BQ25" s="24">
        <v>6</v>
      </c>
      <c r="BR25" s="24">
        <v>73635.30000000003</v>
      </c>
      <c r="BS25" s="24">
        <v>1751.3999999999999</v>
      </c>
    </row>
    <row r="26" spans="1:71" x14ac:dyDescent="0.25">
      <c r="A26" s="30" t="s">
        <v>304</v>
      </c>
      <c r="B26" s="31" t="s">
        <v>305</v>
      </c>
      <c r="C26" s="24">
        <v>12613.099999999999</v>
      </c>
      <c r="D26" s="24">
        <v>300.1000000000001</v>
      </c>
      <c r="E26" s="24">
        <v>239.49999999999997</v>
      </c>
      <c r="F26" s="24">
        <v>5984.999999999999</v>
      </c>
      <c r="G26" s="24">
        <v>27395.899999999994</v>
      </c>
      <c r="H26" s="24">
        <v>3794.0000000000005</v>
      </c>
      <c r="I26" s="24">
        <v>4496.7</v>
      </c>
      <c r="J26" s="24">
        <v>12387.700000000004</v>
      </c>
      <c r="K26" s="24">
        <v>1549.6999999999996</v>
      </c>
      <c r="L26" s="24">
        <v>11244.100000000004</v>
      </c>
      <c r="M26" s="24">
        <v>25880.199999999997</v>
      </c>
      <c r="N26" s="24">
        <v>3091.499999999999</v>
      </c>
      <c r="O26" s="24">
        <v>10172</v>
      </c>
      <c r="P26" s="24">
        <v>15165.700000000004</v>
      </c>
      <c r="Q26" s="24">
        <v>28356.4</v>
      </c>
      <c r="R26" s="24">
        <v>10783.400000000005</v>
      </c>
      <c r="S26" s="24">
        <v>3103.2</v>
      </c>
      <c r="T26" s="24">
        <v>5345.800000000001</v>
      </c>
      <c r="U26" s="24">
        <v>6867.3</v>
      </c>
      <c r="V26" s="24">
        <v>12262.000000000002</v>
      </c>
      <c r="W26" s="24">
        <v>1809.4999999999998</v>
      </c>
      <c r="X26" s="24">
        <v>3119.999999999999</v>
      </c>
      <c r="Y26" s="24">
        <v>2431.100000000001</v>
      </c>
      <c r="Z26" s="24">
        <v>313634.80000000005</v>
      </c>
      <c r="AA26" s="24">
        <v>5618.800000000001</v>
      </c>
      <c r="AB26" s="24">
        <v>6314.700000000002</v>
      </c>
      <c r="AC26" s="24">
        <v>18001.8</v>
      </c>
      <c r="AD26" s="24">
        <v>5181.900000000001</v>
      </c>
      <c r="AE26" s="24">
        <v>14938.800000000001</v>
      </c>
      <c r="AF26" s="24">
        <v>26156.499999999993</v>
      </c>
      <c r="AG26" s="24">
        <v>15930.000000000004</v>
      </c>
      <c r="AH26" s="24">
        <v>332.6000000000001</v>
      </c>
      <c r="AI26" s="24">
        <v>682.1</v>
      </c>
      <c r="AJ26" s="24">
        <v>8632.900000000001</v>
      </c>
      <c r="AK26" s="24">
        <v>1573.8999999999999</v>
      </c>
      <c r="AL26" s="24">
        <v>25056.599999999995</v>
      </c>
      <c r="AM26" s="24">
        <v>1163.5</v>
      </c>
      <c r="AN26" s="24">
        <v>1709.3</v>
      </c>
      <c r="AO26" s="24">
        <v>6992.000000000003</v>
      </c>
      <c r="AP26" s="24">
        <v>6809.400000000001</v>
      </c>
      <c r="AQ26" s="24">
        <v>3216.8999999999987</v>
      </c>
      <c r="AR26" s="24">
        <v>1265.8999999999999</v>
      </c>
      <c r="AS26" s="24">
        <v>993.6</v>
      </c>
      <c r="AT26" s="24">
        <v>19034.199999999993</v>
      </c>
      <c r="AU26" s="24">
        <v>7115.3</v>
      </c>
      <c r="AV26" s="24">
        <v>3221.7000000000003</v>
      </c>
      <c r="AW26" s="24">
        <v>2440.9999999999995</v>
      </c>
      <c r="AX26" s="24">
        <v>1083.7</v>
      </c>
      <c r="AY26" s="24">
        <v>1765.4999999999995</v>
      </c>
      <c r="AZ26" s="24">
        <v>1506.3</v>
      </c>
      <c r="BA26" s="24">
        <v>1335.9</v>
      </c>
      <c r="BB26" s="24">
        <v>817.3</v>
      </c>
      <c r="BC26" s="24">
        <v>5900.100000000001</v>
      </c>
      <c r="BD26" s="24">
        <v>16443.399999999998</v>
      </c>
      <c r="BE26" s="24">
        <v>10909.1</v>
      </c>
      <c r="BF26" s="24">
        <v>13811.399999999998</v>
      </c>
      <c r="BG26" s="24">
        <v>7972.3</v>
      </c>
      <c r="BH26" s="24">
        <v>3428.7999999999997</v>
      </c>
      <c r="BI26" s="24">
        <v>5212.800000000002</v>
      </c>
      <c r="BJ26" s="24">
        <v>2718.3999999999996</v>
      </c>
      <c r="BK26" s="24">
        <v>328.5000000000001</v>
      </c>
      <c r="BL26" s="24">
        <v>4433.599999999999</v>
      </c>
      <c r="BM26" s="24">
        <v>0</v>
      </c>
      <c r="BN26" s="24">
        <v>0</v>
      </c>
      <c r="BO26" s="24">
        <v>4684.4000000000015</v>
      </c>
      <c r="BP26" s="24">
        <v>295750.10000000003</v>
      </c>
      <c r="BQ26" s="24">
        <v>88</v>
      </c>
      <c r="BR26" s="24">
        <v>23094.300000000003</v>
      </c>
      <c r="BS26" s="24">
        <v>1544.3999999999994</v>
      </c>
    </row>
    <row r="27" spans="1:71" x14ac:dyDescent="0.25">
      <c r="A27" s="30" t="s">
        <v>307</v>
      </c>
      <c r="B27" s="31" t="s">
        <v>308</v>
      </c>
      <c r="C27" s="24">
        <v>1693.6999999999998</v>
      </c>
      <c r="D27" s="24">
        <v>19.1</v>
      </c>
      <c r="E27" s="24">
        <v>35.50000000000001</v>
      </c>
      <c r="F27" s="24">
        <v>212.3</v>
      </c>
      <c r="G27" s="24">
        <v>1828.2999999999997</v>
      </c>
      <c r="H27" s="24">
        <v>269</v>
      </c>
      <c r="I27" s="24">
        <v>122</v>
      </c>
      <c r="J27" s="24">
        <v>516.6</v>
      </c>
      <c r="K27" s="24">
        <v>68.39999999999999</v>
      </c>
      <c r="L27" s="24">
        <v>410.8</v>
      </c>
      <c r="M27" s="24">
        <v>1059.6999999999996</v>
      </c>
      <c r="N27" s="24">
        <v>223.4</v>
      </c>
      <c r="O27" s="24">
        <v>431.10000000000014</v>
      </c>
      <c r="P27" s="24">
        <v>369.40000000000003</v>
      </c>
      <c r="Q27" s="24">
        <v>1493.6</v>
      </c>
      <c r="R27" s="24">
        <v>666.2000000000002</v>
      </c>
      <c r="S27" s="24">
        <v>144.6</v>
      </c>
      <c r="T27" s="24">
        <v>266.50000000000006</v>
      </c>
      <c r="U27" s="24">
        <v>452.00000000000006</v>
      </c>
      <c r="V27" s="24">
        <v>522</v>
      </c>
      <c r="W27" s="24">
        <v>172.1</v>
      </c>
      <c r="X27" s="24">
        <v>169.7</v>
      </c>
      <c r="Y27" s="24">
        <v>150.7</v>
      </c>
      <c r="Z27" s="24">
        <v>1557.1999999999996</v>
      </c>
      <c r="AA27" s="24">
        <v>3062.1</v>
      </c>
      <c r="AB27" s="24">
        <v>2808.7000000000003</v>
      </c>
      <c r="AC27" s="24">
        <v>1833.5999999999997</v>
      </c>
      <c r="AD27" s="24">
        <v>218</v>
      </c>
      <c r="AE27" s="24">
        <v>866.1</v>
      </c>
      <c r="AF27" s="24">
        <v>900.0000000000001</v>
      </c>
      <c r="AG27" s="24">
        <v>321.30000000000007</v>
      </c>
      <c r="AH27" s="24">
        <v>22.6</v>
      </c>
      <c r="AI27" s="24">
        <v>24.300000000000004</v>
      </c>
      <c r="AJ27" s="24">
        <v>313.80000000000007</v>
      </c>
      <c r="AK27" s="24">
        <v>60.5</v>
      </c>
      <c r="AL27" s="24">
        <v>1906.9999999999998</v>
      </c>
      <c r="AM27" s="24">
        <v>52.8</v>
      </c>
      <c r="AN27" s="24">
        <v>208.7</v>
      </c>
      <c r="AO27" s="24">
        <v>185</v>
      </c>
      <c r="AP27" s="24">
        <v>236.69999999999996</v>
      </c>
      <c r="AQ27" s="24">
        <v>206.2</v>
      </c>
      <c r="AR27" s="24">
        <v>82.69999999999999</v>
      </c>
      <c r="AS27" s="24">
        <v>176.39999999999998</v>
      </c>
      <c r="AT27" s="24">
        <v>2226.2999999999997</v>
      </c>
      <c r="AU27" s="24">
        <v>389.9000000000001</v>
      </c>
      <c r="AV27" s="24">
        <v>705</v>
      </c>
      <c r="AW27" s="24">
        <v>174.6</v>
      </c>
      <c r="AX27" s="24">
        <v>57.9</v>
      </c>
      <c r="AY27" s="24">
        <v>144.29999999999998</v>
      </c>
      <c r="AZ27" s="24">
        <v>114.60000000000001</v>
      </c>
      <c r="BA27" s="24">
        <v>41</v>
      </c>
      <c r="BB27" s="24">
        <v>44.5</v>
      </c>
      <c r="BC27" s="24">
        <v>488.7000000000001</v>
      </c>
      <c r="BD27" s="24">
        <v>2811.6</v>
      </c>
      <c r="BE27" s="24">
        <v>1171.1999999999998</v>
      </c>
      <c r="BF27" s="24">
        <v>1646.6</v>
      </c>
      <c r="BG27" s="24">
        <v>847.3000000000001</v>
      </c>
      <c r="BH27" s="24">
        <v>354.70000000000005</v>
      </c>
      <c r="BI27" s="24">
        <v>629.6</v>
      </c>
      <c r="BJ27" s="24">
        <v>287.90000000000003</v>
      </c>
      <c r="BK27" s="24">
        <v>18.599999999999998</v>
      </c>
      <c r="BL27" s="24">
        <v>380.6</v>
      </c>
      <c r="BM27" s="24">
        <v>0</v>
      </c>
      <c r="BN27" s="24">
        <v>0</v>
      </c>
      <c r="BO27" s="24">
        <v>3657.5</v>
      </c>
      <c r="BP27" s="24">
        <v>25619.699999999993</v>
      </c>
      <c r="BQ27" s="24">
        <v>6.499999999999999</v>
      </c>
      <c r="BR27" s="24">
        <v>1377.3000000000002</v>
      </c>
      <c r="BS27" s="24">
        <v>6.5000000000000036</v>
      </c>
    </row>
    <row r="28" spans="1:71" x14ac:dyDescent="0.25">
      <c r="A28" s="30" t="s">
        <v>310</v>
      </c>
      <c r="B28" s="31" t="s">
        <v>311</v>
      </c>
      <c r="C28" s="24">
        <v>2246.199999999999</v>
      </c>
      <c r="D28" s="24">
        <v>81.19999999999999</v>
      </c>
      <c r="E28" s="24">
        <v>46</v>
      </c>
      <c r="F28" s="24">
        <v>1554.9999999999995</v>
      </c>
      <c r="G28" s="24">
        <v>7311.400000000001</v>
      </c>
      <c r="H28" s="24">
        <v>1449.6999999999998</v>
      </c>
      <c r="I28" s="24">
        <v>1116.4999999999998</v>
      </c>
      <c r="J28" s="24">
        <v>6675.699999999999</v>
      </c>
      <c r="K28" s="24">
        <v>352.3000000000001</v>
      </c>
      <c r="L28" s="24">
        <v>2200.8999999999996</v>
      </c>
      <c r="M28" s="24">
        <v>5958.799999999999</v>
      </c>
      <c r="N28" s="24">
        <v>1022.5000000000001</v>
      </c>
      <c r="O28" s="24">
        <v>5886.999999999999</v>
      </c>
      <c r="P28" s="24">
        <v>2729.9</v>
      </c>
      <c r="Q28" s="24">
        <v>21736.000000000004</v>
      </c>
      <c r="R28" s="24">
        <v>6717.600000000001</v>
      </c>
      <c r="S28" s="24">
        <v>563.9000000000001</v>
      </c>
      <c r="T28" s="24">
        <v>4751.300000000001</v>
      </c>
      <c r="U28" s="24">
        <v>2330.2999999999997</v>
      </c>
      <c r="V28" s="24">
        <v>2262.9</v>
      </c>
      <c r="W28" s="24">
        <v>579.0000000000001</v>
      </c>
      <c r="X28" s="24">
        <v>1101.5999999999997</v>
      </c>
      <c r="Y28" s="24">
        <v>547.2</v>
      </c>
      <c r="Z28" s="24">
        <v>4583.2</v>
      </c>
      <c r="AA28" s="24">
        <v>3036.1999999999994</v>
      </c>
      <c r="AB28" s="24">
        <v>45977.700000000004</v>
      </c>
      <c r="AC28" s="24">
        <v>12499.499999999998</v>
      </c>
      <c r="AD28" s="24">
        <v>1154.5999999999995</v>
      </c>
      <c r="AE28" s="24">
        <v>4245.399999999999</v>
      </c>
      <c r="AF28" s="24">
        <v>4719.200000000001</v>
      </c>
      <c r="AG28" s="24">
        <v>1476.3</v>
      </c>
      <c r="AH28" s="24">
        <v>163.0999999999999</v>
      </c>
      <c r="AI28" s="24">
        <v>167.5</v>
      </c>
      <c r="AJ28" s="24">
        <v>1387.4999999999995</v>
      </c>
      <c r="AK28" s="24">
        <v>268.0000000000001</v>
      </c>
      <c r="AL28" s="24">
        <v>4661.7</v>
      </c>
      <c r="AM28" s="24">
        <v>320.1000000000001</v>
      </c>
      <c r="AN28" s="24">
        <v>339.80000000000007</v>
      </c>
      <c r="AO28" s="24">
        <v>843.0000000000001</v>
      </c>
      <c r="AP28" s="24">
        <v>1629.9</v>
      </c>
      <c r="AQ28" s="24">
        <v>636.4000000000001</v>
      </c>
      <c r="AR28" s="24">
        <v>291.1</v>
      </c>
      <c r="AS28" s="24">
        <v>243.49999999999997</v>
      </c>
      <c r="AT28" s="24">
        <v>7633.799999999999</v>
      </c>
      <c r="AU28" s="24">
        <v>2310.8999999999996</v>
      </c>
      <c r="AV28" s="24">
        <v>1051.1</v>
      </c>
      <c r="AW28" s="24">
        <v>543.8000000000002</v>
      </c>
      <c r="AX28" s="24">
        <v>570.5000000000003</v>
      </c>
      <c r="AY28" s="24">
        <v>1022.9000000000002</v>
      </c>
      <c r="AZ28" s="24">
        <v>691.9</v>
      </c>
      <c r="BA28" s="24">
        <v>181.79999999999998</v>
      </c>
      <c r="BB28" s="24">
        <v>183.09999999999997</v>
      </c>
      <c r="BC28" s="24">
        <v>3542.2999999999997</v>
      </c>
      <c r="BD28" s="24">
        <v>15018.5</v>
      </c>
      <c r="BE28" s="24">
        <v>1420.1999999999998</v>
      </c>
      <c r="BF28" s="24">
        <v>3741.5</v>
      </c>
      <c r="BG28" s="24">
        <v>1958.2000000000003</v>
      </c>
      <c r="BH28" s="24">
        <v>869.1</v>
      </c>
      <c r="BI28" s="24">
        <v>845.5000000000002</v>
      </c>
      <c r="BJ28" s="24">
        <v>399</v>
      </c>
      <c r="BK28" s="24">
        <v>75.5</v>
      </c>
      <c r="BL28" s="24">
        <v>1207.9999999999998</v>
      </c>
      <c r="BM28" s="24">
        <v>0</v>
      </c>
      <c r="BN28" s="24">
        <v>0</v>
      </c>
      <c r="BO28" s="24">
        <v>16327.800000000005</v>
      </c>
      <c r="BP28" s="24">
        <v>50862.69999999998</v>
      </c>
      <c r="BQ28" s="24">
        <v>34.8</v>
      </c>
      <c r="BR28" s="24">
        <v>2835.4999999999995</v>
      </c>
      <c r="BS28" s="24">
        <v>559.1999999999997</v>
      </c>
    </row>
    <row r="29" spans="1:71" x14ac:dyDescent="0.25">
      <c r="A29" s="30" t="s">
        <v>312</v>
      </c>
      <c r="B29" s="31" t="s">
        <v>313</v>
      </c>
      <c r="C29" s="24">
        <v>6734.300000000001</v>
      </c>
      <c r="D29" s="24">
        <v>599.9000000000001</v>
      </c>
      <c r="E29" s="24">
        <v>256.4000000000001</v>
      </c>
      <c r="F29" s="24">
        <v>1397.9999999999998</v>
      </c>
      <c r="G29" s="24">
        <v>7351.6</v>
      </c>
      <c r="H29" s="24">
        <v>1355.6999999999998</v>
      </c>
      <c r="I29" s="24">
        <v>2297.7</v>
      </c>
      <c r="J29" s="24">
        <v>1583.9999999999995</v>
      </c>
      <c r="K29" s="24">
        <v>733.4999999999998</v>
      </c>
      <c r="L29" s="24">
        <v>2760.8</v>
      </c>
      <c r="M29" s="24">
        <v>5357.099999999998</v>
      </c>
      <c r="N29" s="24">
        <v>3438.799999999999</v>
      </c>
      <c r="O29" s="24">
        <v>3079.1999999999994</v>
      </c>
      <c r="P29" s="24">
        <v>3840.7999999999993</v>
      </c>
      <c r="Q29" s="24">
        <v>4518.699999999999</v>
      </c>
      <c r="R29" s="24">
        <v>5676.000000000001</v>
      </c>
      <c r="S29" s="24">
        <v>2074.8999999999996</v>
      </c>
      <c r="T29" s="24">
        <v>2764.7999999999997</v>
      </c>
      <c r="U29" s="24">
        <v>5325.9000000000015</v>
      </c>
      <c r="V29" s="24">
        <v>5823.300000000001</v>
      </c>
      <c r="W29" s="24">
        <v>1566.8999999999996</v>
      </c>
      <c r="X29" s="24">
        <v>1848.7999999999995</v>
      </c>
      <c r="Y29" s="24">
        <v>3445.1999999999994</v>
      </c>
      <c r="Z29" s="24">
        <v>27636.200000000004</v>
      </c>
      <c r="AA29" s="24">
        <v>3238.6</v>
      </c>
      <c r="AB29" s="24">
        <v>8654</v>
      </c>
      <c r="AC29" s="24">
        <v>441248.80000000005</v>
      </c>
      <c r="AD29" s="24">
        <v>3038.0999999999995</v>
      </c>
      <c r="AE29" s="24">
        <v>12811.800000000003</v>
      </c>
      <c r="AF29" s="24">
        <v>10575.400000000003</v>
      </c>
      <c r="AG29" s="24">
        <v>9772.700000000006</v>
      </c>
      <c r="AH29" s="24">
        <v>1093.1999999999998</v>
      </c>
      <c r="AI29" s="24">
        <v>1174.1999999999998</v>
      </c>
      <c r="AJ29" s="24">
        <v>18098.59999999999</v>
      </c>
      <c r="AK29" s="24">
        <v>1553.2</v>
      </c>
      <c r="AL29" s="24">
        <v>11669.3</v>
      </c>
      <c r="AM29" s="24">
        <v>972.6000000000003</v>
      </c>
      <c r="AN29" s="24">
        <v>1418.4999999999995</v>
      </c>
      <c r="AO29" s="24">
        <v>5936.000000000001</v>
      </c>
      <c r="AP29" s="24">
        <v>4889.5</v>
      </c>
      <c r="AQ29" s="24">
        <v>3217.9999999999995</v>
      </c>
      <c r="AR29" s="24">
        <v>1941.4999999999998</v>
      </c>
      <c r="AS29" s="24">
        <v>2213.8999999999996</v>
      </c>
      <c r="AT29" s="24">
        <v>109585.70000000003</v>
      </c>
      <c r="AU29" s="24">
        <v>8152.700000000003</v>
      </c>
      <c r="AV29" s="24">
        <v>10654.5</v>
      </c>
      <c r="AW29" s="24">
        <v>2326.2999999999993</v>
      </c>
      <c r="AX29" s="24">
        <v>1167.9</v>
      </c>
      <c r="AY29" s="24">
        <v>1832.7</v>
      </c>
      <c r="AZ29" s="24">
        <v>2427.6999999999994</v>
      </c>
      <c r="BA29" s="24">
        <v>1300.5999999999997</v>
      </c>
      <c r="BB29" s="24">
        <v>681.8000000000001</v>
      </c>
      <c r="BC29" s="24">
        <v>7850.9000000000015</v>
      </c>
      <c r="BD29" s="24">
        <v>36274.59999999999</v>
      </c>
      <c r="BE29" s="24">
        <v>11915.300000000003</v>
      </c>
      <c r="BF29" s="24">
        <v>11684.7</v>
      </c>
      <c r="BG29" s="24">
        <v>6340.800000000002</v>
      </c>
      <c r="BH29" s="24">
        <v>3670.2999999999997</v>
      </c>
      <c r="BI29" s="24">
        <v>3022.1</v>
      </c>
      <c r="BJ29" s="24">
        <v>2494.6000000000004</v>
      </c>
      <c r="BK29" s="24">
        <v>316.00000000000006</v>
      </c>
      <c r="BL29" s="24">
        <v>1636.3000000000004</v>
      </c>
      <c r="BM29" s="24">
        <v>0</v>
      </c>
      <c r="BN29" s="24">
        <v>0</v>
      </c>
      <c r="BO29" s="24">
        <v>9157.899999999998</v>
      </c>
      <c r="BP29" s="24">
        <v>89776</v>
      </c>
      <c r="BQ29" s="24">
        <v>23.1</v>
      </c>
      <c r="BR29" s="24">
        <v>1443266.7000000002</v>
      </c>
      <c r="BS29" s="24">
        <v>1914.4</v>
      </c>
    </row>
    <row r="30" spans="1:71" x14ac:dyDescent="0.25">
      <c r="A30" s="30" t="s">
        <v>314</v>
      </c>
      <c r="B30" s="31" t="s">
        <v>315</v>
      </c>
      <c r="C30" s="24">
        <v>3208.6999999999994</v>
      </c>
      <c r="D30" s="24">
        <v>436.1</v>
      </c>
      <c r="E30" s="24">
        <v>193.69999999999996</v>
      </c>
      <c r="F30" s="24">
        <v>551.7</v>
      </c>
      <c r="G30" s="24">
        <v>5659.300000000001</v>
      </c>
      <c r="H30" s="24">
        <v>1117.9000000000005</v>
      </c>
      <c r="I30" s="24">
        <v>969.2</v>
      </c>
      <c r="J30" s="24">
        <v>835.3000000000002</v>
      </c>
      <c r="K30" s="24">
        <v>422.40000000000003</v>
      </c>
      <c r="L30" s="24">
        <v>1076.7</v>
      </c>
      <c r="M30" s="24">
        <v>2204.7</v>
      </c>
      <c r="N30" s="24">
        <v>1127.7999999999997</v>
      </c>
      <c r="O30" s="24">
        <v>1469.1000000000001</v>
      </c>
      <c r="P30" s="24">
        <v>1833.1000000000004</v>
      </c>
      <c r="Q30" s="24">
        <v>1423.6</v>
      </c>
      <c r="R30" s="24">
        <v>2278.3</v>
      </c>
      <c r="S30" s="24">
        <v>1393.9999999999998</v>
      </c>
      <c r="T30" s="24">
        <v>1629.7</v>
      </c>
      <c r="U30" s="24">
        <v>4771.6</v>
      </c>
      <c r="V30" s="24">
        <v>37287.8</v>
      </c>
      <c r="W30" s="24">
        <v>2409.999999999999</v>
      </c>
      <c r="X30" s="24">
        <v>1242.1000000000001</v>
      </c>
      <c r="Y30" s="24">
        <v>1872.8999999999999</v>
      </c>
      <c r="Z30" s="24">
        <v>1659.3999999999996</v>
      </c>
      <c r="AA30" s="24">
        <v>391.70000000000005</v>
      </c>
      <c r="AB30" s="24">
        <v>2772.7</v>
      </c>
      <c r="AC30" s="24">
        <v>10160.5</v>
      </c>
      <c r="AD30" s="24">
        <v>18546.59999999999</v>
      </c>
      <c r="AE30" s="24">
        <v>9724.800000000001</v>
      </c>
      <c r="AF30" s="24">
        <v>7005.400000000002</v>
      </c>
      <c r="AG30" s="24">
        <v>21062</v>
      </c>
      <c r="AH30" s="24">
        <v>549.7000000000002</v>
      </c>
      <c r="AI30" s="24">
        <v>1387.1</v>
      </c>
      <c r="AJ30" s="24">
        <v>6456.699999999998</v>
      </c>
      <c r="AK30" s="24">
        <v>5146.000000000001</v>
      </c>
      <c r="AL30" s="24">
        <v>3384.7</v>
      </c>
      <c r="AM30" s="24">
        <v>638.9000000000002</v>
      </c>
      <c r="AN30" s="24">
        <v>1018.1</v>
      </c>
      <c r="AO30" s="24">
        <v>1621.8000000000002</v>
      </c>
      <c r="AP30" s="24">
        <v>2296.900000000001</v>
      </c>
      <c r="AQ30" s="24">
        <v>908.9000000000002</v>
      </c>
      <c r="AR30" s="24">
        <v>694.9999999999999</v>
      </c>
      <c r="AS30" s="24">
        <v>1009.3000000000001</v>
      </c>
      <c r="AT30" s="24">
        <v>1028.9</v>
      </c>
      <c r="AU30" s="24">
        <v>2610.7</v>
      </c>
      <c r="AV30" s="24">
        <v>1363.3999999999996</v>
      </c>
      <c r="AW30" s="24">
        <v>1076.4</v>
      </c>
      <c r="AX30" s="24">
        <v>724.6000000000003</v>
      </c>
      <c r="AY30" s="24">
        <v>890</v>
      </c>
      <c r="AZ30" s="24">
        <v>7911.6</v>
      </c>
      <c r="BA30" s="24">
        <v>522.2</v>
      </c>
      <c r="BB30" s="24">
        <v>508.3000000000001</v>
      </c>
      <c r="BC30" s="24">
        <v>2349.600000000001</v>
      </c>
      <c r="BD30" s="24">
        <v>3506.7</v>
      </c>
      <c r="BE30" s="24">
        <v>1191.1</v>
      </c>
      <c r="BF30" s="24">
        <v>3248.9999999999995</v>
      </c>
      <c r="BG30" s="24">
        <v>1477.5</v>
      </c>
      <c r="BH30" s="24">
        <v>774.2000000000002</v>
      </c>
      <c r="BI30" s="24">
        <v>831.6999999999998</v>
      </c>
      <c r="BJ30" s="24">
        <v>907.5999999999999</v>
      </c>
      <c r="BK30" s="24">
        <v>284.90000000000003</v>
      </c>
      <c r="BL30" s="24">
        <v>677.0999999999999</v>
      </c>
      <c r="BM30" s="24">
        <v>0</v>
      </c>
      <c r="BN30" s="24">
        <v>0</v>
      </c>
      <c r="BO30" s="24">
        <v>1044.6999999999998</v>
      </c>
      <c r="BP30" s="24">
        <v>154728.89999999997</v>
      </c>
      <c r="BQ30" s="24">
        <v>81.89999999999998</v>
      </c>
      <c r="BR30" s="24">
        <v>30773.499999999993</v>
      </c>
      <c r="BS30" s="24">
        <v>241.39999999999998</v>
      </c>
    </row>
    <row r="31" spans="1:71" x14ac:dyDescent="0.25">
      <c r="A31" s="30" t="s">
        <v>317</v>
      </c>
      <c r="B31" s="31" t="s">
        <v>318</v>
      </c>
      <c r="C31" s="24">
        <v>28982.299999999996</v>
      </c>
      <c r="D31" s="24">
        <v>2289.8999999999996</v>
      </c>
      <c r="E31" s="24">
        <v>749.8000000000002</v>
      </c>
      <c r="F31" s="24">
        <v>2461.8000000000006</v>
      </c>
      <c r="G31" s="24">
        <v>116611.99999999997</v>
      </c>
      <c r="H31" s="24">
        <v>19332.899999999998</v>
      </c>
      <c r="I31" s="24">
        <v>12378.899999999998</v>
      </c>
      <c r="J31" s="24">
        <v>12893.2</v>
      </c>
      <c r="K31" s="24">
        <v>3515.4</v>
      </c>
      <c r="L31" s="24">
        <v>15508.4</v>
      </c>
      <c r="M31" s="24">
        <v>43354.89999999999</v>
      </c>
      <c r="N31" s="24">
        <v>26123.800000000014</v>
      </c>
      <c r="O31" s="24">
        <v>21921.699999999997</v>
      </c>
      <c r="P31" s="24">
        <v>16893</v>
      </c>
      <c r="Q31" s="24">
        <v>25019.300000000007</v>
      </c>
      <c r="R31" s="24">
        <v>31651.799999999996</v>
      </c>
      <c r="S31" s="24">
        <v>30655.3</v>
      </c>
      <c r="T31" s="24">
        <v>25289.999999999996</v>
      </c>
      <c r="U31" s="24">
        <v>48090.09999999999</v>
      </c>
      <c r="V31" s="24">
        <v>52441.30000000001</v>
      </c>
      <c r="W31" s="24">
        <v>12845.8</v>
      </c>
      <c r="X31" s="24">
        <v>24503.8</v>
      </c>
      <c r="Y31" s="24">
        <v>14935.299999999997</v>
      </c>
      <c r="Z31" s="24">
        <v>23720.599999999995</v>
      </c>
      <c r="AA31" s="24">
        <v>1310.9999999999998</v>
      </c>
      <c r="AB31" s="24">
        <v>10528.599999999999</v>
      </c>
      <c r="AC31" s="24">
        <v>108204</v>
      </c>
      <c r="AD31" s="24">
        <v>13783.800000000003</v>
      </c>
      <c r="AE31" s="24">
        <v>136127.9</v>
      </c>
      <c r="AF31" s="24">
        <v>37780.90000000001</v>
      </c>
      <c r="AG31" s="24">
        <v>15386.300000000001</v>
      </c>
      <c r="AH31" s="24">
        <v>5582.100000000001</v>
      </c>
      <c r="AI31" s="24">
        <v>6169.6</v>
      </c>
      <c r="AJ31" s="24">
        <v>12864.5</v>
      </c>
      <c r="AK31" s="24">
        <v>1906</v>
      </c>
      <c r="AL31" s="24">
        <v>44985.700000000004</v>
      </c>
      <c r="AM31" s="24">
        <v>20764.999999999993</v>
      </c>
      <c r="AN31" s="24">
        <v>4643.0999999999985</v>
      </c>
      <c r="AO31" s="24">
        <v>10418.6</v>
      </c>
      <c r="AP31" s="24">
        <v>63203.3</v>
      </c>
      <c r="AQ31" s="24">
        <v>2765.7000000000007</v>
      </c>
      <c r="AR31" s="24">
        <v>1461.0999999999995</v>
      </c>
      <c r="AS31" s="24">
        <v>6473.7</v>
      </c>
      <c r="AT31" s="24">
        <v>7263.699999999999</v>
      </c>
      <c r="AU31" s="24">
        <v>17047</v>
      </c>
      <c r="AV31" s="24">
        <v>8009.799999999999</v>
      </c>
      <c r="AW31" s="24">
        <v>4217.5</v>
      </c>
      <c r="AX31" s="24">
        <v>4635.400000000001</v>
      </c>
      <c r="AY31" s="24">
        <v>4348.099999999999</v>
      </c>
      <c r="AZ31" s="24">
        <v>8537.6</v>
      </c>
      <c r="BA31" s="24">
        <v>1350.2</v>
      </c>
      <c r="BB31" s="24">
        <v>2503.7999999999997</v>
      </c>
      <c r="BC31" s="24">
        <v>15002.5</v>
      </c>
      <c r="BD31" s="24">
        <v>13714.500000000002</v>
      </c>
      <c r="BE31" s="24">
        <v>7353.700000000001</v>
      </c>
      <c r="BF31" s="24">
        <v>44769.8</v>
      </c>
      <c r="BG31" s="24">
        <v>9746.5</v>
      </c>
      <c r="BH31" s="24">
        <v>4947.2</v>
      </c>
      <c r="BI31" s="24">
        <v>3907.3999999999996</v>
      </c>
      <c r="BJ31" s="24">
        <v>2645.7999999999997</v>
      </c>
      <c r="BK31" s="24">
        <v>1424.7000000000003</v>
      </c>
      <c r="BL31" s="24">
        <v>3518.3</v>
      </c>
      <c r="BM31" s="24">
        <v>0</v>
      </c>
      <c r="BN31" s="24">
        <v>0</v>
      </c>
      <c r="BO31" s="24">
        <v>23794.100000000002</v>
      </c>
      <c r="BP31" s="24">
        <v>339779.2</v>
      </c>
      <c r="BQ31" s="24">
        <v>209.59999999999994</v>
      </c>
      <c r="BR31" s="24">
        <v>118936.80000000002</v>
      </c>
      <c r="BS31" s="24">
        <v>8495.099999999999</v>
      </c>
    </row>
    <row r="32" spans="1:71" x14ac:dyDescent="0.25">
      <c r="A32" s="30" t="s">
        <v>319</v>
      </c>
      <c r="B32" s="31" t="s">
        <v>320</v>
      </c>
      <c r="C32" s="24">
        <v>10807.300000000001</v>
      </c>
      <c r="D32" s="24">
        <v>1107.1000000000001</v>
      </c>
      <c r="E32" s="24">
        <v>813.6</v>
      </c>
      <c r="F32" s="24">
        <v>1745.9</v>
      </c>
      <c r="G32" s="24">
        <v>30200</v>
      </c>
      <c r="H32" s="24">
        <v>5222.300000000001</v>
      </c>
      <c r="I32" s="24">
        <v>3851.9</v>
      </c>
      <c r="J32" s="24">
        <v>3636.7999999999997</v>
      </c>
      <c r="K32" s="24">
        <v>1997.6000000000001</v>
      </c>
      <c r="L32" s="24">
        <v>3882.5999999999995</v>
      </c>
      <c r="M32" s="24">
        <v>10031.600000000004</v>
      </c>
      <c r="N32" s="24">
        <v>4730.2</v>
      </c>
      <c r="O32" s="24">
        <v>6140.599999999999</v>
      </c>
      <c r="P32" s="24">
        <v>4920.500000000001</v>
      </c>
      <c r="Q32" s="24">
        <v>5497.299999999999</v>
      </c>
      <c r="R32" s="24">
        <v>7921.199999999999</v>
      </c>
      <c r="S32" s="24">
        <v>7929.399999999997</v>
      </c>
      <c r="T32" s="24">
        <v>6902.7</v>
      </c>
      <c r="U32" s="24">
        <v>9039.800000000001</v>
      </c>
      <c r="V32" s="24">
        <v>13840.800000000003</v>
      </c>
      <c r="W32" s="24">
        <v>5682.2</v>
      </c>
      <c r="X32" s="24">
        <v>6630.500000000002</v>
      </c>
      <c r="Y32" s="24">
        <v>4081.9000000000005</v>
      </c>
      <c r="Z32" s="24">
        <v>6309.000000000001</v>
      </c>
      <c r="AA32" s="24">
        <v>1095.2</v>
      </c>
      <c r="AB32" s="24">
        <v>3211.499999999999</v>
      </c>
      <c r="AC32" s="24">
        <v>24353.2</v>
      </c>
      <c r="AD32" s="24">
        <v>4110</v>
      </c>
      <c r="AE32" s="24">
        <v>11232.099999999997</v>
      </c>
      <c r="AF32" s="24">
        <v>8694</v>
      </c>
      <c r="AG32" s="24">
        <v>6771.500000000003</v>
      </c>
      <c r="AH32" s="24">
        <v>2872.1</v>
      </c>
      <c r="AI32" s="24">
        <v>2518.9</v>
      </c>
      <c r="AJ32" s="24">
        <v>4368.599999999999</v>
      </c>
      <c r="AK32" s="24">
        <v>1888.0999999999997</v>
      </c>
      <c r="AL32" s="24">
        <v>17907.5</v>
      </c>
      <c r="AM32" s="24">
        <v>2109.6</v>
      </c>
      <c r="AN32" s="24">
        <v>2913.3000000000006</v>
      </c>
      <c r="AO32" s="24">
        <v>3770.8999999999987</v>
      </c>
      <c r="AP32" s="24">
        <v>5402.400000000001</v>
      </c>
      <c r="AQ32" s="24">
        <v>2026.6999999999991</v>
      </c>
      <c r="AR32" s="24">
        <v>1943.9000000000003</v>
      </c>
      <c r="AS32" s="24">
        <v>2102.9</v>
      </c>
      <c r="AT32" s="24">
        <v>3190.799999999999</v>
      </c>
      <c r="AU32" s="24">
        <v>4903.700000000001</v>
      </c>
      <c r="AV32" s="24">
        <v>3275.800000000001</v>
      </c>
      <c r="AW32" s="24">
        <v>2445.600000000001</v>
      </c>
      <c r="AX32" s="24">
        <v>3316.8</v>
      </c>
      <c r="AY32" s="24">
        <v>2559.4</v>
      </c>
      <c r="AZ32" s="24">
        <v>2878.899999999999</v>
      </c>
      <c r="BA32" s="24">
        <v>1358</v>
      </c>
      <c r="BB32" s="24">
        <v>2192.5</v>
      </c>
      <c r="BC32" s="24">
        <v>4572.700000000001</v>
      </c>
      <c r="BD32" s="24">
        <v>6932.5</v>
      </c>
      <c r="BE32" s="24">
        <v>4013.299999999999</v>
      </c>
      <c r="BF32" s="24">
        <v>20732.199999999997</v>
      </c>
      <c r="BG32" s="24">
        <v>7668.1</v>
      </c>
      <c r="BH32" s="24">
        <v>3144.2</v>
      </c>
      <c r="BI32" s="24">
        <v>2063.9</v>
      </c>
      <c r="BJ32" s="24">
        <v>1988.0000000000005</v>
      </c>
      <c r="BK32" s="24">
        <v>1251.3</v>
      </c>
      <c r="BL32" s="24">
        <v>2639.2999999999997</v>
      </c>
      <c r="BM32" s="24">
        <v>0</v>
      </c>
      <c r="BN32" s="24">
        <v>0</v>
      </c>
      <c r="BO32" s="24">
        <v>38846.2</v>
      </c>
      <c r="BP32" s="24">
        <v>712971.1</v>
      </c>
      <c r="BQ32" s="24">
        <v>239.40000000000006</v>
      </c>
      <c r="BR32" s="24">
        <v>37994.4</v>
      </c>
      <c r="BS32" s="24">
        <v>7735.999999999998</v>
      </c>
    </row>
    <row r="33" spans="1:71" x14ac:dyDescent="0.25">
      <c r="A33" s="30" t="s">
        <v>321</v>
      </c>
      <c r="B33" s="31" t="s">
        <v>322</v>
      </c>
      <c r="C33" s="24">
        <v>5072.699999999999</v>
      </c>
      <c r="D33" s="24">
        <v>2160.7000000000007</v>
      </c>
      <c r="E33" s="24">
        <v>125.3</v>
      </c>
      <c r="F33" s="24">
        <v>3151.2999999999997</v>
      </c>
      <c r="G33" s="24">
        <v>36274.9</v>
      </c>
      <c r="H33" s="24">
        <v>4455.9</v>
      </c>
      <c r="I33" s="24">
        <v>5201.299999999999</v>
      </c>
      <c r="J33" s="24">
        <v>8215.8</v>
      </c>
      <c r="K33" s="24">
        <v>1041.3000000000002</v>
      </c>
      <c r="L33" s="24">
        <v>26274.199999999997</v>
      </c>
      <c r="M33" s="24">
        <v>17327.4</v>
      </c>
      <c r="N33" s="24">
        <v>3107.7999999999993</v>
      </c>
      <c r="O33" s="24">
        <v>9057.8</v>
      </c>
      <c r="P33" s="24">
        <v>11556.8</v>
      </c>
      <c r="Q33" s="24">
        <v>16888.399999999998</v>
      </c>
      <c r="R33" s="24">
        <v>8557.599999999999</v>
      </c>
      <c r="S33" s="24">
        <v>3786.8999999999987</v>
      </c>
      <c r="T33" s="24">
        <v>6471.799999999999</v>
      </c>
      <c r="U33" s="24">
        <v>9604.000000000004</v>
      </c>
      <c r="V33" s="24">
        <v>19036.399999999998</v>
      </c>
      <c r="W33" s="24">
        <v>2536.1</v>
      </c>
      <c r="X33" s="24">
        <v>5464.9</v>
      </c>
      <c r="Y33" s="24">
        <v>2023.7999999999995</v>
      </c>
      <c r="Z33" s="24">
        <v>18067.7</v>
      </c>
      <c r="AA33" s="24">
        <v>256.5</v>
      </c>
      <c r="AB33" s="24">
        <v>4407.199999999999</v>
      </c>
      <c r="AC33" s="24">
        <v>23815.6</v>
      </c>
      <c r="AD33" s="24">
        <v>7131.599999999999</v>
      </c>
      <c r="AE33" s="24">
        <v>70918.6</v>
      </c>
      <c r="AF33" s="24">
        <v>22223.700000000008</v>
      </c>
      <c r="AG33" s="24">
        <v>76850.79999999996</v>
      </c>
      <c r="AH33" s="24">
        <v>2609.499999999999</v>
      </c>
      <c r="AI33" s="24">
        <v>1943.5000000000002</v>
      </c>
      <c r="AJ33" s="24">
        <v>61281.69999999999</v>
      </c>
      <c r="AK33" s="24">
        <v>5150.900000000002</v>
      </c>
      <c r="AL33" s="24">
        <v>4520.600000000001</v>
      </c>
      <c r="AM33" s="24">
        <v>2096.4</v>
      </c>
      <c r="AN33" s="24">
        <v>1058.6000000000001</v>
      </c>
      <c r="AO33" s="24">
        <v>1368.7999999999995</v>
      </c>
      <c r="AP33" s="24">
        <v>4169.399999999999</v>
      </c>
      <c r="AQ33" s="24">
        <v>932.2</v>
      </c>
      <c r="AR33" s="24">
        <v>467.3</v>
      </c>
      <c r="AS33" s="24">
        <v>961.0999999999999</v>
      </c>
      <c r="AT33" s="24">
        <v>1355.4999999999998</v>
      </c>
      <c r="AU33" s="24">
        <v>3400.8999999999987</v>
      </c>
      <c r="AV33" s="24">
        <v>1581.3</v>
      </c>
      <c r="AW33" s="24">
        <v>1217.0999999999995</v>
      </c>
      <c r="AX33" s="24">
        <v>1282.0999999999995</v>
      </c>
      <c r="AY33" s="24">
        <v>1095.1999999999996</v>
      </c>
      <c r="AZ33" s="24">
        <v>2643.500000000001</v>
      </c>
      <c r="BA33" s="24">
        <v>339.1000000000001</v>
      </c>
      <c r="BB33" s="24">
        <v>8263.500000000002</v>
      </c>
      <c r="BC33" s="24">
        <v>2634.4</v>
      </c>
      <c r="BD33" s="24">
        <v>10992.300000000001</v>
      </c>
      <c r="BE33" s="24">
        <v>11201</v>
      </c>
      <c r="BF33" s="24">
        <v>5392.6</v>
      </c>
      <c r="BG33" s="24">
        <v>2245.7000000000003</v>
      </c>
      <c r="BH33" s="24">
        <v>875.6</v>
      </c>
      <c r="BI33" s="24">
        <v>960.5000000000001</v>
      </c>
      <c r="BJ33" s="24">
        <v>2011.3999999999996</v>
      </c>
      <c r="BK33" s="24">
        <v>325.6000000000001</v>
      </c>
      <c r="BL33" s="24">
        <v>720.5</v>
      </c>
      <c r="BM33" s="24">
        <v>0</v>
      </c>
      <c r="BN33" s="24">
        <v>0</v>
      </c>
      <c r="BO33" s="24">
        <v>36613.19999999999</v>
      </c>
      <c r="BP33" s="24">
        <v>141847.40000000002</v>
      </c>
      <c r="BQ33" s="24">
        <v>74.89999999999998</v>
      </c>
      <c r="BR33" s="24">
        <v>18351.199999999997</v>
      </c>
      <c r="BS33" s="24">
        <v>408.80000000000007</v>
      </c>
    </row>
    <row r="34" spans="1:71" x14ac:dyDescent="0.25">
      <c r="A34" s="30" t="s">
        <v>134</v>
      </c>
      <c r="B34" s="31" t="s">
        <v>324</v>
      </c>
      <c r="C34" s="24">
        <v>290.79999999999995</v>
      </c>
      <c r="D34" s="24">
        <v>213.89999999999998</v>
      </c>
      <c r="E34" s="24">
        <v>63.4</v>
      </c>
      <c r="F34" s="24">
        <v>395.1000000000001</v>
      </c>
      <c r="G34" s="24">
        <v>3142.6</v>
      </c>
      <c r="H34" s="24">
        <v>344.0000000000001</v>
      </c>
      <c r="I34" s="24">
        <v>461.2000000000001</v>
      </c>
      <c r="J34" s="24">
        <v>928.7</v>
      </c>
      <c r="K34" s="24">
        <v>71.50000000000001</v>
      </c>
      <c r="L34" s="24">
        <v>5893.800000000001</v>
      </c>
      <c r="M34" s="24">
        <v>2387</v>
      </c>
      <c r="N34" s="24">
        <v>828.4000000000001</v>
      </c>
      <c r="O34" s="24">
        <v>648.0000000000001</v>
      </c>
      <c r="P34" s="24">
        <v>878.0999999999999</v>
      </c>
      <c r="Q34" s="24">
        <v>2184.5</v>
      </c>
      <c r="R34" s="24">
        <v>937.2000000000002</v>
      </c>
      <c r="S34" s="24">
        <v>1107.0000000000002</v>
      </c>
      <c r="T34" s="24">
        <v>900.8000000000002</v>
      </c>
      <c r="U34" s="24">
        <v>1614.9</v>
      </c>
      <c r="V34" s="24">
        <v>1956.9000000000003</v>
      </c>
      <c r="W34" s="24">
        <v>378.09999999999997</v>
      </c>
      <c r="X34" s="24">
        <v>422.4000000000001</v>
      </c>
      <c r="Y34" s="24">
        <v>233.49999999999997</v>
      </c>
      <c r="Z34" s="24">
        <v>1231.9</v>
      </c>
      <c r="AA34" s="24">
        <v>28.200000000000003</v>
      </c>
      <c r="AB34" s="24">
        <v>396.40000000000015</v>
      </c>
      <c r="AC34" s="24">
        <v>1671.9999999999998</v>
      </c>
      <c r="AD34" s="24">
        <v>611.2000000000002</v>
      </c>
      <c r="AE34" s="24">
        <v>7621.600000000001</v>
      </c>
      <c r="AF34" s="24">
        <v>686.2</v>
      </c>
      <c r="AG34" s="24">
        <v>4082.9999999999995</v>
      </c>
      <c r="AH34" s="24">
        <v>32288.300000000003</v>
      </c>
      <c r="AI34" s="24">
        <v>355.10000000000014</v>
      </c>
      <c r="AJ34" s="24">
        <v>8397.199999999997</v>
      </c>
      <c r="AK34" s="24">
        <v>281.1</v>
      </c>
      <c r="AL34" s="24">
        <v>484.79999999999995</v>
      </c>
      <c r="AM34" s="24">
        <v>280</v>
      </c>
      <c r="AN34" s="24">
        <v>87.09999999999995</v>
      </c>
      <c r="AO34" s="24">
        <v>230.49999999999994</v>
      </c>
      <c r="AP34" s="24">
        <v>360.1000000000001</v>
      </c>
      <c r="AQ34" s="24">
        <v>70.3</v>
      </c>
      <c r="AR34" s="24">
        <v>22.8</v>
      </c>
      <c r="AS34" s="24">
        <v>66.7</v>
      </c>
      <c r="AT34" s="24">
        <v>92.4</v>
      </c>
      <c r="AU34" s="24">
        <v>323.00000000000017</v>
      </c>
      <c r="AV34" s="24">
        <v>124</v>
      </c>
      <c r="AW34" s="24">
        <v>70.20000000000002</v>
      </c>
      <c r="AX34" s="24">
        <v>81.89999999999999</v>
      </c>
      <c r="AY34" s="24">
        <v>78.3</v>
      </c>
      <c r="AZ34" s="24">
        <v>435.9000000000001</v>
      </c>
      <c r="BA34" s="24">
        <v>42.10000000000001</v>
      </c>
      <c r="BB34" s="24">
        <v>2405.4999999999995</v>
      </c>
      <c r="BC34" s="24">
        <v>268.29999999999995</v>
      </c>
      <c r="BD34" s="24">
        <v>537.8000000000001</v>
      </c>
      <c r="BE34" s="24">
        <v>256.19999999999993</v>
      </c>
      <c r="BF34" s="24">
        <v>638.5000000000001</v>
      </c>
      <c r="BG34" s="24">
        <v>211.39999999999998</v>
      </c>
      <c r="BH34" s="24">
        <v>76.89999999999999</v>
      </c>
      <c r="BI34" s="24">
        <v>64.7</v>
      </c>
      <c r="BJ34" s="24">
        <v>58.400000000000006</v>
      </c>
      <c r="BK34" s="24">
        <v>16.6</v>
      </c>
      <c r="BL34" s="24">
        <v>49.400000000000006</v>
      </c>
      <c r="BM34" s="24">
        <v>0</v>
      </c>
      <c r="BN34" s="24">
        <v>0</v>
      </c>
      <c r="BO34" s="24">
        <v>915.0999999999999</v>
      </c>
      <c r="BP34" s="24">
        <v>23562.699999999993</v>
      </c>
      <c r="BQ34" s="24">
        <v>21.7</v>
      </c>
      <c r="BR34" s="24">
        <v>3120.7000000000007</v>
      </c>
      <c r="BS34" s="24">
        <v>-4049.0000000000014</v>
      </c>
    </row>
    <row r="35" spans="1:71" x14ac:dyDescent="0.25">
      <c r="A35" s="30" t="s">
        <v>137</v>
      </c>
      <c r="B35" s="31" t="s">
        <v>325</v>
      </c>
      <c r="C35" s="24">
        <v>268.5</v>
      </c>
      <c r="D35" s="24">
        <v>36.70000000000001</v>
      </c>
      <c r="E35" s="24">
        <v>63.40000000000001</v>
      </c>
      <c r="F35" s="24">
        <v>94.99999999999997</v>
      </c>
      <c r="G35" s="24">
        <v>1282.1</v>
      </c>
      <c r="H35" s="24">
        <v>257.09999999999997</v>
      </c>
      <c r="I35" s="24">
        <v>110.69999999999999</v>
      </c>
      <c r="J35" s="24">
        <v>188.10000000000002</v>
      </c>
      <c r="K35" s="24">
        <v>108.69999999999999</v>
      </c>
      <c r="L35" s="24">
        <v>572.8000000000002</v>
      </c>
      <c r="M35" s="24">
        <v>1087.6000000000001</v>
      </c>
      <c r="N35" s="24">
        <v>564.1000000000001</v>
      </c>
      <c r="O35" s="24">
        <v>381.79999999999995</v>
      </c>
      <c r="P35" s="24">
        <v>307.0999999999999</v>
      </c>
      <c r="Q35" s="24">
        <v>363.6000000000001</v>
      </c>
      <c r="R35" s="24">
        <v>909.7000000000002</v>
      </c>
      <c r="S35" s="24">
        <v>2578.2000000000003</v>
      </c>
      <c r="T35" s="24">
        <v>1337.1</v>
      </c>
      <c r="U35" s="24">
        <v>2838.4000000000005</v>
      </c>
      <c r="V35" s="24">
        <v>2052.6</v>
      </c>
      <c r="W35" s="24">
        <v>886.4</v>
      </c>
      <c r="X35" s="24">
        <v>543.6000000000001</v>
      </c>
      <c r="Y35" s="24">
        <v>687.4999999999999</v>
      </c>
      <c r="Z35" s="24">
        <v>982.3000000000001</v>
      </c>
      <c r="AA35" s="24">
        <v>38.1</v>
      </c>
      <c r="AB35" s="24">
        <v>195.4</v>
      </c>
      <c r="AC35" s="24">
        <v>1316.1999999999998</v>
      </c>
      <c r="AD35" s="24">
        <v>288.70000000000016</v>
      </c>
      <c r="AE35" s="24">
        <v>2288.7000000000007</v>
      </c>
      <c r="AF35" s="24">
        <v>1135.8999999999999</v>
      </c>
      <c r="AG35" s="24">
        <v>653.3999999999997</v>
      </c>
      <c r="AH35" s="24">
        <v>573.1999999999998</v>
      </c>
      <c r="AI35" s="24">
        <v>12233.4</v>
      </c>
      <c r="AJ35" s="24">
        <v>3263.8999999999996</v>
      </c>
      <c r="AK35" s="24">
        <v>2286.4</v>
      </c>
      <c r="AL35" s="24">
        <v>604.8000000000001</v>
      </c>
      <c r="AM35" s="24">
        <v>196.4</v>
      </c>
      <c r="AN35" s="24">
        <v>443.4000000000001</v>
      </c>
      <c r="AO35" s="24">
        <v>313.80000000000007</v>
      </c>
      <c r="AP35" s="24">
        <v>1127.8999999999999</v>
      </c>
      <c r="AQ35" s="24">
        <v>1322.3999999999999</v>
      </c>
      <c r="AR35" s="24">
        <v>825.1000000000001</v>
      </c>
      <c r="AS35" s="24">
        <v>1530.1000000000004</v>
      </c>
      <c r="AT35" s="24">
        <v>142.89999999999995</v>
      </c>
      <c r="AU35" s="24">
        <v>1900.4999999999998</v>
      </c>
      <c r="AV35" s="24">
        <v>755</v>
      </c>
      <c r="AW35" s="24">
        <v>469.4999999999999</v>
      </c>
      <c r="AX35" s="24">
        <v>258.49999999999994</v>
      </c>
      <c r="AY35" s="24">
        <v>248.69999999999996</v>
      </c>
      <c r="AZ35" s="24">
        <v>584.4000000000002</v>
      </c>
      <c r="BA35" s="24">
        <v>117.49999999999997</v>
      </c>
      <c r="BB35" s="24">
        <v>11041.9</v>
      </c>
      <c r="BC35" s="24">
        <v>605.9999999999999</v>
      </c>
      <c r="BD35" s="24">
        <v>2072.5</v>
      </c>
      <c r="BE35" s="24">
        <v>675.3000000000002</v>
      </c>
      <c r="BF35" s="24">
        <v>882.1000000000001</v>
      </c>
      <c r="BG35" s="24">
        <v>343.1000000000001</v>
      </c>
      <c r="BH35" s="24">
        <v>388.79999999999995</v>
      </c>
      <c r="BI35" s="24">
        <v>268.7000000000001</v>
      </c>
      <c r="BJ35" s="24">
        <v>679.8000000000003</v>
      </c>
      <c r="BK35" s="24">
        <v>28.800000000000004</v>
      </c>
      <c r="BL35" s="24">
        <v>171.49999999999997</v>
      </c>
      <c r="BM35" s="24">
        <v>0</v>
      </c>
      <c r="BN35" s="24">
        <v>0</v>
      </c>
      <c r="BO35" s="24">
        <v>1758.4</v>
      </c>
      <c r="BP35" s="24">
        <v>39923.100000000006</v>
      </c>
      <c r="BQ35" s="24">
        <v>2.2</v>
      </c>
      <c r="BR35" s="24">
        <v>3235.2999999999997</v>
      </c>
      <c r="BS35" s="24">
        <v>-259.7</v>
      </c>
    </row>
    <row r="36" spans="1:71" x14ac:dyDescent="0.25">
      <c r="A36" s="30" t="s">
        <v>326</v>
      </c>
      <c r="B36" s="31" t="s">
        <v>327</v>
      </c>
      <c r="C36" s="24">
        <v>1523.1999999999996</v>
      </c>
      <c r="D36" s="24">
        <v>428.9000000000002</v>
      </c>
      <c r="E36" s="24">
        <v>226.49999999999991</v>
      </c>
      <c r="F36" s="24">
        <v>1795.1999999999998</v>
      </c>
      <c r="G36" s="24">
        <v>24535.999999999996</v>
      </c>
      <c r="H36" s="24">
        <v>2478.1</v>
      </c>
      <c r="I36" s="24">
        <v>2107.500000000001</v>
      </c>
      <c r="J36" s="24">
        <v>4646.200000000003</v>
      </c>
      <c r="K36" s="24">
        <v>525.0000000000002</v>
      </c>
      <c r="L36" s="24">
        <v>7595.8</v>
      </c>
      <c r="M36" s="24">
        <v>8349.2</v>
      </c>
      <c r="N36" s="24">
        <v>1527.5999999999992</v>
      </c>
      <c r="O36" s="24">
        <v>3782.6</v>
      </c>
      <c r="P36" s="24">
        <v>5023.299999999999</v>
      </c>
      <c r="Q36" s="24">
        <v>5247.6</v>
      </c>
      <c r="R36" s="24">
        <v>4123.4</v>
      </c>
      <c r="S36" s="24">
        <v>2304.2999999999993</v>
      </c>
      <c r="T36" s="24">
        <v>3051</v>
      </c>
      <c r="U36" s="24">
        <v>7974.7</v>
      </c>
      <c r="V36" s="24">
        <v>10840.799999999997</v>
      </c>
      <c r="W36" s="24">
        <v>1595.8</v>
      </c>
      <c r="X36" s="24">
        <v>2411.3999999999996</v>
      </c>
      <c r="Y36" s="24">
        <v>1260.9999999999998</v>
      </c>
      <c r="Z36" s="24">
        <v>8620</v>
      </c>
      <c r="AA36" s="24">
        <v>191.09999999999994</v>
      </c>
      <c r="AB36" s="24">
        <v>2761.599999999999</v>
      </c>
      <c r="AC36" s="24">
        <v>10451.699999999997</v>
      </c>
      <c r="AD36" s="24">
        <v>5742.4</v>
      </c>
      <c r="AE36" s="24">
        <v>87262.69999999998</v>
      </c>
      <c r="AF36" s="24">
        <v>20960.899999999998</v>
      </c>
      <c r="AG36" s="24">
        <v>76102.00000000004</v>
      </c>
      <c r="AH36" s="24">
        <v>44700.3</v>
      </c>
      <c r="AI36" s="24">
        <v>15592.600000000008</v>
      </c>
      <c r="AJ36" s="24">
        <v>142867.4</v>
      </c>
      <c r="AK36" s="24">
        <v>16834.8</v>
      </c>
      <c r="AL36" s="24">
        <v>2220.000000000001</v>
      </c>
      <c r="AM36" s="24">
        <v>1675.7999999999997</v>
      </c>
      <c r="AN36" s="24">
        <v>410.0000000000001</v>
      </c>
      <c r="AO36" s="24">
        <v>1855.2000000000003</v>
      </c>
      <c r="AP36" s="24">
        <v>3812.499999999999</v>
      </c>
      <c r="AQ36" s="24">
        <v>521.3000000000003</v>
      </c>
      <c r="AR36" s="24">
        <v>282.2000000000002</v>
      </c>
      <c r="AS36" s="24">
        <v>794.3</v>
      </c>
      <c r="AT36" s="24">
        <v>1275.2000000000003</v>
      </c>
      <c r="AU36" s="24">
        <v>4065.3000000000006</v>
      </c>
      <c r="AV36" s="24">
        <v>1122.3999999999999</v>
      </c>
      <c r="AW36" s="24">
        <v>416.50000000000017</v>
      </c>
      <c r="AX36" s="24">
        <v>762.6000000000005</v>
      </c>
      <c r="AY36" s="24">
        <v>1247</v>
      </c>
      <c r="AZ36" s="24">
        <v>2687.2000000000003</v>
      </c>
      <c r="BA36" s="24">
        <v>297.90000000000003</v>
      </c>
      <c r="BB36" s="24">
        <v>1157.7</v>
      </c>
      <c r="BC36" s="24">
        <v>2778.2999999999997</v>
      </c>
      <c r="BD36" s="24">
        <v>3691.7999999999997</v>
      </c>
      <c r="BE36" s="24">
        <v>1286.0999999999997</v>
      </c>
      <c r="BF36" s="24">
        <v>1251.1</v>
      </c>
      <c r="BG36" s="24">
        <v>484.40000000000015</v>
      </c>
      <c r="BH36" s="24">
        <v>477.99999999999994</v>
      </c>
      <c r="BI36" s="24">
        <v>504.0000000000001</v>
      </c>
      <c r="BJ36" s="24">
        <v>362.40000000000015</v>
      </c>
      <c r="BK36" s="24">
        <v>235.39999999999998</v>
      </c>
      <c r="BL36" s="24">
        <v>454.50000000000006</v>
      </c>
      <c r="BM36" s="24">
        <v>0</v>
      </c>
      <c r="BN36" s="24">
        <v>0</v>
      </c>
      <c r="BO36" s="24">
        <v>63134.89999999999</v>
      </c>
      <c r="BP36" s="24">
        <v>43531.700000000004</v>
      </c>
      <c r="BQ36" s="24">
        <v>45.70000000000001</v>
      </c>
      <c r="BR36" s="24">
        <v>6585.600000000001</v>
      </c>
      <c r="BS36" s="24">
        <v>56.30000000000002</v>
      </c>
    </row>
    <row r="37" spans="1:71" x14ac:dyDescent="0.25">
      <c r="A37" s="30" t="s">
        <v>328</v>
      </c>
      <c r="B37" s="31" t="s">
        <v>329</v>
      </c>
      <c r="C37" s="24">
        <v>262.1</v>
      </c>
      <c r="D37" s="24">
        <v>43.100000000000016</v>
      </c>
      <c r="E37" s="24">
        <v>6.499999999999999</v>
      </c>
      <c r="F37" s="24">
        <v>114.19999999999997</v>
      </c>
      <c r="G37" s="24">
        <v>1571.5999999999995</v>
      </c>
      <c r="H37" s="24">
        <v>489.2000000000001</v>
      </c>
      <c r="I37" s="24">
        <v>154.3</v>
      </c>
      <c r="J37" s="24">
        <v>301.4000000000001</v>
      </c>
      <c r="K37" s="24">
        <v>378.1</v>
      </c>
      <c r="L37" s="24">
        <v>531.6000000000001</v>
      </c>
      <c r="M37" s="24">
        <v>3018.7000000000003</v>
      </c>
      <c r="N37" s="24">
        <v>1309.4000000000003</v>
      </c>
      <c r="O37" s="24">
        <v>700.4000000000002</v>
      </c>
      <c r="P37" s="24">
        <v>355.2</v>
      </c>
      <c r="Q37" s="24">
        <v>363.5</v>
      </c>
      <c r="R37" s="24">
        <v>1118.2</v>
      </c>
      <c r="S37" s="24">
        <v>1671.3000000000002</v>
      </c>
      <c r="T37" s="24">
        <v>1970.0999999999997</v>
      </c>
      <c r="U37" s="24">
        <v>3409.3</v>
      </c>
      <c r="V37" s="24">
        <v>2057.9999999999995</v>
      </c>
      <c r="W37" s="24">
        <v>164.9</v>
      </c>
      <c r="X37" s="24">
        <v>1134.6999999999996</v>
      </c>
      <c r="Y37" s="24">
        <v>514.3000000000001</v>
      </c>
      <c r="Z37" s="24">
        <v>1915.8</v>
      </c>
      <c r="AA37" s="24">
        <v>425.30000000000007</v>
      </c>
      <c r="AB37" s="24">
        <v>812.3000000000001</v>
      </c>
      <c r="AC37" s="24">
        <v>2025.2999999999993</v>
      </c>
      <c r="AD37" s="24">
        <v>1512.5999999999997</v>
      </c>
      <c r="AE37" s="24">
        <v>12240.000000000002</v>
      </c>
      <c r="AF37" s="24">
        <v>18703.500000000007</v>
      </c>
      <c r="AG37" s="24">
        <v>3925.7999999999997</v>
      </c>
      <c r="AH37" s="24">
        <v>506.2</v>
      </c>
      <c r="AI37" s="24">
        <v>514.9000000000001</v>
      </c>
      <c r="AJ37" s="24">
        <v>4667.100000000001</v>
      </c>
      <c r="AK37" s="24">
        <v>15459.999999999998</v>
      </c>
      <c r="AL37" s="24">
        <v>3259.1999999999994</v>
      </c>
      <c r="AM37" s="24">
        <v>1635.8</v>
      </c>
      <c r="AN37" s="24">
        <v>554.7000000000002</v>
      </c>
      <c r="AO37" s="24">
        <v>4684.7</v>
      </c>
      <c r="AP37" s="24">
        <v>2801.6000000000004</v>
      </c>
      <c r="AQ37" s="24">
        <v>2961.9</v>
      </c>
      <c r="AR37" s="24">
        <v>1358.1999999999996</v>
      </c>
      <c r="AS37" s="24">
        <v>1938.5</v>
      </c>
      <c r="AT37" s="24">
        <v>809.9000000000001</v>
      </c>
      <c r="AU37" s="24">
        <v>7317.999999999999</v>
      </c>
      <c r="AV37" s="24">
        <v>913.1</v>
      </c>
      <c r="AW37" s="24">
        <v>456</v>
      </c>
      <c r="AX37" s="24">
        <v>763.3</v>
      </c>
      <c r="AY37" s="24">
        <v>833.4</v>
      </c>
      <c r="AZ37" s="24">
        <v>789.1000000000001</v>
      </c>
      <c r="BA37" s="24">
        <v>1426.3999999999999</v>
      </c>
      <c r="BB37" s="24">
        <v>367.90000000000003</v>
      </c>
      <c r="BC37" s="24">
        <v>2386.8</v>
      </c>
      <c r="BD37" s="24">
        <v>8357.6</v>
      </c>
      <c r="BE37" s="24">
        <v>1090.0000000000002</v>
      </c>
      <c r="BF37" s="24">
        <v>1636.9</v>
      </c>
      <c r="BG37" s="24">
        <v>1364.1</v>
      </c>
      <c r="BH37" s="24">
        <v>986.4000000000003</v>
      </c>
      <c r="BI37" s="24">
        <v>491.3</v>
      </c>
      <c r="BJ37" s="24">
        <v>974.1000000000001</v>
      </c>
      <c r="BK37" s="24">
        <v>104.99999999999997</v>
      </c>
      <c r="BL37" s="24">
        <v>510.40000000000003</v>
      </c>
      <c r="BM37" s="24">
        <v>0</v>
      </c>
      <c r="BN37" s="24">
        <v>0</v>
      </c>
      <c r="BO37" s="24">
        <v>230.2</v>
      </c>
      <c r="BP37" s="24">
        <v>11899.400000000001</v>
      </c>
      <c r="BQ37" s="24">
        <v>6.1</v>
      </c>
      <c r="BR37" s="24">
        <v>411.9</v>
      </c>
      <c r="BS37" s="24">
        <v>13.299999999999999</v>
      </c>
    </row>
    <row r="38" spans="1:71" x14ac:dyDescent="0.25">
      <c r="A38" s="30" t="s">
        <v>330</v>
      </c>
      <c r="B38" s="31" t="s">
        <v>331</v>
      </c>
      <c r="C38" s="24">
        <v>754.8000000000002</v>
      </c>
      <c r="D38" s="24">
        <v>78.19999999999997</v>
      </c>
      <c r="E38" s="24">
        <v>57.300000000000004</v>
      </c>
      <c r="F38" s="24">
        <v>401.7000000000002</v>
      </c>
      <c r="G38" s="24">
        <v>3273.7</v>
      </c>
      <c r="H38" s="24">
        <v>885.7000000000003</v>
      </c>
      <c r="I38" s="24">
        <v>895.1000000000003</v>
      </c>
      <c r="J38" s="24">
        <v>467.90000000000015</v>
      </c>
      <c r="K38" s="24">
        <v>306.1000000000002</v>
      </c>
      <c r="L38" s="24">
        <v>810.5000000000003</v>
      </c>
      <c r="M38" s="24">
        <v>1893.7999999999995</v>
      </c>
      <c r="N38" s="24">
        <v>1131.3000000000002</v>
      </c>
      <c r="O38" s="24">
        <v>764.7000000000003</v>
      </c>
      <c r="P38" s="24">
        <v>725.0000000000001</v>
      </c>
      <c r="Q38" s="24">
        <v>813.8000000000001</v>
      </c>
      <c r="R38" s="24">
        <v>1985.4999999999993</v>
      </c>
      <c r="S38" s="24">
        <v>938.3000000000002</v>
      </c>
      <c r="T38" s="24">
        <v>1123.4999999999995</v>
      </c>
      <c r="U38" s="24">
        <v>2658.999999999999</v>
      </c>
      <c r="V38" s="24">
        <v>1429.0999999999995</v>
      </c>
      <c r="W38" s="24">
        <v>687.2</v>
      </c>
      <c r="X38" s="24">
        <v>920.2000000000002</v>
      </c>
      <c r="Y38" s="24">
        <v>1881.9</v>
      </c>
      <c r="Z38" s="24">
        <v>2557.8</v>
      </c>
      <c r="AA38" s="24">
        <v>471.7000000000001</v>
      </c>
      <c r="AB38" s="24">
        <v>787.0000000000002</v>
      </c>
      <c r="AC38" s="24">
        <v>13876.299999999994</v>
      </c>
      <c r="AD38" s="24">
        <v>2106</v>
      </c>
      <c r="AE38" s="24">
        <v>13254.200000000004</v>
      </c>
      <c r="AF38" s="24">
        <v>4576.9</v>
      </c>
      <c r="AG38" s="24">
        <v>7581.499999999999</v>
      </c>
      <c r="AH38" s="24">
        <v>719.4000000000003</v>
      </c>
      <c r="AI38" s="24">
        <v>4138.500000000002</v>
      </c>
      <c r="AJ38" s="24">
        <v>7768.099999999999</v>
      </c>
      <c r="AK38" s="24">
        <v>403.10000000000014</v>
      </c>
      <c r="AL38" s="24">
        <v>9271.5</v>
      </c>
      <c r="AM38" s="24">
        <v>890.7000000000003</v>
      </c>
      <c r="AN38" s="24">
        <v>2646.7999999999993</v>
      </c>
      <c r="AO38" s="24">
        <v>1965.4999999999998</v>
      </c>
      <c r="AP38" s="24">
        <v>5867.5</v>
      </c>
      <c r="AQ38" s="24">
        <v>2899.5999999999995</v>
      </c>
      <c r="AR38" s="24">
        <v>1120.7999999999997</v>
      </c>
      <c r="AS38" s="24">
        <v>3379.7999999999993</v>
      </c>
      <c r="AT38" s="24">
        <v>1549.7999999999993</v>
      </c>
      <c r="AU38" s="24">
        <v>8299.100000000002</v>
      </c>
      <c r="AV38" s="24">
        <v>2349.6999999999994</v>
      </c>
      <c r="AW38" s="24">
        <v>876.4000000000002</v>
      </c>
      <c r="AX38" s="24">
        <v>1121.6999999999996</v>
      </c>
      <c r="AY38" s="24">
        <v>1202.8999999999999</v>
      </c>
      <c r="AZ38" s="24">
        <v>1445.7999999999993</v>
      </c>
      <c r="BA38" s="24">
        <v>1157.3</v>
      </c>
      <c r="BB38" s="24">
        <v>19158.8</v>
      </c>
      <c r="BC38" s="24">
        <v>6270.900000000001</v>
      </c>
      <c r="BD38" s="24">
        <v>8084.299999999999</v>
      </c>
      <c r="BE38" s="24">
        <v>5583.4000000000015</v>
      </c>
      <c r="BF38" s="24">
        <v>6601.200000000003</v>
      </c>
      <c r="BG38" s="24">
        <v>6668.000000000003</v>
      </c>
      <c r="BH38" s="24">
        <v>2444.7</v>
      </c>
      <c r="BI38" s="24">
        <v>3124.4999999999995</v>
      </c>
      <c r="BJ38" s="24">
        <v>4017.9999999999995</v>
      </c>
      <c r="BK38" s="24">
        <v>270.3000000000001</v>
      </c>
      <c r="BL38" s="24">
        <v>1556.3</v>
      </c>
      <c r="BM38" s="24">
        <v>0</v>
      </c>
      <c r="BN38" s="24">
        <v>0</v>
      </c>
      <c r="BO38" s="24">
        <v>5846.800000000003</v>
      </c>
      <c r="BP38" s="24">
        <v>681509.6999999998</v>
      </c>
      <c r="BQ38" s="24">
        <v>2215.2</v>
      </c>
      <c r="BR38" s="24">
        <v>1244.3999999999999</v>
      </c>
      <c r="BS38" s="24">
        <v>90.30000000000001</v>
      </c>
    </row>
    <row r="39" spans="1:71" x14ac:dyDescent="0.25">
      <c r="A39" s="30" t="s">
        <v>332</v>
      </c>
      <c r="B39" s="31" t="s">
        <v>333</v>
      </c>
      <c r="C39" s="24">
        <v>318.09999999999997</v>
      </c>
      <c r="D39" s="24">
        <v>32.50000000000001</v>
      </c>
      <c r="E39" s="24">
        <v>4.300000000000001</v>
      </c>
      <c r="F39" s="24">
        <v>217.39999999999995</v>
      </c>
      <c r="G39" s="24">
        <v>1789.9999999999995</v>
      </c>
      <c r="H39" s="24">
        <v>231.29999999999995</v>
      </c>
      <c r="I39" s="24">
        <v>141.39999999999998</v>
      </c>
      <c r="J39" s="24">
        <v>512.4999999999999</v>
      </c>
      <c r="K39" s="24">
        <v>543.6000000000001</v>
      </c>
      <c r="L39" s="24">
        <v>385.5000000000001</v>
      </c>
      <c r="M39" s="24">
        <v>1211.3</v>
      </c>
      <c r="N39" s="24">
        <v>2267.5</v>
      </c>
      <c r="O39" s="24">
        <v>412.7000000000001</v>
      </c>
      <c r="P39" s="24">
        <v>256.1</v>
      </c>
      <c r="Q39" s="24">
        <v>352.40000000000003</v>
      </c>
      <c r="R39" s="24">
        <v>713.7000000000002</v>
      </c>
      <c r="S39" s="24">
        <v>1055.3999999999999</v>
      </c>
      <c r="T39" s="24">
        <v>763.8000000000002</v>
      </c>
      <c r="U39" s="24">
        <v>998.1999999999999</v>
      </c>
      <c r="V39" s="24">
        <v>1131</v>
      </c>
      <c r="W39" s="24">
        <v>353.90000000000015</v>
      </c>
      <c r="X39" s="24">
        <v>553.5000000000003</v>
      </c>
      <c r="Y39" s="24">
        <v>277.7999999999999</v>
      </c>
      <c r="Z39" s="24">
        <v>1368.2000000000003</v>
      </c>
      <c r="AA39" s="24">
        <v>94.49999999999999</v>
      </c>
      <c r="AB39" s="24">
        <v>653.2</v>
      </c>
      <c r="AC39" s="24">
        <v>1427.8</v>
      </c>
      <c r="AD39" s="24">
        <v>769.6000000000005</v>
      </c>
      <c r="AE39" s="24">
        <v>4858.799999999999</v>
      </c>
      <c r="AF39" s="24">
        <v>3339.7999999999997</v>
      </c>
      <c r="AG39" s="24">
        <v>750.6000000000003</v>
      </c>
      <c r="AH39" s="24">
        <v>233.99999999999994</v>
      </c>
      <c r="AI39" s="24">
        <v>449.5000000000001</v>
      </c>
      <c r="AJ39" s="24">
        <v>774.5000000000001</v>
      </c>
      <c r="AK39" s="24">
        <v>315.8000000000001</v>
      </c>
      <c r="AL39" s="24">
        <v>1214</v>
      </c>
      <c r="AM39" s="24">
        <v>13263.000000000002</v>
      </c>
      <c r="AN39" s="24">
        <v>1173.4999999999995</v>
      </c>
      <c r="AO39" s="24">
        <v>1529.8999999999996</v>
      </c>
      <c r="AP39" s="24">
        <v>10834.300000000001</v>
      </c>
      <c r="AQ39" s="24">
        <v>3605.7000000000003</v>
      </c>
      <c r="AR39" s="24">
        <v>1416.3000000000002</v>
      </c>
      <c r="AS39" s="24">
        <v>3021.999999999999</v>
      </c>
      <c r="AT39" s="24">
        <v>758.7000000000002</v>
      </c>
      <c r="AU39" s="24">
        <v>5932.1</v>
      </c>
      <c r="AV39" s="24">
        <v>2196.4000000000005</v>
      </c>
      <c r="AW39" s="24">
        <v>1354.5999999999992</v>
      </c>
      <c r="AX39" s="24">
        <v>4180</v>
      </c>
      <c r="AY39" s="24">
        <v>943.6000000000004</v>
      </c>
      <c r="AZ39" s="24">
        <v>952.6000000000003</v>
      </c>
      <c r="BA39" s="24">
        <v>532.9000000000002</v>
      </c>
      <c r="BB39" s="24">
        <v>567.0999999999999</v>
      </c>
      <c r="BC39" s="24">
        <v>2604.7000000000007</v>
      </c>
      <c r="BD39" s="24">
        <v>5555.899999999998</v>
      </c>
      <c r="BE39" s="24">
        <v>5673.000000000001</v>
      </c>
      <c r="BF39" s="24">
        <v>2643.5</v>
      </c>
      <c r="BG39" s="24">
        <v>1626.2999999999997</v>
      </c>
      <c r="BH39" s="24">
        <v>2650.9999999999995</v>
      </c>
      <c r="BI39" s="24">
        <v>1085.9999999999998</v>
      </c>
      <c r="BJ39" s="24">
        <v>1811</v>
      </c>
      <c r="BK39" s="24">
        <v>59.20000000000001</v>
      </c>
      <c r="BL39" s="24">
        <v>315.0000000000001</v>
      </c>
      <c r="BM39" s="24">
        <v>0</v>
      </c>
      <c r="BN39" s="24">
        <v>0</v>
      </c>
      <c r="BO39" s="24">
        <v>920.5000000000001</v>
      </c>
      <c r="BP39" s="24">
        <v>47625.49999999999</v>
      </c>
      <c r="BQ39" s="24">
        <v>63.4</v>
      </c>
      <c r="BR39" s="24">
        <v>27780.300000000007</v>
      </c>
      <c r="BS39" s="24">
        <v>26.300000000000026</v>
      </c>
    </row>
    <row r="40" spans="1:71" x14ac:dyDescent="0.25">
      <c r="A40" s="30" t="s">
        <v>335</v>
      </c>
      <c r="B40" s="31" t="s">
        <v>336</v>
      </c>
      <c r="C40" s="24">
        <v>85.49999999999997</v>
      </c>
      <c r="D40" s="24">
        <v>11.299999999999999</v>
      </c>
      <c r="E40" s="24">
        <v>9.1</v>
      </c>
      <c r="F40" s="24">
        <v>49.800000000000004</v>
      </c>
      <c r="G40" s="24">
        <v>2274.5</v>
      </c>
      <c r="H40" s="24">
        <v>170.60000000000002</v>
      </c>
      <c r="I40" s="24">
        <v>87.59999999999998</v>
      </c>
      <c r="J40" s="24">
        <v>133.6</v>
      </c>
      <c r="K40" s="24">
        <v>106.1</v>
      </c>
      <c r="L40" s="24">
        <v>154.99999999999994</v>
      </c>
      <c r="M40" s="24">
        <v>761.9000000000001</v>
      </c>
      <c r="N40" s="24">
        <v>966.9000000000001</v>
      </c>
      <c r="O40" s="24">
        <v>168.39999999999998</v>
      </c>
      <c r="P40" s="24">
        <v>142.1</v>
      </c>
      <c r="Q40" s="24">
        <v>104.09999999999998</v>
      </c>
      <c r="R40" s="24">
        <v>254.49999999999994</v>
      </c>
      <c r="S40" s="24">
        <v>378.3000000000001</v>
      </c>
      <c r="T40" s="24">
        <v>239.89999999999995</v>
      </c>
      <c r="U40" s="24">
        <v>318.70000000000016</v>
      </c>
      <c r="V40" s="24">
        <v>491.00000000000006</v>
      </c>
      <c r="W40" s="24">
        <v>354.6000000000001</v>
      </c>
      <c r="X40" s="24">
        <v>349.9</v>
      </c>
      <c r="Y40" s="24">
        <v>176.1</v>
      </c>
      <c r="Z40" s="24">
        <v>559.1000000000003</v>
      </c>
      <c r="AA40" s="24">
        <v>60.6</v>
      </c>
      <c r="AB40" s="24">
        <v>174.10000000000002</v>
      </c>
      <c r="AC40" s="24">
        <v>1310.1999999999998</v>
      </c>
      <c r="AD40" s="24">
        <v>698.1000000000003</v>
      </c>
      <c r="AE40" s="24">
        <v>4969.400000000001</v>
      </c>
      <c r="AF40" s="24">
        <v>3668.7000000000003</v>
      </c>
      <c r="AG40" s="24">
        <v>632.7000000000002</v>
      </c>
      <c r="AH40" s="24">
        <v>166.79999999999998</v>
      </c>
      <c r="AI40" s="24">
        <v>215.2</v>
      </c>
      <c r="AJ40" s="24">
        <v>501.3000000000002</v>
      </c>
      <c r="AK40" s="24">
        <v>141.69999999999996</v>
      </c>
      <c r="AL40" s="24">
        <v>2216.1</v>
      </c>
      <c r="AM40" s="24">
        <v>2076.3999999999996</v>
      </c>
      <c r="AN40" s="24">
        <v>29969.699999999993</v>
      </c>
      <c r="AO40" s="24">
        <v>8661.999999999996</v>
      </c>
      <c r="AP40" s="24">
        <v>9523.9</v>
      </c>
      <c r="AQ40" s="24">
        <v>510.70000000000005</v>
      </c>
      <c r="AR40" s="24">
        <v>280.9000000000001</v>
      </c>
      <c r="AS40" s="24">
        <v>242.1999999999999</v>
      </c>
      <c r="AT40" s="24">
        <v>463.60000000000014</v>
      </c>
      <c r="AU40" s="24">
        <v>4102.400000000001</v>
      </c>
      <c r="AV40" s="24">
        <v>1107.1999999999994</v>
      </c>
      <c r="AW40" s="24">
        <v>653.2000000000004</v>
      </c>
      <c r="AX40" s="24">
        <v>12819.300000000001</v>
      </c>
      <c r="AY40" s="24">
        <v>655.6000000000001</v>
      </c>
      <c r="AZ40" s="24">
        <v>2169.7000000000003</v>
      </c>
      <c r="BA40" s="24">
        <v>199.99999999999997</v>
      </c>
      <c r="BB40" s="24">
        <v>322.90000000000015</v>
      </c>
      <c r="BC40" s="24">
        <v>1826.7999999999997</v>
      </c>
      <c r="BD40" s="24">
        <v>3054.2999999999993</v>
      </c>
      <c r="BE40" s="24">
        <v>759.2000000000002</v>
      </c>
      <c r="BF40" s="24">
        <v>715</v>
      </c>
      <c r="BG40" s="24">
        <v>549.1</v>
      </c>
      <c r="BH40" s="24">
        <v>1735.5999999999997</v>
      </c>
      <c r="BI40" s="24">
        <v>1754.7999999999995</v>
      </c>
      <c r="BJ40" s="24">
        <v>1174.7999999999997</v>
      </c>
      <c r="BK40" s="24">
        <v>44.70000000000001</v>
      </c>
      <c r="BL40" s="24">
        <v>289.30000000000007</v>
      </c>
      <c r="BM40" s="24">
        <v>0</v>
      </c>
      <c r="BN40" s="24">
        <v>0</v>
      </c>
      <c r="BO40" s="24">
        <v>25565.99999999999</v>
      </c>
      <c r="BP40" s="24">
        <v>32022.6</v>
      </c>
      <c r="BQ40" s="24">
        <v>749.7</v>
      </c>
      <c r="BR40" s="24">
        <v>18141.800000000003</v>
      </c>
      <c r="BS40" s="24">
        <v>-8.000000000000012</v>
      </c>
    </row>
    <row r="41" spans="1:71" x14ac:dyDescent="0.25">
      <c r="A41" s="30" t="s">
        <v>337</v>
      </c>
      <c r="B41" s="31" t="s">
        <v>338</v>
      </c>
      <c r="C41" s="24">
        <v>563.5000000000001</v>
      </c>
      <c r="D41" s="24">
        <v>72.89999999999999</v>
      </c>
      <c r="E41" s="24">
        <v>42.099999999999994</v>
      </c>
      <c r="F41" s="24">
        <v>293</v>
      </c>
      <c r="G41" s="24">
        <v>3391.3000000000006</v>
      </c>
      <c r="H41" s="24">
        <v>1020.6000000000003</v>
      </c>
      <c r="I41" s="24">
        <v>362.1</v>
      </c>
      <c r="J41" s="24">
        <v>713.2000000000003</v>
      </c>
      <c r="K41" s="24">
        <v>283.80000000000007</v>
      </c>
      <c r="L41" s="24">
        <v>628.6000000000003</v>
      </c>
      <c r="M41" s="24">
        <v>1655.5</v>
      </c>
      <c r="N41" s="24">
        <v>732.8000000000001</v>
      </c>
      <c r="O41" s="24">
        <v>1099.8999999999992</v>
      </c>
      <c r="P41" s="24">
        <v>1224.7999999999993</v>
      </c>
      <c r="Q41" s="24">
        <v>1479.9999999999993</v>
      </c>
      <c r="R41" s="24">
        <v>1969.6999999999996</v>
      </c>
      <c r="S41" s="24">
        <v>1214.3999999999999</v>
      </c>
      <c r="T41" s="24">
        <v>958.8000000000002</v>
      </c>
      <c r="U41" s="24">
        <v>1919.8999999999996</v>
      </c>
      <c r="V41" s="24">
        <v>1871.3999999999999</v>
      </c>
      <c r="W41" s="24">
        <v>608.6000000000001</v>
      </c>
      <c r="X41" s="24">
        <v>685.0000000000003</v>
      </c>
      <c r="Y41" s="24">
        <v>684.9000000000001</v>
      </c>
      <c r="Z41" s="24">
        <v>2004.4000000000003</v>
      </c>
      <c r="AA41" s="24">
        <v>498.9000000000001</v>
      </c>
      <c r="AB41" s="24">
        <v>1072.7999999999993</v>
      </c>
      <c r="AC41" s="24">
        <v>4973.099999999999</v>
      </c>
      <c r="AD41" s="24">
        <v>1946.0999999999995</v>
      </c>
      <c r="AE41" s="24">
        <v>9405.2</v>
      </c>
      <c r="AF41" s="24">
        <v>6007.400000000001</v>
      </c>
      <c r="AG41" s="24">
        <v>2552.4999999999995</v>
      </c>
      <c r="AH41" s="24">
        <v>283.50000000000017</v>
      </c>
      <c r="AI41" s="24">
        <v>590.9000000000002</v>
      </c>
      <c r="AJ41" s="24">
        <v>2230.4000000000005</v>
      </c>
      <c r="AK41" s="24">
        <v>3220.1999999999994</v>
      </c>
      <c r="AL41" s="24">
        <v>5761.899999999998</v>
      </c>
      <c r="AM41" s="24">
        <v>2070.9</v>
      </c>
      <c r="AN41" s="24">
        <v>2644.8</v>
      </c>
      <c r="AO41" s="24">
        <v>56063.500000000015</v>
      </c>
      <c r="AP41" s="24">
        <v>9925.900000000001</v>
      </c>
      <c r="AQ41" s="24">
        <v>6873.5</v>
      </c>
      <c r="AR41" s="24">
        <v>2525.099999999999</v>
      </c>
      <c r="AS41" s="24">
        <v>4870.499999999998</v>
      </c>
      <c r="AT41" s="24">
        <v>2706.3999999999996</v>
      </c>
      <c r="AU41" s="24">
        <v>8088.799999999999</v>
      </c>
      <c r="AV41" s="24">
        <v>2537.9000000000005</v>
      </c>
      <c r="AW41" s="24">
        <v>1148.1999999999998</v>
      </c>
      <c r="AX41" s="24">
        <v>2016.3</v>
      </c>
      <c r="AY41" s="24">
        <v>1448.2999999999995</v>
      </c>
      <c r="AZ41" s="24">
        <v>1642.7999999999997</v>
      </c>
      <c r="BA41" s="24">
        <v>2088.5000000000005</v>
      </c>
      <c r="BB41" s="24">
        <v>2812.2999999999997</v>
      </c>
      <c r="BC41" s="24">
        <v>3416.899999999999</v>
      </c>
      <c r="BD41" s="24">
        <v>8565.900000000001</v>
      </c>
      <c r="BE41" s="24">
        <v>2345.3</v>
      </c>
      <c r="BF41" s="24">
        <v>3758.2000000000003</v>
      </c>
      <c r="BG41" s="24">
        <v>2428.9999999999995</v>
      </c>
      <c r="BH41" s="24">
        <v>2346.899999999999</v>
      </c>
      <c r="BI41" s="24">
        <v>1363.8999999999999</v>
      </c>
      <c r="BJ41" s="24">
        <v>1314.8999999999994</v>
      </c>
      <c r="BK41" s="24">
        <v>177.1</v>
      </c>
      <c r="BL41" s="24">
        <v>1157.4999999999998</v>
      </c>
      <c r="BM41" s="24">
        <v>0</v>
      </c>
      <c r="BN41" s="24">
        <v>0</v>
      </c>
      <c r="BO41" s="24">
        <v>1314.8999999999996</v>
      </c>
      <c r="BP41" s="24">
        <v>135419.7</v>
      </c>
      <c r="BQ41" s="24">
        <v>23.799999999999997</v>
      </c>
      <c r="BR41" s="24">
        <v>5017.099999999998</v>
      </c>
      <c r="BS41" s="24">
        <v>145.1</v>
      </c>
    </row>
    <row r="42" spans="1:71" x14ac:dyDescent="0.25">
      <c r="A42" s="30" t="s">
        <v>339</v>
      </c>
      <c r="B42" s="31" t="s">
        <v>340</v>
      </c>
      <c r="C42" s="24">
        <v>984.3000000000002</v>
      </c>
      <c r="D42" s="24">
        <v>134.99999999999997</v>
      </c>
      <c r="E42" s="24">
        <v>34.199999999999996</v>
      </c>
      <c r="F42" s="24">
        <v>725.3000000000003</v>
      </c>
      <c r="G42" s="24">
        <v>7376.800000000001</v>
      </c>
      <c r="H42" s="24">
        <v>1909.6000000000001</v>
      </c>
      <c r="I42" s="24">
        <v>750.9000000000002</v>
      </c>
      <c r="J42" s="24">
        <v>1941.5</v>
      </c>
      <c r="K42" s="24">
        <v>1069.2999999999997</v>
      </c>
      <c r="L42" s="24">
        <v>2722.7</v>
      </c>
      <c r="M42" s="24">
        <v>8026.9</v>
      </c>
      <c r="N42" s="24">
        <v>4609.699999999998</v>
      </c>
      <c r="O42" s="24">
        <v>2538.0999999999995</v>
      </c>
      <c r="P42" s="24">
        <v>1911.1</v>
      </c>
      <c r="Q42" s="24">
        <v>3049.3</v>
      </c>
      <c r="R42" s="24">
        <v>5624.4000000000015</v>
      </c>
      <c r="S42" s="24">
        <v>5559.299999999999</v>
      </c>
      <c r="T42" s="24">
        <v>4994.799999999999</v>
      </c>
      <c r="U42" s="24">
        <v>9204.999999999996</v>
      </c>
      <c r="V42" s="24">
        <v>11267.500000000004</v>
      </c>
      <c r="W42" s="24">
        <v>4052.2000000000003</v>
      </c>
      <c r="X42" s="24">
        <v>2277.9999999999986</v>
      </c>
      <c r="Y42" s="24">
        <v>2770.599999999999</v>
      </c>
      <c r="Z42" s="24">
        <v>10372.500000000002</v>
      </c>
      <c r="AA42" s="24">
        <v>783.9</v>
      </c>
      <c r="AB42" s="24">
        <v>4360.599999999999</v>
      </c>
      <c r="AC42" s="24">
        <v>10819.500000000004</v>
      </c>
      <c r="AD42" s="24">
        <v>5681.000000000003</v>
      </c>
      <c r="AE42" s="24">
        <v>35534.6</v>
      </c>
      <c r="AF42" s="24">
        <v>18357.5</v>
      </c>
      <c r="AG42" s="24">
        <v>7006.500000000003</v>
      </c>
      <c r="AH42" s="24">
        <v>2605.6</v>
      </c>
      <c r="AI42" s="24">
        <v>3079.8999999999996</v>
      </c>
      <c r="AJ42" s="24">
        <v>8916.600000000002</v>
      </c>
      <c r="AK42" s="24">
        <v>4162.7</v>
      </c>
      <c r="AL42" s="24">
        <v>5102.600000000001</v>
      </c>
      <c r="AM42" s="24">
        <v>11503.999999999998</v>
      </c>
      <c r="AN42" s="24">
        <v>5078.699999999999</v>
      </c>
      <c r="AO42" s="24">
        <v>15231.899999999998</v>
      </c>
      <c r="AP42" s="24">
        <v>220485.60000000006</v>
      </c>
      <c r="AQ42" s="24">
        <v>22298.300000000003</v>
      </c>
      <c r="AR42" s="24">
        <v>7627.800000000001</v>
      </c>
      <c r="AS42" s="24">
        <v>8817.900000000005</v>
      </c>
      <c r="AT42" s="24">
        <v>5018.799999999998</v>
      </c>
      <c r="AU42" s="24">
        <v>48469.40000000001</v>
      </c>
      <c r="AV42" s="24">
        <v>10727.499999999998</v>
      </c>
      <c r="AW42" s="24">
        <v>7957.1</v>
      </c>
      <c r="AX42" s="24">
        <v>6916.299999999999</v>
      </c>
      <c r="AY42" s="24">
        <v>3828.0000000000014</v>
      </c>
      <c r="AZ42" s="24">
        <v>5780.5</v>
      </c>
      <c r="BA42" s="24">
        <v>3729.8999999999996</v>
      </c>
      <c r="BB42" s="24">
        <v>2368.7000000000007</v>
      </c>
      <c r="BC42" s="24">
        <v>12733</v>
      </c>
      <c r="BD42" s="24">
        <v>21048.599999999995</v>
      </c>
      <c r="BE42" s="24">
        <v>9157.300000000001</v>
      </c>
      <c r="BF42" s="24">
        <v>11530.099999999999</v>
      </c>
      <c r="BG42" s="24">
        <v>5194.600000000002</v>
      </c>
      <c r="BH42" s="24">
        <v>8231.3</v>
      </c>
      <c r="BI42" s="24">
        <v>1536.1999999999994</v>
      </c>
      <c r="BJ42" s="24">
        <v>2362.0999999999985</v>
      </c>
      <c r="BK42" s="24">
        <v>545.6999999999999</v>
      </c>
      <c r="BL42" s="24">
        <v>1569.8999999999999</v>
      </c>
      <c r="BM42" s="24">
        <v>0</v>
      </c>
      <c r="BN42" s="24">
        <v>0</v>
      </c>
      <c r="BO42" s="24">
        <v>4810.900000000004</v>
      </c>
      <c r="BP42" s="24">
        <v>28114.599999999995</v>
      </c>
      <c r="BQ42" s="24">
        <v>194.79999999999998</v>
      </c>
      <c r="BR42" s="24">
        <v>282851</v>
      </c>
      <c r="BS42" s="24">
        <v>664.5000000000002</v>
      </c>
    </row>
    <row r="43" spans="1:71" x14ac:dyDescent="0.25">
      <c r="A43" s="30" t="s">
        <v>341</v>
      </c>
      <c r="B43" s="31" t="s">
        <v>342</v>
      </c>
      <c r="C43" s="24">
        <v>9400.5</v>
      </c>
      <c r="D43" s="24">
        <v>717.2</v>
      </c>
      <c r="E43" s="24">
        <v>284.60000000000014</v>
      </c>
      <c r="F43" s="24">
        <v>1121.8999999999999</v>
      </c>
      <c r="G43" s="24">
        <v>13860.900000000003</v>
      </c>
      <c r="H43" s="24">
        <v>3184.2999999999997</v>
      </c>
      <c r="I43" s="24">
        <v>1555.9000000000005</v>
      </c>
      <c r="J43" s="24">
        <v>1982.7</v>
      </c>
      <c r="K43" s="24">
        <v>904.9</v>
      </c>
      <c r="L43" s="24">
        <v>4193</v>
      </c>
      <c r="M43" s="24">
        <v>6774.000000000001</v>
      </c>
      <c r="N43" s="24">
        <v>3300.7999999999997</v>
      </c>
      <c r="O43" s="24">
        <v>4190.000000000001</v>
      </c>
      <c r="P43" s="24">
        <v>2840.3</v>
      </c>
      <c r="Q43" s="24">
        <v>4911.300000000002</v>
      </c>
      <c r="R43" s="24">
        <v>6560.700000000001</v>
      </c>
      <c r="S43" s="24">
        <v>3058.6</v>
      </c>
      <c r="T43" s="24">
        <v>3392</v>
      </c>
      <c r="U43" s="24">
        <v>7780.700000000001</v>
      </c>
      <c r="V43" s="24">
        <v>8231</v>
      </c>
      <c r="W43" s="24">
        <v>1721.7</v>
      </c>
      <c r="X43" s="24">
        <v>2674.899999999999</v>
      </c>
      <c r="Y43" s="24">
        <v>2079.6</v>
      </c>
      <c r="Z43" s="24">
        <v>11594.300000000001</v>
      </c>
      <c r="AA43" s="24">
        <v>1068.3999999999999</v>
      </c>
      <c r="AB43" s="24">
        <v>2786.5</v>
      </c>
      <c r="AC43" s="24">
        <v>33499</v>
      </c>
      <c r="AD43" s="24">
        <v>7790</v>
      </c>
      <c r="AE43" s="24">
        <v>31567.299999999992</v>
      </c>
      <c r="AF43" s="24">
        <v>25532.700000000004</v>
      </c>
      <c r="AG43" s="24">
        <v>9510.999999999998</v>
      </c>
      <c r="AH43" s="24">
        <v>7131.800000000001</v>
      </c>
      <c r="AI43" s="24">
        <v>3440.4000000000015</v>
      </c>
      <c r="AJ43" s="24">
        <v>10545.999999999995</v>
      </c>
      <c r="AK43" s="24">
        <v>1573.7000000000003</v>
      </c>
      <c r="AL43" s="24">
        <v>14329.900000000003</v>
      </c>
      <c r="AM43" s="24">
        <v>2313.3999999999996</v>
      </c>
      <c r="AN43" s="24">
        <v>2234.1000000000004</v>
      </c>
      <c r="AO43" s="24">
        <v>4720.799999999999</v>
      </c>
      <c r="AP43" s="24">
        <v>26462.8</v>
      </c>
      <c r="AQ43" s="24">
        <v>141850.50000000006</v>
      </c>
      <c r="AR43" s="24">
        <v>47517.100000000006</v>
      </c>
      <c r="AS43" s="24">
        <v>27982.699999999997</v>
      </c>
      <c r="AT43" s="24">
        <v>84663.90000000001</v>
      </c>
      <c r="AU43" s="24">
        <v>28025</v>
      </c>
      <c r="AV43" s="24">
        <v>5539.299999999997</v>
      </c>
      <c r="AW43" s="24">
        <v>1270.2</v>
      </c>
      <c r="AX43" s="24">
        <v>2591.2999999999997</v>
      </c>
      <c r="AY43" s="24">
        <v>2484.8000000000006</v>
      </c>
      <c r="AZ43" s="24">
        <v>9525.500000000002</v>
      </c>
      <c r="BA43" s="24">
        <v>2348.3000000000006</v>
      </c>
      <c r="BB43" s="24">
        <v>2316.099999999999</v>
      </c>
      <c r="BC43" s="24">
        <v>7699.499999999999</v>
      </c>
      <c r="BD43" s="24">
        <v>27847.200000000008</v>
      </c>
      <c r="BE43" s="24">
        <v>3800.8000000000006</v>
      </c>
      <c r="BF43" s="24">
        <v>10372.800000000005</v>
      </c>
      <c r="BG43" s="24">
        <v>4899.2</v>
      </c>
      <c r="BH43" s="24">
        <v>2862.6000000000004</v>
      </c>
      <c r="BI43" s="24">
        <v>2069.9999999999995</v>
      </c>
      <c r="BJ43" s="24">
        <v>5195.5</v>
      </c>
      <c r="BK43" s="24">
        <v>405.90000000000015</v>
      </c>
      <c r="BL43" s="24">
        <v>3496.7</v>
      </c>
      <c r="BM43" s="24">
        <v>0</v>
      </c>
      <c r="BN43" s="24">
        <v>0</v>
      </c>
      <c r="BO43" s="24">
        <v>2425.7000000000003</v>
      </c>
      <c r="BP43" s="24">
        <v>211600.19999999998</v>
      </c>
      <c r="BQ43" s="24">
        <v>113</v>
      </c>
      <c r="BR43" s="24">
        <v>4600.700000000002</v>
      </c>
      <c r="BS43" s="24">
        <v>6.6</v>
      </c>
    </row>
    <row r="44" spans="1:71" x14ac:dyDescent="0.25">
      <c r="A44" s="30" t="s">
        <v>344</v>
      </c>
      <c r="B44" s="31" t="s">
        <v>345</v>
      </c>
      <c r="C44" s="24">
        <v>4094.9000000000005</v>
      </c>
      <c r="D44" s="24">
        <v>105.79999999999998</v>
      </c>
      <c r="E44" s="24">
        <v>70.59999999999997</v>
      </c>
      <c r="F44" s="24">
        <v>265.3</v>
      </c>
      <c r="G44" s="24">
        <v>2728.599999999999</v>
      </c>
      <c r="H44" s="24">
        <v>500.5000000000001</v>
      </c>
      <c r="I44" s="24">
        <v>548.7000000000002</v>
      </c>
      <c r="J44" s="24">
        <v>675.9000000000001</v>
      </c>
      <c r="K44" s="24">
        <v>342.7</v>
      </c>
      <c r="L44" s="24">
        <v>1134.2999999999997</v>
      </c>
      <c r="M44" s="24">
        <v>2659.899999999999</v>
      </c>
      <c r="N44" s="24">
        <v>772.1000000000001</v>
      </c>
      <c r="O44" s="24">
        <v>1056.0999999999997</v>
      </c>
      <c r="P44" s="24">
        <v>798.0000000000002</v>
      </c>
      <c r="Q44" s="24">
        <v>859.8</v>
      </c>
      <c r="R44" s="24">
        <v>1384</v>
      </c>
      <c r="S44" s="24">
        <v>586.7</v>
      </c>
      <c r="T44" s="24">
        <v>761.5999999999998</v>
      </c>
      <c r="U44" s="24">
        <v>1591.4</v>
      </c>
      <c r="V44" s="24">
        <v>1633.3000000000002</v>
      </c>
      <c r="W44" s="24">
        <v>752.1999999999999</v>
      </c>
      <c r="X44" s="24">
        <v>736.9999999999999</v>
      </c>
      <c r="Y44" s="24">
        <v>621.1</v>
      </c>
      <c r="Z44" s="24">
        <v>3619.8999999999996</v>
      </c>
      <c r="AA44" s="24">
        <v>304.20000000000016</v>
      </c>
      <c r="AB44" s="24">
        <v>1494.9</v>
      </c>
      <c r="AC44" s="24">
        <v>6710.300000000002</v>
      </c>
      <c r="AD44" s="24">
        <v>1942.4</v>
      </c>
      <c r="AE44" s="24">
        <v>5499.400000000001</v>
      </c>
      <c r="AF44" s="24">
        <v>5289.700000000001</v>
      </c>
      <c r="AG44" s="24">
        <v>7986.9000000000015</v>
      </c>
      <c r="AH44" s="24">
        <v>1324.7000000000003</v>
      </c>
      <c r="AI44" s="24">
        <v>756.8</v>
      </c>
      <c r="AJ44" s="24">
        <v>4069.100000000001</v>
      </c>
      <c r="AK44" s="24">
        <v>340.70000000000016</v>
      </c>
      <c r="AL44" s="24">
        <v>2527.8</v>
      </c>
      <c r="AM44" s="24">
        <v>512.8</v>
      </c>
      <c r="AN44" s="24">
        <v>405.7000000000001</v>
      </c>
      <c r="AO44" s="24">
        <v>1260.2999999999995</v>
      </c>
      <c r="AP44" s="24">
        <v>2270.7</v>
      </c>
      <c r="AQ44" s="24">
        <v>2985.3999999999996</v>
      </c>
      <c r="AR44" s="24">
        <v>34231.6</v>
      </c>
      <c r="AS44" s="24">
        <v>4882.6</v>
      </c>
      <c r="AT44" s="24">
        <v>7794.700000000001</v>
      </c>
      <c r="AU44" s="24">
        <v>4413.7</v>
      </c>
      <c r="AV44" s="24">
        <v>1386.3999999999994</v>
      </c>
      <c r="AW44" s="24">
        <v>296.20000000000005</v>
      </c>
      <c r="AX44" s="24">
        <v>358.8000000000001</v>
      </c>
      <c r="AY44" s="24">
        <v>485.6000000000001</v>
      </c>
      <c r="AZ44" s="24">
        <v>4273.800000000001</v>
      </c>
      <c r="BA44" s="24">
        <v>342.1000000000001</v>
      </c>
      <c r="BB44" s="24">
        <v>359.00000000000006</v>
      </c>
      <c r="BC44" s="24">
        <v>2205.1</v>
      </c>
      <c r="BD44" s="24">
        <v>4936.799999999999</v>
      </c>
      <c r="BE44" s="24">
        <v>3432.6</v>
      </c>
      <c r="BF44" s="24">
        <v>2563.3999999999996</v>
      </c>
      <c r="BG44" s="24">
        <v>1168.8</v>
      </c>
      <c r="BH44" s="24">
        <v>643.2000000000003</v>
      </c>
      <c r="BI44" s="24">
        <v>413.40000000000015</v>
      </c>
      <c r="BJ44" s="24">
        <v>610.7000000000002</v>
      </c>
      <c r="BK44" s="24">
        <v>137.2</v>
      </c>
      <c r="BL44" s="24">
        <v>455.1000000000001</v>
      </c>
      <c r="BM44" s="24">
        <v>0</v>
      </c>
      <c r="BN44" s="24">
        <v>0</v>
      </c>
      <c r="BO44" s="24">
        <v>1414.9999999999998</v>
      </c>
      <c r="BP44" s="24">
        <v>231717.2</v>
      </c>
      <c r="BQ44" s="24">
        <v>269.8</v>
      </c>
      <c r="BR44" s="24">
        <v>2334</v>
      </c>
      <c r="BS44" s="24">
        <v>-86.7</v>
      </c>
    </row>
    <row r="45" spans="1:71" x14ac:dyDescent="0.25">
      <c r="A45" s="30" t="s">
        <v>346</v>
      </c>
      <c r="B45" s="31" t="s">
        <v>347</v>
      </c>
      <c r="C45" s="24">
        <v>741.5000000000001</v>
      </c>
      <c r="D45" s="24">
        <v>55.20000000000001</v>
      </c>
      <c r="E45" s="24">
        <v>50.80000000000001</v>
      </c>
      <c r="F45" s="24">
        <v>94.49999999999997</v>
      </c>
      <c r="G45" s="24">
        <v>2140.7999999999993</v>
      </c>
      <c r="H45" s="24">
        <v>814.0000000000002</v>
      </c>
      <c r="I45" s="24">
        <v>327.8000000000001</v>
      </c>
      <c r="J45" s="24">
        <v>247.39999999999992</v>
      </c>
      <c r="K45" s="24">
        <v>142.89999999999998</v>
      </c>
      <c r="L45" s="24">
        <v>819.8000000000001</v>
      </c>
      <c r="M45" s="24">
        <v>1324.6999999999998</v>
      </c>
      <c r="N45" s="24">
        <v>404.8</v>
      </c>
      <c r="O45" s="24">
        <v>469.6</v>
      </c>
      <c r="P45" s="24">
        <v>601.2000000000003</v>
      </c>
      <c r="Q45" s="24">
        <v>348.10000000000014</v>
      </c>
      <c r="R45" s="24">
        <v>883.4000000000002</v>
      </c>
      <c r="S45" s="24">
        <v>391.80000000000007</v>
      </c>
      <c r="T45" s="24">
        <v>614.1</v>
      </c>
      <c r="U45" s="24">
        <v>1739.2</v>
      </c>
      <c r="V45" s="24">
        <v>784.0000000000001</v>
      </c>
      <c r="W45" s="24">
        <v>795.4</v>
      </c>
      <c r="X45" s="24">
        <v>836.7000000000002</v>
      </c>
      <c r="Y45" s="24">
        <v>463.2000000000001</v>
      </c>
      <c r="Z45" s="24">
        <v>1670.0999999999995</v>
      </c>
      <c r="AA45" s="24">
        <v>134.49999999999997</v>
      </c>
      <c r="AB45" s="24">
        <v>328.90000000000003</v>
      </c>
      <c r="AC45" s="24">
        <v>4060.699999999999</v>
      </c>
      <c r="AD45" s="24">
        <v>991.7000000000002</v>
      </c>
      <c r="AE45" s="24">
        <v>6838.800000000001</v>
      </c>
      <c r="AF45" s="24">
        <v>3025.299999999999</v>
      </c>
      <c r="AG45" s="24">
        <v>2875.3</v>
      </c>
      <c r="AH45" s="24">
        <v>1064.4999999999998</v>
      </c>
      <c r="AI45" s="24">
        <v>661.6000000000003</v>
      </c>
      <c r="AJ45" s="24">
        <v>769.8000000000004</v>
      </c>
      <c r="AK45" s="24">
        <v>382.40000000000003</v>
      </c>
      <c r="AL45" s="24">
        <v>1718.1</v>
      </c>
      <c r="AM45" s="24">
        <v>756.8000000000001</v>
      </c>
      <c r="AN45" s="24">
        <v>246.49999999999994</v>
      </c>
      <c r="AO45" s="24">
        <v>3005.3999999999996</v>
      </c>
      <c r="AP45" s="24">
        <v>2174.8999999999996</v>
      </c>
      <c r="AQ45" s="24">
        <v>74001.8</v>
      </c>
      <c r="AR45" s="24">
        <v>95923.59999999998</v>
      </c>
      <c r="AS45" s="24">
        <v>46483.79999999999</v>
      </c>
      <c r="AT45" s="24">
        <v>2199.599999999999</v>
      </c>
      <c r="AU45" s="24">
        <v>5131.600000000001</v>
      </c>
      <c r="AV45" s="24">
        <v>1362</v>
      </c>
      <c r="AW45" s="24">
        <v>320.79999999999995</v>
      </c>
      <c r="AX45" s="24">
        <v>332.0999999999999</v>
      </c>
      <c r="AY45" s="24">
        <v>387.49999999999994</v>
      </c>
      <c r="AZ45" s="24">
        <v>2339.7000000000003</v>
      </c>
      <c r="BA45" s="24">
        <v>272.50000000000006</v>
      </c>
      <c r="BB45" s="24">
        <v>409.80000000000007</v>
      </c>
      <c r="BC45" s="24">
        <v>1970.7999999999997</v>
      </c>
      <c r="BD45" s="24">
        <v>755.1999999999999</v>
      </c>
      <c r="BE45" s="24">
        <v>484.20000000000005</v>
      </c>
      <c r="BF45" s="24">
        <v>625.4</v>
      </c>
      <c r="BG45" s="24">
        <v>445.3</v>
      </c>
      <c r="BH45" s="24">
        <v>333.6</v>
      </c>
      <c r="BI45" s="24">
        <v>323.9000000000001</v>
      </c>
      <c r="BJ45" s="24">
        <v>538.9000000000001</v>
      </c>
      <c r="BK45" s="24">
        <v>219.3</v>
      </c>
      <c r="BL45" s="24">
        <v>246.19999999999996</v>
      </c>
      <c r="BM45" s="24">
        <v>0</v>
      </c>
      <c r="BN45" s="24">
        <v>0</v>
      </c>
      <c r="BO45" s="24">
        <v>670.1000000000001</v>
      </c>
      <c r="BP45" s="24">
        <v>24037.1</v>
      </c>
      <c r="BQ45" s="24">
        <v>4</v>
      </c>
      <c r="BR45" s="24">
        <v>2730.7000000000007</v>
      </c>
      <c r="BS45" s="24">
        <v>117.59999999999998</v>
      </c>
    </row>
    <row r="46" spans="1:71" x14ac:dyDescent="0.25">
      <c r="A46" s="30" t="s">
        <v>348</v>
      </c>
      <c r="B46" s="31" t="s">
        <v>349</v>
      </c>
      <c r="C46" s="24">
        <v>2144.6999999999994</v>
      </c>
      <c r="D46" s="24">
        <v>210.39999999999995</v>
      </c>
      <c r="E46" s="24">
        <v>56.20000000000002</v>
      </c>
      <c r="F46" s="24">
        <v>701.2000000000003</v>
      </c>
      <c r="G46" s="24">
        <v>10126.500000000004</v>
      </c>
      <c r="H46" s="24">
        <v>2742.0000000000005</v>
      </c>
      <c r="I46" s="24">
        <v>1575.9999999999998</v>
      </c>
      <c r="J46" s="24">
        <v>1698.8999999999999</v>
      </c>
      <c r="K46" s="24">
        <v>1355</v>
      </c>
      <c r="L46" s="24">
        <v>1380.1999999999998</v>
      </c>
      <c r="M46" s="24">
        <v>3688.0999999999995</v>
      </c>
      <c r="N46" s="24">
        <v>1655.8999999999994</v>
      </c>
      <c r="O46" s="24">
        <v>3260.2999999999997</v>
      </c>
      <c r="P46" s="24">
        <v>2313.3000000000006</v>
      </c>
      <c r="Q46" s="24">
        <v>1930.9</v>
      </c>
      <c r="R46" s="24">
        <v>6808.300000000001</v>
      </c>
      <c r="S46" s="24">
        <v>2842.7999999999993</v>
      </c>
      <c r="T46" s="24">
        <v>2866.1</v>
      </c>
      <c r="U46" s="24">
        <v>6368.900000000002</v>
      </c>
      <c r="V46" s="24">
        <v>8200.2</v>
      </c>
      <c r="W46" s="24">
        <v>1581.4</v>
      </c>
      <c r="X46" s="24">
        <v>3053.6999999999994</v>
      </c>
      <c r="Y46" s="24">
        <v>2763.1999999999994</v>
      </c>
      <c r="Z46" s="24">
        <v>8661.7</v>
      </c>
      <c r="AA46" s="24">
        <v>1202.1999999999998</v>
      </c>
      <c r="AB46" s="24">
        <v>2794.3999999999996</v>
      </c>
      <c r="AC46" s="24">
        <v>41994.5</v>
      </c>
      <c r="AD46" s="24">
        <v>15615.5</v>
      </c>
      <c r="AE46" s="24">
        <v>39790.09999999999</v>
      </c>
      <c r="AF46" s="24">
        <v>77359.00000000001</v>
      </c>
      <c r="AG46" s="24">
        <v>8511.6</v>
      </c>
      <c r="AH46" s="24">
        <v>751.2999999999998</v>
      </c>
      <c r="AI46" s="24">
        <v>1759.3000000000002</v>
      </c>
      <c r="AJ46" s="24">
        <v>12691.099999999999</v>
      </c>
      <c r="AK46" s="24">
        <v>1925.1000000000001</v>
      </c>
      <c r="AL46" s="24">
        <v>44388.69999999998</v>
      </c>
      <c r="AM46" s="24">
        <v>2347.900000000001</v>
      </c>
      <c r="AN46" s="24">
        <v>3014.1000000000004</v>
      </c>
      <c r="AO46" s="24">
        <v>11039.200000000003</v>
      </c>
      <c r="AP46" s="24">
        <v>12862.200000000004</v>
      </c>
      <c r="AQ46" s="24">
        <v>15550.4</v>
      </c>
      <c r="AR46" s="24">
        <v>7343.300000000001</v>
      </c>
      <c r="AS46" s="24">
        <v>7502.299999999999</v>
      </c>
      <c r="AT46" s="24">
        <v>42094.69999999999</v>
      </c>
      <c r="AU46" s="24">
        <v>32426.900000000005</v>
      </c>
      <c r="AV46" s="24">
        <v>12585.800000000003</v>
      </c>
      <c r="AW46" s="24">
        <v>3215.8000000000006</v>
      </c>
      <c r="AX46" s="24">
        <v>3896.8000000000006</v>
      </c>
      <c r="AY46" s="24">
        <v>3814.7000000000007</v>
      </c>
      <c r="AZ46" s="24">
        <v>5401.599999999999</v>
      </c>
      <c r="BA46" s="24">
        <v>4552.900000000001</v>
      </c>
      <c r="BB46" s="24">
        <v>2191.000000000001</v>
      </c>
      <c r="BC46" s="24">
        <v>16180.199999999999</v>
      </c>
      <c r="BD46" s="24">
        <v>21436.299999999996</v>
      </c>
      <c r="BE46" s="24">
        <v>9778.6</v>
      </c>
      <c r="BF46" s="24">
        <v>14601.100000000004</v>
      </c>
      <c r="BG46" s="24">
        <v>11909.1</v>
      </c>
      <c r="BH46" s="24">
        <v>3894.0999999999995</v>
      </c>
      <c r="BI46" s="24">
        <v>4907.700000000002</v>
      </c>
      <c r="BJ46" s="24">
        <v>3640.7000000000003</v>
      </c>
      <c r="BK46" s="24">
        <v>785.9000000000001</v>
      </c>
      <c r="BL46" s="24">
        <v>5971.500000000001</v>
      </c>
      <c r="BM46" s="24">
        <v>0</v>
      </c>
      <c r="BN46" s="24">
        <v>0</v>
      </c>
      <c r="BO46" s="24">
        <v>26251.6</v>
      </c>
      <c r="BP46" s="24">
        <v>1437565.5</v>
      </c>
      <c r="BQ46" s="24">
        <v>657.2000000000002</v>
      </c>
      <c r="BR46" s="24">
        <v>55764.69999999999</v>
      </c>
      <c r="BS46" s="24">
        <v>-129.90000000000006</v>
      </c>
    </row>
    <row r="47" spans="1:71" x14ac:dyDescent="0.25">
      <c r="A47" s="30" t="s">
        <v>350</v>
      </c>
      <c r="B47" s="31" t="s">
        <v>351</v>
      </c>
      <c r="C47" s="24">
        <v>3869.0999999999995</v>
      </c>
      <c r="D47" s="24">
        <v>296.6000000000001</v>
      </c>
      <c r="E47" s="24">
        <v>184.89999999999992</v>
      </c>
      <c r="F47" s="24">
        <v>1488.0999999999995</v>
      </c>
      <c r="G47" s="24">
        <v>25887.899999999998</v>
      </c>
      <c r="H47" s="24">
        <v>3734.2999999999997</v>
      </c>
      <c r="I47" s="24">
        <v>2104.4999999999995</v>
      </c>
      <c r="J47" s="24">
        <v>3811.9</v>
      </c>
      <c r="K47" s="24">
        <v>1667.4999999999998</v>
      </c>
      <c r="L47" s="24">
        <v>7877.800000000002</v>
      </c>
      <c r="M47" s="24">
        <v>14330.000000000002</v>
      </c>
      <c r="N47" s="24">
        <v>13065.099999999997</v>
      </c>
      <c r="O47" s="24">
        <v>5983.699999999999</v>
      </c>
      <c r="P47" s="24">
        <v>5022.900000000001</v>
      </c>
      <c r="Q47" s="24">
        <v>6910.400000000002</v>
      </c>
      <c r="R47" s="24">
        <v>10491.2</v>
      </c>
      <c r="S47" s="24">
        <v>11735.199999999995</v>
      </c>
      <c r="T47" s="24">
        <v>8681.4</v>
      </c>
      <c r="U47" s="24">
        <v>18945.399999999998</v>
      </c>
      <c r="V47" s="24">
        <v>19607.5</v>
      </c>
      <c r="W47" s="24">
        <v>5419.2</v>
      </c>
      <c r="X47" s="24">
        <v>4545.3</v>
      </c>
      <c r="Y47" s="24">
        <v>5219.400000000001</v>
      </c>
      <c r="Z47" s="24">
        <v>14445.599999999999</v>
      </c>
      <c r="AA47" s="24">
        <v>1204.4999999999998</v>
      </c>
      <c r="AB47" s="24">
        <v>5566.799999999999</v>
      </c>
      <c r="AC47" s="24">
        <v>39977.00000000001</v>
      </c>
      <c r="AD47" s="24">
        <v>11132.899999999996</v>
      </c>
      <c r="AE47" s="24">
        <v>66590.90000000001</v>
      </c>
      <c r="AF47" s="24">
        <v>34697.6</v>
      </c>
      <c r="AG47" s="24">
        <v>12122.700000000004</v>
      </c>
      <c r="AH47" s="24">
        <v>3674.6</v>
      </c>
      <c r="AI47" s="24">
        <v>2906.5</v>
      </c>
      <c r="AJ47" s="24">
        <v>15916.999999999998</v>
      </c>
      <c r="AK47" s="24">
        <v>4469.3</v>
      </c>
      <c r="AL47" s="24">
        <v>17877.100000000006</v>
      </c>
      <c r="AM47" s="24">
        <v>10851.400000000005</v>
      </c>
      <c r="AN47" s="24">
        <v>5574.1</v>
      </c>
      <c r="AO47" s="24">
        <v>11138.699999999999</v>
      </c>
      <c r="AP47" s="24">
        <v>56405.4</v>
      </c>
      <c r="AQ47" s="24">
        <v>31874.200000000004</v>
      </c>
      <c r="AR47" s="24">
        <v>13001.000000000002</v>
      </c>
      <c r="AS47" s="24">
        <v>15218.400000000001</v>
      </c>
      <c r="AT47" s="24">
        <v>31155.40000000001</v>
      </c>
      <c r="AU47" s="24">
        <v>219223.09999999998</v>
      </c>
      <c r="AV47" s="24">
        <v>37797.399999999994</v>
      </c>
      <c r="AW47" s="24">
        <v>6384.899999999997</v>
      </c>
      <c r="AX47" s="24">
        <v>8251.599999999997</v>
      </c>
      <c r="AY47" s="24">
        <v>10118.500000000004</v>
      </c>
      <c r="AZ47" s="24">
        <v>13445.500000000004</v>
      </c>
      <c r="BA47" s="24">
        <v>7673.700000000002</v>
      </c>
      <c r="BB47" s="24">
        <v>5794.100000000001</v>
      </c>
      <c r="BC47" s="24">
        <v>42878.099999999984</v>
      </c>
      <c r="BD47" s="24">
        <v>21102.399999999998</v>
      </c>
      <c r="BE47" s="24">
        <v>7667.499999999999</v>
      </c>
      <c r="BF47" s="24">
        <v>17804.300000000003</v>
      </c>
      <c r="BG47" s="24">
        <v>7831.200000000001</v>
      </c>
      <c r="BH47" s="24">
        <v>6304.500000000001</v>
      </c>
      <c r="BI47" s="24">
        <v>4216.9</v>
      </c>
      <c r="BJ47" s="24">
        <v>5861.000000000002</v>
      </c>
      <c r="BK47" s="24">
        <v>763.0000000000001</v>
      </c>
      <c r="BL47" s="24">
        <v>3931.3999999999983</v>
      </c>
      <c r="BM47" s="24">
        <v>0</v>
      </c>
      <c r="BN47" s="24">
        <v>0</v>
      </c>
      <c r="BO47" s="24">
        <v>3609.7999999999997</v>
      </c>
      <c r="BP47" s="24">
        <v>36980.100000000006</v>
      </c>
      <c r="BQ47" s="24">
        <v>582.7</v>
      </c>
      <c r="BR47" s="24">
        <v>47946.5</v>
      </c>
      <c r="BS47" s="24">
        <v>84.1</v>
      </c>
    </row>
    <row r="48" spans="1:71" x14ac:dyDescent="0.25">
      <c r="A48" s="30" t="s">
        <v>353</v>
      </c>
      <c r="B48" s="31" t="s">
        <v>354</v>
      </c>
      <c r="C48" s="24">
        <v>1479.9999999999998</v>
      </c>
      <c r="D48" s="24">
        <v>108.79999999999998</v>
      </c>
      <c r="E48" s="24">
        <v>23.000000000000004</v>
      </c>
      <c r="F48" s="24">
        <v>1318.8000000000006</v>
      </c>
      <c r="G48" s="24">
        <v>4341.699999999999</v>
      </c>
      <c r="H48" s="24">
        <v>1001.0000000000001</v>
      </c>
      <c r="I48" s="24">
        <v>837.2</v>
      </c>
      <c r="J48" s="24">
        <v>1175.8</v>
      </c>
      <c r="K48" s="24">
        <v>297.8000000000001</v>
      </c>
      <c r="L48" s="24">
        <v>4006.0999999999995</v>
      </c>
      <c r="M48" s="24">
        <v>6454.100000000001</v>
      </c>
      <c r="N48" s="24">
        <v>3391.599999999998</v>
      </c>
      <c r="O48" s="24">
        <v>3383.599999999999</v>
      </c>
      <c r="P48" s="24">
        <v>2542.0999999999995</v>
      </c>
      <c r="Q48" s="24">
        <v>2559.499999999999</v>
      </c>
      <c r="R48" s="24">
        <v>4970.900000000002</v>
      </c>
      <c r="S48" s="24">
        <v>3972.8</v>
      </c>
      <c r="T48" s="24">
        <v>4841.100000000001</v>
      </c>
      <c r="U48" s="24">
        <v>7048.099999999999</v>
      </c>
      <c r="V48" s="24">
        <v>8858.6</v>
      </c>
      <c r="W48" s="24">
        <v>5036.300000000001</v>
      </c>
      <c r="X48" s="24">
        <v>1049.3</v>
      </c>
      <c r="Y48" s="24">
        <v>2786.699999999999</v>
      </c>
      <c r="Z48" s="24">
        <v>8227.699999999999</v>
      </c>
      <c r="AA48" s="24">
        <v>1401.3999999999996</v>
      </c>
      <c r="AB48" s="24">
        <v>6951</v>
      </c>
      <c r="AC48" s="24">
        <v>55282.2</v>
      </c>
      <c r="AD48" s="24">
        <v>1830.2999999999997</v>
      </c>
      <c r="AE48" s="24">
        <v>8369.000000000002</v>
      </c>
      <c r="AF48" s="24">
        <v>4073.1000000000004</v>
      </c>
      <c r="AG48" s="24">
        <v>5575.5</v>
      </c>
      <c r="AH48" s="24">
        <v>974.0999999999999</v>
      </c>
      <c r="AI48" s="24">
        <v>1352.5000000000002</v>
      </c>
      <c r="AJ48" s="24">
        <v>5850.299999999998</v>
      </c>
      <c r="AK48" s="24">
        <v>531.2</v>
      </c>
      <c r="AL48" s="24">
        <v>2807.1000000000004</v>
      </c>
      <c r="AM48" s="24">
        <v>1083.9999999999998</v>
      </c>
      <c r="AN48" s="24">
        <v>717.1000000000003</v>
      </c>
      <c r="AO48" s="24">
        <v>3580.7999999999984</v>
      </c>
      <c r="AP48" s="24">
        <v>9714.3</v>
      </c>
      <c r="AQ48" s="24">
        <v>2259.1999999999994</v>
      </c>
      <c r="AR48" s="24">
        <v>1268.0999999999997</v>
      </c>
      <c r="AS48" s="24">
        <v>1410.8999999999996</v>
      </c>
      <c r="AT48" s="24">
        <v>8617.199999999997</v>
      </c>
      <c r="AU48" s="24">
        <v>11558.999999999998</v>
      </c>
      <c r="AV48" s="24">
        <v>47624.9</v>
      </c>
      <c r="AW48" s="24">
        <v>3650.5999999999985</v>
      </c>
      <c r="AX48" s="24">
        <v>2364.2000000000003</v>
      </c>
      <c r="AY48" s="24">
        <v>3366.1999999999994</v>
      </c>
      <c r="AZ48" s="24">
        <v>3448.2999999999997</v>
      </c>
      <c r="BA48" s="24">
        <v>1500.0999999999997</v>
      </c>
      <c r="BB48" s="24">
        <v>260.40000000000003</v>
      </c>
      <c r="BC48" s="24">
        <v>8303.800000000003</v>
      </c>
      <c r="BD48" s="24">
        <v>9515.900000000001</v>
      </c>
      <c r="BE48" s="24">
        <v>2064.2999999999993</v>
      </c>
      <c r="BF48" s="24">
        <v>3048.7999999999993</v>
      </c>
      <c r="BG48" s="24">
        <v>775.1</v>
      </c>
      <c r="BH48" s="24">
        <v>1551.9999999999998</v>
      </c>
      <c r="BI48" s="24">
        <v>1015.2000000000003</v>
      </c>
      <c r="BJ48" s="24">
        <v>792.9000000000001</v>
      </c>
      <c r="BK48" s="24">
        <v>170.09999999999994</v>
      </c>
      <c r="BL48" s="24">
        <v>1230.6999999999996</v>
      </c>
      <c r="BM48" s="24">
        <v>0</v>
      </c>
      <c r="BN48" s="24">
        <v>0</v>
      </c>
      <c r="BO48" s="24">
        <v>3109.2</v>
      </c>
      <c r="BP48" s="24">
        <v>13917.7</v>
      </c>
      <c r="BQ48" s="24">
        <v>122.39999999999999</v>
      </c>
      <c r="BR48" s="24">
        <v>100996.19999999997</v>
      </c>
      <c r="BS48" s="24">
        <v>927.4000000000001</v>
      </c>
    </row>
    <row r="49" spans="1:71" x14ac:dyDescent="0.25">
      <c r="A49" s="30" t="s">
        <v>355</v>
      </c>
      <c r="B49" s="31" t="s">
        <v>356</v>
      </c>
      <c r="C49" s="24">
        <v>543.5000000000002</v>
      </c>
      <c r="D49" s="24">
        <v>20.3</v>
      </c>
      <c r="E49" s="24">
        <v>4.3999999999999995</v>
      </c>
      <c r="F49" s="24">
        <v>68.39999999999999</v>
      </c>
      <c r="G49" s="24">
        <v>786.1000000000001</v>
      </c>
      <c r="H49" s="24">
        <v>122.89999999999996</v>
      </c>
      <c r="I49" s="24">
        <v>116.10000000000001</v>
      </c>
      <c r="J49" s="24">
        <v>164.29999999999995</v>
      </c>
      <c r="K49" s="24">
        <v>114.1</v>
      </c>
      <c r="L49" s="24">
        <v>226.39999999999998</v>
      </c>
      <c r="M49" s="24">
        <v>729.1000000000001</v>
      </c>
      <c r="N49" s="24">
        <v>2193.2</v>
      </c>
      <c r="O49" s="24">
        <v>454.4000000000001</v>
      </c>
      <c r="P49" s="24">
        <v>216.79999999999998</v>
      </c>
      <c r="Q49" s="24">
        <v>204.99999999999997</v>
      </c>
      <c r="R49" s="24">
        <v>393.4000000000001</v>
      </c>
      <c r="S49" s="24">
        <v>1007.9000000000001</v>
      </c>
      <c r="T49" s="24">
        <v>424.70000000000016</v>
      </c>
      <c r="U49" s="24">
        <v>1237.9999999999995</v>
      </c>
      <c r="V49" s="24">
        <v>2087.8999999999996</v>
      </c>
      <c r="W49" s="24">
        <v>193.49999999999994</v>
      </c>
      <c r="X49" s="24">
        <v>191.7</v>
      </c>
      <c r="Y49" s="24">
        <v>181.49999999999997</v>
      </c>
      <c r="Z49" s="24">
        <v>710.8000000000001</v>
      </c>
      <c r="AA49" s="24">
        <v>52.89999999999999</v>
      </c>
      <c r="AB49" s="24">
        <v>406.80000000000007</v>
      </c>
      <c r="AC49" s="24">
        <v>3030.5</v>
      </c>
      <c r="AD49" s="24">
        <v>333.9000000000001</v>
      </c>
      <c r="AE49" s="24">
        <v>2491.7999999999997</v>
      </c>
      <c r="AF49" s="24">
        <v>1114.5</v>
      </c>
      <c r="AG49" s="24">
        <v>591.6999999999999</v>
      </c>
      <c r="AH49" s="24">
        <v>245.09999999999997</v>
      </c>
      <c r="AI49" s="24">
        <v>383.1</v>
      </c>
      <c r="AJ49" s="24">
        <v>609.8</v>
      </c>
      <c r="AK49" s="24">
        <v>118.39999999999998</v>
      </c>
      <c r="AL49" s="24">
        <v>466.8</v>
      </c>
      <c r="AM49" s="24">
        <v>283.2</v>
      </c>
      <c r="AN49" s="24">
        <v>373.00000000000006</v>
      </c>
      <c r="AO49" s="24">
        <v>336.00000000000006</v>
      </c>
      <c r="AP49" s="24">
        <v>2015.4999999999998</v>
      </c>
      <c r="AQ49" s="24">
        <v>435.30000000000007</v>
      </c>
      <c r="AR49" s="24">
        <v>219.79999999999998</v>
      </c>
      <c r="AS49" s="24">
        <v>309.80000000000007</v>
      </c>
      <c r="AT49" s="24">
        <v>427.1000000000001</v>
      </c>
      <c r="AU49" s="24">
        <v>1931.2</v>
      </c>
      <c r="AV49" s="24">
        <v>651.7</v>
      </c>
      <c r="AW49" s="24">
        <v>7773.9</v>
      </c>
      <c r="AX49" s="24">
        <v>268.59999999999997</v>
      </c>
      <c r="AY49" s="24">
        <v>272.20000000000005</v>
      </c>
      <c r="AZ49" s="24">
        <v>3164.3999999999996</v>
      </c>
      <c r="BA49" s="24">
        <v>109.3</v>
      </c>
      <c r="BB49" s="24">
        <v>106.99999999999999</v>
      </c>
      <c r="BC49" s="24">
        <v>758.6</v>
      </c>
      <c r="BD49" s="24">
        <v>1098.1</v>
      </c>
      <c r="BE49" s="24">
        <v>1481.1999999999994</v>
      </c>
      <c r="BF49" s="24">
        <v>917.1</v>
      </c>
      <c r="BG49" s="24">
        <v>395.7000000000001</v>
      </c>
      <c r="BH49" s="24">
        <v>218.1</v>
      </c>
      <c r="BI49" s="24">
        <v>188.09999999999997</v>
      </c>
      <c r="BJ49" s="24">
        <v>194.7</v>
      </c>
      <c r="BK49" s="24">
        <v>19.300000000000004</v>
      </c>
      <c r="BL49" s="24">
        <v>144.99999999999997</v>
      </c>
      <c r="BM49" s="24">
        <v>0</v>
      </c>
      <c r="BN49" s="24">
        <v>0</v>
      </c>
      <c r="BO49" s="24">
        <v>41329.1</v>
      </c>
      <c r="BP49" s="24">
        <v>4424.999999999998</v>
      </c>
      <c r="BQ49" s="24">
        <v>1319.8999999999999</v>
      </c>
      <c r="BR49" s="24">
        <v>145328.40000000002</v>
      </c>
      <c r="BS49" s="24">
        <v>234.89999999999992</v>
      </c>
    </row>
    <row r="50" spans="1:71" x14ac:dyDescent="0.25">
      <c r="A50" s="30" t="s">
        <v>357</v>
      </c>
      <c r="B50" s="31" t="s">
        <v>358</v>
      </c>
      <c r="C50" s="24">
        <v>278.20000000000005</v>
      </c>
      <c r="D50" s="24">
        <v>46.80000000000001</v>
      </c>
      <c r="E50" s="24">
        <v>16.300000000000004</v>
      </c>
      <c r="F50" s="24">
        <v>175.59999999999997</v>
      </c>
      <c r="G50" s="24">
        <v>15400.700000000004</v>
      </c>
      <c r="H50" s="24">
        <v>1213.7000000000003</v>
      </c>
      <c r="I50" s="24">
        <v>259.30000000000007</v>
      </c>
      <c r="J50" s="24">
        <v>773.6</v>
      </c>
      <c r="K50" s="24">
        <v>195.69999999999996</v>
      </c>
      <c r="L50" s="24">
        <v>1161.7000000000003</v>
      </c>
      <c r="M50" s="24">
        <v>3898.9</v>
      </c>
      <c r="N50" s="24">
        <v>5151.300000000001</v>
      </c>
      <c r="O50" s="24">
        <v>1043.2</v>
      </c>
      <c r="P50" s="24">
        <v>748.0000000000002</v>
      </c>
      <c r="Q50" s="24">
        <v>408.2000000000001</v>
      </c>
      <c r="R50" s="24">
        <v>1165.8999999999999</v>
      </c>
      <c r="S50" s="24">
        <v>1259.5999999999997</v>
      </c>
      <c r="T50" s="24">
        <v>1305.8999999999999</v>
      </c>
      <c r="U50" s="24">
        <v>1432.6</v>
      </c>
      <c r="V50" s="24">
        <v>3776.5000000000005</v>
      </c>
      <c r="W50" s="24">
        <v>329.70000000000005</v>
      </c>
      <c r="X50" s="24">
        <v>1684</v>
      </c>
      <c r="Y50" s="24">
        <v>369.0000000000001</v>
      </c>
      <c r="Z50" s="24">
        <v>1371.8000000000002</v>
      </c>
      <c r="AA50" s="24">
        <v>162.09999999999997</v>
      </c>
      <c r="AB50" s="24">
        <v>592.6000000000001</v>
      </c>
      <c r="AC50" s="24">
        <v>2623.6</v>
      </c>
      <c r="AD50" s="24">
        <v>4976.4000000000015</v>
      </c>
      <c r="AE50" s="24">
        <v>18059.1</v>
      </c>
      <c r="AF50" s="24">
        <v>12757.199999999999</v>
      </c>
      <c r="AG50" s="24">
        <v>978.7</v>
      </c>
      <c r="AH50" s="24">
        <v>134.09999999999997</v>
      </c>
      <c r="AI50" s="24">
        <v>629.5</v>
      </c>
      <c r="AJ50" s="24">
        <v>1200.3999999999999</v>
      </c>
      <c r="AK50" s="24">
        <v>557.0999999999999</v>
      </c>
      <c r="AL50" s="24">
        <v>2626.4000000000015</v>
      </c>
      <c r="AM50" s="24">
        <v>2158.2000000000007</v>
      </c>
      <c r="AN50" s="24">
        <v>1965.9999999999995</v>
      </c>
      <c r="AO50" s="24">
        <v>2561.8</v>
      </c>
      <c r="AP50" s="24">
        <v>6819.6</v>
      </c>
      <c r="AQ50" s="24">
        <v>3430.4</v>
      </c>
      <c r="AR50" s="24">
        <v>2244.4</v>
      </c>
      <c r="AS50" s="24">
        <v>1126.0999999999997</v>
      </c>
      <c r="AT50" s="24">
        <v>1170.3999999999999</v>
      </c>
      <c r="AU50" s="24">
        <v>6093.700000000001</v>
      </c>
      <c r="AV50" s="24">
        <v>986.1</v>
      </c>
      <c r="AW50" s="24">
        <v>375.70000000000005</v>
      </c>
      <c r="AX50" s="24">
        <v>17050.399999999998</v>
      </c>
      <c r="AY50" s="24">
        <v>927.8000000000001</v>
      </c>
      <c r="AZ50" s="24">
        <v>1513.8999999999996</v>
      </c>
      <c r="BA50" s="24">
        <v>1063.1</v>
      </c>
      <c r="BB50" s="24">
        <v>3034.1000000000004</v>
      </c>
      <c r="BC50" s="24">
        <v>2331.0999999999995</v>
      </c>
      <c r="BD50" s="24">
        <v>2843.4</v>
      </c>
      <c r="BE50" s="24">
        <v>839.5999999999999</v>
      </c>
      <c r="BF50" s="24">
        <v>1204.4999999999998</v>
      </c>
      <c r="BG50" s="24">
        <v>383.1000000000001</v>
      </c>
      <c r="BH50" s="24">
        <v>1970.4999999999998</v>
      </c>
      <c r="BI50" s="24">
        <v>1116.3999999999996</v>
      </c>
      <c r="BJ50" s="24">
        <v>767.1999999999999</v>
      </c>
      <c r="BK50" s="24">
        <v>96.99999999999997</v>
      </c>
      <c r="BL50" s="24">
        <v>500.9</v>
      </c>
      <c r="BM50" s="24">
        <v>0</v>
      </c>
      <c r="BN50" s="24">
        <v>0</v>
      </c>
      <c r="BO50" s="24">
        <v>264.1000000000001</v>
      </c>
      <c r="BP50" s="24">
        <v>1563.6</v>
      </c>
      <c r="BQ50" s="24">
        <v>29.9</v>
      </c>
      <c r="BR50" s="24">
        <v>1482.2</v>
      </c>
      <c r="BS50" s="24">
        <v>-79.50000000000001</v>
      </c>
    </row>
    <row r="51" spans="1:71" x14ac:dyDescent="0.25">
      <c r="A51" s="30" t="s">
        <v>359</v>
      </c>
      <c r="B51" s="31" t="s">
        <v>360</v>
      </c>
      <c r="C51" s="24">
        <v>6936.599999999999</v>
      </c>
      <c r="D51" s="24">
        <v>103.49999999999999</v>
      </c>
      <c r="E51" s="24">
        <v>41.6</v>
      </c>
      <c r="F51" s="24">
        <v>297.7000000000001</v>
      </c>
      <c r="G51" s="24">
        <v>3139.3999999999987</v>
      </c>
      <c r="H51" s="24">
        <v>1699.4999999999993</v>
      </c>
      <c r="I51" s="24">
        <v>259</v>
      </c>
      <c r="J51" s="24">
        <v>464.50000000000006</v>
      </c>
      <c r="K51" s="24">
        <v>286.3999999999999</v>
      </c>
      <c r="L51" s="24">
        <v>625.0000000000002</v>
      </c>
      <c r="M51" s="24">
        <v>1888.5999999999997</v>
      </c>
      <c r="N51" s="24">
        <v>1200.3000000000002</v>
      </c>
      <c r="O51" s="24">
        <v>851.6</v>
      </c>
      <c r="P51" s="24">
        <v>622.4000000000003</v>
      </c>
      <c r="Q51" s="24">
        <v>773.6000000000001</v>
      </c>
      <c r="R51" s="24">
        <v>1326.1999999999998</v>
      </c>
      <c r="S51" s="24">
        <v>1406.1999999999994</v>
      </c>
      <c r="T51" s="24">
        <v>1492.7999999999997</v>
      </c>
      <c r="U51" s="24">
        <v>2400.2999999999997</v>
      </c>
      <c r="V51" s="24">
        <v>3296.8</v>
      </c>
      <c r="W51" s="24">
        <v>653.6000000000001</v>
      </c>
      <c r="X51" s="24">
        <v>1250.7999999999995</v>
      </c>
      <c r="Y51" s="24">
        <v>596.1000000000003</v>
      </c>
      <c r="Z51" s="24">
        <v>1857.7999999999997</v>
      </c>
      <c r="AA51" s="24">
        <v>222.59999999999994</v>
      </c>
      <c r="AB51" s="24">
        <v>1221.5999999999995</v>
      </c>
      <c r="AC51" s="24">
        <v>5332.4</v>
      </c>
      <c r="AD51" s="24">
        <v>1841.3999999999994</v>
      </c>
      <c r="AE51" s="24">
        <v>12398.200000000003</v>
      </c>
      <c r="AF51" s="24">
        <v>3762.099999999998</v>
      </c>
      <c r="AG51" s="24">
        <v>1614.5999999999995</v>
      </c>
      <c r="AH51" s="24">
        <v>216.39999999999995</v>
      </c>
      <c r="AI51" s="24">
        <v>1223.4</v>
      </c>
      <c r="AJ51" s="24">
        <v>1852.6999999999991</v>
      </c>
      <c r="AK51" s="24">
        <v>336.6</v>
      </c>
      <c r="AL51" s="24">
        <v>2536.1999999999994</v>
      </c>
      <c r="AM51" s="24">
        <v>1881.6000000000001</v>
      </c>
      <c r="AN51" s="24">
        <v>1264.0999999999997</v>
      </c>
      <c r="AO51" s="24">
        <v>2221.4999999999995</v>
      </c>
      <c r="AP51" s="24">
        <v>7310.499999999999</v>
      </c>
      <c r="AQ51" s="24">
        <v>3667.5999999999995</v>
      </c>
      <c r="AR51" s="24">
        <v>3024.8999999999996</v>
      </c>
      <c r="AS51" s="24">
        <v>2765.9999999999995</v>
      </c>
      <c r="AT51" s="24">
        <v>3061.999999999999</v>
      </c>
      <c r="AU51" s="24">
        <v>11523.099999999999</v>
      </c>
      <c r="AV51" s="24">
        <v>4205.099999999999</v>
      </c>
      <c r="AW51" s="24">
        <v>1117.4</v>
      </c>
      <c r="AX51" s="24">
        <v>3080.7</v>
      </c>
      <c r="AY51" s="24">
        <v>7010.899999999999</v>
      </c>
      <c r="AZ51" s="24">
        <v>1934.0999999999995</v>
      </c>
      <c r="BA51" s="24">
        <v>922.2000000000004</v>
      </c>
      <c r="BB51" s="24">
        <v>579.9000000000001</v>
      </c>
      <c r="BC51" s="24">
        <v>5420.599999999999</v>
      </c>
      <c r="BD51" s="24">
        <v>4998.6</v>
      </c>
      <c r="BE51" s="24">
        <v>2346.3999999999996</v>
      </c>
      <c r="BF51" s="24">
        <v>2663.2</v>
      </c>
      <c r="BG51" s="24">
        <v>1307.5999999999997</v>
      </c>
      <c r="BH51" s="24">
        <v>1836.3</v>
      </c>
      <c r="BI51" s="24">
        <v>1521.899999999999</v>
      </c>
      <c r="BJ51" s="24">
        <v>1107.8</v>
      </c>
      <c r="BK51" s="24">
        <v>113.89999999999998</v>
      </c>
      <c r="BL51" s="24">
        <v>797.9000000000001</v>
      </c>
      <c r="BM51" s="24">
        <v>0</v>
      </c>
      <c r="BN51" s="24">
        <v>0</v>
      </c>
      <c r="BO51" s="24">
        <v>2122.4</v>
      </c>
      <c r="BP51" s="24">
        <v>27313.700000000008</v>
      </c>
      <c r="BQ51" s="24">
        <v>53.4</v>
      </c>
      <c r="BR51" s="24">
        <v>1884.3</v>
      </c>
      <c r="BS51" s="24">
        <v>329.50000000000006</v>
      </c>
    </row>
    <row r="52" spans="1:71" x14ac:dyDescent="0.25">
      <c r="A52" s="30" t="s">
        <v>361</v>
      </c>
      <c r="B52" s="31" t="s">
        <v>362</v>
      </c>
      <c r="C52" s="24">
        <v>3455.2999999999997</v>
      </c>
      <c r="D52" s="24">
        <v>212.59999999999997</v>
      </c>
      <c r="E52" s="24">
        <v>89.6</v>
      </c>
      <c r="F52" s="24">
        <v>735.4000000000002</v>
      </c>
      <c r="G52" s="24">
        <v>6627.499999999999</v>
      </c>
      <c r="H52" s="24">
        <v>1029.9999999999995</v>
      </c>
      <c r="I52" s="24">
        <v>828.9000000000002</v>
      </c>
      <c r="J52" s="24">
        <v>1207.4999999999993</v>
      </c>
      <c r="K52" s="24">
        <v>919.9000000000001</v>
      </c>
      <c r="L52" s="24">
        <v>1383.6000000000001</v>
      </c>
      <c r="M52" s="24">
        <v>5313.299999999999</v>
      </c>
      <c r="N52" s="24">
        <v>7045.400000000001</v>
      </c>
      <c r="O52" s="24">
        <v>2330.100000000001</v>
      </c>
      <c r="P52" s="24">
        <v>2081.8</v>
      </c>
      <c r="Q52" s="24">
        <v>1626.4999999999998</v>
      </c>
      <c r="R52" s="24">
        <v>3244.8999999999996</v>
      </c>
      <c r="S52" s="24">
        <v>2443.8</v>
      </c>
      <c r="T52" s="24">
        <v>2174.2999999999984</v>
      </c>
      <c r="U52" s="24">
        <v>4054.499999999999</v>
      </c>
      <c r="V52" s="24">
        <v>4788.400000000001</v>
      </c>
      <c r="W52" s="24">
        <v>1355.8999999999999</v>
      </c>
      <c r="X52" s="24">
        <v>1497.9</v>
      </c>
      <c r="Y52" s="24">
        <v>1581.5999999999997</v>
      </c>
      <c r="Z52" s="24">
        <v>5802.900000000001</v>
      </c>
      <c r="AA52" s="24">
        <v>832.2000000000002</v>
      </c>
      <c r="AB52" s="24">
        <v>3514.8</v>
      </c>
      <c r="AC52" s="24">
        <v>26799.899999999998</v>
      </c>
      <c r="AD52" s="24">
        <v>2828.2000000000003</v>
      </c>
      <c r="AE52" s="24">
        <v>20409.7</v>
      </c>
      <c r="AF52" s="24">
        <v>10689.800000000005</v>
      </c>
      <c r="AG52" s="24">
        <v>10672.4</v>
      </c>
      <c r="AH52" s="24">
        <v>4063.7</v>
      </c>
      <c r="AI52" s="24">
        <v>6231.4</v>
      </c>
      <c r="AJ52" s="24">
        <v>7986.4000000000015</v>
      </c>
      <c r="AK52" s="24">
        <v>1013.5000000000001</v>
      </c>
      <c r="AL52" s="24">
        <v>6450.300000000002</v>
      </c>
      <c r="AM52" s="24">
        <v>1893.8999999999999</v>
      </c>
      <c r="AN52" s="24">
        <v>7412.6</v>
      </c>
      <c r="AO52" s="24">
        <v>5827.200000000001</v>
      </c>
      <c r="AP52" s="24">
        <v>18858.1</v>
      </c>
      <c r="AQ52" s="24">
        <v>3100.4999999999986</v>
      </c>
      <c r="AR52" s="24">
        <v>2790.899999999999</v>
      </c>
      <c r="AS52" s="24">
        <v>3327.899999999999</v>
      </c>
      <c r="AT52" s="24">
        <v>1429.6999999999996</v>
      </c>
      <c r="AU52" s="24">
        <v>12908.300000000001</v>
      </c>
      <c r="AV52" s="24">
        <v>3424.5000000000005</v>
      </c>
      <c r="AW52" s="24">
        <v>2130.6</v>
      </c>
      <c r="AX52" s="24">
        <v>1971.1999999999996</v>
      </c>
      <c r="AY52" s="24">
        <v>1642.5</v>
      </c>
      <c r="AZ52" s="24">
        <v>33253.5</v>
      </c>
      <c r="BA52" s="24">
        <v>533.6</v>
      </c>
      <c r="BB52" s="24">
        <v>1064.9999999999993</v>
      </c>
      <c r="BC52" s="24">
        <v>12037.8</v>
      </c>
      <c r="BD52" s="24">
        <v>6792.0999999999985</v>
      </c>
      <c r="BE52" s="24">
        <v>3818.3999999999996</v>
      </c>
      <c r="BF52" s="24">
        <v>4912.000000000001</v>
      </c>
      <c r="BG52" s="24">
        <v>2755.2999999999993</v>
      </c>
      <c r="BH52" s="24">
        <v>2100.7999999999997</v>
      </c>
      <c r="BI52" s="24">
        <v>2216.199999999998</v>
      </c>
      <c r="BJ52" s="24">
        <v>1142.899999999999</v>
      </c>
      <c r="BK52" s="24">
        <v>225.69999999999996</v>
      </c>
      <c r="BL52" s="24">
        <v>2444.699999999999</v>
      </c>
      <c r="BM52" s="24">
        <v>0</v>
      </c>
      <c r="BN52" s="24">
        <v>0</v>
      </c>
      <c r="BO52" s="24">
        <v>933.4</v>
      </c>
      <c r="BP52" s="24">
        <v>32486.600000000002</v>
      </c>
      <c r="BQ52" s="24">
        <v>26.3</v>
      </c>
      <c r="BR52" s="24">
        <v>3849.9</v>
      </c>
      <c r="BS52" s="24">
        <v>34.59999999999999</v>
      </c>
    </row>
    <row r="53" spans="1:71" x14ac:dyDescent="0.25">
      <c r="A53" s="30" t="s">
        <v>364</v>
      </c>
      <c r="B53" s="31" t="s">
        <v>365</v>
      </c>
      <c r="C53" s="24">
        <v>4065.7999999999997</v>
      </c>
      <c r="D53" s="24">
        <v>177.4</v>
      </c>
      <c r="E53" s="24">
        <v>61.50000000000001</v>
      </c>
      <c r="F53" s="24">
        <v>579.1</v>
      </c>
      <c r="G53" s="24">
        <v>13334.300000000001</v>
      </c>
      <c r="H53" s="24">
        <v>1206.8</v>
      </c>
      <c r="I53" s="24">
        <v>1161.4</v>
      </c>
      <c r="J53" s="24">
        <v>1470.2999999999997</v>
      </c>
      <c r="K53" s="24">
        <v>787.3</v>
      </c>
      <c r="L53" s="24">
        <v>507.3000000000001</v>
      </c>
      <c r="M53" s="24">
        <v>3320.8</v>
      </c>
      <c r="N53" s="24">
        <v>3031.299999999999</v>
      </c>
      <c r="O53" s="24">
        <v>3488.6</v>
      </c>
      <c r="P53" s="24">
        <v>2698.2999999999997</v>
      </c>
      <c r="Q53" s="24">
        <v>2252.7000000000003</v>
      </c>
      <c r="R53" s="24">
        <v>6291.299999999999</v>
      </c>
      <c r="S53" s="24">
        <v>2906.8999999999996</v>
      </c>
      <c r="T53" s="24">
        <v>3563.4999999999986</v>
      </c>
      <c r="U53" s="24">
        <v>7412.100000000001</v>
      </c>
      <c r="V53" s="24">
        <v>6687.200000000002</v>
      </c>
      <c r="W53" s="24">
        <v>3645.1999999999994</v>
      </c>
      <c r="X53" s="24">
        <v>2011.2</v>
      </c>
      <c r="Y53" s="24">
        <v>4105.9</v>
      </c>
      <c r="Z53" s="24">
        <v>2879.1</v>
      </c>
      <c r="AA53" s="24">
        <v>398.9000000000001</v>
      </c>
      <c r="AB53" s="24">
        <v>2380.4999999999995</v>
      </c>
      <c r="AC53" s="24">
        <v>18494.7</v>
      </c>
      <c r="AD53" s="24">
        <v>1919.1999999999998</v>
      </c>
      <c r="AE53" s="24">
        <v>14491.900000000001</v>
      </c>
      <c r="AF53" s="24">
        <v>7715.100000000002</v>
      </c>
      <c r="AG53" s="24">
        <v>7369.0999999999985</v>
      </c>
      <c r="AH53" s="24">
        <v>2334.6</v>
      </c>
      <c r="AI53" s="24">
        <v>1307.1999999999998</v>
      </c>
      <c r="AJ53" s="24">
        <v>11390.3</v>
      </c>
      <c r="AK53" s="24">
        <v>2711.2999999999997</v>
      </c>
      <c r="AL53" s="24">
        <v>5433.000000000001</v>
      </c>
      <c r="AM53" s="24">
        <v>812.0000000000002</v>
      </c>
      <c r="AN53" s="24">
        <v>510.90000000000015</v>
      </c>
      <c r="AO53" s="24">
        <v>2169.499999999999</v>
      </c>
      <c r="AP53" s="24">
        <v>6818.999999999999</v>
      </c>
      <c r="AQ53" s="24">
        <v>2562.8999999999996</v>
      </c>
      <c r="AR53" s="24">
        <v>797</v>
      </c>
      <c r="AS53" s="24">
        <v>1756.7999999999997</v>
      </c>
      <c r="AT53" s="24">
        <v>1856.5999999999997</v>
      </c>
      <c r="AU53" s="24">
        <v>8190.1</v>
      </c>
      <c r="AV53" s="24">
        <v>4623.799999999999</v>
      </c>
      <c r="AW53" s="24">
        <v>1519.6000000000004</v>
      </c>
      <c r="AX53" s="24">
        <v>1021.4000000000002</v>
      </c>
      <c r="AY53" s="24">
        <v>1212.8000000000002</v>
      </c>
      <c r="AZ53" s="24">
        <v>3437.6999999999994</v>
      </c>
      <c r="BA53" s="24">
        <v>9214.099999999997</v>
      </c>
      <c r="BB53" s="24">
        <v>635.1999999999999</v>
      </c>
      <c r="BC53" s="24">
        <v>9484.099999999999</v>
      </c>
      <c r="BD53" s="24">
        <v>4821.800000000001</v>
      </c>
      <c r="BE53" s="24">
        <v>3325.8000000000006</v>
      </c>
      <c r="BF53" s="24">
        <v>7195.500000000001</v>
      </c>
      <c r="BG53" s="24">
        <v>4258.699999999999</v>
      </c>
      <c r="BH53" s="24">
        <v>709.5999999999999</v>
      </c>
      <c r="BI53" s="24">
        <v>577.9000000000001</v>
      </c>
      <c r="BJ53" s="24">
        <v>793.3</v>
      </c>
      <c r="BK53" s="24">
        <v>269.2</v>
      </c>
      <c r="BL53" s="24">
        <v>675.7</v>
      </c>
      <c r="BM53" s="24">
        <v>0</v>
      </c>
      <c r="BN53" s="24">
        <v>0</v>
      </c>
      <c r="BO53" s="24">
        <v>3321.7999999999997</v>
      </c>
      <c r="BP53" s="24">
        <v>3724.7999999999993</v>
      </c>
      <c r="BQ53" s="24">
        <v>60.1</v>
      </c>
      <c r="BR53" s="24">
        <v>781.7</v>
      </c>
      <c r="BS53" s="24">
        <v>145.2</v>
      </c>
    </row>
    <row r="54" spans="1:71" x14ac:dyDescent="0.25">
      <c r="A54" s="30" t="s">
        <v>366</v>
      </c>
      <c r="B54" s="31" t="s">
        <v>367</v>
      </c>
      <c r="C54" s="24">
        <v>217.49999999999997</v>
      </c>
      <c r="D54" s="24">
        <v>61.000000000000014</v>
      </c>
      <c r="E54" s="24">
        <v>74.2</v>
      </c>
      <c r="F54" s="24">
        <v>133.60000000000002</v>
      </c>
      <c r="G54" s="24">
        <v>558.6</v>
      </c>
      <c r="H54" s="24">
        <v>236.2</v>
      </c>
      <c r="I54" s="24">
        <v>151.39999999999998</v>
      </c>
      <c r="J54" s="24">
        <v>203.1</v>
      </c>
      <c r="K54" s="24">
        <v>121.7</v>
      </c>
      <c r="L54" s="24">
        <v>231.39999999999998</v>
      </c>
      <c r="M54" s="24">
        <v>448.30000000000007</v>
      </c>
      <c r="N54" s="24">
        <v>316.3</v>
      </c>
      <c r="O54" s="24">
        <v>282</v>
      </c>
      <c r="P54" s="24">
        <v>313.99999999999994</v>
      </c>
      <c r="Q54" s="24">
        <v>295.29999999999995</v>
      </c>
      <c r="R54" s="24">
        <v>448.2000000000001</v>
      </c>
      <c r="S54" s="24">
        <v>278.8</v>
      </c>
      <c r="T54" s="24">
        <v>523.4000000000001</v>
      </c>
      <c r="U54" s="24">
        <v>476.00000000000017</v>
      </c>
      <c r="V54" s="24">
        <v>706.5000000000001</v>
      </c>
      <c r="W54" s="24">
        <v>310.19999999999993</v>
      </c>
      <c r="X54" s="24">
        <v>237.60000000000002</v>
      </c>
      <c r="Y54" s="24">
        <v>242.19999999999996</v>
      </c>
      <c r="Z54" s="24">
        <v>555.4000000000001</v>
      </c>
      <c r="AA54" s="24">
        <v>111.49999999999999</v>
      </c>
      <c r="AB54" s="24">
        <v>340.5</v>
      </c>
      <c r="AC54" s="24">
        <v>1053.3</v>
      </c>
      <c r="AD54" s="24">
        <v>339.20000000000005</v>
      </c>
      <c r="AE54" s="24">
        <v>1537.8</v>
      </c>
      <c r="AF54" s="24">
        <v>562.6000000000001</v>
      </c>
      <c r="AG54" s="24">
        <v>2627.7999999999997</v>
      </c>
      <c r="AH54" s="24">
        <v>552.2</v>
      </c>
      <c r="AI54" s="24">
        <v>3834.999999999999</v>
      </c>
      <c r="AJ54" s="24">
        <v>1711.5</v>
      </c>
      <c r="AK54" s="24">
        <v>127.1</v>
      </c>
      <c r="AL54" s="24">
        <v>2037.7999999999995</v>
      </c>
      <c r="AM54" s="24">
        <v>162.7</v>
      </c>
      <c r="AN54" s="24">
        <v>374.3999999999999</v>
      </c>
      <c r="AO54" s="24">
        <v>654.2000000000003</v>
      </c>
      <c r="AP54" s="24">
        <v>864.6000000000001</v>
      </c>
      <c r="AQ54" s="24">
        <v>386.70000000000016</v>
      </c>
      <c r="AR54" s="24">
        <v>359.8</v>
      </c>
      <c r="AS54" s="24">
        <v>251.00000000000003</v>
      </c>
      <c r="AT54" s="24">
        <v>265</v>
      </c>
      <c r="AU54" s="24">
        <v>1089.5000000000002</v>
      </c>
      <c r="AV54" s="24">
        <v>286.2</v>
      </c>
      <c r="AW54" s="24">
        <v>266.4</v>
      </c>
      <c r="AX54" s="24">
        <v>240.79999999999995</v>
      </c>
      <c r="AY54" s="24">
        <v>191.29999999999995</v>
      </c>
      <c r="AZ54" s="24">
        <v>560.5</v>
      </c>
      <c r="BA54" s="24">
        <v>139</v>
      </c>
      <c r="BB54" s="24">
        <v>13262.3</v>
      </c>
      <c r="BC54" s="24">
        <v>417.29999999999995</v>
      </c>
      <c r="BD54" s="24">
        <v>911.5000000000001</v>
      </c>
      <c r="BE54" s="24">
        <v>549.7</v>
      </c>
      <c r="BF54" s="24">
        <v>472.5000000000001</v>
      </c>
      <c r="BG54" s="24">
        <v>287</v>
      </c>
      <c r="BH54" s="24">
        <v>683.0000000000002</v>
      </c>
      <c r="BI54" s="24">
        <v>1318.6999999999998</v>
      </c>
      <c r="BJ54" s="24">
        <v>207.79999999999998</v>
      </c>
      <c r="BK54" s="24">
        <v>116.79999999999998</v>
      </c>
      <c r="BL54" s="24">
        <v>156.29999999999998</v>
      </c>
      <c r="BM54" s="24">
        <v>0</v>
      </c>
      <c r="BN54" s="24">
        <v>0</v>
      </c>
      <c r="BO54" s="24">
        <v>2479.699999999999</v>
      </c>
      <c r="BP54" s="24">
        <v>86658.09999999999</v>
      </c>
      <c r="BQ54" s="24">
        <v>161.9</v>
      </c>
      <c r="BR54" s="24">
        <v>543.5</v>
      </c>
      <c r="BS54" s="24">
        <v>231.69999999999996</v>
      </c>
    </row>
    <row r="55" spans="1:71" x14ac:dyDescent="0.25">
      <c r="A55" s="30" t="s">
        <v>368</v>
      </c>
      <c r="B55" s="31" t="s">
        <v>369</v>
      </c>
      <c r="C55" s="24">
        <v>2856.1999999999994</v>
      </c>
      <c r="D55" s="24">
        <v>322</v>
      </c>
      <c r="E55" s="24">
        <v>70.7</v>
      </c>
      <c r="F55" s="24">
        <v>1407.6999999999996</v>
      </c>
      <c r="G55" s="24">
        <v>14224.299999999997</v>
      </c>
      <c r="H55" s="24">
        <v>2896.2</v>
      </c>
      <c r="I55" s="24">
        <v>1483.6</v>
      </c>
      <c r="J55" s="24">
        <v>2631.299999999999</v>
      </c>
      <c r="K55" s="24">
        <v>1179</v>
      </c>
      <c r="L55" s="24">
        <v>3762.7000000000007</v>
      </c>
      <c r="M55" s="24">
        <v>10733.7</v>
      </c>
      <c r="N55" s="24">
        <v>5876.8</v>
      </c>
      <c r="O55" s="24">
        <v>3528.3</v>
      </c>
      <c r="P55" s="24">
        <v>3147.7000000000003</v>
      </c>
      <c r="Q55" s="24">
        <v>4602.699999999997</v>
      </c>
      <c r="R55" s="24">
        <v>5892.500000000002</v>
      </c>
      <c r="S55" s="24">
        <v>3335.4999999999986</v>
      </c>
      <c r="T55" s="24">
        <v>4452.599999999999</v>
      </c>
      <c r="U55" s="24">
        <v>8992.299999999997</v>
      </c>
      <c r="V55" s="24">
        <v>10851.900000000001</v>
      </c>
      <c r="W55" s="24">
        <v>2994.3000000000006</v>
      </c>
      <c r="X55" s="24">
        <v>3373.6</v>
      </c>
      <c r="Y55" s="24">
        <v>3008.6</v>
      </c>
      <c r="Z55" s="24">
        <v>14272.100000000002</v>
      </c>
      <c r="AA55" s="24">
        <v>2004.4</v>
      </c>
      <c r="AB55" s="24">
        <v>7368.200000000001</v>
      </c>
      <c r="AC55" s="24">
        <v>31938.500000000007</v>
      </c>
      <c r="AD55" s="24">
        <v>7202.3</v>
      </c>
      <c r="AE55" s="24">
        <v>40281.89999999999</v>
      </c>
      <c r="AF55" s="24">
        <v>24950.09999999999</v>
      </c>
      <c r="AG55" s="24">
        <v>10470.699999999999</v>
      </c>
      <c r="AH55" s="24">
        <v>3741.7999999999997</v>
      </c>
      <c r="AI55" s="24">
        <v>2528.6000000000004</v>
      </c>
      <c r="AJ55" s="24">
        <v>17074.399999999994</v>
      </c>
      <c r="AK55" s="24">
        <v>2489.3999999999987</v>
      </c>
      <c r="AL55" s="24">
        <v>15321.3</v>
      </c>
      <c r="AM55" s="24">
        <v>4976.100000000001</v>
      </c>
      <c r="AN55" s="24">
        <v>6160.199999999999</v>
      </c>
      <c r="AO55" s="24">
        <v>7373.999999999999</v>
      </c>
      <c r="AP55" s="24">
        <v>22932.899999999994</v>
      </c>
      <c r="AQ55" s="24">
        <v>14982.1</v>
      </c>
      <c r="AR55" s="24">
        <v>8546.2</v>
      </c>
      <c r="AS55" s="24">
        <v>8348.1</v>
      </c>
      <c r="AT55" s="24">
        <v>19855.600000000006</v>
      </c>
      <c r="AU55" s="24">
        <v>32632.1</v>
      </c>
      <c r="AV55" s="24">
        <v>9881.300000000001</v>
      </c>
      <c r="AW55" s="24">
        <v>4291</v>
      </c>
      <c r="AX55" s="24">
        <v>5345.500000000001</v>
      </c>
      <c r="AY55" s="24">
        <v>4862.700000000002</v>
      </c>
      <c r="AZ55" s="24">
        <v>16179.100000000008</v>
      </c>
      <c r="BA55" s="24">
        <v>2735.999999999999</v>
      </c>
      <c r="BB55" s="24">
        <v>3462.7000000000007</v>
      </c>
      <c r="BC55" s="24">
        <v>51439.80000000002</v>
      </c>
      <c r="BD55" s="24">
        <v>34663.90000000001</v>
      </c>
      <c r="BE55" s="24">
        <v>11183.499999999996</v>
      </c>
      <c r="BF55" s="24">
        <v>20774.399999999998</v>
      </c>
      <c r="BG55" s="24">
        <v>9929.8</v>
      </c>
      <c r="BH55" s="24">
        <v>5556.500000000002</v>
      </c>
      <c r="BI55" s="24">
        <v>4366.4</v>
      </c>
      <c r="BJ55" s="24">
        <v>3757.7999999999997</v>
      </c>
      <c r="BK55" s="24">
        <v>679.9</v>
      </c>
      <c r="BL55" s="24">
        <v>3134.499999999999</v>
      </c>
      <c r="BM55" s="24">
        <v>0</v>
      </c>
      <c r="BN55" s="24">
        <v>0</v>
      </c>
      <c r="BO55" s="24">
        <v>5371.400000000002</v>
      </c>
      <c r="BP55" s="24">
        <v>52663.59999999999</v>
      </c>
      <c r="BQ55" s="24">
        <v>156.29999999999998</v>
      </c>
      <c r="BR55" s="24">
        <v>16748.699999999997</v>
      </c>
      <c r="BS55" s="24">
        <v>-137.2</v>
      </c>
    </row>
    <row r="56" spans="1:71" x14ac:dyDescent="0.25">
      <c r="A56" s="30" t="s">
        <v>370</v>
      </c>
      <c r="B56" s="31" t="s">
        <v>371</v>
      </c>
      <c r="C56" s="24">
        <v>1522.3000000000004</v>
      </c>
      <c r="D56" s="24">
        <v>389</v>
      </c>
      <c r="E56" s="24">
        <v>88.4</v>
      </c>
      <c r="F56" s="24">
        <v>576.0000000000001</v>
      </c>
      <c r="G56" s="24">
        <v>4955.6</v>
      </c>
      <c r="H56" s="24">
        <v>757.5000000000001</v>
      </c>
      <c r="I56" s="24">
        <v>723.2</v>
      </c>
      <c r="J56" s="24">
        <v>1229.9999999999998</v>
      </c>
      <c r="K56" s="24">
        <v>416.0999999999999</v>
      </c>
      <c r="L56" s="24">
        <v>1849.1000000000001</v>
      </c>
      <c r="M56" s="24">
        <v>3225.8000000000006</v>
      </c>
      <c r="N56" s="24">
        <v>1121.3999999999999</v>
      </c>
      <c r="O56" s="24">
        <v>1492.6000000000001</v>
      </c>
      <c r="P56" s="24">
        <v>1286.8000000000002</v>
      </c>
      <c r="Q56" s="24">
        <v>3241.3</v>
      </c>
      <c r="R56" s="24">
        <v>2028.5999999999997</v>
      </c>
      <c r="S56" s="24">
        <v>1034.9</v>
      </c>
      <c r="T56" s="24">
        <v>1502.6999999999998</v>
      </c>
      <c r="U56" s="24">
        <v>1986.3999999999999</v>
      </c>
      <c r="V56" s="24">
        <v>2753</v>
      </c>
      <c r="W56" s="24">
        <v>647.6</v>
      </c>
      <c r="X56" s="24">
        <v>837.3000000000001</v>
      </c>
      <c r="Y56" s="24">
        <v>634.5</v>
      </c>
      <c r="Z56" s="24">
        <v>15250.499999999998</v>
      </c>
      <c r="AA56" s="24">
        <v>1051.6</v>
      </c>
      <c r="AB56" s="24">
        <v>6890.999999999998</v>
      </c>
      <c r="AC56" s="24">
        <v>13453</v>
      </c>
      <c r="AD56" s="24">
        <v>1544.1</v>
      </c>
      <c r="AE56" s="24">
        <v>5800</v>
      </c>
      <c r="AF56" s="24">
        <v>4348.900000000001</v>
      </c>
      <c r="AG56" s="24">
        <v>4538.599999999999</v>
      </c>
      <c r="AH56" s="24">
        <v>802.9000000000001</v>
      </c>
      <c r="AI56" s="24">
        <v>663.2000000000003</v>
      </c>
      <c r="AJ56" s="24">
        <v>6219.400000000001</v>
      </c>
      <c r="AK56" s="24">
        <v>408.5</v>
      </c>
      <c r="AL56" s="24">
        <v>3357.7</v>
      </c>
      <c r="AM56" s="24">
        <v>635.9</v>
      </c>
      <c r="AN56" s="24">
        <v>850.7000000000002</v>
      </c>
      <c r="AO56" s="24">
        <v>1735.7999999999995</v>
      </c>
      <c r="AP56" s="24">
        <v>4124.3</v>
      </c>
      <c r="AQ56" s="24">
        <v>1901.9999999999998</v>
      </c>
      <c r="AR56" s="24">
        <v>1012.4000000000001</v>
      </c>
      <c r="AS56" s="24">
        <v>1081.4999999999998</v>
      </c>
      <c r="AT56" s="24">
        <v>4804.3</v>
      </c>
      <c r="AU56" s="24">
        <v>9292.9</v>
      </c>
      <c r="AV56" s="24">
        <v>4637.4</v>
      </c>
      <c r="AW56" s="24">
        <v>1121.6</v>
      </c>
      <c r="AX56" s="24">
        <v>1711.1999999999998</v>
      </c>
      <c r="AY56" s="24">
        <v>1762.3</v>
      </c>
      <c r="AZ56" s="24">
        <v>1430.2999999999997</v>
      </c>
      <c r="BA56" s="24">
        <v>765.7000000000002</v>
      </c>
      <c r="BB56" s="24">
        <v>381.90000000000003</v>
      </c>
      <c r="BC56" s="24">
        <v>5075.1</v>
      </c>
      <c r="BD56" s="24">
        <v>18541.899999999994</v>
      </c>
      <c r="BE56" s="24">
        <v>3545.6999999999994</v>
      </c>
      <c r="BF56" s="24">
        <v>3405.2</v>
      </c>
      <c r="BG56" s="24">
        <v>2050.7</v>
      </c>
      <c r="BH56" s="24">
        <v>2028.7999999999997</v>
      </c>
      <c r="BI56" s="24">
        <v>1335.1</v>
      </c>
      <c r="BJ56" s="24">
        <v>1438.1999999999994</v>
      </c>
      <c r="BK56" s="24">
        <v>92.19999999999999</v>
      </c>
      <c r="BL56" s="24">
        <v>475.30000000000007</v>
      </c>
      <c r="BM56" s="24">
        <v>0</v>
      </c>
      <c r="BN56" s="24">
        <v>0</v>
      </c>
      <c r="BO56" s="24">
        <v>1177231.5999999999</v>
      </c>
      <c r="BP56" s="24">
        <v>54260.8</v>
      </c>
      <c r="BQ56" s="24">
        <v>1169.7999999999997</v>
      </c>
      <c r="BR56" s="24">
        <v>18239.700000000004</v>
      </c>
      <c r="BS56" s="24">
        <v>273.09999999999997</v>
      </c>
    </row>
    <row r="57" spans="1:71" x14ac:dyDescent="0.25">
      <c r="A57" s="30" t="s">
        <v>373</v>
      </c>
      <c r="B57" s="31" t="s">
        <v>374</v>
      </c>
      <c r="C57" s="24">
        <v>305.90000000000003</v>
      </c>
      <c r="D57" s="24">
        <v>59.2</v>
      </c>
      <c r="E57" s="24">
        <v>24.300000000000004</v>
      </c>
      <c r="F57" s="24">
        <v>132.9</v>
      </c>
      <c r="G57" s="24">
        <v>1300.7999999999995</v>
      </c>
      <c r="H57" s="24">
        <v>330.5</v>
      </c>
      <c r="I57" s="24">
        <v>142.29999999999998</v>
      </c>
      <c r="J57" s="24">
        <v>192.9</v>
      </c>
      <c r="K57" s="24">
        <v>88.09999999999998</v>
      </c>
      <c r="L57" s="24">
        <v>445.40000000000003</v>
      </c>
      <c r="M57" s="24">
        <v>892.6000000000001</v>
      </c>
      <c r="N57" s="24">
        <v>853.5000000000001</v>
      </c>
      <c r="O57" s="24">
        <v>349.40000000000015</v>
      </c>
      <c r="P57" s="24">
        <v>296.40000000000003</v>
      </c>
      <c r="Q57" s="24">
        <v>301.90000000000003</v>
      </c>
      <c r="R57" s="24">
        <v>783.7000000000002</v>
      </c>
      <c r="S57" s="24">
        <v>852.9000000000001</v>
      </c>
      <c r="T57" s="24">
        <v>783.9000000000002</v>
      </c>
      <c r="U57" s="24">
        <v>1362.1999999999994</v>
      </c>
      <c r="V57" s="24">
        <v>2762.7999999999997</v>
      </c>
      <c r="W57" s="24">
        <v>653.5000000000002</v>
      </c>
      <c r="X57" s="24">
        <v>320.0000000000001</v>
      </c>
      <c r="Y57" s="24">
        <v>530.4000000000001</v>
      </c>
      <c r="Z57" s="24">
        <v>933.6000000000001</v>
      </c>
      <c r="AA57" s="24">
        <v>125.6</v>
      </c>
      <c r="AB57" s="24">
        <v>467.70000000000005</v>
      </c>
      <c r="AC57" s="24">
        <v>2320.999999999999</v>
      </c>
      <c r="AD57" s="24">
        <v>860.8000000000002</v>
      </c>
      <c r="AE57" s="24">
        <v>3236.399999999999</v>
      </c>
      <c r="AF57" s="24">
        <v>1879.7999999999993</v>
      </c>
      <c r="AG57" s="24">
        <v>1632.3999999999992</v>
      </c>
      <c r="AH57" s="24">
        <v>884.8</v>
      </c>
      <c r="AI57" s="24">
        <v>686.9000000000003</v>
      </c>
      <c r="AJ57" s="24">
        <v>1238.6999999999996</v>
      </c>
      <c r="AK57" s="24">
        <v>433.20000000000005</v>
      </c>
      <c r="AL57" s="24">
        <v>950.3000000000003</v>
      </c>
      <c r="AM57" s="24">
        <v>371.80000000000007</v>
      </c>
      <c r="AN57" s="24">
        <v>349.5</v>
      </c>
      <c r="AO57" s="24">
        <v>1098.2999999999995</v>
      </c>
      <c r="AP57" s="24">
        <v>4077.0999999999995</v>
      </c>
      <c r="AQ57" s="24">
        <v>2303.399999999999</v>
      </c>
      <c r="AR57" s="24">
        <v>851.4000000000001</v>
      </c>
      <c r="AS57" s="24">
        <v>556.5000000000002</v>
      </c>
      <c r="AT57" s="24">
        <v>1254.7999999999995</v>
      </c>
      <c r="AU57" s="24">
        <v>4616.200000000001</v>
      </c>
      <c r="AV57" s="24">
        <v>1038.499999999999</v>
      </c>
      <c r="AW57" s="24">
        <v>3808.6999999999985</v>
      </c>
      <c r="AX57" s="24">
        <v>708.6999999999999</v>
      </c>
      <c r="AY57" s="24">
        <v>728.1999999999999</v>
      </c>
      <c r="AZ57" s="24">
        <v>543.1</v>
      </c>
      <c r="BA57" s="24">
        <v>1088.9999999999995</v>
      </c>
      <c r="BB57" s="24">
        <v>225.60000000000002</v>
      </c>
      <c r="BC57" s="24">
        <v>1862.3999999999996</v>
      </c>
      <c r="BD57" s="24">
        <v>8562.199999999999</v>
      </c>
      <c r="BE57" s="24">
        <v>25685.899999999998</v>
      </c>
      <c r="BF57" s="24">
        <v>5079.700000000003</v>
      </c>
      <c r="BG57" s="24">
        <v>2269.0999999999985</v>
      </c>
      <c r="BH57" s="24">
        <v>791.6000000000001</v>
      </c>
      <c r="BI57" s="24">
        <v>1058.2999999999997</v>
      </c>
      <c r="BJ57" s="24">
        <v>1402.0999999999997</v>
      </c>
      <c r="BK57" s="24">
        <v>124.7</v>
      </c>
      <c r="BL57" s="24">
        <v>229.60000000000002</v>
      </c>
      <c r="BM57" s="24">
        <v>0</v>
      </c>
      <c r="BN57" s="24">
        <v>0</v>
      </c>
      <c r="BO57" s="24">
        <v>670476.4</v>
      </c>
      <c r="BP57" s="24">
        <v>103267.2</v>
      </c>
      <c r="BQ57" s="24">
        <v>30616.600000000002</v>
      </c>
      <c r="BR57" s="24">
        <v>39328.1</v>
      </c>
      <c r="BS57" s="24">
        <v>19.900000000000002</v>
      </c>
    </row>
    <row r="58" spans="1:71" x14ac:dyDescent="0.25">
      <c r="A58" s="30" t="s">
        <v>376</v>
      </c>
      <c r="B58" s="31" t="s">
        <v>377</v>
      </c>
      <c r="C58" s="24">
        <v>261.4000000000001</v>
      </c>
      <c r="D58" s="24">
        <v>28.900000000000006</v>
      </c>
      <c r="E58" s="24">
        <v>16.8</v>
      </c>
      <c r="F58" s="24">
        <v>119.39999999999996</v>
      </c>
      <c r="G58" s="24">
        <v>593.0000000000001</v>
      </c>
      <c r="H58" s="24">
        <v>113.8</v>
      </c>
      <c r="I58" s="24">
        <v>76.6</v>
      </c>
      <c r="J58" s="24">
        <v>89.1</v>
      </c>
      <c r="K58" s="24">
        <v>50.30000000000001</v>
      </c>
      <c r="L58" s="24">
        <v>176.70000000000002</v>
      </c>
      <c r="M58" s="24">
        <v>292.80000000000007</v>
      </c>
      <c r="N58" s="24">
        <v>635.2000000000003</v>
      </c>
      <c r="O58" s="24">
        <v>178.29999999999998</v>
      </c>
      <c r="P58" s="24">
        <v>129.69999999999996</v>
      </c>
      <c r="Q58" s="24">
        <v>173.39999999999998</v>
      </c>
      <c r="R58" s="24">
        <v>265.6</v>
      </c>
      <c r="S58" s="24">
        <v>178.2</v>
      </c>
      <c r="T58" s="24">
        <v>235.10000000000002</v>
      </c>
      <c r="U58" s="24">
        <v>388.80000000000007</v>
      </c>
      <c r="V58" s="24">
        <v>599.8000000000002</v>
      </c>
      <c r="W58" s="24">
        <v>182.79999999999998</v>
      </c>
      <c r="X58" s="24">
        <v>259.29999999999995</v>
      </c>
      <c r="Y58" s="24">
        <v>182.2</v>
      </c>
      <c r="Z58" s="24">
        <v>292.8000000000001</v>
      </c>
      <c r="AA58" s="24">
        <v>82.3</v>
      </c>
      <c r="AB58" s="24">
        <v>475.0000000000001</v>
      </c>
      <c r="AC58" s="24">
        <v>1088.8999999999992</v>
      </c>
      <c r="AD58" s="24">
        <v>291.00000000000006</v>
      </c>
      <c r="AE58" s="24">
        <v>1892.9999999999995</v>
      </c>
      <c r="AF58" s="24">
        <v>761.3000000000001</v>
      </c>
      <c r="AG58" s="24">
        <v>640.6000000000004</v>
      </c>
      <c r="AH58" s="24">
        <v>132.2</v>
      </c>
      <c r="AI58" s="24">
        <v>237.6</v>
      </c>
      <c r="AJ58" s="24">
        <v>674.1000000000001</v>
      </c>
      <c r="AK58" s="24">
        <v>115.99999999999999</v>
      </c>
      <c r="AL58" s="24">
        <v>732.5000000000001</v>
      </c>
      <c r="AM58" s="24">
        <v>148.79999999999995</v>
      </c>
      <c r="AN58" s="24">
        <v>135.70000000000002</v>
      </c>
      <c r="AO58" s="24">
        <v>339.9000000000001</v>
      </c>
      <c r="AP58" s="24">
        <v>1177.1</v>
      </c>
      <c r="AQ58" s="24">
        <v>579.0000000000002</v>
      </c>
      <c r="AR58" s="24">
        <v>461.20000000000005</v>
      </c>
      <c r="AS58" s="24">
        <v>397.5000000000001</v>
      </c>
      <c r="AT58" s="24">
        <v>293.7</v>
      </c>
      <c r="AU58" s="24">
        <v>947.0000000000002</v>
      </c>
      <c r="AV58" s="24">
        <v>408.5000000000001</v>
      </c>
      <c r="AW58" s="24">
        <v>760.3</v>
      </c>
      <c r="AX58" s="24">
        <v>1777.4</v>
      </c>
      <c r="AY58" s="24">
        <v>896.5000000000001</v>
      </c>
      <c r="AZ58" s="24">
        <v>370.3000000000001</v>
      </c>
      <c r="BA58" s="24">
        <v>434.5</v>
      </c>
      <c r="BB58" s="24">
        <v>166.1</v>
      </c>
      <c r="BC58" s="24">
        <v>2886.0999999999995</v>
      </c>
      <c r="BD58" s="24">
        <v>16623.69999999999</v>
      </c>
      <c r="BE58" s="24">
        <v>1825.7999999999993</v>
      </c>
      <c r="BF58" s="24">
        <v>59831.2</v>
      </c>
      <c r="BG58" s="24">
        <v>8569.8</v>
      </c>
      <c r="BH58" s="24">
        <v>259.3</v>
      </c>
      <c r="BI58" s="24">
        <v>532.6</v>
      </c>
      <c r="BJ58" s="24">
        <v>394.3</v>
      </c>
      <c r="BK58" s="24">
        <v>42.800000000000004</v>
      </c>
      <c r="BL58" s="24">
        <v>184.29999999999998</v>
      </c>
      <c r="BM58" s="24">
        <v>0</v>
      </c>
      <c r="BN58" s="24">
        <v>0</v>
      </c>
      <c r="BO58" s="24">
        <v>889016</v>
      </c>
      <c r="BP58" s="24">
        <v>235758.60000000003</v>
      </c>
      <c r="BQ58" s="24">
        <v>9053.000000000002</v>
      </c>
      <c r="BR58" s="24">
        <v>7706.4000000000015</v>
      </c>
      <c r="BS58" s="24">
        <v>72.39999999999998</v>
      </c>
    </row>
    <row r="59" spans="1:71" x14ac:dyDescent="0.25">
      <c r="A59" s="30" t="s">
        <v>379</v>
      </c>
      <c r="B59" s="31" t="s">
        <v>380</v>
      </c>
      <c r="C59" s="24">
        <v>43.6</v>
      </c>
      <c r="D59" s="24">
        <v>5.4</v>
      </c>
      <c r="E59" s="24">
        <v>2.3000000000000007</v>
      </c>
      <c r="F59" s="24">
        <v>9.6</v>
      </c>
      <c r="G59" s="24">
        <v>143.39999999999998</v>
      </c>
      <c r="H59" s="24">
        <v>24.9</v>
      </c>
      <c r="I59" s="24">
        <v>28.700000000000003</v>
      </c>
      <c r="J59" s="24">
        <v>19.700000000000003</v>
      </c>
      <c r="K59" s="24">
        <v>9.6</v>
      </c>
      <c r="L59" s="24">
        <v>17.600000000000005</v>
      </c>
      <c r="M59" s="24">
        <v>41.2</v>
      </c>
      <c r="N59" s="24">
        <v>28.600000000000005</v>
      </c>
      <c r="O59" s="24">
        <v>31.6</v>
      </c>
      <c r="P59" s="24">
        <v>20.800000000000004</v>
      </c>
      <c r="Q59" s="24">
        <v>26.6</v>
      </c>
      <c r="R59" s="24">
        <v>49.4</v>
      </c>
      <c r="S59" s="24">
        <v>38.30000000000001</v>
      </c>
      <c r="T59" s="24">
        <v>34.00000000000001</v>
      </c>
      <c r="U59" s="24">
        <v>63.9</v>
      </c>
      <c r="V59" s="24">
        <v>102.99999999999999</v>
      </c>
      <c r="W59" s="24">
        <v>41.60000000000001</v>
      </c>
      <c r="X59" s="24">
        <v>30.8</v>
      </c>
      <c r="Y59" s="24">
        <v>33.900000000000006</v>
      </c>
      <c r="Z59" s="24">
        <v>64.8</v>
      </c>
      <c r="AA59" s="24">
        <v>11.500000000000002</v>
      </c>
      <c r="AB59" s="24">
        <v>39.10000000000001</v>
      </c>
      <c r="AC59" s="24">
        <v>246.49999999999997</v>
      </c>
      <c r="AD59" s="24">
        <v>54.10000000000001</v>
      </c>
      <c r="AE59" s="24">
        <v>245.29999999999998</v>
      </c>
      <c r="AF59" s="24">
        <v>157.4</v>
      </c>
      <c r="AG59" s="24">
        <v>80.1</v>
      </c>
      <c r="AH59" s="24">
        <v>29.000000000000007</v>
      </c>
      <c r="AI59" s="24">
        <v>25.800000000000008</v>
      </c>
      <c r="AJ59" s="24">
        <v>88.09999999999998</v>
      </c>
      <c r="AK59" s="24">
        <v>15</v>
      </c>
      <c r="AL59" s="24">
        <v>135.09999999999997</v>
      </c>
      <c r="AM59" s="24">
        <v>28.000000000000004</v>
      </c>
      <c r="AN59" s="24">
        <v>32.9</v>
      </c>
      <c r="AO59" s="24">
        <v>46.900000000000006</v>
      </c>
      <c r="AP59" s="24">
        <v>195.79999999999998</v>
      </c>
      <c r="AQ59" s="24">
        <v>88.3</v>
      </c>
      <c r="AR59" s="24">
        <v>43.300000000000004</v>
      </c>
      <c r="AS59" s="24">
        <v>54.5</v>
      </c>
      <c r="AT59" s="24">
        <v>99.7</v>
      </c>
      <c r="AU59" s="24">
        <v>208.09999999999997</v>
      </c>
      <c r="AV59" s="24">
        <v>47.00000000000001</v>
      </c>
      <c r="AW59" s="24">
        <v>88.89999999999999</v>
      </c>
      <c r="AX59" s="24">
        <v>1837.7999999999997</v>
      </c>
      <c r="AY59" s="24">
        <v>397.2</v>
      </c>
      <c r="AZ59" s="24">
        <v>79</v>
      </c>
      <c r="BA59" s="24">
        <v>46</v>
      </c>
      <c r="BB59" s="24">
        <v>70.5</v>
      </c>
      <c r="BC59" s="24">
        <v>2016.6999999999998</v>
      </c>
      <c r="BD59" s="24">
        <v>1172.8999999999999</v>
      </c>
      <c r="BE59" s="24">
        <v>526.3000000000001</v>
      </c>
      <c r="BF59" s="24">
        <v>3487.3999999999996</v>
      </c>
      <c r="BG59" s="24">
        <v>5509.9000000000015</v>
      </c>
      <c r="BH59" s="24">
        <v>673.2</v>
      </c>
      <c r="BI59" s="24">
        <v>68.9</v>
      </c>
      <c r="BJ59" s="24">
        <v>95</v>
      </c>
      <c r="BK59" s="24">
        <v>8.8</v>
      </c>
      <c r="BL59" s="24">
        <v>50</v>
      </c>
      <c r="BM59" s="24">
        <v>0</v>
      </c>
      <c r="BN59" s="24">
        <v>0</v>
      </c>
      <c r="BO59" s="24">
        <v>324563.39999999997</v>
      </c>
      <c r="BP59" s="24">
        <v>130272.40000000001</v>
      </c>
      <c r="BQ59" s="24">
        <v>67850.30000000002</v>
      </c>
      <c r="BR59" s="24">
        <v>586.4</v>
      </c>
      <c r="BS59" s="24">
        <v>30.800000000000004</v>
      </c>
    </row>
    <row r="60" spans="1:71" x14ac:dyDescent="0.25">
      <c r="A60" s="30" t="s">
        <v>381</v>
      </c>
      <c r="B60" s="31" t="s">
        <v>382</v>
      </c>
      <c r="C60" s="24">
        <v>157.39999999999998</v>
      </c>
      <c r="D60" s="24">
        <v>8.2</v>
      </c>
      <c r="E60" s="24">
        <v>15.7</v>
      </c>
      <c r="F60" s="24">
        <v>35.800000000000004</v>
      </c>
      <c r="G60" s="24">
        <v>1051.3999999999996</v>
      </c>
      <c r="H60" s="24">
        <v>309.40000000000003</v>
      </c>
      <c r="I60" s="24">
        <v>64.29999999999998</v>
      </c>
      <c r="J60" s="24">
        <v>189.59999999999997</v>
      </c>
      <c r="K60" s="24">
        <v>191.2</v>
      </c>
      <c r="L60" s="24">
        <v>155.4</v>
      </c>
      <c r="M60" s="24">
        <v>249.79999999999998</v>
      </c>
      <c r="N60" s="24">
        <v>286.9</v>
      </c>
      <c r="O60" s="24">
        <v>134.29999999999995</v>
      </c>
      <c r="P60" s="24">
        <v>99.2</v>
      </c>
      <c r="Q60" s="24">
        <v>163.6</v>
      </c>
      <c r="R60" s="24">
        <v>187.4</v>
      </c>
      <c r="S60" s="24">
        <v>89.49999999999999</v>
      </c>
      <c r="T60" s="24">
        <v>152.29999999999998</v>
      </c>
      <c r="U60" s="24">
        <v>174.19999999999993</v>
      </c>
      <c r="V60" s="24">
        <v>192.79999999999998</v>
      </c>
      <c r="W60" s="24">
        <v>120.39999999999998</v>
      </c>
      <c r="X60" s="24">
        <v>184.9</v>
      </c>
      <c r="Y60" s="24">
        <v>133.79999999999998</v>
      </c>
      <c r="Z60" s="24">
        <v>273.30000000000007</v>
      </c>
      <c r="AA60" s="24">
        <v>29.5</v>
      </c>
      <c r="AB60" s="24">
        <v>132.6</v>
      </c>
      <c r="AC60" s="24">
        <v>1296.8999999999999</v>
      </c>
      <c r="AD60" s="24">
        <v>347.7000000000001</v>
      </c>
      <c r="AE60" s="24">
        <v>717.7000000000003</v>
      </c>
      <c r="AF60" s="24">
        <v>602.0000000000002</v>
      </c>
      <c r="AG60" s="24">
        <v>314.5000000000001</v>
      </c>
      <c r="AH60" s="24">
        <v>75.1</v>
      </c>
      <c r="AI60" s="24">
        <v>273.2000000000001</v>
      </c>
      <c r="AJ60" s="24">
        <v>495.9</v>
      </c>
      <c r="AK60" s="24">
        <v>54.1</v>
      </c>
      <c r="AL60" s="24">
        <v>5011.6</v>
      </c>
      <c r="AM60" s="24">
        <v>1820</v>
      </c>
      <c r="AN60" s="24">
        <v>3849.1000000000004</v>
      </c>
      <c r="AO60" s="24">
        <v>370.50000000000006</v>
      </c>
      <c r="AP60" s="24">
        <v>873.4</v>
      </c>
      <c r="AQ60" s="24">
        <v>464.50000000000017</v>
      </c>
      <c r="AR60" s="24">
        <v>71.69999999999997</v>
      </c>
      <c r="AS60" s="24">
        <v>100.6</v>
      </c>
      <c r="AT60" s="24">
        <v>276.7000000000001</v>
      </c>
      <c r="AU60" s="24">
        <v>1073.9</v>
      </c>
      <c r="AV60" s="24">
        <v>201.6</v>
      </c>
      <c r="AW60" s="24">
        <v>144.99999999999997</v>
      </c>
      <c r="AX60" s="24">
        <v>499</v>
      </c>
      <c r="AY60" s="24">
        <v>509.00000000000006</v>
      </c>
      <c r="AZ60" s="24">
        <v>224.89999999999995</v>
      </c>
      <c r="BA60" s="24">
        <v>178.5</v>
      </c>
      <c r="BB60" s="24">
        <v>648.7</v>
      </c>
      <c r="BC60" s="24">
        <v>1043.9999999999998</v>
      </c>
      <c r="BD60" s="24">
        <v>1627.0999999999997</v>
      </c>
      <c r="BE60" s="24">
        <v>1139.4999999999993</v>
      </c>
      <c r="BF60" s="24">
        <v>261.50000000000006</v>
      </c>
      <c r="BG60" s="24">
        <v>316.0000000000001</v>
      </c>
      <c r="BH60" s="24">
        <v>19826.1</v>
      </c>
      <c r="BI60" s="24">
        <v>3000.799999999999</v>
      </c>
      <c r="BJ60" s="24">
        <v>733.6000000000001</v>
      </c>
      <c r="BK60" s="24">
        <v>56.7</v>
      </c>
      <c r="BL60" s="24">
        <v>175.49999999999997</v>
      </c>
      <c r="BM60" s="24">
        <v>0</v>
      </c>
      <c r="BN60" s="24">
        <v>0</v>
      </c>
      <c r="BO60" s="24">
        <v>60082.3</v>
      </c>
      <c r="BP60" s="24">
        <v>94967.3</v>
      </c>
      <c r="BQ60" s="24">
        <v>7615.200000000002</v>
      </c>
      <c r="BR60" s="24">
        <v>6050.6</v>
      </c>
      <c r="BS60" s="24">
        <v>2841.5000000000005</v>
      </c>
    </row>
    <row r="61" spans="1:71" x14ac:dyDescent="0.25">
      <c r="A61" s="30" t="s">
        <v>384</v>
      </c>
      <c r="B61" s="31" t="s">
        <v>385</v>
      </c>
      <c r="C61" s="24">
        <v>97.5</v>
      </c>
      <c r="D61" s="24">
        <v>29.700000000000003</v>
      </c>
      <c r="E61" s="24">
        <v>18.1</v>
      </c>
      <c r="F61" s="24">
        <v>59.60000000000001</v>
      </c>
      <c r="G61" s="24">
        <v>1084.5999999999997</v>
      </c>
      <c r="H61" s="24">
        <v>182.59999999999997</v>
      </c>
      <c r="I61" s="24">
        <v>73.59999999999998</v>
      </c>
      <c r="J61" s="24">
        <v>118.39999999999999</v>
      </c>
      <c r="K61" s="24">
        <v>88.6</v>
      </c>
      <c r="L61" s="24">
        <v>142.89999999999998</v>
      </c>
      <c r="M61" s="24">
        <v>218.49999999999994</v>
      </c>
      <c r="N61" s="24">
        <v>233.99999999999997</v>
      </c>
      <c r="O61" s="24">
        <v>123.79999999999998</v>
      </c>
      <c r="P61" s="24">
        <v>103.89999999999996</v>
      </c>
      <c r="Q61" s="24">
        <v>136.2</v>
      </c>
      <c r="R61" s="24">
        <v>196.79999999999998</v>
      </c>
      <c r="S61" s="24">
        <v>126.19999999999999</v>
      </c>
      <c r="T61" s="24">
        <v>149.9</v>
      </c>
      <c r="U61" s="24">
        <v>286.1000000000001</v>
      </c>
      <c r="V61" s="24">
        <v>343.3000000000001</v>
      </c>
      <c r="W61" s="24">
        <v>167.99999999999994</v>
      </c>
      <c r="X61" s="24">
        <v>167.59999999999997</v>
      </c>
      <c r="Y61" s="24">
        <v>154.09999999999997</v>
      </c>
      <c r="Z61" s="24">
        <v>361.0000000000001</v>
      </c>
      <c r="AA61" s="24">
        <v>64.2</v>
      </c>
      <c r="AB61" s="24">
        <v>185.39999999999998</v>
      </c>
      <c r="AC61" s="24">
        <v>1404.2999999999997</v>
      </c>
      <c r="AD61" s="24">
        <v>313.70000000000005</v>
      </c>
      <c r="AE61" s="24">
        <v>3874.7999999999993</v>
      </c>
      <c r="AF61" s="24">
        <v>941</v>
      </c>
      <c r="AG61" s="24">
        <v>485.70000000000005</v>
      </c>
      <c r="AH61" s="24">
        <v>144.89999999999998</v>
      </c>
      <c r="AI61" s="24">
        <v>106.6</v>
      </c>
      <c r="AJ61" s="24">
        <v>605.4000000000001</v>
      </c>
      <c r="AK61" s="24">
        <v>88.7</v>
      </c>
      <c r="AL61" s="24">
        <v>3681.999999999999</v>
      </c>
      <c r="AM61" s="24">
        <v>167.70000000000005</v>
      </c>
      <c r="AN61" s="24">
        <v>1416.7999999999995</v>
      </c>
      <c r="AO61" s="24">
        <v>452.5000000000001</v>
      </c>
      <c r="AP61" s="24">
        <v>815.5</v>
      </c>
      <c r="AQ61" s="24">
        <v>761.3000000000002</v>
      </c>
      <c r="AR61" s="24">
        <v>189.59999999999997</v>
      </c>
      <c r="AS61" s="24">
        <v>167.99999999999994</v>
      </c>
      <c r="AT61" s="24">
        <v>382.7</v>
      </c>
      <c r="AU61" s="24">
        <v>982.7000000000002</v>
      </c>
      <c r="AV61" s="24">
        <v>272.40000000000003</v>
      </c>
      <c r="AW61" s="24">
        <v>127.29999999999998</v>
      </c>
      <c r="AX61" s="24">
        <v>702.5000000000001</v>
      </c>
      <c r="AY61" s="24">
        <v>228.7</v>
      </c>
      <c r="AZ61" s="24">
        <v>470.2000000000001</v>
      </c>
      <c r="BA61" s="24">
        <v>140.89999999999998</v>
      </c>
      <c r="BB61" s="24">
        <v>797.7</v>
      </c>
      <c r="BC61" s="24">
        <v>1000.5</v>
      </c>
      <c r="BD61" s="24">
        <v>6124.800000000001</v>
      </c>
      <c r="BE61" s="24">
        <v>1917.1999999999998</v>
      </c>
      <c r="BF61" s="24">
        <v>678.6</v>
      </c>
      <c r="BG61" s="24">
        <v>555.4000000000001</v>
      </c>
      <c r="BH61" s="24">
        <v>4955.300000000002</v>
      </c>
      <c r="BI61" s="24">
        <v>17003.399999999998</v>
      </c>
      <c r="BJ61" s="24">
        <v>1566.299999999999</v>
      </c>
      <c r="BK61" s="24">
        <v>39.2</v>
      </c>
      <c r="BL61" s="24">
        <v>628.9</v>
      </c>
      <c r="BM61" s="24">
        <v>0</v>
      </c>
      <c r="BN61" s="24">
        <v>0</v>
      </c>
      <c r="BO61" s="24">
        <v>36226.19999999999</v>
      </c>
      <c r="BP61" s="24">
        <v>58324.8</v>
      </c>
      <c r="BQ61" s="24">
        <v>16180.400000000001</v>
      </c>
      <c r="BR61" s="24">
        <v>1075.8</v>
      </c>
      <c r="BS61" s="24">
        <v>49.400000000000006</v>
      </c>
    </row>
    <row r="62" spans="1:71" x14ac:dyDescent="0.25">
      <c r="A62" s="30" t="s">
        <v>386</v>
      </c>
      <c r="B62" s="31" t="s">
        <v>387</v>
      </c>
      <c r="C62" s="24">
        <v>870.8</v>
      </c>
      <c r="D62" s="24">
        <v>31.300000000000004</v>
      </c>
      <c r="E62" s="24">
        <v>250.6</v>
      </c>
      <c r="F62" s="24">
        <v>116.69999999999999</v>
      </c>
      <c r="G62" s="24">
        <v>1256.9999999999995</v>
      </c>
      <c r="H62" s="24">
        <v>262.90000000000003</v>
      </c>
      <c r="I62" s="24">
        <v>115.30000000000001</v>
      </c>
      <c r="J62" s="24">
        <v>221.8</v>
      </c>
      <c r="K62" s="24">
        <v>143.89999999999998</v>
      </c>
      <c r="L62" s="24">
        <v>704.1</v>
      </c>
      <c r="M62" s="24">
        <v>607.2</v>
      </c>
      <c r="N62" s="24">
        <v>321.6000000000001</v>
      </c>
      <c r="O62" s="24">
        <v>239.7</v>
      </c>
      <c r="P62" s="24">
        <v>253.4</v>
      </c>
      <c r="Q62" s="24">
        <v>396.30000000000007</v>
      </c>
      <c r="R62" s="24">
        <v>449.1000000000001</v>
      </c>
      <c r="S62" s="24">
        <v>232.5</v>
      </c>
      <c r="T62" s="24">
        <v>262.80000000000007</v>
      </c>
      <c r="U62" s="24">
        <v>427.80000000000007</v>
      </c>
      <c r="V62" s="24">
        <v>439.8000000000001</v>
      </c>
      <c r="W62" s="24">
        <v>166.8</v>
      </c>
      <c r="X62" s="24">
        <v>252.1</v>
      </c>
      <c r="Y62" s="24">
        <v>212.00000000000003</v>
      </c>
      <c r="Z62" s="24">
        <v>864.1000000000001</v>
      </c>
      <c r="AA62" s="24">
        <v>158.7</v>
      </c>
      <c r="AB62" s="24">
        <v>567.4</v>
      </c>
      <c r="AC62" s="24">
        <v>2635.1999999999994</v>
      </c>
      <c r="AD62" s="24">
        <v>896.7</v>
      </c>
      <c r="AE62" s="24">
        <v>2732.899999999999</v>
      </c>
      <c r="AF62" s="24">
        <v>2664.3999999999996</v>
      </c>
      <c r="AG62" s="24">
        <v>938.7</v>
      </c>
      <c r="AH62" s="24">
        <v>114.7</v>
      </c>
      <c r="AI62" s="24">
        <v>89.8</v>
      </c>
      <c r="AJ62" s="24">
        <v>1258.1999999999998</v>
      </c>
      <c r="AK62" s="24">
        <v>118.3</v>
      </c>
      <c r="AL62" s="24">
        <v>1316.0999999999997</v>
      </c>
      <c r="AM62" s="24">
        <v>467.40000000000003</v>
      </c>
      <c r="AN62" s="24">
        <v>275.3</v>
      </c>
      <c r="AO62" s="24">
        <v>1161.8999999999996</v>
      </c>
      <c r="AP62" s="24">
        <v>1522.1</v>
      </c>
      <c r="AQ62" s="24">
        <v>1036.1999999999998</v>
      </c>
      <c r="AR62" s="24">
        <v>470.5</v>
      </c>
      <c r="AS62" s="24">
        <v>903.0000000000001</v>
      </c>
      <c r="AT62" s="24">
        <v>609.1000000000001</v>
      </c>
      <c r="AU62" s="24">
        <v>4361.500000000001</v>
      </c>
      <c r="AV62" s="24">
        <v>978.7000000000002</v>
      </c>
      <c r="AW62" s="24">
        <v>490.8</v>
      </c>
      <c r="AX62" s="24">
        <v>559</v>
      </c>
      <c r="AY62" s="24">
        <v>415.3</v>
      </c>
      <c r="AZ62" s="24">
        <v>401.9000000000001</v>
      </c>
      <c r="BA62" s="24">
        <v>388.00000000000006</v>
      </c>
      <c r="BB62" s="24">
        <v>263.50000000000006</v>
      </c>
      <c r="BC62" s="24">
        <v>1656.2999999999995</v>
      </c>
      <c r="BD62" s="24">
        <v>991.9000000000001</v>
      </c>
      <c r="BE62" s="24">
        <v>1333.2999999999997</v>
      </c>
      <c r="BF62" s="24">
        <v>2365.1</v>
      </c>
      <c r="BG62" s="24">
        <v>1269.1999999999998</v>
      </c>
      <c r="BH62" s="24">
        <v>754.4000000000001</v>
      </c>
      <c r="BI62" s="24">
        <v>617.3000000000001</v>
      </c>
      <c r="BJ62" s="24">
        <v>2118.9999999999995</v>
      </c>
      <c r="BK62" s="24">
        <v>44.300000000000004</v>
      </c>
      <c r="BL62" s="24">
        <v>463.3</v>
      </c>
      <c r="BM62" s="24">
        <v>0</v>
      </c>
      <c r="BN62" s="24">
        <v>0</v>
      </c>
      <c r="BO62" s="24">
        <v>19667.299999999996</v>
      </c>
      <c r="BP62" s="24">
        <v>17435.2</v>
      </c>
      <c r="BQ62" s="24">
        <v>85376.90000000001</v>
      </c>
      <c r="BR62" s="24">
        <v>1937.1999999999998</v>
      </c>
      <c r="BS62" s="24">
        <v>44.7</v>
      </c>
    </row>
    <row r="63" spans="1:71" x14ac:dyDescent="0.25">
      <c r="A63" s="30" t="s">
        <v>389</v>
      </c>
      <c r="B63" s="31" t="s">
        <v>390</v>
      </c>
      <c r="C63" s="24">
        <v>66.6</v>
      </c>
      <c r="D63" s="24">
        <v>28.1</v>
      </c>
      <c r="E63" s="24">
        <v>64</v>
      </c>
      <c r="F63" s="24">
        <v>37.50000000000001</v>
      </c>
      <c r="G63" s="24">
        <v>437.90000000000003</v>
      </c>
      <c r="H63" s="24">
        <v>83.99999999999997</v>
      </c>
      <c r="I63" s="24">
        <v>66.19999999999999</v>
      </c>
      <c r="J63" s="24">
        <v>100.19999999999999</v>
      </c>
      <c r="K63" s="24">
        <v>40.8</v>
      </c>
      <c r="L63" s="24">
        <v>154.39999999999998</v>
      </c>
      <c r="M63" s="24">
        <v>157.9</v>
      </c>
      <c r="N63" s="24">
        <v>95.50000000000001</v>
      </c>
      <c r="O63" s="24">
        <v>101.80000000000001</v>
      </c>
      <c r="P63" s="24">
        <v>135.29999999999998</v>
      </c>
      <c r="Q63" s="24">
        <v>104.99999999999999</v>
      </c>
      <c r="R63" s="24">
        <v>186.79999999999998</v>
      </c>
      <c r="S63" s="24">
        <v>341.50000000000006</v>
      </c>
      <c r="T63" s="24">
        <v>191.5</v>
      </c>
      <c r="U63" s="24">
        <v>277.90000000000003</v>
      </c>
      <c r="V63" s="24">
        <v>347.80000000000007</v>
      </c>
      <c r="W63" s="24">
        <v>195.49999999999997</v>
      </c>
      <c r="X63" s="24">
        <v>240.99999999999994</v>
      </c>
      <c r="Y63" s="24">
        <v>285.30000000000007</v>
      </c>
      <c r="Z63" s="24">
        <v>296.30000000000007</v>
      </c>
      <c r="AA63" s="24">
        <v>73.19999999999999</v>
      </c>
      <c r="AB63" s="24">
        <v>102.1</v>
      </c>
      <c r="AC63" s="24">
        <v>450.4000000000001</v>
      </c>
      <c r="AD63" s="24">
        <v>108.49999999999999</v>
      </c>
      <c r="AE63" s="24">
        <v>800.3000000000001</v>
      </c>
      <c r="AF63" s="24">
        <v>1008.5000000000001</v>
      </c>
      <c r="AG63" s="24">
        <v>224.29999999999998</v>
      </c>
      <c r="AH63" s="24">
        <v>76.29999999999998</v>
      </c>
      <c r="AI63" s="24">
        <v>124.6</v>
      </c>
      <c r="AJ63" s="24">
        <v>234.89999999999998</v>
      </c>
      <c r="AK63" s="24">
        <v>64.49999999999999</v>
      </c>
      <c r="AL63" s="24">
        <v>607.2000000000002</v>
      </c>
      <c r="AM63" s="24">
        <v>82.1</v>
      </c>
      <c r="AN63" s="24">
        <v>292.40000000000003</v>
      </c>
      <c r="AO63" s="24">
        <v>710.3000000000001</v>
      </c>
      <c r="AP63" s="24">
        <v>985.1000000000001</v>
      </c>
      <c r="AQ63" s="24">
        <v>578.4000000000001</v>
      </c>
      <c r="AR63" s="24">
        <v>203.49999999999997</v>
      </c>
      <c r="AS63" s="24">
        <v>227.29999999999995</v>
      </c>
      <c r="AT63" s="24">
        <v>431.90000000000003</v>
      </c>
      <c r="AU63" s="24">
        <v>1178.7999999999997</v>
      </c>
      <c r="AV63" s="24">
        <v>288</v>
      </c>
      <c r="AW63" s="24">
        <v>87.1</v>
      </c>
      <c r="AX63" s="24">
        <v>124.89999999999998</v>
      </c>
      <c r="AY63" s="24">
        <v>314.50000000000006</v>
      </c>
      <c r="AZ63" s="24">
        <v>360.1</v>
      </c>
      <c r="BA63" s="24">
        <v>28.6</v>
      </c>
      <c r="BB63" s="24">
        <v>85.7</v>
      </c>
      <c r="BC63" s="24">
        <v>497.20000000000005</v>
      </c>
      <c r="BD63" s="24">
        <v>794</v>
      </c>
      <c r="BE63" s="24">
        <v>277.90000000000003</v>
      </c>
      <c r="BF63" s="24">
        <v>419.40000000000015</v>
      </c>
      <c r="BG63" s="24">
        <v>159.09999999999997</v>
      </c>
      <c r="BH63" s="24">
        <v>94.8</v>
      </c>
      <c r="BI63" s="24">
        <v>99.6</v>
      </c>
      <c r="BJ63" s="24">
        <v>147.4</v>
      </c>
      <c r="BK63" s="24">
        <v>1119.8999999999999</v>
      </c>
      <c r="BL63" s="24">
        <v>42.3</v>
      </c>
      <c r="BM63" s="24">
        <v>0</v>
      </c>
      <c r="BN63" s="24">
        <v>0</v>
      </c>
      <c r="BO63" s="24">
        <v>37.40000000000001</v>
      </c>
      <c r="BP63" s="24">
        <v>9393.900000000003</v>
      </c>
      <c r="BQ63" s="24">
        <v>16.1</v>
      </c>
      <c r="BR63" s="24">
        <v>3884.0999999999995</v>
      </c>
      <c r="BS63" s="24">
        <v>-373.7</v>
      </c>
    </row>
    <row r="64" spans="1:71" x14ac:dyDescent="0.25">
      <c r="A64" s="30" t="s">
        <v>391</v>
      </c>
      <c r="B64" s="31" t="s">
        <v>392</v>
      </c>
      <c r="C64" s="24">
        <v>123.59999999999997</v>
      </c>
      <c r="D64" s="24">
        <v>15.099999999999998</v>
      </c>
      <c r="E64" s="24">
        <v>21.3</v>
      </c>
      <c r="F64" s="24">
        <v>57.60000000000001</v>
      </c>
      <c r="G64" s="24">
        <v>473.30000000000007</v>
      </c>
      <c r="H64" s="24">
        <v>136.79999999999995</v>
      </c>
      <c r="I64" s="24">
        <v>151.5</v>
      </c>
      <c r="J64" s="24">
        <v>112.69999999999996</v>
      </c>
      <c r="K64" s="24">
        <v>53.6</v>
      </c>
      <c r="L64" s="24">
        <v>133.19999999999996</v>
      </c>
      <c r="M64" s="24">
        <v>416.00000000000006</v>
      </c>
      <c r="N64" s="24">
        <v>187.5</v>
      </c>
      <c r="O64" s="24">
        <v>149.2</v>
      </c>
      <c r="P64" s="24">
        <v>141.1999999999999</v>
      </c>
      <c r="Q64" s="24">
        <v>141.79999999999995</v>
      </c>
      <c r="R64" s="24">
        <v>217.89999999999995</v>
      </c>
      <c r="S64" s="24">
        <v>164.59999999999994</v>
      </c>
      <c r="T64" s="24">
        <v>177.49999999999991</v>
      </c>
      <c r="U64" s="24">
        <v>285.50000000000006</v>
      </c>
      <c r="V64" s="24">
        <v>290</v>
      </c>
      <c r="W64" s="24">
        <v>105.49999999999999</v>
      </c>
      <c r="X64" s="24">
        <v>450.70000000000005</v>
      </c>
      <c r="Y64" s="24">
        <v>61.400000000000006</v>
      </c>
      <c r="Z64" s="24">
        <v>294</v>
      </c>
      <c r="AA64" s="24">
        <v>64.5</v>
      </c>
      <c r="AB64" s="24">
        <v>434.3000000000001</v>
      </c>
      <c r="AC64" s="24">
        <v>616.7000000000002</v>
      </c>
      <c r="AD64" s="24">
        <v>135.89999999999995</v>
      </c>
      <c r="AE64" s="24">
        <v>530.8000000000002</v>
      </c>
      <c r="AF64" s="24">
        <v>505.00000000000006</v>
      </c>
      <c r="AG64" s="24">
        <v>436.30000000000007</v>
      </c>
      <c r="AH64" s="24">
        <v>62.300000000000004</v>
      </c>
      <c r="AI64" s="24">
        <v>178.09999999999997</v>
      </c>
      <c r="AJ64" s="24">
        <v>411.4000000000001</v>
      </c>
      <c r="AK64" s="24">
        <v>83.89999999999999</v>
      </c>
      <c r="AL64" s="24">
        <v>2433.5</v>
      </c>
      <c r="AM64" s="24">
        <v>67.4</v>
      </c>
      <c r="AN64" s="24">
        <v>267.1000000000001</v>
      </c>
      <c r="AO64" s="24">
        <v>221.39999999999995</v>
      </c>
      <c r="AP64" s="24">
        <v>485</v>
      </c>
      <c r="AQ64" s="24">
        <v>168.99999999999997</v>
      </c>
      <c r="AR64" s="24">
        <v>89.39999999999999</v>
      </c>
      <c r="AS64" s="24">
        <v>59.20000000000001</v>
      </c>
      <c r="AT64" s="24">
        <v>241.99999999999994</v>
      </c>
      <c r="AU64" s="24">
        <v>1719.8999999999994</v>
      </c>
      <c r="AV64" s="24">
        <v>409.1</v>
      </c>
      <c r="AW64" s="24">
        <v>166.39999999999995</v>
      </c>
      <c r="AX64" s="24">
        <v>342.1</v>
      </c>
      <c r="AY64" s="24">
        <v>250.79999999999995</v>
      </c>
      <c r="AZ64" s="24">
        <v>953.8000000000002</v>
      </c>
      <c r="BA64" s="24">
        <v>318.0000000000001</v>
      </c>
      <c r="BB64" s="24">
        <v>217.6</v>
      </c>
      <c r="BC64" s="24">
        <v>746.6000000000001</v>
      </c>
      <c r="BD64" s="24">
        <v>826.3000000000001</v>
      </c>
      <c r="BE64" s="24">
        <v>522.7</v>
      </c>
      <c r="BF64" s="24">
        <v>3395.3000000000006</v>
      </c>
      <c r="BG64" s="24">
        <v>1801.6999999999996</v>
      </c>
      <c r="BH64" s="24">
        <v>666.7</v>
      </c>
      <c r="BI64" s="24">
        <v>608.8000000000003</v>
      </c>
      <c r="BJ64" s="24">
        <v>430.2000000000001</v>
      </c>
      <c r="BK64" s="24">
        <v>15.7</v>
      </c>
      <c r="BL64" s="24">
        <v>14146</v>
      </c>
      <c r="BM64" s="24">
        <v>0</v>
      </c>
      <c r="BN64" s="24">
        <v>0</v>
      </c>
      <c r="BO64" s="24">
        <v>1036.1999999999998</v>
      </c>
      <c r="BP64" s="24">
        <v>147652.50000000003</v>
      </c>
      <c r="BQ64" s="24">
        <v>155.89999999999998</v>
      </c>
      <c r="BR64" s="24">
        <v>299.3000000000001</v>
      </c>
      <c r="BS64" s="24">
        <v>42.70000000000001</v>
      </c>
    </row>
    <row r="65" spans="1:71" x14ac:dyDescent="0.25">
      <c r="A65" s="30" t="s">
        <v>393</v>
      </c>
      <c r="B65" s="31" t="s">
        <v>394</v>
      </c>
      <c r="C65" s="24">
        <v>13.4</v>
      </c>
      <c r="D65" s="24">
        <v>1.4</v>
      </c>
      <c r="E65" s="24">
        <v>20.2</v>
      </c>
      <c r="F65" s="24">
        <v>0</v>
      </c>
      <c r="G65" s="24">
        <v>49.300000000000004</v>
      </c>
      <c r="H65" s="24">
        <v>0</v>
      </c>
      <c r="I65" s="24">
        <v>0</v>
      </c>
      <c r="J65" s="24">
        <v>0</v>
      </c>
      <c r="K65" s="24">
        <v>0</v>
      </c>
      <c r="L65" s="24">
        <v>0.1</v>
      </c>
      <c r="M65" s="24">
        <v>0.2</v>
      </c>
      <c r="N65" s="24">
        <v>0.1</v>
      </c>
      <c r="O65" s="24">
        <v>0.1</v>
      </c>
      <c r="P65" s="24">
        <v>0</v>
      </c>
      <c r="Q65" s="24">
        <v>0.1</v>
      </c>
      <c r="R65" s="24">
        <v>0.1</v>
      </c>
      <c r="S65" s="24">
        <v>0</v>
      </c>
      <c r="T65" s="24">
        <v>0</v>
      </c>
      <c r="U65" s="24">
        <v>0</v>
      </c>
      <c r="V65" s="24">
        <v>0</v>
      </c>
      <c r="W65" s="24">
        <v>0</v>
      </c>
      <c r="X65" s="24">
        <v>0.3</v>
      </c>
      <c r="Y65" s="24">
        <v>0.1</v>
      </c>
      <c r="Z65" s="24">
        <v>0.1</v>
      </c>
      <c r="AA65" s="24">
        <v>0</v>
      </c>
      <c r="AB65" s="24">
        <v>0.1</v>
      </c>
      <c r="AC65" s="24">
        <v>8.8</v>
      </c>
      <c r="AD65" s="24">
        <v>0</v>
      </c>
      <c r="AE65" s="24">
        <v>0</v>
      </c>
      <c r="AF65" s="24">
        <v>0</v>
      </c>
      <c r="AG65" s="24">
        <v>0</v>
      </c>
      <c r="AH65" s="24">
        <v>0.4</v>
      </c>
      <c r="AI65" s="24">
        <v>0</v>
      </c>
      <c r="AJ65" s="24">
        <v>20.900000000000002</v>
      </c>
      <c r="AK65" s="24">
        <v>0</v>
      </c>
      <c r="AL65" s="24">
        <v>2.5</v>
      </c>
      <c r="AM65" s="24">
        <v>0</v>
      </c>
      <c r="AN65" s="24">
        <v>0</v>
      </c>
      <c r="AO65" s="24">
        <v>0</v>
      </c>
      <c r="AP65" s="24">
        <v>0</v>
      </c>
      <c r="AQ65" s="24">
        <v>0</v>
      </c>
      <c r="AR65" s="24">
        <v>0</v>
      </c>
      <c r="AS65" s="24">
        <v>0</v>
      </c>
      <c r="AT65" s="24">
        <v>7</v>
      </c>
      <c r="AU65" s="24">
        <v>0</v>
      </c>
      <c r="AV65" s="24">
        <v>4.2</v>
      </c>
      <c r="AW65" s="24">
        <v>1.4</v>
      </c>
      <c r="AX65" s="24">
        <v>0</v>
      </c>
      <c r="AY65" s="24">
        <v>0</v>
      </c>
      <c r="AZ65" s="24">
        <v>0</v>
      </c>
      <c r="BA65" s="24">
        <v>2.5</v>
      </c>
      <c r="BB65" s="24">
        <v>0.6000000000000001</v>
      </c>
      <c r="BC65" s="24">
        <v>4.6</v>
      </c>
      <c r="BD65" s="24">
        <v>280.9</v>
      </c>
      <c r="BE65" s="24">
        <v>81.3</v>
      </c>
      <c r="BF65" s="24">
        <v>64.1</v>
      </c>
      <c r="BG65" s="24">
        <v>72.3</v>
      </c>
      <c r="BH65" s="24">
        <v>10</v>
      </c>
      <c r="BI65" s="24">
        <v>5.2</v>
      </c>
      <c r="BJ65" s="24">
        <v>1.1</v>
      </c>
      <c r="BK65" s="24">
        <v>0</v>
      </c>
      <c r="BL65" s="24">
        <v>0.1</v>
      </c>
      <c r="BM65" s="24">
        <v>0</v>
      </c>
      <c r="BN65" s="24">
        <v>0</v>
      </c>
      <c r="BO65" s="24">
        <v>1743.1999999999998</v>
      </c>
      <c r="BP65" s="24">
        <v>43638.2</v>
      </c>
      <c r="BQ65" s="24">
        <v>0</v>
      </c>
      <c r="BR65" s="24">
        <v>0.6</v>
      </c>
      <c r="BS65" s="24">
        <v>0.2</v>
      </c>
    </row>
    <row r="66" spans="1:71" x14ac:dyDescent="0.25">
      <c r="A66" s="30" t="s">
        <v>395</v>
      </c>
      <c r="B66" s="31" t="s">
        <v>396</v>
      </c>
      <c r="C66" s="24">
        <v>0</v>
      </c>
      <c r="D66" s="24">
        <v>0</v>
      </c>
      <c r="E66" s="24">
        <v>0</v>
      </c>
      <c r="F66" s="24">
        <v>0</v>
      </c>
      <c r="G66" s="24">
        <v>0</v>
      </c>
      <c r="H66" s="24">
        <v>0</v>
      </c>
      <c r="I66" s="24">
        <v>0</v>
      </c>
      <c r="J66" s="24">
        <v>0</v>
      </c>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4">
        <v>0</v>
      </c>
      <c r="AG66" s="24">
        <v>0</v>
      </c>
      <c r="AH66" s="24">
        <v>0</v>
      </c>
      <c r="AI66" s="24">
        <v>0</v>
      </c>
      <c r="AJ66" s="24">
        <v>0</v>
      </c>
      <c r="AK66" s="24">
        <v>0</v>
      </c>
      <c r="AL66" s="24">
        <v>0</v>
      </c>
      <c r="AM66" s="24">
        <v>0</v>
      </c>
      <c r="AN66" s="24">
        <v>0</v>
      </c>
      <c r="AO66" s="24">
        <v>0</v>
      </c>
      <c r="AP66" s="24">
        <v>0</v>
      </c>
      <c r="AQ66" s="24">
        <v>0</v>
      </c>
      <c r="AR66" s="24">
        <v>0</v>
      </c>
      <c r="AS66" s="24">
        <v>0</v>
      </c>
      <c r="AT66" s="24">
        <v>0</v>
      </c>
      <c r="AU66" s="24">
        <v>0</v>
      </c>
      <c r="AV66" s="24">
        <v>0</v>
      </c>
      <c r="AW66" s="24">
        <v>0</v>
      </c>
      <c r="AX66" s="24">
        <v>0</v>
      </c>
      <c r="AY66" s="24">
        <v>0</v>
      </c>
      <c r="AZ66" s="24">
        <v>0</v>
      </c>
      <c r="BA66" s="24">
        <v>0</v>
      </c>
      <c r="BB66" s="24">
        <v>0</v>
      </c>
      <c r="BC66" s="24">
        <v>0</v>
      </c>
      <c r="BD66" s="24">
        <v>0</v>
      </c>
      <c r="BE66" s="24">
        <v>0</v>
      </c>
      <c r="BF66" s="24">
        <v>0</v>
      </c>
      <c r="BG66" s="24">
        <v>0</v>
      </c>
      <c r="BH66" s="24">
        <v>0</v>
      </c>
      <c r="BI66" s="24">
        <v>0</v>
      </c>
      <c r="BJ66" s="24">
        <v>0</v>
      </c>
      <c r="BK66" s="24">
        <v>0</v>
      </c>
      <c r="BL66" s="24">
        <v>0</v>
      </c>
      <c r="BM66" s="24">
        <v>0</v>
      </c>
      <c r="BN66" s="24">
        <v>0</v>
      </c>
      <c r="BO66" s="24">
        <v>0</v>
      </c>
      <c r="BP66" s="24">
        <v>0</v>
      </c>
      <c r="BQ66" s="24">
        <v>0</v>
      </c>
      <c r="BR66" s="24">
        <v>0</v>
      </c>
      <c r="BS66" s="24">
        <v>0</v>
      </c>
    </row>
    <row r="67" spans="1:71" x14ac:dyDescent="0.25">
      <c r="A67" s="30" t="s">
        <v>408</v>
      </c>
      <c r="B67" s="31" t="s">
        <v>409</v>
      </c>
      <c r="C67" s="24">
        <v>230146.4</v>
      </c>
      <c r="D67" s="24">
        <v>21434.6</v>
      </c>
      <c r="E67" s="24">
        <v>4307.4</v>
      </c>
      <c r="F67" s="24">
        <v>38968.7</v>
      </c>
      <c r="G67" s="24">
        <v>132312.7</v>
      </c>
      <c r="H67" s="24">
        <v>32088.6</v>
      </c>
      <c r="I67" s="24">
        <v>25626.3</v>
      </c>
      <c r="J67" s="24">
        <v>25312.8</v>
      </c>
      <c r="K67" s="24">
        <v>9276.4</v>
      </c>
      <c r="L67" s="24">
        <v>47156.4</v>
      </c>
      <c r="M67" s="24">
        <v>65780.2</v>
      </c>
      <c r="N67" s="24">
        <v>131798.9</v>
      </c>
      <c r="O67" s="24">
        <v>41902.2</v>
      </c>
      <c r="P67" s="24">
        <v>34716.6</v>
      </c>
      <c r="Q67" s="24">
        <v>37886.3</v>
      </c>
      <c r="R67" s="24">
        <v>74974.8</v>
      </c>
      <c r="S67" s="24">
        <v>118454.5</v>
      </c>
      <c r="T67" s="24">
        <v>42546.6</v>
      </c>
      <c r="U67" s="24">
        <v>102190.3</v>
      </c>
      <c r="V67" s="24">
        <v>137475.3</v>
      </c>
      <c r="W67" s="24">
        <v>28397.8</v>
      </c>
      <c r="X67" s="24">
        <v>45579.9</v>
      </c>
      <c r="Y67" s="24">
        <v>30311.2</v>
      </c>
      <c r="Z67" s="24">
        <v>335246.8</v>
      </c>
      <c r="AA67" s="24">
        <v>17647.3</v>
      </c>
      <c r="AB67" s="24">
        <v>61027.4</v>
      </c>
      <c r="AC67" s="24">
        <v>398479.8</v>
      </c>
      <c r="AD67" s="24">
        <v>87315.4</v>
      </c>
      <c r="AE67" s="24">
        <v>472646.7</v>
      </c>
      <c r="AF67" s="24">
        <v>220766.7</v>
      </c>
      <c r="AG67" s="24">
        <v>113506.3</v>
      </c>
      <c r="AH67" s="24">
        <v>59586.5</v>
      </c>
      <c r="AI67" s="24">
        <v>11937.6</v>
      </c>
      <c r="AJ67" s="24">
        <v>123878.1</v>
      </c>
      <c r="AK67" s="24">
        <v>8280.7</v>
      </c>
      <c r="AL67" s="24">
        <v>178636.3</v>
      </c>
      <c r="AM67" s="24">
        <v>64425.8</v>
      </c>
      <c r="AN67" s="24">
        <v>31726.2</v>
      </c>
      <c r="AO67" s="24">
        <v>86386.5</v>
      </c>
      <c r="AP67" s="24">
        <v>181778.8</v>
      </c>
      <c r="AQ67" s="24">
        <v>207063.7</v>
      </c>
      <c r="AR67" s="24">
        <v>77592.6</v>
      </c>
      <c r="AS67" s="24">
        <v>50830.9</v>
      </c>
      <c r="AT67" s="24">
        <v>1495163.6</v>
      </c>
      <c r="AU67" s="24">
        <v>210975.3</v>
      </c>
      <c r="AV67" s="24">
        <v>83826.4</v>
      </c>
      <c r="AW67" s="24">
        <v>81112.1</v>
      </c>
      <c r="AX67" s="24">
        <v>25001.2</v>
      </c>
      <c r="AY67" s="24">
        <v>47044.1</v>
      </c>
      <c r="AZ67" s="24">
        <v>159246.6</v>
      </c>
      <c r="BA67" s="24">
        <v>11516.8</v>
      </c>
      <c r="BB67" s="24">
        <v>16841.4</v>
      </c>
      <c r="BC67" s="24">
        <v>97541.7</v>
      </c>
      <c r="BD67" s="24">
        <v>235106.9</v>
      </c>
      <c r="BE67" s="24">
        <v>119321.5</v>
      </c>
      <c r="BF67" s="24">
        <v>221855.3</v>
      </c>
      <c r="BG67" s="24">
        <v>43459.1</v>
      </c>
      <c r="BH67" s="24">
        <v>55685.1</v>
      </c>
      <c r="BI67" s="24">
        <v>24019.6</v>
      </c>
      <c r="BJ67" s="24">
        <v>10920.5</v>
      </c>
      <c r="BK67" s="24">
        <v>7966</v>
      </c>
      <c r="BL67" s="24">
        <v>73395.4</v>
      </c>
      <c r="BM67" s="24">
        <v>12.1</v>
      </c>
      <c r="BN67" s="24">
        <v>0</v>
      </c>
      <c r="BO67" s="24">
        <v>0</v>
      </c>
      <c r="BP67" s="24">
        <v>0</v>
      </c>
      <c r="BQ67" s="24">
        <v>0</v>
      </c>
      <c r="BR67" s="24">
        <v>0</v>
      </c>
      <c r="BS67" s="24">
        <v>0</v>
      </c>
    </row>
    <row r="68" spans="1:71" x14ac:dyDescent="0.25">
      <c r="A68" s="30" t="s">
        <v>410</v>
      </c>
      <c r="B68" s="31" t="s">
        <v>411</v>
      </c>
      <c r="C68" s="24">
        <v>55795.8</v>
      </c>
      <c r="D68" s="24">
        <v>9168.9</v>
      </c>
      <c r="E68" s="24">
        <v>2540</v>
      </c>
      <c r="F68" s="24">
        <v>19451.9</v>
      </c>
      <c r="G68" s="24">
        <v>163173.1</v>
      </c>
      <c r="H68" s="24">
        <v>44207.4</v>
      </c>
      <c r="I68" s="24">
        <v>27376.6</v>
      </c>
      <c r="J68" s="24">
        <v>28810.8</v>
      </c>
      <c r="K68" s="24">
        <v>16842.9</v>
      </c>
      <c r="L68" s="24">
        <v>9163.1</v>
      </c>
      <c r="M68" s="24">
        <v>78035.1</v>
      </c>
      <c r="N68" s="24">
        <v>43594.6</v>
      </c>
      <c r="O68" s="24">
        <v>66784.9</v>
      </c>
      <c r="P68" s="24">
        <v>48639</v>
      </c>
      <c r="Q68" s="24">
        <v>47120.7</v>
      </c>
      <c r="R68" s="24">
        <v>141421.8</v>
      </c>
      <c r="S68" s="24">
        <v>64081</v>
      </c>
      <c r="T68" s="24">
        <v>75910</v>
      </c>
      <c r="U68" s="24">
        <v>170726.5</v>
      </c>
      <c r="V68" s="24">
        <v>134665.4</v>
      </c>
      <c r="W68" s="24">
        <v>40847.3</v>
      </c>
      <c r="X68" s="24">
        <v>62954.8</v>
      </c>
      <c r="Y68" s="24">
        <v>70079.3</v>
      </c>
      <c r="Z68" s="24">
        <v>83268.5</v>
      </c>
      <c r="AA68" s="24">
        <v>14135.1</v>
      </c>
      <c r="AB68" s="24">
        <v>49814.9</v>
      </c>
      <c r="AC68" s="24">
        <v>460011.2</v>
      </c>
      <c r="AD68" s="24">
        <v>116614.7</v>
      </c>
      <c r="AE68" s="24">
        <v>439785</v>
      </c>
      <c r="AF68" s="24">
        <v>388581.7</v>
      </c>
      <c r="AG68" s="24">
        <v>198638.5</v>
      </c>
      <c r="AH68" s="24">
        <v>13497.9</v>
      </c>
      <c r="AI68" s="24">
        <v>20724.1</v>
      </c>
      <c r="AJ68" s="24">
        <v>146271</v>
      </c>
      <c r="AK68" s="24">
        <v>47483.1</v>
      </c>
      <c r="AL68" s="24">
        <v>237266.2</v>
      </c>
      <c r="AM68" s="24">
        <v>41434.8</v>
      </c>
      <c r="AN68" s="24">
        <v>36394.6</v>
      </c>
      <c r="AO68" s="24">
        <v>46778.1</v>
      </c>
      <c r="AP68" s="24">
        <v>326346.8</v>
      </c>
      <c r="AQ68" s="24">
        <v>202559.6</v>
      </c>
      <c r="AR68" s="24">
        <v>52745.7</v>
      </c>
      <c r="AS68" s="24">
        <v>75668.7</v>
      </c>
      <c r="AT68" s="24">
        <v>84237</v>
      </c>
      <c r="AU68" s="24">
        <v>339931.2</v>
      </c>
      <c r="AV68" s="24">
        <v>140991.6</v>
      </c>
      <c r="AW68" s="24">
        <v>80574.1</v>
      </c>
      <c r="AX68" s="24">
        <v>40093.7</v>
      </c>
      <c r="AY68" s="24">
        <v>34556.9</v>
      </c>
      <c r="AZ68" s="24">
        <v>33083.2</v>
      </c>
      <c r="BA68" s="24">
        <v>165308.9</v>
      </c>
      <c r="BB68" s="24">
        <v>12775</v>
      </c>
      <c r="BC68" s="24">
        <v>231395.7</v>
      </c>
      <c r="BD68" s="24">
        <v>713606.4</v>
      </c>
      <c r="BE68" s="24">
        <v>615661.2</v>
      </c>
      <c r="BF68" s="24">
        <v>556785.3</v>
      </c>
      <c r="BG68" s="24">
        <v>326038.8</v>
      </c>
      <c r="BH68" s="24">
        <v>54191.3</v>
      </c>
      <c r="BI68" s="24">
        <v>54683.6</v>
      </c>
      <c r="BJ68" s="24">
        <v>89371.3</v>
      </c>
      <c r="BK68" s="24">
        <v>8515.5</v>
      </c>
      <c r="BL68" s="24">
        <v>40841</v>
      </c>
      <c r="BM68" s="24">
        <v>46020.6</v>
      </c>
      <c r="BN68" s="24">
        <v>0</v>
      </c>
      <c r="BO68" s="24">
        <v>0</v>
      </c>
      <c r="BP68" s="24">
        <v>0</v>
      </c>
      <c r="BQ68" s="24">
        <v>0</v>
      </c>
      <c r="BR68" s="24">
        <v>0</v>
      </c>
      <c r="BS68" s="24">
        <v>0</v>
      </c>
    </row>
    <row r="69" spans="1:71" x14ac:dyDescent="0.25">
      <c r="A69" s="30" t="s">
        <v>412</v>
      </c>
      <c r="B69" s="31" t="s">
        <v>413</v>
      </c>
      <c r="C69" s="24">
        <v>10176.4</v>
      </c>
      <c r="D69" s="24">
        <v>830.9</v>
      </c>
      <c r="E69" s="24">
        <v>277.3</v>
      </c>
      <c r="F69" s="24">
        <v>1221.3</v>
      </c>
      <c r="G69" s="24">
        <v>8652.6</v>
      </c>
      <c r="H69" s="24">
        <v>2007.2</v>
      </c>
      <c r="I69" s="24">
        <v>1004.4</v>
      </c>
      <c r="J69" s="24">
        <v>1510</v>
      </c>
      <c r="K69" s="24">
        <v>476.5</v>
      </c>
      <c r="L69" s="24">
        <v>4261</v>
      </c>
      <c r="M69" s="24">
        <v>5854.9</v>
      </c>
      <c r="N69" s="24">
        <v>2161.6</v>
      </c>
      <c r="O69" s="24">
        <v>2357.5</v>
      </c>
      <c r="P69" s="24">
        <v>2427</v>
      </c>
      <c r="Q69" s="24">
        <v>2737</v>
      </c>
      <c r="R69" s="24">
        <v>3458.7</v>
      </c>
      <c r="S69" s="24">
        <v>1791.4</v>
      </c>
      <c r="T69" s="24">
        <v>2144.4</v>
      </c>
      <c r="U69" s="24">
        <v>3139.9</v>
      </c>
      <c r="V69" s="24">
        <v>4089.3</v>
      </c>
      <c r="W69" s="24">
        <v>1120.1</v>
      </c>
      <c r="X69" s="24">
        <v>2110.6</v>
      </c>
      <c r="Y69" s="24">
        <v>1265</v>
      </c>
      <c r="Z69" s="24">
        <v>2102.8</v>
      </c>
      <c r="AA69" s="24">
        <v>820.2</v>
      </c>
      <c r="AB69" s="24">
        <v>5337.5</v>
      </c>
      <c r="AC69" s="24">
        <v>19553.3</v>
      </c>
      <c r="AD69" s="24">
        <v>3172.3</v>
      </c>
      <c r="AE69" s="24">
        <v>11522.3</v>
      </c>
      <c r="AF69" s="24">
        <v>7121.6</v>
      </c>
      <c r="AG69" s="24">
        <v>24576.5</v>
      </c>
      <c r="AH69" s="24">
        <v>3059.1</v>
      </c>
      <c r="AI69" s="24">
        <v>4625.1</v>
      </c>
      <c r="AJ69" s="24">
        <v>9440.3</v>
      </c>
      <c r="AK69" s="24">
        <v>4179.7</v>
      </c>
      <c r="AL69" s="24">
        <v>13316.2</v>
      </c>
      <c r="AM69" s="24">
        <v>1310.9</v>
      </c>
      <c r="AN69" s="24">
        <v>1346.5</v>
      </c>
      <c r="AO69" s="24">
        <v>1905.6</v>
      </c>
      <c r="AP69" s="24">
        <v>5282.9</v>
      </c>
      <c r="AQ69" s="24">
        <v>21640.7</v>
      </c>
      <c r="AR69" s="24">
        <v>17153.2</v>
      </c>
      <c r="AS69" s="24">
        <v>10618.3</v>
      </c>
      <c r="AT69" s="24">
        <v>25744.6</v>
      </c>
      <c r="AU69" s="24">
        <v>10070.3</v>
      </c>
      <c r="AV69" s="24">
        <v>2183.5</v>
      </c>
      <c r="AW69" s="24">
        <v>5575</v>
      </c>
      <c r="AX69" s="24">
        <v>797.9</v>
      </c>
      <c r="AY69" s="24">
        <v>1181.8</v>
      </c>
      <c r="AZ69" s="24">
        <v>3231.2</v>
      </c>
      <c r="BA69" s="24">
        <v>590.7</v>
      </c>
      <c r="BB69" s="24">
        <v>1084.6</v>
      </c>
      <c r="BC69" s="24">
        <v>4254.4</v>
      </c>
      <c r="BD69" s="24">
        <v>52991.2</v>
      </c>
      <c r="BE69" s="24">
        <v>18122.2</v>
      </c>
      <c r="BF69" s="24">
        <v>43878.9</v>
      </c>
      <c r="BG69" s="24">
        <v>18155.5</v>
      </c>
      <c r="BH69" s="24">
        <v>8179.7</v>
      </c>
      <c r="BI69" s="24">
        <v>5393.5</v>
      </c>
      <c r="BJ69" s="24">
        <v>7561</v>
      </c>
      <c r="BK69" s="24">
        <v>246.6</v>
      </c>
      <c r="BL69" s="24">
        <v>1562.4</v>
      </c>
      <c r="BM69" s="24">
        <v>0</v>
      </c>
      <c r="BN69" s="24">
        <v>0</v>
      </c>
      <c r="BO69" s="24">
        <v>19201.1</v>
      </c>
      <c r="BP69" s="24">
        <v>942316.8</v>
      </c>
      <c r="BQ69" s="24">
        <v>72.1</v>
      </c>
      <c r="BR69" s="24">
        <v>252326.1</v>
      </c>
      <c r="BS69" s="24">
        <v>1143.4</v>
      </c>
    </row>
    <row r="70" spans="1:71" x14ac:dyDescent="0.25">
      <c r="A70" s="30" t="s">
        <v>414</v>
      </c>
      <c r="B70" s="31" t="s">
        <v>415</v>
      </c>
      <c r="C70" s="24">
        <v>-42811.3</v>
      </c>
      <c r="D70" s="24">
        <v>-353.8</v>
      </c>
      <c r="E70" s="24">
        <v>-193.5</v>
      </c>
      <c r="F70" s="24">
        <v>474.8</v>
      </c>
      <c r="G70" s="24">
        <v>2050.5</v>
      </c>
      <c r="H70" s="24">
        <v>189.7</v>
      </c>
      <c r="I70" s="24">
        <v>458.9</v>
      </c>
      <c r="J70" s="24">
        <v>686.9</v>
      </c>
      <c r="K70" s="24">
        <v>71.1</v>
      </c>
      <c r="L70" s="24">
        <v>6713.8</v>
      </c>
      <c r="M70" s="24">
        <v>1304.9</v>
      </c>
      <c r="N70" s="24">
        <v>576.8</v>
      </c>
      <c r="O70" s="24">
        <v>298.7</v>
      </c>
      <c r="P70" s="24">
        <v>2331.5</v>
      </c>
      <c r="Q70" s="24">
        <v>789.9</v>
      </c>
      <c r="R70" s="24">
        <v>1068.2</v>
      </c>
      <c r="S70" s="24">
        <v>-133.3</v>
      </c>
      <c r="T70" s="24">
        <v>67.8</v>
      </c>
      <c r="U70" s="24">
        <v>396.3</v>
      </c>
      <c r="V70" s="24">
        <v>815.5</v>
      </c>
      <c r="W70" s="24">
        <v>-93.6</v>
      </c>
      <c r="X70" s="24">
        <v>419.4</v>
      </c>
      <c r="Y70" s="24">
        <v>1096.1</v>
      </c>
      <c r="Z70" s="24">
        <v>7390.4</v>
      </c>
      <c r="AA70" s="24">
        <v>495.8</v>
      </c>
      <c r="AB70" s="24">
        <v>743.3</v>
      </c>
      <c r="AC70" s="24">
        <v>13071.9</v>
      </c>
      <c r="AD70" s="24">
        <v>5755.7</v>
      </c>
      <c r="AE70" s="24">
        <v>-12758.9</v>
      </c>
      <c r="AF70" s="24">
        <v>30098.1</v>
      </c>
      <c r="AG70" s="24">
        <v>-3514.6</v>
      </c>
      <c r="AH70" s="24">
        <v>-444.9</v>
      </c>
      <c r="AI70" s="24">
        <v>248.5</v>
      </c>
      <c r="AJ70" s="24">
        <v>3655.4</v>
      </c>
      <c r="AK70" s="24">
        <v>-422.1</v>
      </c>
      <c r="AL70" s="24">
        <v>4320.9</v>
      </c>
      <c r="AM70" s="24">
        <v>444.2</v>
      </c>
      <c r="AN70" s="24">
        <v>-1076.9</v>
      </c>
      <c r="AO70" s="24">
        <v>2242</v>
      </c>
      <c r="AP70" s="24">
        <v>4559</v>
      </c>
      <c r="AQ70" s="24">
        <v>33761.6</v>
      </c>
      <c r="AR70" s="24">
        <v>3900</v>
      </c>
      <c r="AS70" s="24">
        <v>3015.6</v>
      </c>
      <c r="AT70" s="24">
        <v>94419.1</v>
      </c>
      <c r="AU70" s="24">
        <v>5220.6</v>
      </c>
      <c r="AV70" s="24">
        <v>2297.9</v>
      </c>
      <c r="AW70" s="24">
        <v>-5869.8</v>
      </c>
      <c r="AX70" s="24">
        <v>607.7</v>
      </c>
      <c r="AY70" s="24">
        <v>468.2</v>
      </c>
      <c r="AZ70" s="24">
        <v>1762.8</v>
      </c>
      <c r="BA70" s="24">
        <v>1419.5</v>
      </c>
      <c r="BB70" s="24">
        <v>-662.9</v>
      </c>
      <c r="BC70" s="24">
        <v>-543.8</v>
      </c>
      <c r="BD70" s="24">
        <v>12008</v>
      </c>
      <c r="BE70" s="24">
        <v>5445.2</v>
      </c>
      <c r="BF70" s="24">
        <v>2620.8</v>
      </c>
      <c r="BG70" s="24">
        <v>-149.1</v>
      </c>
      <c r="BH70" s="24">
        <v>112.9</v>
      </c>
      <c r="BI70" s="24">
        <v>-714</v>
      </c>
      <c r="BJ70" s="24">
        <v>-825.1</v>
      </c>
      <c r="BK70" s="24">
        <v>174.3</v>
      </c>
      <c r="BL70" s="24">
        <v>487.3</v>
      </c>
      <c r="BM70" s="24">
        <v>0</v>
      </c>
      <c r="BN70" s="24">
        <v>0</v>
      </c>
      <c r="BO70" s="24">
        <v>0</v>
      </c>
      <c r="BP70" s="24">
        <v>0</v>
      </c>
      <c r="BQ70" s="24">
        <v>0</v>
      </c>
      <c r="BR70" s="24">
        <v>0</v>
      </c>
      <c r="BS70" s="24">
        <v>0</v>
      </c>
    </row>
    <row r="71" spans="1:71" x14ac:dyDescent="0.25">
      <c r="A71" s="30" t="s">
        <v>416</v>
      </c>
      <c r="B71" s="31" t="s">
        <v>417</v>
      </c>
      <c r="C71" s="24">
        <v>0</v>
      </c>
      <c r="D71" s="24">
        <v>0</v>
      </c>
      <c r="E71" s="24">
        <v>0</v>
      </c>
      <c r="F71" s="24">
        <v>0</v>
      </c>
      <c r="G71" s="24">
        <v>0</v>
      </c>
      <c r="H71" s="24">
        <v>0</v>
      </c>
      <c r="I71" s="24">
        <v>0</v>
      </c>
      <c r="J71" s="24">
        <v>0</v>
      </c>
      <c r="K71" s="24">
        <v>0</v>
      </c>
      <c r="L71" s="24">
        <v>0</v>
      </c>
      <c r="M71" s="24">
        <v>0</v>
      </c>
      <c r="N71" s="24">
        <v>0</v>
      </c>
      <c r="O71" s="24">
        <v>0</v>
      </c>
      <c r="P71" s="24">
        <v>0</v>
      </c>
      <c r="Q71" s="24">
        <v>0</v>
      </c>
      <c r="R71" s="24">
        <v>0</v>
      </c>
      <c r="S71" s="24">
        <v>0</v>
      </c>
      <c r="T71" s="24">
        <v>0</v>
      </c>
      <c r="U71" s="24">
        <v>0</v>
      </c>
      <c r="V71" s="24">
        <v>0</v>
      </c>
      <c r="W71" s="24">
        <v>0</v>
      </c>
      <c r="X71" s="24">
        <v>0</v>
      </c>
      <c r="Y71" s="24">
        <v>0</v>
      </c>
      <c r="Z71" s="24">
        <v>0</v>
      </c>
      <c r="AA71" s="24">
        <v>0</v>
      </c>
      <c r="AB71" s="24">
        <v>0</v>
      </c>
      <c r="AC71" s="24">
        <v>0</v>
      </c>
      <c r="AD71" s="24">
        <v>0</v>
      </c>
      <c r="AE71" s="24">
        <v>0</v>
      </c>
      <c r="AF71" s="24">
        <v>0</v>
      </c>
      <c r="AG71" s="24">
        <v>0</v>
      </c>
      <c r="AH71" s="24">
        <v>0</v>
      </c>
      <c r="AI71" s="24">
        <v>0</v>
      </c>
      <c r="AJ71" s="24">
        <v>0</v>
      </c>
      <c r="AK71" s="24">
        <v>0</v>
      </c>
      <c r="AL71" s="24">
        <v>0</v>
      </c>
      <c r="AM71" s="24">
        <v>0</v>
      </c>
      <c r="AN71" s="24">
        <v>0</v>
      </c>
      <c r="AO71" s="24">
        <v>0</v>
      </c>
      <c r="AP71" s="24">
        <v>0</v>
      </c>
      <c r="AQ71" s="24">
        <v>0</v>
      </c>
      <c r="AR71" s="24">
        <v>0</v>
      </c>
      <c r="AS71" s="24">
        <v>0</v>
      </c>
      <c r="AT71" s="24">
        <v>0</v>
      </c>
      <c r="AU71" s="24">
        <v>0</v>
      </c>
      <c r="AV71" s="24">
        <v>0</v>
      </c>
      <c r="AW71" s="24">
        <v>0</v>
      </c>
      <c r="AX71" s="24">
        <v>0</v>
      </c>
      <c r="AY71" s="24">
        <v>0</v>
      </c>
      <c r="AZ71" s="24">
        <v>0</v>
      </c>
      <c r="BA71" s="24">
        <v>0</v>
      </c>
      <c r="BB71" s="24">
        <v>0</v>
      </c>
      <c r="BC71" s="24">
        <v>0</v>
      </c>
      <c r="BD71" s="24">
        <v>0</v>
      </c>
      <c r="BE71" s="24">
        <v>0</v>
      </c>
      <c r="BF71" s="24">
        <v>0</v>
      </c>
      <c r="BG71" s="24">
        <v>0</v>
      </c>
      <c r="BH71" s="24">
        <v>0</v>
      </c>
      <c r="BI71" s="24">
        <v>0</v>
      </c>
      <c r="BJ71" s="24">
        <v>0</v>
      </c>
      <c r="BK71" s="24">
        <v>0</v>
      </c>
      <c r="BL71" s="24">
        <v>0</v>
      </c>
      <c r="BM71" s="24">
        <v>0</v>
      </c>
      <c r="BN71" s="24">
        <v>0</v>
      </c>
      <c r="BO71" s="24">
        <v>0</v>
      </c>
      <c r="BP71" s="24">
        <v>316426.1</v>
      </c>
      <c r="BQ71" s="24">
        <v>0</v>
      </c>
      <c r="BR71" s="24">
        <v>0</v>
      </c>
      <c r="BS71" s="24">
        <v>0</v>
      </c>
    </row>
    <row r="72" spans="1:71" x14ac:dyDescent="0.25">
      <c r="A72" s="30" t="s">
        <v>418</v>
      </c>
      <c r="B72" s="31" t="s">
        <v>419</v>
      </c>
      <c r="C72" s="24">
        <v>0</v>
      </c>
      <c r="D72" s="24">
        <v>0</v>
      </c>
      <c r="E72" s="24">
        <v>0</v>
      </c>
      <c r="F72" s="24">
        <v>0</v>
      </c>
      <c r="G72" s="24">
        <v>0</v>
      </c>
      <c r="H72" s="24">
        <v>0</v>
      </c>
      <c r="I72" s="24">
        <v>0</v>
      </c>
      <c r="J72" s="24">
        <v>0</v>
      </c>
      <c r="K72" s="24">
        <v>0</v>
      </c>
      <c r="L72" s="24">
        <v>0</v>
      </c>
      <c r="M72" s="24">
        <v>0</v>
      </c>
      <c r="N72" s="24">
        <v>0</v>
      </c>
      <c r="O72" s="24">
        <v>0</v>
      </c>
      <c r="P72" s="24">
        <v>0</v>
      </c>
      <c r="Q72" s="24">
        <v>0</v>
      </c>
      <c r="R72" s="24">
        <v>0</v>
      </c>
      <c r="S72" s="24">
        <v>0</v>
      </c>
      <c r="T72" s="24">
        <v>0</v>
      </c>
      <c r="U72" s="24">
        <v>0</v>
      </c>
      <c r="V72" s="24">
        <v>0</v>
      </c>
      <c r="W72" s="24">
        <v>0</v>
      </c>
      <c r="X72" s="24">
        <v>0</v>
      </c>
      <c r="Y72" s="24">
        <v>0</v>
      </c>
      <c r="Z72" s="24">
        <v>0</v>
      </c>
      <c r="AA72" s="24">
        <v>0</v>
      </c>
      <c r="AB72" s="24">
        <v>0</v>
      </c>
      <c r="AC72" s="24">
        <v>0</v>
      </c>
      <c r="AD72" s="24">
        <v>0</v>
      </c>
      <c r="AE72" s="24">
        <v>0</v>
      </c>
      <c r="AF72" s="24">
        <v>0</v>
      </c>
      <c r="AG72" s="24">
        <v>0</v>
      </c>
      <c r="AH72" s="24">
        <v>0</v>
      </c>
      <c r="AI72" s="24">
        <v>0</v>
      </c>
      <c r="AJ72" s="24">
        <v>0</v>
      </c>
      <c r="AK72" s="24">
        <v>0</v>
      </c>
      <c r="AL72" s="24">
        <v>0</v>
      </c>
      <c r="AM72" s="24">
        <v>0</v>
      </c>
      <c r="AN72" s="24">
        <v>0</v>
      </c>
      <c r="AO72" s="24">
        <v>0</v>
      </c>
      <c r="AP72" s="24">
        <v>0</v>
      </c>
      <c r="AQ72" s="24">
        <v>0</v>
      </c>
      <c r="AR72" s="24">
        <v>0</v>
      </c>
      <c r="AS72" s="24">
        <v>0</v>
      </c>
      <c r="AT72" s="24">
        <v>0</v>
      </c>
      <c r="AU72" s="24">
        <v>0</v>
      </c>
      <c r="AV72" s="24">
        <v>0</v>
      </c>
      <c r="AW72" s="24">
        <v>0</v>
      </c>
      <c r="AX72" s="24">
        <v>0</v>
      </c>
      <c r="AY72" s="24">
        <v>0</v>
      </c>
      <c r="AZ72" s="24">
        <v>0</v>
      </c>
      <c r="BA72" s="24">
        <v>0</v>
      </c>
      <c r="BB72" s="24">
        <v>0</v>
      </c>
      <c r="BC72" s="24">
        <v>0</v>
      </c>
      <c r="BD72" s="24">
        <v>0</v>
      </c>
      <c r="BE72" s="24">
        <v>0</v>
      </c>
      <c r="BF72" s="24">
        <v>0</v>
      </c>
      <c r="BG72" s="24">
        <v>0</v>
      </c>
      <c r="BH72" s="24">
        <v>0</v>
      </c>
      <c r="BI72" s="24">
        <v>0</v>
      </c>
      <c r="BJ72" s="24">
        <v>0</v>
      </c>
      <c r="BK72" s="24">
        <v>0</v>
      </c>
      <c r="BL72" s="24">
        <v>0</v>
      </c>
      <c r="BM72" s="24">
        <v>0</v>
      </c>
      <c r="BN72" s="24">
        <v>0</v>
      </c>
      <c r="BO72" s="24">
        <v>0</v>
      </c>
      <c r="BP72" s="24">
        <v>-405789</v>
      </c>
      <c r="BQ72" s="24">
        <v>0</v>
      </c>
      <c r="BR72" s="24">
        <v>0</v>
      </c>
      <c r="BS72" s="24">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72"/>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7" t="s">
        <v>420</v>
      </c>
      <c r="B1" s="27"/>
      <c r="C1" s="28" t="s">
        <v>273</v>
      </c>
      <c r="D1" s="28" t="s">
        <v>276</v>
      </c>
      <c r="E1" s="28" t="s">
        <v>278</v>
      </c>
      <c r="F1" s="28" t="s">
        <v>280</v>
      </c>
      <c r="G1" s="28" t="s">
        <v>282</v>
      </c>
      <c r="H1" s="28" t="s">
        <v>145</v>
      </c>
      <c r="I1" s="28" t="s">
        <v>85</v>
      </c>
      <c r="J1" s="28" t="s">
        <v>87</v>
      </c>
      <c r="K1" s="28" t="s">
        <v>89</v>
      </c>
      <c r="L1" s="28" t="s">
        <v>91</v>
      </c>
      <c r="M1" s="28" t="s">
        <v>93</v>
      </c>
      <c r="N1" s="28" t="s">
        <v>95</v>
      </c>
      <c r="O1" s="28" t="s">
        <v>97</v>
      </c>
      <c r="P1" s="28" t="s">
        <v>99</v>
      </c>
      <c r="Q1" s="28" t="s">
        <v>101</v>
      </c>
      <c r="R1" s="28" t="s">
        <v>103</v>
      </c>
      <c r="S1" s="28" t="s">
        <v>105</v>
      </c>
      <c r="T1" s="28" t="s">
        <v>107</v>
      </c>
      <c r="U1" s="28" t="s">
        <v>109</v>
      </c>
      <c r="V1" s="28" t="s">
        <v>111</v>
      </c>
      <c r="W1" s="28" t="s">
        <v>113</v>
      </c>
      <c r="X1" s="28" t="s">
        <v>301</v>
      </c>
      <c r="Y1" s="28" t="s">
        <v>119</v>
      </c>
      <c r="Z1" s="28" t="s">
        <v>304</v>
      </c>
      <c r="AA1" s="28" t="s">
        <v>307</v>
      </c>
      <c r="AB1" s="28" t="s">
        <v>310</v>
      </c>
      <c r="AC1" s="28" t="s">
        <v>312</v>
      </c>
      <c r="AD1" s="28" t="s">
        <v>314</v>
      </c>
      <c r="AE1" s="28" t="s">
        <v>317</v>
      </c>
      <c r="AF1" s="28" t="s">
        <v>319</v>
      </c>
      <c r="AG1" s="28" t="s">
        <v>321</v>
      </c>
      <c r="AH1" s="28" t="s">
        <v>134</v>
      </c>
      <c r="AI1" s="28" t="s">
        <v>137</v>
      </c>
      <c r="AJ1" s="28" t="s">
        <v>326</v>
      </c>
      <c r="AK1" s="28" t="s">
        <v>328</v>
      </c>
      <c r="AL1" s="28" t="s">
        <v>330</v>
      </c>
      <c r="AM1" s="28" t="s">
        <v>332</v>
      </c>
      <c r="AN1" s="28" t="s">
        <v>335</v>
      </c>
      <c r="AO1" s="28" t="s">
        <v>337</v>
      </c>
      <c r="AP1" s="28" t="s">
        <v>339</v>
      </c>
      <c r="AQ1" s="28" t="s">
        <v>341</v>
      </c>
      <c r="AR1" s="28" t="s">
        <v>344</v>
      </c>
      <c r="AS1" s="28" t="s">
        <v>346</v>
      </c>
      <c r="AT1" s="28" t="s">
        <v>348</v>
      </c>
      <c r="AU1" s="28" t="s">
        <v>350</v>
      </c>
      <c r="AV1" s="28" t="s">
        <v>353</v>
      </c>
      <c r="AW1" s="28" t="s">
        <v>355</v>
      </c>
      <c r="AX1" s="28" t="s">
        <v>357</v>
      </c>
      <c r="AY1" s="28" t="s">
        <v>359</v>
      </c>
      <c r="AZ1" s="28" t="s">
        <v>361</v>
      </c>
      <c r="BA1" s="28" t="s">
        <v>364</v>
      </c>
      <c r="BB1" s="28" t="s">
        <v>366</v>
      </c>
      <c r="BC1" s="28" t="s">
        <v>368</v>
      </c>
      <c r="BD1" s="28" t="s">
        <v>370</v>
      </c>
      <c r="BE1" s="28" t="s">
        <v>373</v>
      </c>
      <c r="BF1" s="28" t="s">
        <v>376</v>
      </c>
      <c r="BG1" s="28" t="s">
        <v>379</v>
      </c>
      <c r="BH1" s="28" t="s">
        <v>381</v>
      </c>
      <c r="BI1" s="28" t="s">
        <v>384</v>
      </c>
      <c r="BJ1" s="28" t="s">
        <v>386</v>
      </c>
      <c r="BK1" s="28" t="s">
        <v>389</v>
      </c>
      <c r="BL1" s="28" t="s">
        <v>391</v>
      </c>
      <c r="BM1" s="28" t="s">
        <v>393</v>
      </c>
      <c r="BN1" s="28" t="s">
        <v>395</v>
      </c>
      <c r="BO1" s="28" t="s">
        <v>398</v>
      </c>
      <c r="BP1" s="28" t="s">
        <v>399</v>
      </c>
      <c r="BQ1" s="28" t="s">
        <v>400</v>
      </c>
      <c r="BR1" s="28" t="s">
        <v>401</v>
      </c>
      <c r="BS1" s="28" t="s">
        <v>402</v>
      </c>
    </row>
    <row r="2" ht="46" customHeight="1" spans="1:71"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c r="BO2" s="29" t="s">
        <v>403</v>
      </c>
      <c r="BP2" s="29" t="s">
        <v>404</v>
      </c>
      <c r="BQ2" s="29" t="s">
        <v>405</v>
      </c>
      <c r="BR2" s="29" t="s">
        <v>406</v>
      </c>
      <c r="BS2" s="29" t="s">
        <v>407</v>
      </c>
    </row>
    <row r="3" spans="1:71" x14ac:dyDescent="0.25">
      <c r="A3" s="30" t="s">
        <v>273</v>
      </c>
      <c r="B3" s="31" t="s">
        <v>274</v>
      </c>
      <c r="C3" s="24">
        <v>67150.7</v>
      </c>
      <c r="D3" s="24">
        <v>614.2</v>
      </c>
      <c r="E3" s="24">
        <v>95.6</v>
      </c>
      <c r="F3" s="24">
        <v>86</v>
      </c>
      <c r="G3" s="24">
        <v>253682.6</v>
      </c>
      <c r="H3" s="24">
        <v>2698.5</v>
      </c>
      <c r="I3" s="24">
        <v>390.8</v>
      </c>
      <c r="J3" s="24">
        <v>262.2</v>
      </c>
      <c r="K3" s="24">
        <v>24.9</v>
      </c>
      <c r="L3" s="24">
        <v>120.2</v>
      </c>
      <c r="M3" s="24">
        <v>2182.4</v>
      </c>
      <c r="N3" s="24">
        <v>503.7</v>
      </c>
      <c r="O3" s="24">
        <v>1483</v>
      </c>
      <c r="P3" s="24">
        <v>149.3</v>
      </c>
      <c r="Q3" s="24">
        <v>212.6</v>
      </c>
      <c r="R3" s="24">
        <v>199.2</v>
      </c>
      <c r="S3" s="24">
        <v>184.8</v>
      </c>
      <c r="T3" s="24">
        <v>118.3</v>
      </c>
      <c r="U3" s="24">
        <v>250.5</v>
      </c>
      <c r="V3" s="24">
        <v>306.8</v>
      </c>
      <c r="W3" s="24">
        <v>97.9</v>
      </c>
      <c r="X3" s="24">
        <v>250</v>
      </c>
      <c r="Y3" s="24">
        <v>77.4</v>
      </c>
      <c r="Z3" s="24">
        <v>1620.4</v>
      </c>
      <c r="AA3" s="24">
        <v>48.2</v>
      </c>
      <c r="AB3" s="24">
        <v>152</v>
      </c>
      <c r="AC3" s="24">
        <v>1405.8</v>
      </c>
      <c r="AD3" s="24">
        <v>130.6</v>
      </c>
      <c r="AE3" s="24">
        <v>7522.9</v>
      </c>
      <c r="AF3" s="24">
        <v>3588.9</v>
      </c>
      <c r="AG3" s="24">
        <v>354.6</v>
      </c>
      <c r="AH3" s="24">
        <v>115.1</v>
      </c>
      <c r="AI3" s="24">
        <v>112.1</v>
      </c>
      <c r="AJ3" s="24">
        <v>374.9</v>
      </c>
      <c r="AK3" s="24">
        <v>28.2</v>
      </c>
      <c r="AL3" s="24">
        <v>15037.7</v>
      </c>
      <c r="AM3" s="24">
        <v>46.8</v>
      </c>
      <c r="AN3" s="24">
        <v>89.2</v>
      </c>
      <c r="AO3" s="24">
        <v>96.6</v>
      </c>
      <c r="AP3" s="24">
        <v>237.5</v>
      </c>
      <c r="AQ3" s="24">
        <v>62.2</v>
      </c>
      <c r="AR3" s="24">
        <v>58.3</v>
      </c>
      <c r="AS3" s="24">
        <v>42.8</v>
      </c>
      <c r="AT3" s="24">
        <v>428.7</v>
      </c>
      <c r="AU3" s="24">
        <v>325.7</v>
      </c>
      <c r="AV3" s="24">
        <v>220.3</v>
      </c>
      <c r="AW3" s="24">
        <v>260.1</v>
      </c>
      <c r="AX3" s="24">
        <v>55</v>
      </c>
      <c r="AY3" s="24">
        <v>151.3</v>
      </c>
      <c r="AZ3" s="24">
        <v>115.6</v>
      </c>
      <c r="BA3" s="24">
        <v>54.1</v>
      </c>
      <c r="BB3" s="24">
        <v>102.1</v>
      </c>
      <c r="BC3" s="24">
        <v>3732.3</v>
      </c>
      <c r="BD3" s="24">
        <v>1535.3</v>
      </c>
      <c r="BE3" s="24">
        <v>749.5</v>
      </c>
      <c r="BF3" s="24">
        <v>1154</v>
      </c>
      <c r="BG3" s="24">
        <v>863.1</v>
      </c>
      <c r="BH3" s="24">
        <v>272.1</v>
      </c>
      <c r="BI3" s="24">
        <v>343.6</v>
      </c>
      <c r="BJ3" s="24">
        <v>149.3</v>
      </c>
      <c r="BK3" s="24">
        <v>11.9</v>
      </c>
      <c r="BL3" s="24">
        <v>188.8</v>
      </c>
      <c r="BM3" s="24">
        <v>0</v>
      </c>
      <c r="BN3" s="24">
        <v>0</v>
      </c>
      <c r="BO3" s="24">
        <v>1987.4</v>
      </c>
      <c r="BP3" s="24">
        <v>143744.9</v>
      </c>
      <c r="BQ3" s="24">
        <v>54.7</v>
      </c>
      <c r="BR3" s="24">
        <v>9052.5</v>
      </c>
      <c r="BS3" s="24">
        <v>5093.2</v>
      </c>
    </row>
    <row r="4" spans="1:71" x14ac:dyDescent="0.25">
      <c r="A4" s="30" t="s">
        <v>276</v>
      </c>
      <c r="B4" s="31" t="s">
        <v>277</v>
      </c>
      <c r="C4" s="24">
        <v>638.8</v>
      </c>
      <c r="D4" s="24">
        <v>15576.3</v>
      </c>
      <c r="E4" s="24">
        <v>38.5</v>
      </c>
      <c r="F4" s="24">
        <v>69.7</v>
      </c>
      <c r="G4" s="24">
        <v>526.2</v>
      </c>
      <c r="H4" s="24">
        <v>16.1</v>
      </c>
      <c r="I4" s="24">
        <v>16502.8</v>
      </c>
      <c r="J4" s="24">
        <v>6988.6</v>
      </c>
      <c r="K4" s="24">
        <v>9.9</v>
      </c>
      <c r="L4" s="24">
        <v>9.5</v>
      </c>
      <c r="M4" s="24">
        <v>269</v>
      </c>
      <c r="N4" s="24">
        <v>14.1</v>
      </c>
      <c r="O4" s="24">
        <v>75.2</v>
      </c>
      <c r="P4" s="24">
        <v>34.2</v>
      </c>
      <c r="Q4" s="24">
        <v>31.6</v>
      </c>
      <c r="R4" s="24">
        <v>32.8</v>
      </c>
      <c r="S4" s="24">
        <v>9.8</v>
      </c>
      <c r="T4" s="24">
        <v>17.5</v>
      </c>
      <c r="U4" s="24">
        <v>21.7</v>
      </c>
      <c r="V4" s="24">
        <v>47</v>
      </c>
      <c r="W4" s="24">
        <v>8.1</v>
      </c>
      <c r="X4" s="24">
        <v>978.5</v>
      </c>
      <c r="Y4" s="24">
        <v>5.6</v>
      </c>
      <c r="Z4" s="24">
        <v>1218.5</v>
      </c>
      <c r="AA4" s="24">
        <v>5</v>
      </c>
      <c r="AB4" s="24">
        <v>20</v>
      </c>
      <c r="AC4" s="24">
        <v>731.7</v>
      </c>
      <c r="AD4" s="24">
        <v>13.2</v>
      </c>
      <c r="AE4" s="24">
        <v>273.8</v>
      </c>
      <c r="AF4" s="24">
        <v>49.2</v>
      </c>
      <c r="AG4" s="24">
        <v>57.1</v>
      </c>
      <c r="AH4" s="24">
        <v>2.1</v>
      </c>
      <c r="AI4" s="24">
        <v>4.2</v>
      </c>
      <c r="AJ4" s="24">
        <v>26.9</v>
      </c>
      <c r="AK4" s="24">
        <v>1.9</v>
      </c>
      <c r="AL4" s="24">
        <v>87.8</v>
      </c>
      <c r="AM4" s="24">
        <v>2.6</v>
      </c>
      <c r="AN4" s="24">
        <v>4.9</v>
      </c>
      <c r="AO4" s="24">
        <v>3.9</v>
      </c>
      <c r="AP4" s="24">
        <v>14.4</v>
      </c>
      <c r="AQ4" s="24">
        <v>5.2</v>
      </c>
      <c r="AR4" s="24">
        <v>1.2</v>
      </c>
      <c r="AS4" s="24">
        <v>2.1</v>
      </c>
      <c r="AT4" s="24">
        <v>41.2</v>
      </c>
      <c r="AU4" s="24">
        <v>14.1</v>
      </c>
      <c r="AV4" s="24">
        <v>46.6</v>
      </c>
      <c r="AW4" s="24">
        <v>11.1</v>
      </c>
      <c r="AX4" s="24">
        <v>4.7</v>
      </c>
      <c r="AY4" s="24">
        <v>5.9</v>
      </c>
      <c r="AZ4" s="24">
        <v>4</v>
      </c>
      <c r="BA4" s="24">
        <v>2.8</v>
      </c>
      <c r="BB4" s="24">
        <v>2.6</v>
      </c>
      <c r="BC4" s="24">
        <v>155.7</v>
      </c>
      <c r="BD4" s="24">
        <v>262.6</v>
      </c>
      <c r="BE4" s="24">
        <v>31.4</v>
      </c>
      <c r="BF4" s="24">
        <v>45</v>
      </c>
      <c r="BG4" s="24">
        <v>16</v>
      </c>
      <c r="BH4" s="24">
        <v>28.1</v>
      </c>
      <c r="BI4" s="24">
        <v>21.4</v>
      </c>
      <c r="BJ4" s="24">
        <v>16</v>
      </c>
      <c r="BK4" s="24">
        <v>7.4</v>
      </c>
      <c r="BL4" s="24">
        <v>21.6</v>
      </c>
      <c r="BM4" s="24">
        <v>0</v>
      </c>
      <c r="BN4" s="24">
        <v>0</v>
      </c>
      <c r="BO4" s="24">
        <v>1547.1</v>
      </c>
      <c r="BP4" s="24">
        <v>11516.8</v>
      </c>
      <c r="BQ4" s="24">
        <v>8.1</v>
      </c>
      <c r="BR4" s="24">
        <v>487.5</v>
      </c>
      <c r="BS4" s="24">
        <v>1141.6</v>
      </c>
    </row>
    <row r="5" spans="1:71" x14ac:dyDescent="0.25">
      <c r="A5" s="30" t="s">
        <v>278</v>
      </c>
      <c r="B5" s="31" t="s">
        <v>279</v>
      </c>
      <c r="C5" s="24">
        <v>34.8</v>
      </c>
      <c r="D5" s="24">
        <v>2.3</v>
      </c>
      <c r="E5" s="24">
        <v>467.6</v>
      </c>
      <c r="F5" s="24">
        <v>0.8</v>
      </c>
      <c r="G5" s="24">
        <v>3021.8</v>
      </c>
      <c r="H5" s="24">
        <v>6.1</v>
      </c>
      <c r="I5" s="24">
        <v>1.8</v>
      </c>
      <c r="J5" s="24">
        <v>1.4</v>
      </c>
      <c r="K5" s="24">
        <v>0.5</v>
      </c>
      <c r="L5" s="24">
        <v>1.9</v>
      </c>
      <c r="M5" s="24">
        <v>17.2</v>
      </c>
      <c r="N5" s="24">
        <v>8.3</v>
      </c>
      <c r="O5" s="24">
        <v>1.7</v>
      </c>
      <c r="P5" s="24">
        <v>1.7</v>
      </c>
      <c r="Q5" s="24">
        <v>1.2</v>
      </c>
      <c r="R5" s="24">
        <v>2.9</v>
      </c>
      <c r="S5" s="24">
        <v>1.1</v>
      </c>
      <c r="T5" s="24">
        <v>1.7</v>
      </c>
      <c r="U5" s="24">
        <v>2.2</v>
      </c>
      <c r="V5" s="24">
        <v>2.3</v>
      </c>
      <c r="W5" s="24">
        <v>0.8</v>
      </c>
      <c r="X5" s="24">
        <v>4.9</v>
      </c>
      <c r="Y5" s="24">
        <v>1.5</v>
      </c>
      <c r="Z5" s="24">
        <v>24.1</v>
      </c>
      <c r="AA5" s="24">
        <v>0.4</v>
      </c>
      <c r="AB5" s="24">
        <v>2.4</v>
      </c>
      <c r="AC5" s="24">
        <v>40.4</v>
      </c>
      <c r="AD5" s="24">
        <v>1.2</v>
      </c>
      <c r="AE5" s="24">
        <v>33.6</v>
      </c>
      <c r="AF5" s="24">
        <v>8.6</v>
      </c>
      <c r="AG5" s="24">
        <v>3.6</v>
      </c>
      <c r="AH5" s="24">
        <v>6.9</v>
      </c>
      <c r="AI5" s="24">
        <v>1</v>
      </c>
      <c r="AJ5" s="24">
        <v>4.8</v>
      </c>
      <c r="AK5" s="24">
        <v>0.3</v>
      </c>
      <c r="AL5" s="24">
        <v>1753.8</v>
      </c>
      <c r="AM5" s="24">
        <v>0.5</v>
      </c>
      <c r="AN5" s="24">
        <v>3</v>
      </c>
      <c r="AO5" s="24">
        <v>1.9</v>
      </c>
      <c r="AP5" s="24">
        <v>5.4</v>
      </c>
      <c r="AQ5" s="24">
        <v>2.2</v>
      </c>
      <c r="AR5" s="24">
        <v>0.9</v>
      </c>
      <c r="AS5" s="24">
        <v>0.5</v>
      </c>
      <c r="AT5" s="24">
        <v>3.8</v>
      </c>
      <c r="AU5" s="24">
        <v>4.4</v>
      </c>
      <c r="AV5" s="24">
        <v>2.1</v>
      </c>
      <c r="AW5" s="24">
        <v>1.8</v>
      </c>
      <c r="AX5" s="24">
        <v>1</v>
      </c>
      <c r="AY5" s="24">
        <v>2.3</v>
      </c>
      <c r="AZ5" s="24">
        <v>4</v>
      </c>
      <c r="BA5" s="24">
        <v>0.3</v>
      </c>
      <c r="BB5" s="24">
        <v>0.6</v>
      </c>
      <c r="BC5" s="24">
        <v>5.7</v>
      </c>
      <c r="BD5" s="24">
        <v>18.3</v>
      </c>
      <c r="BE5" s="24">
        <v>9.4</v>
      </c>
      <c r="BF5" s="24">
        <v>40.5</v>
      </c>
      <c r="BG5" s="24">
        <v>35.8</v>
      </c>
      <c r="BH5" s="24">
        <v>6.7</v>
      </c>
      <c r="BI5" s="24">
        <v>9.6</v>
      </c>
      <c r="BJ5" s="24">
        <v>35.1</v>
      </c>
      <c r="BK5" s="24">
        <v>0.2</v>
      </c>
      <c r="BL5" s="24">
        <v>1.3</v>
      </c>
      <c r="BM5" s="24">
        <v>0</v>
      </c>
      <c r="BN5" s="24">
        <v>0</v>
      </c>
      <c r="BO5" s="24">
        <v>18.5</v>
      </c>
      <c r="BP5" s="24">
        <v>8139.5</v>
      </c>
      <c r="BQ5" s="24">
        <v>2.5</v>
      </c>
      <c r="BR5" s="24">
        <v>77.4</v>
      </c>
      <c r="BS5" s="24">
        <v>-372.9</v>
      </c>
    </row>
    <row r="6" spans="1:71" x14ac:dyDescent="0.25">
      <c r="A6" s="30" t="s">
        <v>280</v>
      </c>
      <c r="B6" s="31" t="s">
        <v>281</v>
      </c>
      <c r="C6" s="24">
        <v>886.9</v>
      </c>
      <c r="D6" s="24">
        <v>70.7</v>
      </c>
      <c r="E6" s="24">
        <v>47.7</v>
      </c>
      <c r="F6" s="24">
        <v>5759.9</v>
      </c>
      <c r="G6" s="24">
        <v>1208.2</v>
      </c>
      <c r="H6" s="24">
        <v>133.7</v>
      </c>
      <c r="I6" s="24">
        <v>108</v>
      </c>
      <c r="J6" s="24">
        <v>559.8</v>
      </c>
      <c r="K6" s="24">
        <v>50.6</v>
      </c>
      <c r="L6" s="24">
        <v>22711.2</v>
      </c>
      <c r="M6" s="24">
        <v>4167.2</v>
      </c>
      <c r="N6" s="24">
        <v>183.6</v>
      </c>
      <c r="O6" s="24">
        <v>444.3</v>
      </c>
      <c r="P6" s="24">
        <v>9430.4</v>
      </c>
      <c r="Q6" s="24">
        <v>8992.9</v>
      </c>
      <c r="R6" s="24">
        <v>2073</v>
      </c>
      <c r="S6" s="24">
        <v>170.4</v>
      </c>
      <c r="T6" s="24">
        <v>823.4</v>
      </c>
      <c r="U6" s="24">
        <v>828.5</v>
      </c>
      <c r="V6" s="24">
        <v>887.4</v>
      </c>
      <c r="W6" s="24">
        <v>195.3</v>
      </c>
      <c r="X6" s="24">
        <v>537.5</v>
      </c>
      <c r="Y6" s="24">
        <v>187.1</v>
      </c>
      <c r="Z6" s="24">
        <v>14663.7</v>
      </c>
      <c r="AA6" s="24">
        <v>124.9</v>
      </c>
      <c r="AB6" s="24">
        <v>509.4</v>
      </c>
      <c r="AC6" s="24">
        <v>13998.9</v>
      </c>
      <c r="AD6" s="24">
        <v>86.1</v>
      </c>
      <c r="AE6" s="24">
        <v>881.9</v>
      </c>
      <c r="AF6" s="24">
        <v>280.9</v>
      </c>
      <c r="AG6" s="24">
        <v>423.4</v>
      </c>
      <c r="AH6" s="24">
        <v>42.5</v>
      </c>
      <c r="AI6" s="24">
        <v>33.2</v>
      </c>
      <c r="AJ6" s="24">
        <v>453.8</v>
      </c>
      <c r="AK6" s="24">
        <v>20</v>
      </c>
      <c r="AL6" s="24">
        <v>265.5</v>
      </c>
      <c r="AM6" s="24">
        <v>20.3</v>
      </c>
      <c r="AN6" s="24">
        <v>21.8</v>
      </c>
      <c r="AO6" s="24">
        <v>56</v>
      </c>
      <c r="AP6" s="24">
        <v>159.8</v>
      </c>
      <c r="AQ6" s="24">
        <v>60.4</v>
      </c>
      <c r="AR6" s="24">
        <v>14.4</v>
      </c>
      <c r="AS6" s="24">
        <v>35.1</v>
      </c>
      <c r="AT6" s="24">
        <v>432.8</v>
      </c>
      <c r="AU6" s="24">
        <v>338.3</v>
      </c>
      <c r="AV6" s="24">
        <v>254.3</v>
      </c>
      <c r="AW6" s="24">
        <v>84</v>
      </c>
      <c r="AX6" s="24">
        <v>34.8</v>
      </c>
      <c r="AY6" s="24">
        <v>63.8</v>
      </c>
      <c r="AZ6" s="24">
        <v>43.2</v>
      </c>
      <c r="BA6" s="24">
        <v>49</v>
      </c>
      <c r="BB6" s="24">
        <v>13</v>
      </c>
      <c r="BC6" s="24">
        <v>556.9</v>
      </c>
      <c r="BD6" s="24">
        <v>833.5</v>
      </c>
      <c r="BE6" s="24">
        <v>161.9</v>
      </c>
      <c r="BF6" s="24">
        <v>371.5</v>
      </c>
      <c r="BG6" s="24">
        <v>140.5</v>
      </c>
      <c r="BH6" s="24">
        <v>48.8</v>
      </c>
      <c r="BI6" s="24">
        <v>71</v>
      </c>
      <c r="BJ6" s="24">
        <v>74.2</v>
      </c>
      <c r="BK6" s="24">
        <v>7.2</v>
      </c>
      <c r="BL6" s="24">
        <v>65.3</v>
      </c>
      <c r="BM6" s="24">
        <v>0</v>
      </c>
      <c r="BN6" s="24">
        <v>0</v>
      </c>
      <c r="BO6" s="24">
        <v>381</v>
      </c>
      <c r="BP6" s="24">
        <v>5004.9</v>
      </c>
      <c r="BQ6" s="24">
        <v>5.1</v>
      </c>
      <c r="BR6" s="24">
        <v>2139.6</v>
      </c>
      <c r="BS6" s="24">
        <v>-3004.5</v>
      </c>
    </row>
    <row r="7" spans="1:71" x14ac:dyDescent="0.25">
      <c r="A7" s="30" t="s">
        <v>282</v>
      </c>
      <c r="B7" s="31" t="s">
        <v>283</v>
      </c>
      <c r="C7" s="24">
        <v>55773.3</v>
      </c>
      <c r="D7" s="24">
        <v>136.2</v>
      </c>
      <c r="E7" s="24">
        <v>611.3</v>
      </c>
      <c r="F7" s="24">
        <v>267.4</v>
      </c>
      <c r="G7" s="24">
        <v>223534.5</v>
      </c>
      <c r="H7" s="24">
        <v>2017.6</v>
      </c>
      <c r="I7" s="24">
        <v>376.1</v>
      </c>
      <c r="J7" s="24">
        <v>950.9</v>
      </c>
      <c r="K7" s="24">
        <v>153.4</v>
      </c>
      <c r="L7" s="24">
        <v>1237</v>
      </c>
      <c r="M7" s="24">
        <v>11528.5</v>
      </c>
      <c r="N7" s="24">
        <v>3351.8</v>
      </c>
      <c r="O7" s="24">
        <v>1437.6</v>
      </c>
      <c r="P7" s="24">
        <v>769.6</v>
      </c>
      <c r="Q7" s="24">
        <v>1198.6</v>
      </c>
      <c r="R7" s="24">
        <v>842.9</v>
      </c>
      <c r="S7" s="24">
        <v>635.8</v>
      </c>
      <c r="T7" s="24">
        <v>659.7</v>
      </c>
      <c r="U7" s="24">
        <v>1100.7</v>
      </c>
      <c r="V7" s="24">
        <v>1354.6</v>
      </c>
      <c r="W7" s="24">
        <v>334.8</v>
      </c>
      <c r="X7" s="24">
        <v>1048.7</v>
      </c>
      <c r="Y7" s="24">
        <v>384.1</v>
      </c>
      <c r="Z7" s="24">
        <v>1962.2</v>
      </c>
      <c r="AA7" s="24">
        <v>124.2</v>
      </c>
      <c r="AB7" s="24">
        <v>1020.2</v>
      </c>
      <c r="AC7" s="24">
        <v>3779.2</v>
      </c>
      <c r="AD7" s="24">
        <v>807.1</v>
      </c>
      <c r="AE7" s="24">
        <v>14500.5</v>
      </c>
      <c r="AF7" s="24">
        <v>7322.1</v>
      </c>
      <c r="AG7" s="24">
        <v>1821.9</v>
      </c>
      <c r="AH7" s="24">
        <v>777.2</v>
      </c>
      <c r="AI7" s="24">
        <v>513.2</v>
      </c>
      <c r="AJ7" s="24">
        <v>1373.7</v>
      </c>
      <c r="AK7" s="24">
        <v>166.7</v>
      </c>
      <c r="AL7" s="24">
        <v>119151.6</v>
      </c>
      <c r="AM7" s="24">
        <v>474.8</v>
      </c>
      <c r="AN7" s="24">
        <v>622.1</v>
      </c>
      <c r="AO7" s="24">
        <v>698.1</v>
      </c>
      <c r="AP7" s="24">
        <v>2095.6</v>
      </c>
      <c r="AQ7" s="24">
        <v>543.1</v>
      </c>
      <c r="AR7" s="24">
        <v>239.3</v>
      </c>
      <c r="AS7" s="24">
        <v>351.5</v>
      </c>
      <c r="AT7" s="24">
        <v>955.9</v>
      </c>
      <c r="AU7" s="24">
        <v>2635.1</v>
      </c>
      <c r="AV7" s="24">
        <v>785.5</v>
      </c>
      <c r="AW7" s="24">
        <v>965.2</v>
      </c>
      <c r="AX7" s="24">
        <v>577.1</v>
      </c>
      <c r="AY7" s="24">
        <v>683.6</v>
      </c>
      <c r="AZ7" s="24">
        <v>966.8</v>
      </c>
      <c r="BA7" s="24">
        <v>264.5</v>
      </c>
      <c r="BB7" s="24">
        <v>418.7</v>
      </c>
      <c r="BC7" s="24">
        <v>2229.9</v>
      </c>
      <c r="BD7" s="24">
        <v>6802</v>
      </c>
      <c r="BE7" s="24">
        <v>6211</v>
      </c>
      <c r="BF7" s="24">
        <v>13493.2</v>
      </c>
      <c r="BG7" s="24">
        <v>8703.1</v>
      </c>
      <c r="BH7" s="24">
        <v>995.8</v>
      </c>
      <c r="BI7" s="24">
        <v>2672.6</v>
      </c>
      <c r="BJ7" s="24">
        <v>1402.8</v>
      </c>
      <c r="BK7" s="24">
        <v>107.1</v>
      </c>
      <c r="BL7" s="24">
        <v>507.7</v>
      </c>
      <c r="BM7" s="24">
        <v>0</v>
      </c>
      <c r="BN7" s="24">
        <v>0</v>
      </c>
      <c r="BO7" s="24">
        <v>2051.5</v>
      </c>
      <c r="BP7" s="24">
        <v>632161.9</v>
      </c>
      <c r="BQ7" s="24">
        <v>259.5</v>
      </c>
      <c r="BR7" s="24">
        <v>4327.8</v>
      </c>
      <c r="BS7" s="24">
        <v>19014.3</v>
      </c>
    </row>
    <row r="8" spans="1:71" x14ac:dyDescent="0.25">
      <c r="A8" s="30" t="s">
        <v>145</v>
      </c>
      <c r="B8" s="31" t="s">
        <v>285</v>
      </c>
      <c r="C8" s="24">
        <v>635</v>
      </c>
      <c r="D8" s="24">
        <v>38.5</v>
      </c>
      <c r="E8" s="24">
        <v>89.7</v>
      </c>
      <c r="F8" s="24">
        <v>70.4</v>
      </c>
      <c r="G8" s="24">
        <v>1027.1</v>
      </c>
      <c r="H8" s="24">
        <v>40969.7</v>
      </c>
      <c r="I8" s="24">
        <v>887.8</v>
      </c>
      <c r="J8" s="24">
        <v>1160.4</v>
      </c>
      <c r="K8" s="24">
        <v>325.2</v>
      </c>
      <c r="L8" s="24">
        <v>175.5</v>
      </c>
      <c r="M8" s="24">
        <v>805</v>
      </c>
      <c r="N8" s="24">
        <v>366.3</v>
      </c>
      <c r="O8" s="24">
        <v>1843.8</v>
      </c>
      <c r="P8" s="24">
        <v>485.5</v>
      </c>
      <c r="Q8" s="24">
        <v>339.4</v>
      </c>
      <c r="R8" s="24">
        <v>705</v>
      </c>
      <c r="S8" s="24">
        <v>293.4</v>
      </c>
      <c r="T8" s="24">
        <v>427</v>
      </c>
      <c r="U8" s="24">
        <v>718.5</v>
      </c>
      <c r="V8" s="24">
        <v>3690.8</v>
      </c>
      <c r="W8" s="24">
        <v>550.8</v>
      </c>
      <c r="X8" s="24">
        <v>3443.6</v>
      </c>
      <c r="Y8" s="24">
        <v>396</v>
      </c>
      <c r="Z8" s="24">
        <v>477.2</v>
      </c>
      <c r="AA8" s="24">
        <v>46.1</v>
      </c>
      <c r="AB8" s="24">
        <v>390.1</v>
      </c>
      <c r="AC8" s="24">
        <v>2698.3</v>
      </c>
      <c r="AD8" s="24">
        <v>469.7</v>
      </c>
      <c r="AE8" s="24">
        <v>3897.1</v>
      </c>
      <c r="AF8" s="24">
        <v>1750.3</v>
      </c>
      <c r="AG8" s="24">
        <v>508.5</v>
      </c>
      <c r="AH8" s="24">
        <v>100.8</v>
      </c>
      <c r="AI8" s="24">
        <v>53.5</v>
      </c>
      <c r="AJ8" s="24">
        <v>399.6</v>
      </c>
      <c r="AK8" s="24">
        <v>87.5</v>
      </c>
      <c r="AL8" s="24">
        <v>1348.5</v>
      </c>
      <c r="AM8" s="24">
        <v>110.1</v>
      </c>
      <c r="AN8" s="24">
        <v>489.1</v>
      </c>
      <c r="AO8" s="24">
        <v>244.3</v>
      </c>
      <c r="AP8" s="24">
        <v>358.4</v>
      </c>
      <c r="AQ8" s="24">
        <v>154.6</v>
      </c>
      <c r="AR8" s="24">
        <v>53.2</v>
      </c>
      <c r="AS8" s="24">
        <v>52.7</v>
      </c>
      <c r="AT8" s="24">
        <v>467</v>
      </c>
      <c r="AU8" s="24">
        <v>671.7</v>
      </c>
      <c r="AV8" s="24">
        <v>331.2</v>
      </c>
      <c r="AW8" s="24">
        <v>168.1</v>
      </c>
      <c r="AX8" s="24">
        <v>104.8</v>
      </c>
      <c r="AY8" s="24">
        <v>432.8</v>
      </c>
      <c r="AZ8" s="24">
        <v>283.1</v>
      </c>
      <c r="BA8" s="24">
        <v>130.5</v>
      </c>
      <c r="BB8" s="24">
        <v>77</v>
      </c>
      <c r="BC8" s="24">
        <v>1301.4</v>
      </c>
      <c r="BD8" s="24">
        <v>1196.2</v>
      </c>
      <c r="BE8" s="24">
        <v>382.7</v>
      </c>
      <c r="BF8" s="24">
        <v>2682.9</v>
      </c>
      <c r="BG8" s="24">
        <v>853.4</v>
      </c>
      <c r="BH8" s="24">
        <v>687.3</v>
      </c>
      <c r="BI8" s="24">
        <v>472.1</v>
      </c>
      <c r="BJ8" s="24">
        <v>143.6</v>
      </c>
      <c r="BK8" s="24">
        <v>204.1</v>
      </c>
      <c r="BL8" s="24">
        <v>580.1</v>
      </c>
      <c r="BM8" s="24">
        <v>0</v>
      </c>
      <c r="BN8" s="24">
        <v>0</v>
      </c>
      <c r="BO8" s="24">
        <v>679.3</v>
      </c>
      <c r="BP8" s="24">
        <v>78583.1</v>
      </c>
      <c r="BQ8" s="24">
        <v>23.3</v>
      </c>
      <c r="BR8" s="24">
        <v>2855.6</v>
      </c>
      <c r="BS8" s="24">
        <v>-719</v>
      </c>
    </row>
    <row r="9" spans="1:71" x14ac:dyDescent="0.25">
      <c r="A9" s="30" t="s">
        <v>85</v>
      </c>
      <c r="B9" s="31" t="s">
        <v>286</v>
      </c>
      <c r="C9" s="24">
        <v>1443.6</v>
      </c>
      <c r="D9" s="24">
        <v>474</v>
      </c>
      <c r="E9" s="24">
        <v>71.3</v>
      </c>
      <c r="F9" s="24">
        <v>179.2</v>
      </c>
      <c r="G9" s="24">
        <v>3711.1</v>
      </c>
      <c r="H9" s="24">
        <v>269.3</v>
      </c>
      <c r="I9" s="24">
        <v>30231.2</v>
      </c>
      <c r="J9" s="24">
        <v>4536.6</v>
      </c>
      <c r="K9" s="24">
        <v>177.3</v>
      </c>
      <c r="L9" s="24">
        <v>131</v>
      </c>
      <c r="M9" s="24">
        <v>1116.2</v>
      </c>
      <c r="N9" s="24">
        <v>279</v>
      </c>
      <c r="O9" s="24">
        <v>852.3</v>
      </c>
      <c r="P9" s="24">
        <v>1396</v>
      </c>
      <c r="Q9" s="24">
        <v>824.6</v>
      </c>
      <c r="R9" s="24">
        <v>1842.5</v>
      </c>
      <c r="S9" s="24">
        <v>318.1</v>
      </c>
      <c r="T9" s="24">
        <v>645.9</v>
      </c>
      <c r="U9" s="24">
        <v>1206</v>
      </c>
      <c r="V9" s="24">
        <v>1435.6</v>
      </c>
      <c r="W9" s="24">
        <v>999</v>
      </c>
      <c r="X9" s="24">
        <v>13730.7</v>
      </c>
      <c r="Y9" s="24">
        <v>435.3</v>
      </c>
      <c r="Z9" s="24">
        <v>2580.6</v>
      </c>
      <c r="AA9" s="24">
        <v>53.2</v>
      </c>
      <c r="AB9" s="24">
        <v>424.1</v>
      </c>
      <c r="AC9" s="24">
        <v>37367</v>
      </c>
      <c r="AD9" s="24">
        <v>277.2</v>
      </c>
      <c r="AE9" s="24">
        <v>2560.2</v>
      </c>
      <c r="AF9" s="24">
        <v>975.6</v>
      </c>
      <c r="AG9" s="24">
        <v>753.2</v>
      </c>
      <c r="AH9" s="24">
        <v>26.4</v>
      </c>
      <c r="AI9" s="24">
        <v>24.7</v>
      </c>
      <c r="AJ9" s="24">
        <v>724.9</v>
      </c>
      <c r="AK9" s="24">
        <v>41</v>
      </c>
      <c r="AL9" s="24">
        <v>706.2</v>
      </c>
      <c r="AM9" s="24">
        <v>111.3</v>
      </c>
      <c r="AN9" s="24">
        <v>441.5</v>
      </c>
      <c r="AO9" s="24">
        <v>187.1</v>
      </c>
      <c r="AP9" s="24">
        <v>276</v>
      </c>
      <c r="AQ9" s="24">
        <v>72.9</v>
      </c>
      <c r="AR9" s="24">
        <v>41.9</v>
      </c>
      <c r="AS9" s="24">
        <v>53.5</v>
      </c>
      <c r="AT9" s="24">
        <v>2085.5</v>
      </c>
      <c r="AU9" s="24">
        <v>396.8</v>
      </c>
      <c r="AV9" s="24">
        <v>256.2</v>
      </c>
      <c r="AW9" s="24">
        <v>79.9</v>
      </c>
      <c r="AX9" s="24">
        <v>166.1</v>
      </c>
      <c r="AY9" s="24">
        <v>226.5</v>
      </c>
      <c r="AZ9" s="24">
        <v>212.5</v>
      </c>
      <c r="BA9" s="24">
        <v>35.1</v>
      </c>
      <c r="BB9" s="24">
        <v>24.7</v>
      </c>
      <c r="BC9" s="24">
        <v>1495.1</v>
      </c>
      <c r="BD9" s="24">
        <v>398</v>
      </c>
      <c r="BE9" s="24">
        <v>337.9</v>
      </c>
      <c r="BF9" s="24">
        <v>711.3</v>
      </c>
      <c r="BG9" s="24">
        <v>219.1</v>
      </c>
      <c r="BH9" s="24">
        <v>410.4</v>
      </c>
      <c r="BI9" s="24">
        <v>235.8</v>
      </c>
      <c r="BJ9" s="24">
        <v>168.4</v>
      </c>
      <c r="BK9" s="24">
        <v>93.4</v>
      </c>
      <c r="BL9" s="24">
        <v>1102.7</v>
      </c>
      <c r="BM9" s="24">
        <v>0</v>
      </c>
      <c r="BN9" s="24">
        <v>0</v>
      </c>
      <c r="BO9" s="24">
        <v>213.6</v>
      </c>
      <c r="BP9" s="24">
        <v>11846.7</v>
      </c>
      <c r="BQ9" s="24">
        <v>15.9</v>
      </c>
      <c r="BR9" s="24">
        <v>10899.6</v>
      </c>
      <c r="BS9" s="24">
        <v>3726.8</v>
      </c>
    </row>
    <row r="10" spans="1:71" x14ac:dyDescent="0.25">
      <c r="A10" s="30" t="s">
        <v>87</v>
      </c>
      <c r="B10" s="31" t="s">
        <v>287</v>
      </c>
      <c r="C10" s="24">
        <v>774.9</v>
      </c>
      <c r="D10" s="24">
        <v>270</v>
      </c>
      <c r="E10" s="24">
        <v>35</v>
      </c>
      <c r="F10" s="24">
        <v>157.4</v>
      </c>
      <c r="G10" s="24">
        <v>18348.1</v>
      </c>
      <c r="H10" s="24">
        <v>1133.2</v>
      </c>
      <c r="I10" s="24">
        <v>2082.1</v>
      </c>
      <c r="J10" s="24">
        <v>43715.4</v>
      </c>
      <c r="K10" s="24">
        <v>7878.3</v>
      </c>
      <c r="L10" s="24">
        <v>245.7</v>
      </c>
      <c r="M10" s="24">
        <v>4579.8</v>
      </c>
      <c r="N10" s="24">
        <v>2427.5</v>
      </c>
      <c r="O10" s="24">
        <v>2818.9</v>
      </c>
      <c r="P10" s="24">
        <v>1446.4</v>
      </c>
      <c r="Q10" s="24">
        <v>965.2</v>
      </c>
      <c r="R10" s="24">
        <v>1546.6</v>
      </c>
      <c r="S10" s="24">
        <v>983.2</v>
      </c>
      <c r="T10" s="24">
        <v>1824.7</v>
      </c>
      <c r="U10" s="24">
        <v>1717.3</v>
      </c>
      <c r="V10" s="24">
        <v>1142.7</v>
      </c>
      <c r="W10" s="24">
        <v>267.3</v>
      </c>
      <c r="X10" s="24">
        <v>2366.5</v>
      </c>
      <c r="Y10" s="24">
        <v>391.3</v>
      </c>
      <c r="Z10" s="24">
        <v>1442.5</v>
      </c>
      <c r="AA10" s="24">
        <v>99.2</v>
      </c>
      <c r="AB10" s="24">
        <v>1343.1</v>
      </c>
      <c r="AC10" s="24">
        <v>2557.7</v>
      </c>
      <c r="AD10" s="24">
        <v>593.4</v>
      </c>
      <c r="AE10" s="24">
        <v>6695</v>
      </c>
      <c r="AF10" s="24">
        <v>3712.1</v>
      </c>
      <c r="AG10" s="24">
        <v>1005.2</v>
      </c>
      <c r="AH10" s="24">
        <v>100.6</v>
      </c>
      <c r="AI10" s="24">
        <v>72.2</v>
      </c>
      <c r="AJ10" s="24">
        <v>1220.5</v>
      </c>
      <c r="AK10" s="24">
        <v>206.5</v>
      </c>
      <c r="AL10" s="24">
        <v>2889.2</v>
      </c>
      <c r="AM10" s="24">
        <v>2946.1</v>
      </c>
      <c r="AN10" s="24">
        <v>635.2</v>
      </c>
      <c r="AO10" s="24">
        <v>273.8</v>
      </c>
      <c r="AP10" s="24">
        <v>1033.7</v>
      </c>
      <c r="AQ10" s="24">
        <v>1011.5</v>
      </c>
      <c r="AR10" s="24">
        <v>432.8</v>
      </c>
      <c r="AS10" s="24">
        <v>863.5</v>
      </c>
      <c r="AT10" s="24">
        <v>771.2</v>
      </c>
      <c r="AU10" s="24">
        <v>2981.8</v>
      </c>
      <c r="AV10" s="24">
        <v>1830.8</v>
      </c>
      <c r="AW10" s="24">
        <v>359.3</v>
      </c>
      <c r="AX10" s="24">
        <v>1310.6</v>
      </c>
      <c r="AY10" s="24">
        <v>1289.9</v>
      </c>
      <c r="AZ10" s="24">
        <v>429.3</v>
      </c>
      <c r="BA10" s="24">
        <v>144.6</v>
      </c>
      <c r="BB10" s="24">
        <v>390.6</v>
      </c>
      <c r="BC10" s="24">
        <v>4274</v>
      </c>
      <c r="BD10" s="24">
        <v>2119.5</v>
      </c>
      <c r="BE10" s="24">
        <v>1286.1</v>
      </c>
      <c r="BF10" s="24">
        <v>1459.3</v>
      </c>
      <c r="BG10" s="24">
        <v>1010.6</v>
      </c>
      <c r="BH10" s="24">
        <v>1192.3</v>
      </c>
      <c r="BI10" s="24">
        <v>371.4</v>
      </c>
      <c r="BJ10" s="24">
        <v>396.4</v>
      </c>
      <c r="BK10" s="24">
        <v>70.9</v>
      </c>
      <c r="BL10" s="24">
        <v>234.9</v>
      </c>
      <c r="BM10" s="24">
        <v>0</v>
      </c>
      <c r="BN10" s="24">
        <v>0</v>
      </c>
      <c r="BO10" s="24">
        <v>415.8</v>
      </c>
      <c r="BP10" s="24">
        <v>33142.3</v>
      </c>
      <c r="BQ10" s="24">
        <v>6.5</v>
      </c>
      <c r="BR10" s="24">
        <v>1330.2</v>
      </c>
      <c r="BS10" s="24">
        <v>-3558.2</v>
      </c>
    </row>
    <row r="11" spans="1:71" x14ac:dyDescent="0.25">
      <c r="A11" s="30" t="s">
        <v>89</v>
      </c>
      <c r="B11" s="31" t="s">
        <v>288</v>
      </c>
      <c r="C11" s="24">
        <v>120.8</v>
      </c>
      <c r="D11" s="24">
        <v>12.6</v>
      </c>
      <c r="E11" s="24">
        <v>10.2</v>
      </c>
      <c r="F11" s="24">
        <v>31.9</v>
      </c>
      <c r="G11" s="24">
        <v>1755.9</v>
      </c>
      <c r="H11" s="24">
        <v>323.5</v>
      </c>
      <c r="I11" s="24">
        <v>487.1</v>
      </c>
      <c r="J11" s="24">
        <v>2522.3</v>
      </c>
      <c r="K11" s="24">
        <v>4295.9</v>
      </c>
      <c r="L11" s="24">
        <v>91.2</v>
      </c>
      <c r="M11" s="24">
        <v>610.8</v>
      </c>
      <c r="N11" s="24">
        <v>428.1</v>
      </c>
      <c r="O11" s="24">
        <v>511.5</v>
      </c>
      <c r="P11" s="24">
        <v>185.6</v>
      </c>
      <c r="Q11" s="24">
        <v>230.4</v>
      </c>
      <c r="R11" s="24">
        <v>435.2</v>
      </c>
      <c r="S11" s="24">
        <v>227</v>
      </c>
      <c r="T11" s="24">
        <v>330.8</v>
      </c>
      <c r="U11" s="24">
        <v>610.2</v>
      </c>
      <c r="V11" s="24">
        <v>777.8</v>
      </c>
      <c r="W11" s="24">
        <v>109.8</v>
      </c>
      <c r="X11" s="24">
        <v>451.8</v>
      </c>
      <c r="Y11" s="24">
        <v>103.2</v>
      </c>
      <c r="Z11" s="24">
        <v>458.5</v>
      </c>
      <c r="AA11" s="24">
        <v>53.8</v>
      </c>
      <c r="AB11" s="24">
        <v>333.1</v>
      </c>
      <c r="AC11" s="24">
        <v>824.9</v>
      </c>
      <c r="AD11" s="24">
        <v>714.8</v>
      </c>
      <c r="AE11" s="24">
        <v>2938.8</v>
      </c>
      <c r="AF11" s="24">
        <v>3483</v>
      </c>
      <c r="AG11" s="24">
        <v>652.5</v>
      </c>
      <c r="AH11" s="24">
        <v>33.9</v>
      </c>
      <c r="AI11" s="24">
        <v>63.1</v>
      </c>
      <c r="AJ11" s="24">
        <v>525.2</v>
      </c>
      <c r="AK11" s="24">
        <v>480</v>
      </c>
      <c r="AL11" s="24">
        <v>1047.3</v>
      </c>
      <c r="AM11" s="24">
        <v>6320.3</v>
      </c>
      <c r="AN11" s="24">
        <v>1506.6</v>
      </c>
      <c r="AO11" s="24">
        <v>847.8</v>
      </c>
      <c r="AP11" s="24">
        <v>1248.7</v>
      </c>
      <c r="AQ11" s="24">
        <v>1500.8</v>
      </c>
      <c r="AR11" s="24">
        <v>852.4</v>
      </c>
      <c r="AS11" s="24">
        <v>1277.3</v>
      </c>
      <c r="AT11" s="24">
        <v>620.6</v>
      </c>
      <c r="AU11" s="24">
        <v>2112.8</v>
      </c>
      <c r="AV11" s="24">
        <v>1356.4</v>
      </c>
      <c r="AW11" s="24">
        <v>585.5</v>
      </c>
      <c r="AX11" s="24">
        <v>1700.4</v>
      </c>
      <c r="AY11" s="24">
        <v>1116.8</v>
      </c>
      <c r="AZ11" s="24">
        <v>361.3</v>
      </c>
      <c r="BA11" s="24">
        <v>245.2</v>
      </c>
      <c r="BB11" s="24">
        <v>615.1</v>
      </c>
      <c r="BC11" s="24">
        <v>3062.8</v>
      </c>
      <c r="BD11" s="24">
        <v>2045.9</v>
      </c>
      <c r="BE11" s="24">
        <v>1569.7</v>
      </c>
      <c r="BF11" s="24">
        <v>654.5</v>
      </c>
      <c r="BG11" s="24">
        <v>929.4</v>
      </c>
      <c r="BH11" s="24">
        <v>1530.9</v>
      </c>
      <c r="BI11" s="24">
        <v>686.1</v>
      </c>
      <c r="BJ11" s="24">
        <v>845.6</v>
      </c>
      <c r="BK11" s="24">
        <v>46</v>
      </c>
      <c r="BL11" s="24">
        <v>203.7</v>
      </c>
      <c r="BM11" s="24">
        <v>0</v>
      </c>
      <c r="BN11" s="24">
        <v>0</v>
      </c>
      <c r="BO11" s="24">
        <v>87</v>
      </c>
      <c r="BP11" s="24">
        <v>7353</v>
      </c>
      <c r="BQ11" s="24">
        <v>30.5</v>
      </c>
      <c r="BR11" s="24">
        <v>1103.3</v>
      </c>
      <c r="BS11" s="24">
        <v>-3052.8</v>
      </c>
    </row>
    <row r="12" spans="1:71" x14ac:dyDescent="0.25">
      <c r="A12" s="30" t="s">
        <v>91</v>
      </c>
      <c r="B12" s="31" t="s">
        <v>289</v>
      </c>
      <c r="C12" s="24">
        <v>12686.7</v>
      </c>
      <c r="D12" s="24">
        <v>1123.4</v>
      </c>
      <c r="E12" s="24">
        <v>620.1</v>
      </c>
      <c r="F12" s="24">
        <v>1987.9</v>
      </c>
      <c r="G12" s="24">
        <v>4620.6</v>
      </c>
      <c r="H12" s="24">
        <v>957</v>
      </c>
      <c r="I12" s="24">
        <v>970.9</v>
      </c>
      <c r="J12" s="24">
        <v>1191.2</v>
      </c>
      <c r="K12" s="24">
        <v>316.8</v>
      </c>
      <c r="L12" s="24">
        <v>38881.8</v>
      </c>
      <c r="M12" s="24">
        <v>35963.2</v>
      </c>
      <c r="N12" s="24">
        <v>1303.3</v>
      </c>
      <c r="O12" s="24">
        <v>3157.8</v>
      </c>
      <c r="P12" s="24">
        <v>5138.7</v>
      </c>
      <c r="Q12" s="24">
        <v>6337</v>
      </c>
      <c r="R12" s="24">
        <v>1991.2</v>
      </c>
      <c r="S12" s="24">
        <v>614.6</v>
      </c>
      <c r="T12" s="24">
        <v>1249.3</v>
      </c>
      <c r="U12" s="24">
        <v>1743</v>
      </c>
      <c r="V12" s="24">
        <v>2959.6</v>
      </c>
      <c r="W12" s="24">
        <v>523.3</v>
      </c>
      <c r="X12" s="24">
        <v>1188.3</v>
      </c>
      <c r="Y12" s="24">
        <v>1019.4</v>
      </c>
      <c r="Z12" s="24">
        <v>10870.3</v>
      </c>
      <c r="AA12" s="24">
        <v>263</v>
      </c>
      <c r="AB12" s="24">
        <v>2960.5</v>
      </c>
      <c r="AC12" s="24">
        <v>22567.9</v>
      </c>
      <c r="AD12" s="24">
        <v>2723.4</v>
      </c>
      <c r="AE12" s="24">
        <v>9648.9</v>
      </c>
      <c r="AF12" s="24">
        <v>3328.1</v>
      </c>
      <c r="AG12" s="24">
        <v>40229.1</v>
      </c>
      <c r="AH12" s="24">
        <v>16709</v>
      </c>
      <c r="AI12" s="24">
        <v>16667.8</v>
      </c>
      <c r="AJ12" s="24">
        <v>7017.8</v>
      </c>
      <c r="AK12" s="24">
        <v>1677.8</v>
      </c>
      <c r="AL12" s="24">
        <v>2353.9</v>
      </c>
      <c r="AM12" s="24">
        <v>255.8</v>
      </c>
      <c r="AN12" s="24">
        <v>591</v>
      </c>
      <c r="AO12" s="24">
        <v>501.9</v>
      </c>
      <c r="AP12" s="24">
        <v>1229.8</v>
      </c>
      <c r="AQ12" s="24">
        <v>601.2</v>
      </c>
      <c r="AR12" s="24">
        <v>693.1</v>
      </c>
      <c r="AS12" s="24">
        <v>1675.1</v>
      </c>
      <c r="AT12" s="24">
        <v>1187.3</v>
      </c>
      <c r="AU12" s="24">
        <v>2696.7</v>
      </c>
      <c r="AV12" s="24">
        <v>1256.2</v>
      </c>
      <c r="AW12" s="24">
        <v>548.7</v>
      </c>
      <c r="AX12" s="24">
        <v>406.8</v>
      </c>
      <c r="AY12" s="24">
        <v>588.9</v>
      </c>
      <c r="AZ12" s="24">
        <v>2795.2</v>
      </c>
      <c r="BA12" s="24">
        <v>299.6</v>
      </c>
      <c r="BB12" s="24">
        <v>291</v>
      </c>
      <c r="BC12" s="24">
        <v>3130.4</v>
      </c>
      <c r="BD12" s="24">
        <v>5232.7</v>
      </c>
      <c r="BE12" s="24">
        <v>1637.3</v>
      </c>
      <c r="BF12" s="24">
        <v>2661.4</v>
      </c>
      <c r="BG12" s="24">
        <v>1332.7</v>
      </c>
      <c r="BH12" s="24">
        <v>709.9</v>
      </c>
      <c r="BI12" s="24">
        <v>789.2</v>
      </c>
      <c r="BJ12" s="24">
        <v>710</v>
      </c>
      <c r="BK12" s="24">
        <v>123.9</v>
      </c>
      <c r="BL12" s="24">
        <v>1094</v>
      </c>
      <c r="BM12" s="24">
        <v>0</v>
      </c>
      <c r="BN12" s="24">
        <v>0</v>
      </c>
      <c r="BO12" s="24">
        <v>926.4</v>
      </c>
      <c r="BP12" s="24">
        <v>146131.5</v>
      </c>
      <c r="BQ12" s="24">
        <v>15.1</v>
      </c>
      <c r="BR12" s="24">
        <v>1788.7</v>
      </c>
      <c r="BS12" s="24">
        <v>-8659.8</v>
      </c>
    </row>
    <row r="13" spans="1:71" x14ac:dyDescent="0.25">
      <c r="A13" s="30" t="s">
        <v>93</v>
      </c>
      <c r="B13" s="31" t="s">
        <v>290</v>
      </c>
      <c r="C13" s="24">
        <v>18423.6</v>
      </c>
      <c r="D13" s="24">
        <v>260.8</v>
      </c>
      <c r="E13" s="24">
        <v>169.2</v>
      </c>
      <c r="F13" s="24">
        <v>941.9</v>
      </c>
      <c r="G13" s="24">
        <v>10632.6</v>
      </c>
      <c r="H13" s="24">
        <v>6942.5</v>
      </c>
      <c r="I13" s="24">
        <v>4461.8</v>
      </c>
      <c r="J13" s="24">
        <v>6740.6</v>
      </c>
      <c r="K13" s="24">
        <v>1839.5</v>
      </c>
      <c r="L13" s="24">
        <v>13032.2</v>
      </c>
      <c r="M13" s="24">
        <v>106534.8</v>
      </c>
      <c r="N13" s="24">
        <v>12564.9</v>
      </c>
      <c r="O13" s="24">
        <v>40203.5</v>
      </c>
      <c r="P13" s="24">
        <v>6823.5</v>
      </c>
      <c r="Q13" s="24">
        <v>7412.9</v>
      </c>
      <c r="R13" s="24">
        <v>6550.8</v>
      </c>
      <c r="S13" s="24">
        <v>2966.2</v>
      </c>
      <c r="T13" s="24">
        <v>5240.9</v>
      </c>
      <c r="U13" s="24">
        <v>4518.2</v>
      </c>
      <c r="V13" s="24">
        <v>9420.2</v>
      </c>
      <c r="W13" s="24">
        <v>2523.8</v>
      </c>
      <c r="X13" s="24">
        <v>5238.4</v>
      </c>
      <c r="Y13" s="24">
        <v>1592.2</v>
      </c>
      <c r="Z13" s="24">
        <v>10131</v>
      </c>
      <c r="AA13" s="24">
        <v>582.8</v>
      </c>
      <c r="AB13" s="24">
        <v>2156.4</v>
      </c>
      <c r="AC13" s="24">
        <v>18925.1</v>
      </c>
      <c r="AD13" s="24">
        <v>2060.6</v>
      </c>
      <c r="AE13" s="24">
        <v>8823.4</v>
      </c>
      <c r="AF13" s="24">
        <v>2437.5</v>
      </c>
      <c r="AG13" s="24">
        <v>3508</v>
      </c>
      <c r="AH13" s="24">
        <v>426.9</v>
      </c>
      <c r="AI13" s="24">
        <v>818.5</v>
      </c>
      <c r="AJ13" s="24">
        <v>1377.3</v>
      </c>
      <c r="AK13" s="24">
        <v>201.6</v>
      </c>
      <c r="AL13" s="24">
        <v>2822.6</v>
      </c>
      <c r="AM13" s="24">
        <v>976.8</v>
      </c>
      <c r="AN13" s="24">
        <v>427.8</v>
      </c>
      <c r="AO13" s="24">
        <v>423.9</v>
      </c>
      <c r="AP13" s="24">
        <v>1716.4</v>
      </c>
      <c r="AQ13" s="24">
        <v>459.8</v>
      </c>
      <c r="AR13" s="24">
        <v>226.5</v>
      </c>
      <c r="AS13" s="24">
        <v>250.3</v>
      </c>
      <c r="AT13" s="24">
        <v>2420.1</v>
      </c>
      <c r="AU13" s="24">
        <v>1715.6</v>
      </c>
      <c r="AV13" s="24">
        <v>1609.4</v>
      </c>
      <c r="AW13" s="24">
        <v>2200.4</v>
      </c>
      <c r="AX13" s="24">
        <v>299.1</v>
      </c>
      <c r="AY13" s="24">
        <v>813.3</v>
      </c>
      <c r="AZ13" s="24">
        <v>1223.8</v>
      </c>
      <c r="BA13" s="24">
        <v>142.1</v>
      </c>
      <c r="BB13" s="24">
        <v>158.2</v>
      </c>
      <c r="BC13" s="24">
        <v>5744.7</v>
      </c>
      <c r="BD13" s="24">
        <v>2245.1</v>
      </c>
      <c r="BE13" s="24">
        <v>1046.9</v>
      </c>
      <c r="BF13" s="24">
        <v>10237.8</v>
      </c>
      <c r="BG13" s="24">
        <v>1375.6</v>
      </c>
      <c r="BH13" s="24">
        <v>621.5</v>
      </c>
      <c r="BI13" s="24">
        <v>435</v>
      </c>
      <c r="BJ13" s="24">
        <v>414</v>
      </c>
      <c r="BK13" s="24">
        <v>82.1</v>
      </c>
      <c r="BL13" s="24">
        <v>2340.9</v>
      </c>
      <c r="BM13" s="24">
        <v>0</v>
      </c>
      <c r="BN13" s="24">
        <v>0</v>
      </c>
      <c r="BO13" s="24">
        <v>4670.5</v>
      </c>
      <c r="BP13" s="24">
        <v>65188.7</v>
      </c>
      <c r="BQ13" s="24">
        <v>98.5</v>
      </c>
      <c r="BR13" s="24">
        <v>9788.6</v>
      </c>
      <c r="BS13" s="24">
        <v>-5330.1</v>
      </c>
    </row>
    <row r="14" spans="1:71" x14ac:dyDescent="0.25">
      <c r="A14" s="30" t="s">
        <v>95</v>
      </c>
      <c r="B14" s="31" t="s">
        <v>291</v>
      </c>
      <c r="C14" s="24">
        <v>1855.8</v>
      </c>
      <c r="D14" s="24">
        <v>23.8</v>
      </c>
      <c r="E14" s="24">
        <v>24.1</v>
      </c>
      <c r="F14" s="24">
        <v>80.5</v>
      </c>
      <c r="G14" s="24">
        <v>3421.1</v>
      </c>
      <c r="H14" s="24">
        <v>371.8</v>
      </c>
      <c r="I14" s="24">
        <v>286.9</v>
      </c>
      <c r="J14" s="24">
        <v>359.3</v>
      </c>
      <c r="K14" s="24">
        <v>126.5</v>
      </c>
      <c r="L14" s="24">
        <v>541.7</v>
      </c>
      <c r="M14" s="24">
        <v>5166.1</v>
      </c>
      <c r="N14" s="24">
        <v>20542.4</v>
      </c>
      <c r="O14" s="24">
        <v>2576.8</v>
      </c>
      <c r="P14" s="24">
        <v>548.8</v>
      </c>
      <c r="Q14" s="24">
        <v>472.1</v>
      </c>
      <c r="R14" s="24">
        <v>566</v>
      </c>
      <c r="S14" s="24">
        <v>687.4</v>
      </c>
      <c r="T14" s="24">
        <v>513</v>
      </c>
      <c r="U14" s="24">
        <v>992.4</v>
      </c>
      <c r="V14" s="24">
        <v>1144.7</v>
      </c>
      <c r="W14" s="24">
        <v>243</v>
      </c>
      <c r="X14" s="24">
        <v>587.5</v>
      </c>
      <c r="Y14" s="24">
        <v>201.5</v>
      </c>
      <c r="Z14" s="24">
        <v>781</v>
      </c>
      <c r="AA14" s="24">
        <v>54.3</v>
      </c>
      <c r="AB14" s="24">
        <v>380.9</v>
      </c>
      <c r="AC14" s="24">
        <v>2303.7</v>
      </c>
      <c r="AD14" s="24">
        <v>330</v>
      </c>
      <c r="AE14" s="24">
        <v>5639.6</v>
      </c>
      <c r="AF14" s="24">
        <v>1417.9</v>
      </c>
      <c r="AG14" s="24">
        <v>532.4</v>
      </c>
      <c r="AH14" s="24">
        <v>161.2</v>
      </c>
      <c r="AI14" s="24">
        <v>268.7</v>
      </c>
      <c r="AJ14" s="24">
        <v>497.3</v>
      </c>
      <c r="AK14" s="24">
        <v>86.9</v>
      </c>
      <c r="AL14" s="24">
        <v>819.3</v>
      </c>
      <c r="AM14" s="24">
        <v>741.6</v>
      </c>
      <c r="AN14" s="24">
        <v>264.7</v>
      </c>
      <c r="AO14" s="24">
        <v>300.3</v>
      </c>
      <c r="AP14" s="24">
        <v>1719.2</v>
      </c>
      <c r="AQ14" s="24">
        <v>327.9</v>
      </c>
      <c r="AR14" s="24">
        <v>152.6</v>
      </c>
      <c r="AS14" s="24">
        <v>183.5</v>
      </c>
      <c r="AT14" s="24">
        <v>489.6</v>
      </c>
      <c r="AU14" s="24">
        <v>1592.6</v>
      </c>
      <c r="AV14" s="24">
        <v>533.3</v>
      </c>
      <c r="AW14" s="24">
        <v>1460.6</v>
      </c>
      <c r="AX14" s="24">
        <v>197</v>
      </c>
      <c r="AY14" s="24">
        <v>924.9</v>
      </c>
      <c r="AZ14" s="24">
        <v>1126.5</v>
      </c>
      <c r="BA14" s="24">
        <v>97.3</v>
      </c>
      <c r="BB14" s="24">
        <v>89.5</v>
      </c>
      <c r="BC14" s="24">
        <v>922.8</v>
      </c>
      <c r="BD14" s="24">
        <v>1401.9</v>
      </c>
      <c r="BE14" s="24">
        <v>639.8</v>
      </c>
      <c r="BF14" s="24">
        <v>26204</v>
      </c>
      <c r="BG14" s="24">
        <v>2126.1</v>
      </c>
      <c r="BH14" s="24">
        <v>194.3</v>
      </c>
      <c r="BI14" s="24">
        <v>176.5</v>
      </c>
      <c r="BJ14" s="24">
        <v>142.2</v>
      </c>
      <c r="BK14" s="24">
        <v>18.1</v>
      </c>
      <c r="BL14" s="24">
        <v>210.2</v>
      </c>
      <c r="BM14" s="24">
        <v>0</v>
      </c>
      <c r="BN14" s="24">
        <v>0</v>
      </c>
      <c r="BO14" s="24">
        <v>46237.8</v>
      </c>
      <c r="BP14" s="24">
        <v>52275.4</v>
      </c>
      <c r="BQ14" s="24">
        <v>132</v>
      </c>
      <c r="BR14" s="24">
        <v>18339.3</v>
      </c>
      <c r="BS14" s="24">
        <v>-35504.5</v>
      </c>
    </row>
    <row r="15" spans="1:71" x14ac:dyDescent="0.25">
      <c r="A15" s="30" t="s">
        <v>97</v>
      </c>
      <c r="B15" s="31" t="s">
        <v>292</v>
      </c>
      <c r="C15" s="24">
        <v>2287.9</v>
      </c>
      <c r="D15" s="24">
        <v>79.5</v>
      </c>
      <c r="E15" s="24">
        <v>68</v>
      </c>
      <c r="F15" s="24">
        <v>311.9</v>
      </c>
      <c r="G15" s="24">
        <v>16918.8</v>
      </c>
      <c r="H15" s="24">
        <v>2459.4</v>
      </c>
      <c r="I15" s="24">
        <v>1443</v>
      </c>
      <c r="J15" s="24">
        <v>2567.8</v>
      </c>
      <c r="K15" s="24">
        <v>875.6</v>
      </c>
      <c r="L15" s="24">
        <v>1556.2</v>
      </c>
      <c r="M15" s="24">
        <v>8275.1</v>
      </c>
      <c r="N15" s="24">
        <v>3971.4</v>
      </c>
      <c r="O15" s="24">
        <v>38565.8</v>
      </c>
      <c r="P15" s="24">
        <v>3349</v>
      </c>
      <c r="Q15" s="24">
        <v>2626.8</v>
      </c>
      <c r="R15" s="24">
        <v>8080.7</v>
      </c>
      <c r="S15" s="24">
        <v>3449.1</v>
      </c>
      <c r="T15" s="24">
        <v>8755.9</v>
      </c>
      <c r="U15" s="24">
        <v>12182.3</v>
      </c>
      <c r="V15" s="24">
        <v>30375.1</v>
      </c>
      <c r="W15" s="24">
        <v>2411.6</v>
      </c>
      <c r="X15" s="24">
        <v>5845.8</v>
      </c>
      <c r="Y15" s="24">
        <v>2219.4</v>
      </c>
      <c r="Z15" s="24">
        <v>1212.5</v>
      </c>
      <c r="AA15" s="24">
        <v>185.5</v>
      </c>
      <c r="AB15" s="24">
        <v>1476.5</v>
      </c>
      <c r="AC15" s="24">
        <v>48333.9</v>
      </c>
      <c r="AD15" s="24">
        <v>4202.3</v>
      </c>
      <c r="AE15" s="24">
        <v>6845.3</v>
      </c>
      <c r="AF15" s="24">
        <v>3978.5</v>
      </c>
      <c r="AG15" s="24">
        <v>4112.2</v>
      </c>
      <c r="AH15" s="24">
        <v>103.8</v>
      </c>
      <c r="AI15" s="24">
        <v>169</v>
      </c>
      <c r="AJ15" s="24">
        <v>1491.6</v>
      </c>
      <c r="AK15" s="24">
        <v>197.6</v>
      </c>
      <c r="AL15" s="24">
        <v>1356</v>
      </c>
      <c r="AM15" s="24">
        <v>401.6</v>
      </c>
      <c r="AN15" s="24">
        <v>301.5</v>
      </c>
      <c r="AO15" s="24">
        <v>878.3</v>
      </c>
      <c r="AP15" s="24">
        <v>877.6</v>
      </c>
      <c r="AQ15" s="24">
        <v>441</v>
      </c>
      <c r="AR15" s="24">
        <v>243.5</v>
      </c>
      <c r="AS15" s="24">
        <v>205.7</v>
      </c>
      <c r="AT15" s="24">
        <v>2574.7</v>
      </c>
      <c r="AU15" s="24">
        <v>1459.1</v>
      </c>
      <c r="AV15" s="24">
        <v>1677.9</v>
      </c>
      <c r="AW15" s="24">
        <v>517.8</v>
      </c>
      <c r="AX15" s="24">
        <v>495.5</v>
      </c>
      <c r="AY15" s="24">
        <v>663.4</v>
      </c>
      <c r="AZ15" s="24">
        <v>733.7</v>
      </c>
      <c r="BA15" s="24">
        <v>83.7</v>
      </c>
      <c r="BB15" s="24">
        <v>82.1</v>
      </c>
      <c r="BC15" s="24">
        <v>3652.1</v>
      </c>
      <c r="BD15" s="24">
        <v>1051.2</v>
      </c>
      <c r="BE15" s="24">
        <v>410.4</v>
      </c>
      <c r="BF15" s="24">
        <v>2530.3</v>
      </c>
      <c r="BG15" s="24">
        <v>992.5</v>
      </c>
      <c r="BH15" s="24">
        <v>597.1</v>
      </c>
      <c r="BI15" s="24">
        <v>264.6</v>
      </c>
      <c r="BJ15" s="24">
        <v>224.9</v>
      </c>
      <c r="BK15" s="24">
        <v>201.2</v>
      </c>
      <c r="BL15" s="24">
        <v>461.3</v>
      </c>
      <c r="BM15" s="24">
        <v>0</v>
      </c>
      <c r="BN15" s="24">
        <v>0</v>
      </c>
      <c r="BO15" s="24">
        <v>722.1</v>
      </c>
      <c r="BP15" s="24">
        <v>29124.8</v>
      </c>
      <c r="BQ15" s="24">
        <v>32.9</v>
      </c>
      <c r="BR15" s="24">
        <v>9184</v>
      </c>
      <c r="BS15" s="24">
        <v>-1867.8</v>
      </c>
    </row>
    <row r="16" spans="1:71" x14ac:dyDescent="0.25">
      <c r="A16" s="30" t="s">
        <v>99</v>
      </c>
      <c r="B16" s="31" t="s">
        <v>293</v>
      </c>
      <c r="C16" s="24">
        <v>1867</v>
      </c>
      <c r="D16" s="24">
        <v>78.4</v>
      </c>
      <c r="E16" s="24">
        <v>62.1</v>
      </c>
      <c r="F16" s="24">
        <v>898.3</v>
      </c>
      <c r="G16" s="24">
        <v>7243.9</v>
      </c>
      <c r="H16" s="24">
        <v>472.6</v>
      </c>
      <c r="I16" s="24">
        <v>1678.9</v>
      </c>
      <c r="J16" s="24">
        <v>342.6</v>
      </c>
      <c r="K16" s="24">
        <v>67.7</v>
      </c>
      <c r="L16" s="24">
        <v>1080.4</v>
      </c>
      <c r="M16" s="24">
        <v>2945.4</v>
      </c>
      <c r="N16" s="24">
        <v>1226.2</v>
      </c>
      <c r="O16" s="24">
        <v>2389.1</v>
      </c>
      <c r="P16" s="24">
        <v>25964.5</v>
      </c>
      <c r="Q16" s="24">
        <v>3942.8</v>
      </c>
      <c r="R16" s="24">
        <v>3698</v>
      </c>
      <c r="S16" s="24">
        <v>1421.2</v>
      </c>
      <c r="T16" s="24">
        <v>2562</v>
      </c>
      <c r="U16" s="24">
        <v>2348.2</v>
      </c>
      <c r="V16" s="24">
        <v>4868.1</v>
      </c>
      <c r="W16" s="24">
        <v>801.9</v>
      </c>
      <c r="X16" s="24">
        <v>1829.6</v>
      </c>
      <c r="Y16" s="24">
        <v>725.4</v>
      </c>
      <c r="Z16" s="24">
        <v>2869.2</v>
      </c>
      <c r="AA16" s="24">
        <v>337.9</v>
      </c>
      <c r="AB16" s="24">
        <v>1122.3</v>
      </c>
      <c r="AC16" s="24">
        <v>113403.9</v>
      </c>
      <c r="AD16" s="24">
        <v>1063.6</v>
      </c>
      <c r="AE16" s="24">
        <v>2820.2</v>
      </c>
      <c r="AF16" s="24">
        <v>1026.7</v>
      </c>
      <c r="AG16" s="24">
        <v>950.3</v>
      </c>
      <c r="AH16" s="24">
        <v>70.2</v>
      </c>
      <c r="AI16" s="24">
        <v>114.6</v>
      </c>
      <c r="AJ16" s="24">
        <v>802.4</v>
      </c>
      <c r="AK16" s="24">
        <v>41.9</v>
      </c>
      <c r="AL16" s="24">
        <v>1471</v>
      </c>
      <c r="AM16" s="24">
        <v>70</v>
      </c>
      <c r="AN16" s="24">
        <v>59.3</v>
      </c>
      <c r="AO16" s="24">
        <v>405.2</v>
      </c>
      <c r="AP16" s="24">
        <v>426.6</v>
      </c>
      <c r="AQ16" s="24">
        <v>136.3</v>
      </c>
      <c r="AR16" s="24">
        <v>39.5</v>
      </c>
      <c r="AS16" s="24">
        <v>58.1</v>
      </c>
      <c r="AT16" s="24">
        <v>4015.2</v>
      </c>
      <c r="AU16" s="24">
        <v>577.2</v>
      </c>
      <c r="AV16" s="24">
        <v>550.1</v>
      </c>
      <c r="AW16" s="24">
        <v>417.4</v>
      </c>
      <c r="AX16" s="24">
        <v>139.7</v>
      </c>
      <c r="AY16" s="24">
        <v>246.6</v>
      </c>
      <c r="AZ16" s="24">
        <v>340.9</v>
      </c>
      <c r="BA16" s="24">
        <v>47.7</v>
      </c>
      <c r="BB16" s="24">
        <v>48.4</v>
      </c>
      <c r="BC16" s="24">
        <v>1825.4</v>
      </c>
      <c r="BD16" s="24">
        <v>1135.5</v>
      </c>
      <c r="BE16" s="24">
        <v>490.3</v>
      </c>
      <c r="BF16" s="24">
        <v>1565.4</v>
      </c>
      <c r="BG16" s="24">
        <v>317.3</v>
      </c>
      <c r="BH16" s="24">
        <v>450.4</v>
      </c>
      <c r="BI16" s="24">
        <v>219.9</v>
      </c>
      <c r="BJ16" s="24">
        <v>265.1</v>
      </c>
      <c r="BK16" s="24">
        <v>55.5</v>
      </c>
      <c r="BL16" s="24">
        <v>398.6</v>
      </c>
      <c r="BM16" s="24">
        <v>0</v>
      </c>
      <c r="BN16" s="24">
        <v>0</v>
      </c>
      <c r="BO16" s="24">
        <v>278.4</v>
      </c>
      <c r="BP16" s="24">
        <v>21139.2</v>
      </c>
      <c r="BQ16" s="24">
        <v>11.5</v>
      </c>
      <c r="BR16" s="24">
        <v>10545.6</v>
      </c>
      <c r="BS16" s="24">
        <v>-7764.2</v>
      </c>
    </row>
    <row r="17" spans="1:71" x14ac:dyDescent="0.25">
      <c r="A17" s="30" t="s">
        <v>101</v>
      </c>
      <c r="B17" s="31" t="s">
        <v>294</v>
      </c>
      <c r="C17" s="24">
        <v>574.6</v>
      </c>
      <c r="D17" s="24">
        <v>37.7</v>
      </c>
      <c r="E17" s="24">
        <v>9.4</v>
      </c>
      <c r="F17" s="24">
        <v>436.7</v>
      </c>
      <c r="G17" s="24">
        <v>2744.8</v>
      </c>
      <c r="H17" s="24">
        <v>493.7</v>
      </c>
      <c r="I17" s="24">
        <v>749.1</v>
      </c>
      <c r="J17" s="24">
        <v>657.2</v>
      </c>
      <c r="K17" s="24">
        <v>215.3</v>
      </c>
      <c r="L17" s="24">
        <v>968.9</v>
      </c>
      <c r="M17" s="24">
        <v>5220.7</v>
      </c>
      <c r="N17" s="24">
        <v>1040.1</v>
      </c>
      <c r="O17" s="24">
        <v>4445.1</v>
      </c>
      <c r="P17" s="24">
        <v>2600.9</v>
      </c>
      <c r="Q17" s="24">
        <v>124681.7</v>
      </c>
      <c r="R17" s="24">
        <v>76211.6</v>
      </c>
      <c r="S17" s="24">
        <v>4209.9</v>
      </c>
      <c r="T17" s="24">
        <v>21309.7</v>
      </c>
      <c r="U17" s="24">
        <v>33829.8</v>
      </c>
      <c r="V17" s="24">
        <v>39021.8</v>
      </c>
      <c r="W17" s="24">
        <v>5532.7</v>
      </c>
      <c r="X17" s="24">
        <v>9070</v>
      </c>
      <c r="Y17" s="24">
        <v>6471.4</v>
      </c>
      <c r="Z17" s="24">
        <v>2079.1</v>
      </c>
      <c r="AA17" s="24">
        <v>420.7</v>
      </c>
      <c r="AB17" s="24">
        <v>4845.1</v>
      </c>
      <c r="AC17" s="24">
        <v>29686.4</v>
      </c>
      <c r="AD17" s="24">
        <v>1268.3</v>
      </c>
      <c r="AE17" s="24">
        <v>4166.5</v>
      </c>
      <c r="AF17" s="24">
        <v>1023.9</v>
      </c>
      <c r="AG17" s="24">
        <v>1870.6</v>
      </c>
      <c r="AH17" s="24">
        <v>101.6</v>
      </c>
      <c r="AI17" s="24">
        <v>107.7</v>
      </c>
      <c r="AJ17" s="24">
        <v>1041.4</v>
      </c>
      <c r="AK17" s="24">
        <v>39.6</v>
      </c>
      <c r="AL17" s="24">
        <v>437.4</v>
      </c>
      <c r="AM17" s="24">
        <v>108</v>
      </c>
      <c r="AN17" s="24">
        <v>71.3</v>
      </c>
      <c r="AO17" s="24">
        <v>315.6</v>
      </c>
      <c r="AP17" s="24">
        <v>685.1</v>
      </c>
      <c r="AQ17" s="24">
        <v>121</v>
      </c>
      <c r="AR17" s="24">
        <v>44.2</v>
      </c>
      <c r="AS17" s="24">
        <v>71.5</v>
      </c>
      <c r="AT17" s="24">
        <v>1488.5</v>
      </c>
      <c r="AU17" s="24">
        <v>794.3</v>
      </c>
      <c r="AV17" s="24">
        <v>1867.5</v>
      </c>
      <c r="AW17" s="24">
        <v>307.1</v>
      </c>
      <c r="AX17" s="24">
        <v>300.5</v>
      </c>
      <c r="AY17" s="24">
        <v>448.7</v>
      </c>
      <c r="AZ17" s="24">
        <v>404.4</v>
      </c>
      <c r="BA17" s="24">
        <v>44.6</v>
      </c>
      <c r="BB17" s="24">
        <v>31.8</v>
      </c>
      <c r="BC17" s="24">
        <v>751</v>
      </c>
      <c r="BD17" s="24">
        <v>1156.4</v>
      </c>
      <c r="BE17" s="24">
        <v>199.6</v>
      </c>
      <c r="BF17" s="24">
        <v>1886.8</v>
      </c>
      <c r="BG17" s="24">
        <v>127.6</v>
      </c>
      <c r="BH17" s="24">
        <v>271.3</v>
      </c>
      <c r="BI17" s="24">
        <v>129</v>
      </c>
      <c r="BJ17" s="24">
        <v>63.3</v>
      </c>
      <c r="BK17" s="24">
        <v>180.1</v>
      </c>
      <c r="BL17" s="24">
        <v>166.1</v>
      </c>
      <c r="BM17" s="24">
        <v>0</v>
      </c>
      <c r="BN17" s="24">
        <v>0</v>
      </c>
      <c r="BO17" s="24">
        <v>529.3</v>
      </c>
      <c r="BP17" s="24">
        <v>6059.3</v>
      </c>
      <c r="BQ17" s="24">
        <v>14.9</v>
      </c>
      <c r="BR17" s="24">
        <v>8135.1</v>
      </c>
      <c r="BS17" s="24">
        <v>2165</v>
      </c>
    </row>
    <row r="18" spans="1:71" x14ac:dyDescent="0.25">
      <c r="A18" s="30" t="s">
        <v>103</v>
      </c>
      <c r="B18" s="31" t="s">
        <v>295</v>
      </c>
      <c r="C18" s="24">
        <v>3827.9</v>
      </c>
      <c r="D18" s="24">
        <v>144.9</v>
      </c>
      <c r="E18" s="24">
        <v>101.2</v>
      </c>
      <c r="F18" s="24">
        <v>835.6</v>
      </c>
      <c r="G18" s="24">
        <v>9675.2</v>
      </c>
      <c r="H18" s="24">
        <v>1233.9</v>
      </c>
      <c r="I18" s="24">
        <v>2017.8</v>
      </c>
      <c r="J18" s="24">
        <v>1014.6</v>
      </c>
      <c r="K18" s="24">
        <v>371.1</v>
      </c>
      <c r="L18" s="24">
        <v>1721.4</v>
      </c>
      <c r="M18" s="24">
        <v>4061.3</v>
      </c>
      <c r="N18" s="24">
        <v>1449</v>
      </c>
      <c r="O18" s="24">
        <v>5661.5</v>
      </c>
      <c r="P18" s="24">
        <v>2682</v>
      </c>
      <c r="Q18" s="24">
        <v>16718.1</v>
      </c>
      <c r="R18" s="24">
        <v>93705.6</v>
      </c>
      <c r="S18" s="24">
        <v>5556.9</v>
      </c>
      <c r="T18" s="24">
        <v>13516.9</v>
      </c>
      <c r="U18" s="24">
        <v>64117.5</v>
      </c>
      <c r="V18" s="24">
        <v>46703.6</v>
      </c>
      <c r="W18" s="24">
        <v>13175.9</v>
      </c>
      <c r="X18" s="24">
        <v>7225.2</v>
      </c>
      <c r="Y18" s="24">
        <v>12255.4</v>
      </c>
      <c r="Z18" s="24">
        <v>3932.7</v>
      </c>
      <c r="AA18" s="24">
        <v>691.2</v>
      </c>
      <c r="AB18" s="24">
        <v>3798.2</v>
      </c>
      <c r="AC18" s="24">
        <v>87752</v>
      </c>
      <c r="AD18" s="24">
        <v>3696.5</v>
      </c>
      <c r="AE18" s="24">
        <v>6306.8</v>
      </c>
      <c r="AF18" s="24">
        <v>1869.5</v>
      </c>
      <c r="AG18" s="24">
        <v>2679.6</v>
      </c>
      <c r="AH18" s="24">
        <v>263</v>
      </c>
      <c r="AI18" s="24">
        <v>341.2</v>
      </c>
      <c r="AJ18" s="24">
        <v>3011.4</v>
      </c>
      <c r="AK18" s="24">
        <v>118.6</v>
      </c>
      <c r="AL18" s="24">
        <v>1570.8</v>
      </c>
      <c r="AM18" s="24">
        <v>190.7</v>
      </c>
      <c r="AN18" s="24">
        <v>183.3</v>
      </c>
      <c r="AO18" s="24">
        <v>969.5</v>
      </c>
      <c r="AP18" s="24">
        <v>1189.4</v>
      </c>
      <c r="AQ18" s="24">
        <v>313.8</v>
      </c>
      <c r="AR18" s="24">
        <v>123.5</v>
      </c>
      <c r="AS18" s="24">
        <v>113.4</v>
      </c>
      <c r="AT18" s="24">
        <v>2543.3</v>
      </c>
      <c r="AU18" s="24">
        <v>1348.3</v>
      </c>
      <c r="AV18" s="24">
        <v>3063.6</v>
      </c>
      <c r="AW18" s="24">
        <v>500.2</v>
      </c>
      <c r="AX18" s="24">
        <v>540.4</v>
      </c>
      <c r="AY18" s="24">
        <v>537.8</v>
      </c>
      <c r="AZ18" s="24">
        <v>961.8</v>
      </c>
      <c r="BA18" s="24">
        <v>117.4</v>
      </c>
      <c r="BB18" s="24">
        <v>107.4</v>
      </c>
      <c r="BC18" s="24">
        <v>3241.9</v>
      </c>
      <c r="BD18" s="24">
        <v>3375.6</v>
      </c>
      <c r="BE18" s="24">
        <v>489.2</v>
      </c>
      <c r="BF18" s="24">
        <v>1410.3</v>
      </c>
      <c r="BG18" s="24">
        <v>508.1</v>
      </c>
      <c r="BH18" s="24">
        <v>852.3</v>
      </c>
      <c r="BI18" s="24">
        <v>333.5</v>
      </c>
      <c r="BJ18" s="24">
        <v>266.8</v>
      </c>
      <c r="BK18" s="24">
        <v>375.9</v>
      </c>
      <c r="BL18" s="24">
        <v>380.9</v>
      </c>
      <c r="BM18" s="24">
        <v>0</v>
      </c>
      <c r="BN18" s="24">
        <v>0</v>
      </c>
      <c r="BO18" s="24">
        <v>815</v>
      </c>
      <c r="BP18" s="24">
        <v>26478.5</v>
      </c>
      <c r="BQ18" s="24">
        <v>65.9</v>
      </c>
      <c r="BR18" s="24">
        <v>70205.8</v>
      </c>
      <c r="BS18" s="24">
        <v>2667.6</v>
      </c>
    </row>
    <row r="19" spans="1:71" x14ac:dyDescent="0.25">
      <c r="A19" s="30" t="s">
        <v>105</v>
      </c>
      <c r="B19" s="31" t="s">
        <v>296</v>
      </c>
      <c r="C19" s="24">
        <v>431.5</v>
      </c>
      <c r="D19" s="24">
        <v>46.5</v>
      </c>
      <c r="E19" s="24">
        <v>16.3</v>
      </c>
      <c r="F19" s="24">
        <v>96.7</v>
      </c>
      <c r="G19" s="24">
        <v>858.4</v>
      </c>
      <c r="H19" s="24">
        <v>141.1</v>
      </c>
      <c r="I19" s="24">
        <v>180.6</v>
      </c>
      <c r="J19" s="24">
        <v>249.4</v>
      </c>
      <c r="K19" s="24">
        <v>251.9</v>
      </c>
      <c r="L19" s="24">
        <v>295.6</v>
      </c>
      <c r="M19" s="24">
        <v>837.1</v>
      </c>
      <c r="N19" s="24">
        <v>857.6</v>
      </c>
      <c r="O19" s="24">
        <v>563.5</v>
      </c>
      <c r="P19" s="24">
        <v>412</v>
      </c>
      <c r="Q19" s="24">
        <v>736.3</v>
      </c>
      <c r="R19" s="24">
        <v>1746.6</v>
      </c>
      <c r="S19" s="24">
        <v>27258.2</v>
      </c>
      <c r="T19" s="24">
        <v>8627.6</v>
      </c>
      <c r="U19" s="24">
        <v>5781.5</v>
      </c>
      <c r="V19" s="24">
        <v>8407.9</v>
      </c>
      <c r="W19" s="24">
        <v>3188.2</v>
      </c>
      <c r="X19" s="24">
        <v>2030.9</v>
      </c>
      <c r="Y19" s="24">
        <v>3442.4</v>
      </c>
      <c r="Z19" s="24">
        <v>2662.9</v>
      </c>
      <c r="AA19" s="24">
        <v>144.4</v>
      </c>
      <c r="AB19" s="24">
        <v>309.3</v>
      </c>
      <c r="AC19" s="24">
        <v>7193.3</v>
      </c>
      <c r="AD19" s="24">
        <v>663.4</v>
      </c>
      <c r="AE19" s="24">
        <v>3534.6</v>
      </c>
      <c r="AF19" s="24">
        <v>1247.6</v>
      </c>
      <c r="AG19" s="24">
        <v>830.8</v>
      </c>
      <c r="AH19" s="24">
        <v>165.7</v>
      </c>
      <c r="AI19" s="24">
        <v>315.8</v>
      </c>
      <c r="AJ19" s="24">
        <v>762.1</v>
      </c>
      <c r="AK19" s="24">
        <v>230.2</v>
      </c>
      <c r="AL19" s="24">
        <v>569.5</v>
      </c>
      <c r="AM19" s="24">
        <v>754.5</v>
      </c>
      <c r="AN19" s="24">
        <v>821.7</v>
      </c>
      <c r="AO19" s="24">
        <v>5267.2</v>
      </c>
      <c r="AP19" s="24">
        <v>7991.7</v>
      </c>
      <c r="AQ19" s="24">
        <v>452.5</v>
      </c>
      <c r="AR19" s="24">
        <v>257</v>
      </c>
      <c r="AS19" s="24">
        <v>375.2</v>
      </c>
      <c r="AT19" s="24">
        <v>583.8</v>
      </c>
      <c r="AU19" s="24">
        <v>1306.1</v>
      </c>
      <c r="AV19" s="24">
        <v>2127.5</v>
      </c>
      <c r="AW19" s="24">
        <v>1426.9</v>
      </c>
      <c r="AX19" s="24">
        <v>479.2</v>
      </c>
      <c r="AY19" s="24">
        <v>636.8</v>
      </c>
      <c r="AZ19" s="24">
        <v>891.1</v>
      </c>
      <c r="BA19" s="24">
        <v>143.6</v>
      </c>
      <c r="BB19" s="24">
        <v>84.3</v>
      </c>
      <c r="BC19" s="24">
        <v>1774.2</v>
      </c>
      <c r="BD19" s="24">
        <v>1894.7</v>
      </c>
      <c r="BE19" s="24">
        <v>853.5</v>
      </c>
      <c r="BF19" s="24">
        <v>3690.1</v>
      </c>
      <c r="BG19" s="24">
        <v>799.5</v>
      </c>
      <c r="BH19" s="24">
        <v>1048.1</v>
      </c>
      <c r="BI19" s="24">
        <v>293.6</v>
      </c>
      <c r="BJ19" s="24">
        <v>173.5</v>
      </c>
      <c r="BK19" s="24">
        <v>751.9</v>
      </c>
      <c r="BL19" s="24">
        <v>161.9</v>
      </c>
      <c r="BM19" s="24">
        <v>0</v>
      </c>
      <c r="BN19" s="24">
        <v>0</v>
      </c>
      <c r="BO19" s="24">
        <v>2953.9</v>
      </c>
      <c r="BP19" s="24">
        <v>44520.6</v>
      </c>
      <c r="BQ19" s="24">
        <v>198.1</v>
      </c>
      <c r="BR19" s="24">
        <v>74462.9</v>
      </c>
      <c r="BS19" s="24">
        <v>3511.8</v>
      </c>
    </row>
    <row r="20" spans="1:71" x14ac:dyDescent="0.25">
      <c r="A20" s="30" t="s">
        <v>107</v>
      </c>
      <c r="B20" s="31" t="s">
        <v>297</v>
      </c>
      <c r="C20" s="24">
        <v>806.6</v>
      </c>
      <c r="D20" s="24">
        <v>59.9</v>
      </c>
      <c r="E20" s="24">
        <v>38.7</v>
      </c>
      <c r="F20" s="24">
        <v>255.2</v>
      </c>
      <c r="G20" s="24">
        <v>2704.9</v>
      </c>
      <c r="H20" s="24">
        <v>347.4</v>
      </c>
      <c r="I20" s="24">
        <v>378.7</v>
      </c>
      <c r="J20" s="24">
        <v>509.2</v>
      </c>
      <c r="K20" s="24">
        <v>164.7</v>
      </c>
      <c r="L20" s="24">
        <v>480.6</v>
      </c>
      <c r="M20" s="24">
        <v>1281.6</v>
      </c>
      <c r="N20" s="24">
        <v>765.2</v>
      </c>
      <c r="O20" s="24">
        <v>1167.1</v>
      </c>
      <c r="P20" s="24">
        <v>743.2</v>
      </c>
      <c r="Q20" s="24">
        <v>2551.1</v>
      </c>
      <c r="R20" s="24">
        <v>4393.4</v>
      </c>
      <c r="S20" s="24">
        <v>8601.2</v>
      </c>
      <c r="T20" s="24">
        <v>37465.1</v>
      </c>
      <c r="U20" s="24">
        <v>16256.3</v>
      </c>
      <c r="V20" s="24">
        <v>19369.4</v>
      </c>
      <c r="W20" s="24">
        <v>4149.6</v>
      </c>
      <c r="X20" s="24">
        <v>1922.6</v>
      </c>
      <c r="Y20" s="24">
        <v>4708.3</v>
      </c>
      <c r="Z20" s="24">
        <v>7210.7</v>
      </c>
      <c r="AA20" s="24">
        <v>336.5</v>
      </c>
      <c r="AB20" s="24">
        <v>865.7</v>
      </c>
      <c r="AC20" s="24">
        <v>32970.4</v>
      </c>
      <c r="AD20" s="24">
        <v>1526.6</v>
      </c>
      <c r="AE20" s="24">
        <v>3815.4</v>
      </c>
      <c r="AF20" s="24">
        <v>1426</v>
      </c>
      <c r="AG20" s="24">
        <v>1672.8</v>
      </c>
      <c r="AH20" s="24">
        <v>229.5</v>
      </c>
      <c r="AI20" s="24">
        <v>402.1</v>
      </c>
      <c r="AJ20" s="24">
        <v>1396.6</v>
      </c>
      <c r="AK20" s="24">
        <v>160.7</v>
      </c>
      <c r="AL20" s="24">
        <v>1730.6</v>
      </c>
      <c r="AM20" s="24">
        <v>208.3</v>
      </c>
      <c r="AN20" s="24">
        <v>356.7</v>
      </c>
      <c r="AO20" s="24">
        <v>1811.5</v>
      </c>
      <c r="AP20" s="24">
        <v>2234.5</v>
      </c>
      <c r="AQ20" s="24">
        <v>240.2</v>
      </c>
      <c r="AR20" s="24">
        <v>111</v>
      </c>
      <c r="AS20" s="24">
        <v>174.4</v>
      </c>
      <c r="AT20" s="24">
        <v>1884.7</v>
      </c>
      <c r="AU20" s="24">
        <v>1270.9</v>
      </c>
      <c r="AV20" s="24">
        <v>1678.2</v>
      </c>
      <c r="AW20" s="24">
        <v>640.1</v>
      </c>
      <c r="AX20" s="24">
        <v>250.4</v>
      </c>
      <c r="AY20" s="24">
        <v>448.4</v>
      </c>
      <c r="AZ20" s="24">
        <v>878.4</v>
      </c>
      <c r="BA20" s="24">
        <v>91.3</v>
      </c>
      <c r="BB20" s="24">
        <v>94.9</v>
      </c>
      <c r="BC20" s="24">
        <v>1517.9</v>
      </c>
      <c r="BD20" s="24">
        <v>1283.6</v>
      </c>
      <c r="BE20" s="24">
        <v>442.6</v>
      </c>
      <c r="BF20" s="24">
        <v>1111.9</v>
      </c>
      <c r="BG20" s="24">
        <v>472.5</v>
      </c>
      <c r="BH20" s="24">
        <v>768.7</v>
      </c>
      <c r="BI20" s="24">
        <v>317.5</v>
      </c>
      <c r="BJ20" s="24">
        <v>130.1</v>
      </c>
      <c r="BK20" s="24">
        <v>373.6</v>
      </c>
      <c r="BL20" s="24">
        <v>456.7</v>
      </c>
      <c r="BM20" s="24">
        <v>0</v>
      </c>
      <c r="BN20" s="24">
        <v>0</v>
      </c>
      <c r="BO20" s="24">
        <v>918.4</v>
      </c>
      <c r="BP20" s="24">
        <v>44731.3</v>
      </c>
      <c r="BQ20" s="24">
        <v>74.8</v>
      </c>
      <c r="BR20" s="24">
        <v>46711.8</v>
      </c>
      <c r="BS20" s="24">
        <v>7698.9</v>
      </c>
    </row>
    <row r="21" spans="1:71" x14ac:dyDescent="0.25">
      <c r="A21" s="30" t="s">
        <v>109</v>
      </c>
      <c r="B21" s="31" t="s">
        <v>298</v>
      </c>
      <c r="C21" s="24">
        <v>3397.3</v>
      </c>
      <c r="D21" s="24">
        <v>405.2</v>
      </c>
      <c r="E21" s="24">
        <v>111.9</v>
      </c>
      <c r="F21" s="24">
        <v>1001.8</v>
      </c>
      <c r="G21" s="24">
        <v>5883.5</v>
      </c>
      <c r="H21" s="24">
        <v>1007</v>
      </c>
      <c r="I21" s="24">
        <v>894.4</v>
      </c>
      <c r="J21" s="24">
        <v>1674.1</v>
      </c>
      <c r="K21" s="24">
        <v>450.3</v>
      </c>
      <c r="L21" s="24">
        <v>1425.3</v>
      </c>
      <c r="M21" s="24">
        <v>3082.6</v>
      </c>
      <c r="N21" s="24">
        <v>1562.6</v>
      </c>
      <c r="O21" s="24">
        <v>2844.6</v>
      </c>
      <c r="P21" s="24">
        <v>1954.1</v>
      </c>
      <c r="Q21" s="24">
        <v>6504.9</v>
      </c>
      <c r="R21" s="24">
        <v>11036.5</v>
      </c>
      <c r="S21" s="24">
        <v>3926.1</v>
      </c>
      <c r="T21" s="24">
        <v>7773.5</v>
      </c>
      <c r="U21" s="24">
        <v>96455.1</v>
      </c>
      <c r="V21" s="24">
        <v>27404.5</v>
      </c>
      <c r="W21" s="24">
        <v>7528.4</v>
      </c>
      <c r="X21" s="24">
        <v>2220.3</v>
      </c>
      <c r="Y21" s="24">
        <v>11224.7</v>
      </c>
      <c r="Z21" s="24">
        <v>5247.4</v>
      </c>
      <c r="AA21" s="24">
        <v>707.5</v>
      </c>
      <c r="AB21" s="24">
        <v>2423.1</v>
      </c>
      <c r="AC21" s="24">
        <v>26722.3</v>
      </c>
      <c r="AD21" s="24">
        <v>3503.8</v>
      </c>
      <c r="AE21" s="24">
        <v>4984</v>
      </c>
      <c r="AF21" s="24">
        <v>2449.6</v>
      </c>
      <c r="AG21" s="24">
        <v>2683.2</v>
      </c>
      <c r="AH21" s="24">
        <v>735.7</v>
      </c>
      <c r="AI21" s="24">
        <v>1116.4</v>
      </c>
      <c r="AJ21" s="24">
        <v>3834</v>
      </c>
      <c r="AK21" s="24">
        <v>261</v>
      </c>
      <c r="AL21" s="24">
        <v>2010.9</v>
      </c>
      <c r="AM21" s="24">
        <v>415.4</v>
      </c>
      <c r="AN21" s="24">
        <v>384.6</v>
      </c>
      <c r="AO21" s="24">
        <v>1444.2</v>
      </c>
      <c r="AP21" s="24">
        <v>2527.6</v>
      </c>
      <c r="AQ21" s="24">
        <v>742.7</v>
      </c>
      <c r="AR21" s="24">
        <v>462.1</v>
      </c>
      <c r="AS21" s="24">
        <v>318.7</v>
      </c>
      <c r="AT21" s="24">
        <v>1721.7</v>
      </c>
      <c r="AU21" s="24">
        <v>2342.7</v>
      </c>
      <c r="AV21" s="24">
        <v>2388.2</v>
      </c>
      <c r="AW21" s="24">
        <v>1276</v>
      </c>
      <c r="AX21" s="24">
        <v>343.7</v>
      </c>
      <c r="AY21" s="24">
        <v>602</v>
      </c>
      <c r="AZ21" s="24">
        <v>2322</v>
      </c>
      <c r="BA21" s="24">
        <v>211.4</v>
      </c>
      <c r="BB21" s="24">
        <v>187.8</v>
      </c>
      <c r="BC21" s="24">
        <v>2790</v>
      </c>
      <c r="BD21" s="24">
        <v>2188.2</v>
      </c>
      <c r="BE21" s="24">
        <v>605.1</v>
      </c>
      <c r="BF21" s="24">
        <v>2243.9</v>
      </c>
      <c r="BG21" s="24">
        <v>877.4</v>
      </c>
      <c r="BH21" s="24">
        <v>647.4</v>
      </c>
      <c r="BI21" s="24">
        <v>393.4</v>
      </c>
      <c r="BJ21" s="24">
        <v>415.5</v>
      </c>
      <c r="BK21" s="24">
        <v>222.6</v>
      </c>
      <c r="BL21" s="24">
        <v>402.6</v>
      </c>
      <c r="BM21" s="24">
        <v>0</v>
      </c>
      <c r="BN21" s="24">
        <v>0</v>
      </c>
      <c r="BO21" s="24">
        <v>2272.1</v>
      </c>
      <c r="BP21" s="24">
        <v>24828.5</v>
      </c>
      <c r="BQ21" s="24">
        <v>160.7</v>
      </c>
      <c r="BR21" s="24">
        <v>206850.6</v>
      </c>
      <c r="BS21" s="24">
        <v>10432.2</v>
      </c>
    </row>
    <row r="22" spans="1:71" x14ac:dyDescent="0.25">
      <c r="A22" s="30" t="s">
        <v>111</v>
      </c>
      <c r="B22" s="31" t="s">
        <v>299</v>
      </c>
      <c r="C22" s="24">
        <v>1501</v>
      </c>
      <c r="D22" s="24">
        <v>138.6</v>
      </c>
      <c r="E22" s="24">
        <v>33.2</v>
      </c>
      <c r="F22" s="24">
        <v>255.1</v>
      </c>
      <c r="G22" s="24">
        <v>1984.6</v>
      </c>
      <c r="H22" s="24">
        <v>401.6</v>
      </c>
      <c r="I22" s="24">
        <v>418.4</v>
      </c>
      <c r="J22" s="24">
        <v>421.5</v>
      </c>
      <c r="K22" s="24">
        <v>171.5</v>
      </c>
      <c r="L22" s="24">
        <v>516.1</v>
      </c>
      <c r="M22" s="24">
        <v>1848.7</v>
      </c>
      <c r="N22" s="24">
        <v>730.6</v>
      </c>
      <c r="O22" s="24">
        <v>1769.2</v>
      </c>
      <c r="P22" s="24">
        <v>1695.3</v>
      </c>
      <c r="Q22" s="24">
        <v>1267.4</v>
      </c>
      <c r="R22" s="24">
        <v>4457.9</v>
      </c>
      <c r="S22" s="24">
        <v>1883.4</v>
      </c>
      <c r="T22" s="24">
        <v>4557.4</v>
      </c>
      <c r="U22" s="24">
        <v>19156</v>
      </c>
      <c r="V22" s="24">
        <v>247701.6</v>
      </c>
      <c r="W22" s="24">
        <v>2963.3</v>
      </c>
      <c r="X22" s="24">
        <v>972.6</v>
      </c>
      <c r="Y22" s="24">
        <v>3773.5</v>
      </c>
      <c r="Z22" s="24">
        <v>1731.3</v>
      </c>
      <c r="AA22" s="24">
        <v>178.1</v>
      </c>
      <c r="AB22" s="24">
        <v>2638.4</v>
      </c>
      <c r="AC22" s="24">
        <v>9236.2</v>
      </c>
      <c r="AD22" s="24">
        <v>23598.8</v>
      </c>
      <c r="AE22" s="24">
        <v>4200.8</v>
      </c>
      <c r="AF22" s="24">
        <v>2724.1</v>
      </c>
      <c r="AG22" s="24">
        <v>11880.7</v>
      </c>
      <c r="AH22" s="24">
        <v>241.4</v>
      </c>
      <c r="AI22" s="24">
        <v>673</v>
      </c>
      <c r="AJ22" s="24">
        <v>4075.1</v>
      </c>
      <c r="AK22" s="24">
        <v>1456.6</v>
      </c>
      <c r="AL22" s="24">
        <v>938.4</v>
      </c>
      <c r="AM22" s="24">
        <v>293.6</v>
      </c>
      <c r="AN22" s="24">
        <v>358</v>
      </c>
      <c r="AO22" s="24">
        <v>748.8</v>
      </c>
      <c r="AP22" s="24">
        <v>2358.2</v>
      </c>
      <c r="AQ22" s="24">
        <v>863.9</v>
      </c>
      <c r="AR22" s="24">
        <v>703.8</v>
      </c>
      <c r="AS22" s="24">
        <v>420.7</v>
      </c>
      <c r="AT22" s="24">
        <v>1056.6</v>
      </c>
      <c r="AU22" s="24">
        <v>2303.6</v>
      </c>
      <c r="AV22" s="24">
        <v>1109.7</v>
      </c>
      <c r="AW22" s="24">
        <v>1362</v>
      </c>
      <c r="AX22" s="24">
        <v>348.4</v>
      </c>
      <c r="AY22" s="24">
        <v>486</v>
      </c>
      <c r="AZ22" s="24">
        <v>4063.5</v>
      </c>
      <c r="BA22" s="24">
        <v>153.1</v>
      </c>
      <c r="BB22" s="24">
        <v>270</v>
      </c>
      <c r="BC22" s="24">
        <v>1761.3</v>
      </c>
      <c r="BD22" s="24">
        <v>1918.7</v>
      </c>
      <c r="BE22" s="24">
        <v>577.9</v>
      </c>
      <c r="BF22" s="24">
        <v>1227.5</v>
      </c>
      <c r="BG22" s="24">
        <v>537.3</v>
      </c>
      <c r="BH22" s="24">
        <v>390.1</v>
      </c>
      <c r="BI22" s="24">
        <v>411.4</v>
      </c>
      <c r="BJ22" s="24">
        <v>335.4</v>
      </c>
      <c r="BK22" s="24">
        <v>74.2</v>
      </c>
      <c r="BL22" s="24">
        <v>226</v>
      </c>
      <c r="BM22" s="24">
        <v>0</v>
      </c>
      <c r="BN22" s="24">
        <v>0</v>
      </c>
      <c r="BO22" s="24">
        <v>4096.2</v>
      </c>
      <c r="BP22" s="24">
        <v>233230.8</v>
      </c>
      <c r="BQ22" s="24">
        <v>531.6</v>
      </c>
      <c r="BR22" s="24">
        <v>176829.6</v>
      </c>
      <c r="BS22" s="24">
        <v>22190</v>
      </c>
    </row>
    <row r="23" spans="1:71" x14ac:dyDescent="0.25">
      <c r="A23" s="30" t="s">
        <v>113</v>
      </c>
      <c r="B23" s="31" t="s">
        <v>300</v>
      </c>
      <c r="C23" s="24">
        <v>290.1</v>
      </c>
      <c r="D23" s="24">
        <v>22.3</v>
      </c>
      <c r="E23" s="24">
        <v>113.5</v>
      </c>
      <c r="F23" s="24">
        <v>141.5</v>
      </c>
      <c r="G23" s="24">
        <v>483.6</v>
      </c>
      <c r="H23" s="24">
        <v>126.8</v>
      </c>
      <c r="I23" s="24">
        <v>97.1</v>
      </c>
      <c r="J23" s="24">
        <v>152.2</v>
      </c>
      <c r="K23" s="24">
        <v>50.7</v>
      </c>
      <c r="L23" s="24">
        <v>114.9</v>
      </c>
      <c r="M23" s="24">
        <v>347.6</v>
      </c>
      <c r="N23" s="24">
        <v>137.1</v>
      </c>
      <c r="O23" s="24">
        <v>297.6</v>
      </c>
      <c r="P23" s="24">
        <v>207.9</v>
      </c>
      <c r="Q23" s="24">
        <v>469.4</v>
      </c>
      <c r="R23" s="24">
        <v>880.7</v>
      </c>
      <c r="S23" s="24">
        <v>371.9</v>
      </c>
      <c r="T23" s="24">
        <v>756.1</v>
      </c>
      <c r="U23" s="24">
        <v>1055.9</v>
      </c>
      <c r="V23" s="24">
        <v>1445.8</v>
      </c>
      <c r="W23" s="24">
        <v>51385.9</v>
      </c>
      <c r="X23" s="24">
        <v>353.8</v>
      </c>
      <c r="Y23" s="24">
        <v>4690.7</v>
      </c>
      <c r="Z23" s="24">
        <v>1189.7</v>
      </c>
      <c r="AA23" s="24">
        <v>92.5</v>
      </c>
      <c r="AB23" s="24">
        <v>219.9</v>
      </c>
      <c r="AC23" s="24">
        <v>2082.6</v>
      </c>
      <c r="AD23" s="24">
        <v>464</v>
      </c>
      <c r="AE23" s="24">
        <v>961.3</v>
      </c>
      <c r="AF23" s="24">
        <v>458.9</v>
      </c>
      <c r="AG23" s="24">
        <v>2440.3</v>
      </c>
      <c r="AH23" s="24">
        <v>299.3</v>
      </c>
      <c r="AI23" s="24">
        <v>2779.8</v>
      </c>
      <c r="AJ23" s="24">
        <v>1778.1</v>
      </c>
      <c r="AK23" s="24">
        <v>29.4</v>
      </c>
      <c r="AL23" s="24">
        <v>380.6</v>
      </c>
      <c r="AM23" s="24">
        <v>43.8</v>
      </c>
      <c r="AN23" s="24">
        <v>76.9</v>
      </c>
      <c r="AO23" s="24">
        <v>211</v>
      </c>
      <c r="AP23" s="24">
        <v>423.6</v>
      </c>
      <c r="AQ23" s="24">
        <v>87.6</v>
      </c>
      <c r="AR23" s="24">
        <v>32.6</v>
      </c>
      <c r="AS23" s="24">
        <v>60.4</v>
      </c>
      <c r="AT23" s="24">
        <v>264.3</v>
      </c>
      <c r="AU23" s="24">
        <v>290.9</v>
      </c>
      <c r="AV23" s="24">
        <v>284.4</v>
      </c>
      <c r="AW23" s="24">
        <v>215.7</v>
      </c>
      <c r="AX23" s="24">
        <v>65</v>
      </c>
      <c r="AY23" s="24">
        <v>213.4</v>
      </c>
      <c r="AZ23" s="24">
        <v>988.4</v>
      </c>
      <c r="BA23" s="24">
        <v>34</v>
      </c>
      <c r="BB23" s="24">
        <v>36.1</v>
      </c>
      <c r="BC23" s="24">
        <v>410.9</v>
      </c>
      <c r="BD23" s="24">
        <v>6744.4</v>
      </c>
      <c r="BE23" s="24">
        <v>154.1</v>
      </c>
      <c r="BF23" s="24">
        <v>538.6</v>
      </c>
      <c r="BG23" s="24">
        <v>112.3</v>
      </c>
      <c r="BH23" s="24">
        <v>104</v>
      </c>
      <c r="BI23" s="24">
        <v>154.6</v>
      </c>
      <c r="BJ23" s="24">
        <v>52.6</v>
      </c>
      <c r="BK23" s="24">
        <v>24.3</v>
      </c>
      <c r="BL23" s="24">
        <v>86.7</v>
      </c>
      <c r="BM23" s="24">
        <v>0</v>
      </c>
      <c r="BN23" s="24">
        <v>0</v>
      </c>
      <c r="BO23" s="24">
        <v>1712.1</v>
      </c>
      <c r="BP23" s="24">
        <v>18825.3</v>
      </c>
      <c r="BQ23" s="24">
        <v>44.6</v>
      </c>
      <c r="BR23" s="24">
        <v>70910.9</v>
      </c>
      <c r="BS23" s="24">
        <v>-11207.6</v>
      </c>
    </row>
    <row r="24" spans="1:71" x14ac:dyDescent="0.25">
      <c r="A24" s="30" t="s">
        <v>301</v>
      </c>
      <c r="B24" s="31" t="s">
        <v>302</v>
      </c>
      <c r="C24" s="24">
        <v>455.6</v>
      </c>
      <c r="D24" s="24">
        <v>25.3</v>
      </c>
      <c r="E24" s="24">
        <v>22.8</v>
      </c>
      <c r="F24" s="24">
        <v>66.9</v>
      </c>
      <c r="G24" s="24">
        <v>1707.8</v>
      </c>
      <c r="H24" s="24">
        <v>739.7</v>
      </c>
      <c r="I24" s="24">
        <v>1472.8</v>
      </c>
      <c r="J24" s="24">
        <v>428.7</v>
      </c>
      <c r="K24" s="24">
        <v>126.2</v>
      </c>
      <c r="L24" s="24">
        <v>190.5</v>
      </c>
      <c r="M24" s="24">
        <v>1342.8</v>
      </c>
      <c r="N24" s="24">
        <v>1040.5</v>
      </c>
      <c r="O24" s="24">
        <v>823.5</v>
      </c>
      <c r="P24" s="24">
        <v>448.3</v>
      </c>
      <c r="Q24" s="24">
        <v>1008</v>
      </c>
      <c r="R24" s="24">
        <v>1348.1</v>
      </c>
      <c r="S24" s="24">
        <v>1338.6</v>
      </c>
      <c r="T24" s="24">
        <v>716.4</v>
      </c>
      <c r="U24" s="24">
        <v>1725.8</v>
      </c>
      <c r="V24" s="24">
        <v>2514.4</v>
      </c>
      <c r="W24" s="24">
        <v>517.4</v>
      </c>
      <c r="X24" s="24">
        <v>11652.8</v>
      </c>
      <c r="Y24" s="24">
        <v>840.9</v>
      </c>
      <c r="Z24" s="24">
        <v>623.8</v>
      </c>
      <c r="AA24" s="24">
        <v>66.4</v>
      </c>
      <c r="AB24" s="24">
        <v>316.6</v>
      </c>
      <c r="AC24" s="24">
        <v>8655.3</v>
      </c>
      <c r="AD24" s="24">
        <v>646.4</v>
      </c>
      <c r="AE24" s="24">
        <v>2487.7</v>
      </c>
      <c r="AF24" s="24">
        <v>1610.2</v>
      </c>
      <c r="AG24" s="24">
        <v>697</v>
      </c>
      <c r="AH24" s="24">
        <v>90.7</v>
      </c>
      <c r="AI24" s="24">
        <v>96.5</v>
      </c>
      <c r="AJ24" s="24">
        <v>456.7</v>
      </c>
      <c r="AK24" s="24">
        <v>51.6</v>
      </c>
      <c r="AL24" s="24">
        <v>1741.5</v>
      </c>
      <c r="AM24" s="24">
        <v>215</v>
      </c>
      <c r="AN24" s="24">
        <v>610.7</v>
      </c>
      <c r="AO24" s="24">
        <v>361.5</v>
      </c>
      <c r="AP24" s="24">
        <v>853</v>
      </c>
      <c r="AQ24" s="24">
        <v>265.8</v>
      </c>
      <c r="AR24" s="24">
        <v>106.1</v>
      </c>
      <c r="AS24" s="24">
        <v>129.6</v>
      </c>
      <c r="AT24" s="24">
        <v>1234</v>
      </c>
      <c r="AU24" s="24">
        <v>892.4</v>
      </c>
      <c r="AV24" s="24">
        <v>521.5</v>
      </c>
      <c r="AW24" s="24">
        <v>406.1</v>
      </c>
      <c r="AX24" s="24">
        <v>287.6</v>
      </c>
      <c r="AY24" s="24">
        <v>516</v>
      </c>
      <c r="AZ24" s="24">
        <v>596.8</v>
      </c>
      <c r="BA24" s="24">
        <v>140.4</v>
      </c>
      <c r="BB24" s="24">
        <v>71.3</v>
      </c>
      <c r="BC24" s="24">
        <v>1072.2</v>
      </c>
      <c r="BD24" s="24">
        <v>1018.2</v>
      </c>
      <c r="BE24" s="24">
        <v>766.9</v>
      </c>
      <c r="BF24" s="24">
        <v>16374.4</v>
      </c>
      <c r="BG24" s="24">
        <v>1450.9</v>
      </c>
      <c r="BH24" s="24">
        <v>932.3</v>
      </c>
      <c r="BI24" s="24">
        <v>758.8</v>
      </c>
      <c r="BJ24" s="24">
        <v>295.9</v>
      </c>
      <c r="BK24" s="24">
        <v>85.8</v>
      </c>
      <c r="BL24" s="24">
        <v>288.6</v>
      </c>
      <c r="BM24" s="24">
        <v>0</v>
      </c>
      <c r="BN24" s="24">
        <v>0</v>
      </c>
      <c r="BO24" s="24">
        <v>6378.6</v>
      </c>
      <c r="BP24" s="24">
        <v>81204.9</v>
      </c>
      <c r="BQ24" s="24">
        <v>51.3</v>
      </c>
      <c r="BR24" s="24">
        <v>36471</v>
      </c>
      <c r="BS24" s="24">
        <v>-1607.8</v>
      </c>
    </row>
    <row r="25" spans="1:71" x14ac:dyDescent="0.25">
      <c r="A25" s="30" t="s">
        <v>119</v>
      </c>
      <c r="B25" s="31" t="s">
        <v>303</v>
      </c>
      <c r="C25" s="24">
        <v>7868.1</v>
      </c>
      <c r="D25" s="24">
        <v>196.8</v>
      </c>
      <c r="E25" s="24">
        <v>117</v>
      </c>
      <c r="F25" s="24">
        <v>1511.5</v>
      </c>
      <c r="G25" s="24">
        <v>4703.1</v>
      </c>
      <c r="H25" s="24">
        <v>638.4</v>
      </c>
      <c r="I25" s="24">
        <v>1050.2</v>
      </c>
      <c r="J25" s="24">
        <v>1604.9</v>
      </c>
      <c r="K25" s="24">
        <v>355.9</v>
      </c>
      <c r="L25" s="24">
        <v>1254.3</v>
      </c>
      <c r="M25" s="24">
        <v>3773.9</v>
      </c>
      <c r="N25" s="24">
        <v>627.8</v>
      </c>
      <c r="O25" s="24">
        <v>1435.3</v>
      </c>
      <c r="P25" s="24">
        <v>1957.5</v>
      </c>
      <c r="Q25" s="24">
        <v>5490.5</v>
      </c>
      <c r="R25" s="24">
        <v>4949.6</v>
      </c>
      <c r="S25" s="24">
        <v>1744.3</v>
      </c>
      <c r="T25" s="24">
        <v>2516.9</v>
      </c>
      <c r="U25" s="24">
        <v>8467.9</v>
      </c>
      <c r="V25" s="24">
        <v>6719.4</v>
      </c>
      <c r="W25" s="24">
        <v>4921.4</v>
      </c>
      <c r="X25" s="24">
        <v>1196.7</v>
      </c>
      <c r="Y25" s="24">
        <v>11312.2</v>
      </c>
      <c r="Z25" s="24">
        <v>9917.5</v>
      </c>
      <c r="AA25" s="24">
        <v>615.7</v>
      </c>
      <c r="AB25" s="24">
        <v>1543.9</v>
      </c>
      <c r="AC25" s="24">
        <v>9099.2</v>
      </c>
      <c r="AD25" s="24">
        <v>985.8</v>
      </c>
      <c r="AE25" s="24">
        <v>3741.4</v>
      </c>
      <c r="AF25" s="24">
        <v>2475.1</v>
      </c>
      <c r="AG25" s="24">
        <v>6022</v>
      </c>
      <c r="AH25" s="24">
        <v>2665.2</v>
      </c>
      <c r="AI25" s="24">
        <v>5640.8</v>
      </c>
      <c r="AJ25" s="24">
        <v>2611.1</v>
      </c>
      <c r="AK25" s="24">
        <v>179.2</v>
      </c>
      <c r="AL25" s="24">
        <v>1463</v>
      </c>
      <c r="AM25" s="24">
        <v>177.4</v>
      </c>
      <c r="AN25" s="24">
        <v>253.8</v>
      </c>
      <c r="AO25" s="24">
        <v>2399.2</v>
      </c>
      <c r="AP25" s="24">
        <v>1742.1</v>
      </c>
      <c r="AQ25" s="24">
        <v>336.3</v>
      </c>
      <c r="AR25" s="24">
        <v>173.7</v>
      </c>
      <c r="AS25" s="24">
        <v>192.6</v>
      </c>
      <c r="AT25" s="24">
        <v>2063.4</v>
      </c>
      <c r="AU25" s="24">
        <v>1220.4</v>
      </c>
      <c r="AV25" s="24">
        <v>778.1</v>
      </c>
      <c r="AW25" s="24">
        <v>775.5</v>
      </c>
      <c r="AX25" s="24">
        <v>186.2</v>
      </c>
      <c r="AY25" s="24">
        <v>450.8</v>
      </c>
      <c r="AZ25" s="24">
        <v>1878.4</v>
      </c>
      <c r="BA25" s="24">
        <v>332.6</v>
      </c>
      <c r="BB25" s="24">
        <v>106.6</v>
      </c>
      <c r="BC25" s="24">
        <v>1575.7</v>
      </c>
      <c r="BD25" s="24">
        <v>4511.8</v>
      </c>
      <c r="BE25" s="24">
        <v>489.8</v>
      </c>
      <c r="BF25" s="24">
        <v>3179.8</v>
      </c>
      <c r="BG25" s="24">
        <v>712.9</v>
      </c>
      <c r="BH25" s="24">
        <v>349.5</v>
      </c>
      <c r="BI25" s="24">
        <v>428</v>
      </c>
      <c r="BJ25" s="24">
        <v>117.6</v>
      </c>
      <c r="BK25" s="24">
        <v>69.2</v>
      </c>
      <c r="BL25" s="24">
        <v>303</v>
      </c>
      <c r="BM25" s="24">
        <v>0</v>
      </c>
      <c r="BN25" s="24">
        <v>0</v>
      </c>
      <c r="BO25" s="24">
        <v>315.3</v>
      </c>
      <c r="BP25" s="24">
        <v>5675.2</v>
      </c>
      <c r="BQ25" s="24">
        <v>5.9</v>
      </c>
      <c r="BR25" s="24">
        <v>71478.1</v>
      </c>
      <c r="BS25" s="24">
        <v>1506.5</v>
      </c>
    </row>
    <row r="26" spans="1:71" x14ac:dyDescent="0.25">
      <c r="A26" s="30" t="s">
        <v>304</v>
      </c>
      <c r="B26" s="31" t="s">
        <v>305</v>
      </c>
      <c r="C26" s="24">
        <v>12538.6</v>
      </c>
      <c r="D26" s="24">
        <v>298.5</v>
      </c>
      <c r="E26" s="24">
        <v>238.6</v>
      </c>
      <c r="F26" s="24">
        <v>5966.2</v>
      </c>
      <c r="G26" s="24">
        <v>27194.2</v>
      </c>
      <c r="H26" s="24">
        <v>3763.3</v>
      </c>
      <c r="I26" s="24">
        <v>4472.5</v>
      </c>
      <c r="J26" s="24">
        <v>12341.2</v>
      </c>
      <c r="K26" s="24">
        <v>1543.1</v>
      </c>
      <c r="L26" s="24">
        <v>11089.7</v>
      </c>
      <c r="M26" s="24">
        <v>25695.7</v>
      </c>
      <c r="N26" s="24">
        <v>3049.2</v>
      </c>
      <c r="O26" s="24">
        <v>10087</v>
      </c>
      <c r="P26" s="24">
        <v>15089.9</v>
      </c>
      <c r="Q26" s="24">
        <v>28117.6</v>
      </c>
      <c r="R26" s="24">
        <v>10680.8</v>
      </c>
      <c r="S26" s="24">
        <v>3059.4</v>
      </c>
      <c r="T26" s="24">
        <v>5216.8</v>
      </c>
      <c r="U26" s="24">
        <v>6766.9</v>
      </c>
      <c r="V26" s="24">
        <v>12139</v>
      </c>
      <c r="W26" s="24">
        <v>1784.8</v>
      </c>
      <c r="X26" s="24">
        <v>3086.2</v>
      </c>
      <c r="Y26" s="24">
        <v>2409.6</v>
      </c>
      <c r="Z26" s="24">
        <v>312099.4</v>
      </c>
      <c r="AA26" s="24">
        <v>5593.9</v>
      </c>
      <c r="AB26" s="24">
        <v>6275.9</v>
      </c>
      <c r="AC26" s="24">
        <v>17830.2</v>
      </c>
      <c r="AD26" s="24">
        <v>5154.1</v>
      </c>
      <c r="AE26" s="24">
        <v>14850.4</v>
      </c>
      <c r="AF26" s="24">
        <v>26030.1</v>
      </c>
      <c r="AG26" s="24">
        <v>15837.7</v>
      </c>
      <c r="AH26" s="24">
        <v>311.4</v>
      </c>
      <c r="AI26" s="24">
        <v>661.8</v>
      </c>
      <c r="AJ26" s="24">
        <v>8581.4</v>
      </c>
      <c r="AK26" s="24">
        <v>1567.6</v>
      </c>
      <c r="AL26" s="24">
        <v>24950</v>
      </c>
      <c r="AM26" s="24">
        <v>1152.5</v>
      </c>
      <c r="AN26" s="24">
        <v>1700</v>
      </c>
      <c r="AO26" s="24">
        <v>6957</v>
      </c>
      <c r="AP26" s="24">
        <v>6720.5</v>
      </c>
      <c r="AQ26" s="24">
        <v>3202.7</v>
      </c>
      <c r="AR26" s="24">
        <v>1258.7</v>
      </c>
      <c r="AS26" s="24">
        <v>984.8</v>
      </c>
      <c r="AT26" s="24">
        <v>18972.7</v>
      </c>
      <c r="AU26" s="24">
        <v>7058.9</v>
      </c>
      <c r="AV26" s="24">
        <v>3204.2</v>
      </c>
      <c r="AW26" s="24">
        <v>2421.5</v>
      </c>
      <c r="AX26" s="24">
        <v>1076.4</v>
      </c>
      <c r="AY26" s="24">
        <v>1753.2</v>
      </c>
      <c r="AZ26" s="24">
        <v>1490.3</v>
      </c>
      <c r="BA26" s="24">
        <v>1331.4</v>
      </c>
      <c r="BB26" s="24">
        <v>811.8</v>
      </c>
      <c r="BC26" s="24">
        <v>5866.5</v>
      </c>
      <c r="BD26" s="24">
        <v>16377</v>
      </c>
      <c r="BE26" s="24">
        <v>10873.8</v>
      </c>
      <c r="BF26" s="24">
        <v>13737.9</v>
      </c>
      <c r="BG26" s="24">
        <v>7945.3</v>
      </c>
      <c r="BH26" s="24">
        <v>3416.5</v>
      </c>
      <c r="BI26" s="24">
        <v>5195</v>
      </c>
      <c r="BJ26" s="24">
        <v>2710.2</v>
      </c>
      <c r="BK26" s="24">
        <v>326.3</v>
      </c>
      <c r="BL26" s="24">
        <v>4414.9</v>
      </c>
      <c r="BM26" s="24">
        <v>0</v>
      </c>
      <c r="BN26" s="24">
        <v>0</v>
      </c>
      <c r="BO26" s="24">
        <v>4659.7</v>
      </c>
      <c r="BP26" s="24">
        <v>294551.2</v>
      </c>
      <c r="BQ26" s="24">
        <v>87.9</v>
      </c>
      <c r="BR26" s="24">
        <v>22919.3</v>
      </c>
      <c r="BS26" s="24">
        <v>1479</v>
      </c>
    </row>
    <row r="27" spans="1:71" x14ac:dyDescent="0.25">
      <c r="A27" s="30" t="s">
        <v>307</v>
      </c>
      <c r="B27" s="31" t="s">
        <v>308</v>
      </c>
      <c r="C27" s="24">
        <v>1689.7</v>
      </c>
      <c r="D27" s="24">
        <v>18.8</v>
      </c>
      <c r="E27" s="24">
        <v>35.2</v>
      </c>
      <c r="F27" s="24">
        <v>211.2</v>
      </c>
      <c r="G27" s="24">
        <v>1824.5</v>
      </c>
      <c r="H27" s="24">
        <v>268</v>
      </c>
      <c r="I27" s="24">
        <v>121.1</v>
      </c>
      <c r="J27" s="24">
        <v>514.5</v>
      </c>
      <c r="K27" s="24">
        <v>67.8</v>
      </c>
      <c r="L27" s="24">
        <v>343.5</v>
      </c>
      <c r="M27" s="24">
        <v>1049.7</v>
      </c>
      <c r="N27" s="24">
        <v>220.3</v>
      </c>
      <c r="O27" s="24">
        <v>423.8</v>
      </c>
      <c r="P27" s="24">
        <v>367.2</v>
      </c>
      <c r="Q27" s="24">
        <v>1471.7</v>
      </c>
      <c r="R27" s="24">
        <v>656.1</v>
      </c>
      <c r="S27" s="24">
        <v>143</v>
      </c>
      <c r="T27" s="24">
        <v>264.9</v>
      </c>
      <c r="U27" s="24">
        <v>449.8</v>
      </c>
      <c r="V27" s="24">
        <v>519.9</v>
      </c>
      <c r="W27" s="24">
        <v>171</v>
      </c>
      <c r="X27" s="24">
        <v>167.9</v>
      </c>
      <c r="Y27" s="24">
        <v>149.7</v>
      </c>
      <c r="Z27" s="24">
        <v>1537.6</v>
      </c>
      <c r="AA27" s="24">
        <v>3060.9</v>
      </c>
      <c r="AB27" s="24">
        <v>2793</v>
      </c>
      <c r="AC27" s="24">
        <v>1828.1</v>
      </c>
      <c r="AD27" s="24">
        <v>216.3</v>
      </c>
      <c r="AE27" s="24">
        <v>861.9</v>
      </c>
      <c r="AF27" s="24">
        <v>897.2</v>
      </c>
      <c r="AG27" s="24">
        <v>319.4</v>
      </c>
      <c r="AH27" s="24">
        <v>20.9</v>
      </c>
      <c r="AI27" s="24">
        <v>22.8</v>
      </c>
      <c r="AJ27" s="24">
        <v>311</v>
      </c>
      <c r="AK27" s="24">
        <v>59.7</v>
      </c>
      <c r="AL27" s="24">
        <v>1904.1</v>
      </c>
      <c r="AM27" s="24">
        <v>51.4</v>
      </c>
      <c r="AN27" s="24">
        <v>207.7</v>
      </c>
      <c r="AO27" s="24">
        <v>182.8</v>
      </c>
      <c r="AP27" s="24">
        <v>225.9</v>
      </c>
      <c r="AQ27" s="24">
        <v>204.6</v>
      </c>
      <c r="AR27" s="24">
        <v>81.1</v>
      </c>
      <c r="AS27" s="24">
        <v>174.5</v>
      </c>
      <c r="AT27" s="24">
        <v>2224.2</v>
      </c>
      <c r="AU27" s="24">
        <v>382.8</v>
      </c>
      <c r="AV27" s="24">
        <v>702.8</v>
      </c>
      <c r="AW27" s="24">
        <v>173.1</v>
      </c>
      <c r="AX27" s="24">
        <v>56.7</v>
      </c>
      <c r="AY27" s="24">
        <v>143.2</v>
      </c>
      <c r="AZ27" s="24">
        <v>112.4</v>
      </c>
      <c r="BA27" s="24">
        <v>40.1</v>
      </c>
      <c r="BB27" s="24">
        <v>43.3</v>
      </c>
      <c r="BC27" s="24">
        <v>484.5</v>
      </c>
      <c r="BD27" s="24">
        <v>2805.4</v>
      </c>
      <c r="BE27" s="24">
        <v>1169.5</v>
      </c>
      <c r="BF27" s="24">
        <v>1641.9</v>
      </c>
      <c r="BG27" s="24">
        <v>845.3</v>
      </c>
      <c r="BH27" s="24">
        <v>353.1</v>
      </c>
      <c r="BI27" s="24">
        <v>628.5</v>
      </c>
      <c r="BJ27" s="24">
        <v>287.1</v>
      </c>
      <c r="BK27" s="24">
        <v>18.2</v>
      </c>
      <c r="BL27" s="24">
        <v>379.6</v>
      </c>
      <c r="BM27" s="24">
        <v>0</v>
      </c>
      <c r="BN27" s="24">
        <v>0</v>
      </c>
      <c r="BO27" s="24">
        <v>3655.5</v>
      </c>
      <c r="BP27" s="24">
        <v>25600.8</v>
      </c>
      <c r="BQ27" s="24">
        <v>6.1</v>
      </c>
      <c r="BR27" s="24">
        <v>1366.7</v>
      </c>
      <c r="BS27" s="24">
        <v>24.4</v>
      </c>
    </row>
    <row r="28" spans="1:71" x14ac:dyDescent="0.25">
      <c r="A28" s="30" t="s">
        <v>310</v>
      </c>
      <c r="B28" s="31" t="s">
        <v>311</v>
      </c>
      <c r="C28" s="24">
        <v>2238.5</v>
      </c>
      <c r="D28" s="24">
        <v>80.6</v>
      </c>
      <c r="E28" s="24">
        <v>45.5</v>
      </c>
      <c r="F28" s="24">
        <v>1552.3</v>
      </c>
      <c r="G28" s="24">
        <v>7260</v>
      </c>
      <c r="H28" s="24">
        <v>1438.2</v>
      </c>
      <c r="I28" s="24">
        <v>1109.3</v>
      </c>
      <c r="J28" s="24">
        <v>6576.8</v>
      </c>
      <c r="K28" s="24">
        <v>348.4</v>
      </c>
      <c r="L28" s="24">
        <v>2158.8</v>
      </c>
      <c r="M28" s="24">
        <v>5893</v>
      </c>
      <c r="N28" s="24">
        <v>993.5</v>
      </c>
      <c r="O28" s="24">
        <v>5640</v>
      </c>
      <c r="P28" s="24">
        <v>2700.8</v>
      </c>
      <c r="Q28" s="24">
        <v>20368</v>
      </c>
      <c r="R28" s="24">
        <v>6366.6</v>
      </c>
      <c r="S28" s="24">
        <v>552.1</v>
      </c>
      <c r="T28" s="24">
        <v>4612.6</v>
      </c>
      <c r="U28" s="24">
        <v>2307.1</v>
      </c>
      <c r="V28" s="24">
        <v>2245.4</v>
      </c>
      <c r="W28" s="24">
        <v>572.2</v>
      </c>
      <c r="X28" s="24">
        <v>1082.1</v>
      </c>
      <c r="Y28" s="24">
        <v>540.8</v>
      </c>
      <c r="Z28" s="24">
        <v>4445.2</v>
      </c>
      <c r="AA28" s="24">
        <v>3025.4</v>
      </c>
      <c r="AB28" s="24">
        <v>44697.3</v>
      </c>
      <c r="AC28" s="24">
        <v>12408.8</v>
      </c>
      <c r="AD28" s="24">
        <v>1144.6</v>
      </c>
      <c r="AE28" s="24">
        <v>4177.4</v>
      </c>
      <c r="AF28" s="24">
        <v>4680.8</v>
      </c>
      <c r="AG28" s="24">
        <v>1463.3</v>
      </c>
      <c r="AH28" s="24">
        <v>159.5</v>
      </c>
      <c r="AI28" s="24">
        <v>158.8</v>
      </c>
      <c r="AJ28" s="24">
        <v>1373.9</v>
      </c>
      <c r="AK28" s="24">
        <v>266.5</v>
      </c>
      <c r="AL28" s="24">
        <v>4637.7</v>
      </c>
      <c r="AM28" s="24">
        <v>310.3</v>
      </c>
      <c r="AN28" s="24">
        <v>335</v>
      </c>
      <c r="AO28" s="24">
        <v>830.6</v>
      </c>
      <c r="AP28" s="24">
        <v>1577.3</v>
      </c>
      <c r="AQ28" s="24">
        <v>633.2</v>
      </c>
      <c r="AR28" s="24">
        <v>289.3</v>
      </c>
      <c r="AS28" s="24">
        <v>239.3</v>
      </c>
      <c r="AT28" s="24">
        <v>7610.1</v>
      </c>
      <c r="AU28" s="24">
        <v>2281.6</v>
      </c>
      <c r="AV28" s="24">
        <v>1041.6</v>
      </c>
      <c r="AW28" s="24">
        <v>539.6</v>
      </c>
      <c r="AX28" s="24">
        <v>564.6</v>
      </c>
      <c r="AY28" s="24">
        <v>1016.4</v>
      </c>
      <c r="AZ28" s="24">
        <v>684.8</v>
      </c>
      <c r="BA28" s="24">
        <v>180.4</v>
      </c>
      <c r="BB28" s="24">
        <v>180.6</v>
      </c>
      <c r="BC28" s="24">
        <v>3512.6</v>
      </c>
      <c r="BD28" s="24">
        <v>14985.6</v>
      </c>
      <c r="BE28" s="24">
        <v>1415.1</v>
      </c>
      <c r="BF28" s="24">
        <v>3699.1</v>
      </c>
      <c r="BG28" s="24">
        <v>1938</v>
      </c>
      <c r="BH28" s="24">
        <v>857.4</v>
      </c>
      <c r="BI28" s="24">
        <v>837.1</v>
      </c>
      <c r="BJ28" s="24">
        <v>391.1</v>
      </c>
      <c r="BK28" s="24">
        <v>75.2</v>
      </c>
      <c r="BL28" s="24">
        <v>1203.7</v>
      </c>
      <c r="BM28" s="24">
        <v>0</v>
      </c>
      <c r="BN28" s="24">
        <v>0</v>
      </c>
      <c r="BO28" s="24">
        <v>16307</v>
      </c>
      <c r="BP28" s="24">
        <v>50658.7</v>
      </c>
      <c r="BQ28" s="24">
        <v>34.8</v>
      </c>
      <c r="BR28" s="24">
        <v>2819.8</v>
      </c>
      <c r="BS28" s="24">
        <v>590.8</v>
      </c>
    </row>
    <row r="29" spans="1:71" x14ac:dyDescent="0.25">
      <c r="A29" s="30" t="s">
        <v>312</v>
      </c>
      <c r="B29" s="31" t="s">
        <v>313</v>
      </c>
      <c r="C29" s="24">
        <v>6710.1</v>
      </c>
      <c r="D29" s="24">
        <v>597.2</v>
      </c>
      <c r="E29" s="24">
        <v>255.3</v>
      </c>
      <c r="F29" s="24">
        <v>1391.2</v>
      </c>
      <c r="G29" s="24">
        <v>7279.3</v>
      </c>
      <c r="H29" s="24">
        <v>1343.6</v>
      </c>
      <c r="I29" s="24">
        <v>2286.9</v>
      </c>
      <c r="J29" s="24">
        <v>1572.2</v>
      </c>
      <c r="K29" s="24">
        <v>730.3</v>
      </c>
      <c r="L29" s="24">
        <v>2652.9</v>
      </c>
      <c r="M29" s="24">
        <v>5315.4</v>
      </c>
      <c r="N29" s="24">
        <v>3379.1</v>
      </c>
      <c r="O29" s="24">
        <v>3050.8</v>
      </c>
      <c r="P29" s="24">
        <v>3814.3</v>
      </c>
      <c r="Q29" s="24">
        <v>4460.7</v>
      </c>
      <c r="R29" s="24">
        <v>5619.6</v>
      </c>
      <c r="S29" s="24">
        <v>2037.8</v>
      </c>
      <c r="T29" s="24">
        <v>2735.8</v>
      </c>
      <c r="U29" s="24">
        <v>5244.8</v>
      </c>
      <c r="V29" s="24">
        <v>5765.9</v>
      </c>
      <c r="W29" s="24">
        <v>1547.8</v>
      </c>
      <c r="X29" s="24">
        <v>1826.8</v>
      </c>
      <c r="Y29" s="24">
        <v>3418.8</v>
      </c>
      <c r="Z29" s="24">
        <v>27529.9</v>
      </c>
      <c r="AA29" s="24">
        <v>3234.7</v>
      </c>
      <c r="AB29" s="24">
        <v>8630</v>
      </c>
      <c r="AC29" s="24">
        <v>440358.4</v>
      </c>
      <c r="AD29" s="24">
        <v>3024</v>
      </c>
      <c r="AE29" s="24">
        <v>12738.7</v>
      </c>
      <c r="AF29" s="24">
        <v>10543.5</v>
      </c>
      <c r="AG29" s="24">
        <v>9742.1</v>
      </c>
      <c r="AH29" s="24">
        <v>1052</v>
      </c>
      <c r="AI29" s="24">
        <v>1138.6</v>
      </c>
      <c r="AJ29" s="24">
        <v>18048</v>
      </c>
      <c r="AK29" s="24">
        <v>1549.2</v>
      </c>
      <c r="AL29" s="24">
        <v>11645.4</v>
      </c>
      <c r="AM29" s="24">
        <v>954.6</v>
      </c>
      <c r="AN29" s="24">
        <v>1408.9</v>
      </c>
      <c r="AO29" s="24">
        <v>5919.7</v>
      </c>
      <c r="AP29" s="24">
        <v>4800</v>
      </c>
      <c r="AQ29" s="24">
        <v>3208</v>
      </c>
      <c r="AR29" s="24">
        <v>1932.1</v>
      </c>
      <c r="AS29" s="24">
        <v>2204.4</v>
      </c>
      <c r="AT29" s="24">
        <v>109520</v>
      </c>
      <c r="AU29" s="24">
        <v>8109.8</v>
      </c>
      <c r="AV29" s="24">
        <v>10616.6</v>
      </c>
      <c r="AW29" s="24">
        <v>2310</v>
      </c>
      <c r="AX29" s="24">
        <v>1160</v>
      </c>
      <c r="AY29" s="24">
        <v>1826.3</v>
      </c>
      <c r="AZ29" s="24">
        <v>2409</v>
      </c>
      <c r="BA29" s="24">
        <v>1296.1</v>
      </c>
      <c r="BB29" s="24">
        <v>675</v>
      </c>
      <c r="BC29" s="24">
        <v>7823.9</v>
      </c>
      <c r="BD29" s="24">
        <v>36183.5</v>
      </c>
      <c r="BE29" s="24">
        <v>11899.2</v>
      </c>
      <c r="BF29" s="24">
        <v>11656.9</v>
      </c>
      <c r="BG29" s="24">
        <v>6328.6</v>
      </c>
      <c r="BH29" s="24">
        <v>3660.9</v>
      </c>
      <c r="BI29" s="24">
        <v>3015.1</v>
      </c>
      <c r="BJ29" s="24">
        <v>2489.2</v>
      </c>
      <c r="BK29" s="24">
        <v>314</v>
      </c>
      <c r="BL29" s="24">
        <v>1631.4</v>
      </c>
      <c r="BM29" s="24">
        <v>0</v>
      </c>
      <c r="BN29" s="24">
        <v>0</v>
      </c>
      <c r="BO29" s="24">
        <v>9149.9</v>
      </c>
      <c r="BP29" s="24">
        <v>89638.7</v>
      </c>
      <c r="BQ29" s="24">
        <v>23</v>
      </c>
      <c r="BR29" s="24">
        <v>1441704.8</v>
      </c>
      <c r="BS29" s="24">
        <v>1981.5</v>
      </c>
    </row>
    <row r="30" spans="1:71" x14ac:dyDescent="0.25">
      <c r="A30" s="30" t="s">
        <v>314</v>
      </c>
      <c r="B30" s="31" t="s">
        <v>315</v>
      </c>
      <c r="C30" s="24">
        <v>2984.8</v>
      </c>
      <c r="D30" s="24">
        <v>399.2</v>
      </c>
      <c r="E30" s="24">
        <v>151.3</v>
      </c>
      <c r="F30" s="24">
        <v>474.7</v>
      </c>
      <c r="G30" s="24">
        <v>5443.2</v>
      </c>
      <c r="H30" s="24">
        <v>1016.5</v>
      </c>
      <c r="I30" s="24">
        <v>856.3</v>
      </c>
      <c r="J30" s="24">
        <v>723.7</v>
      </c>
      <c r="K30" s="24">
        <v>346.8</v>
      </c>
      <c r="L30" s="24">
        <v>945.7</v>
      </c>
      <c r="M30" s="24">
        <v>1973.7</v>
      </c>
      <c r="N30" s="24">
        <v>929.5</v>
      </c>
      <c r="O30" s="24">
        <v>1306.4</v>
      </c>
      <c r="P30" s="24">
        <v>1682.2</v>
      </c>
      <c r="Q30" s="24">
        <v>1257.7</v>
      </c>
      <c r="R30" s="24">
        <v>2085.8</v>
      </c>
      <c r="S30" s="24">
        <v>1241.5</v>
      </c>
      <c r="T30" s="24">
        <v>1489.4</v>
      </c>
      <c r="U30" s="24">
        <v>4578.2</v>
      </c>
      <c r="V30" s="24">
        <v>36750.5</v>
      </c>
      <c r="W30" s="24">
        <v>2290.7</v>
      </c>
      <c r="X30" s="24">
        <v>1099.3</v>
      </c>
      <c r="Y30" s="24">
        <v>1748.4</v>
      </c>
      <c r="Z30" s="24">
        <v>1508.2</v>
      </c>
      <c r="AA30" s="24">
        <v>315.5</v>
      </c>
      <c r="AB30" s="24">
        <v>2574.8</v>
      </c>
      <c r="AC30" s="24">
        <v>9730.6</v>
      </c>
      <c r="AD30" s="24">
        <v>17793.7</v>
      </c>
      <c r="AE30" s="24">
        <v>9446.1</v>
      </c>
      <c r="AF30" s="24">
        <v>6769.6</v>
      </c>
      <c r="AG30" s="24">
        <v>20400.4</v>
      </c>
      <c r="AH30" s="24">
        <v>434.7</v>
      </c>
      <c r="AI30" s="24">
        <v>1168</v>
      </c>
      <c r="AJ30" s="24">
        <v>5970.9</v>
      </c>
      <c r="AK30" s="24">
        <v>4828.2</v>
      </c>
      <c r="AL30" s="24">
        <v>3251.5</v>
      </c>
      <c r="AM30" s="24">
        <v>539.1</v>
      </c>
      <c r="AN30" s="24">
        <v>911.1</v>
      </c>
      <c r="AO30" s="24">
        <v>1443.8</v>
      </c>
      <c r="AP30" s="24">
        <v>2011.3</v>
      </c>
      <c r="AQ30" s="24">
        <v>769.2</v>
      </c>
      <c r="AR30" s="24">
        <v>552.6</v>
      </c>
      <c r="AS30" s="24">
        <v>873.9</v>
      </c>
      <c r="AT30" s="24">
        <v>940.8</v>
      </c>
      <c r="AU30" s="24">
        <v>2407.2</v>
      </c>
      <c r="AV30" s="24">
        <v>1237.3</v>
      </c>
      <c r="AW30" s="24">
        <v>984.7</v>
      </c>
      <c r="AX30" s="24">
        <v>638.2</v>
      </c>
      <c r="AY30" s="24">
        <v>798.5</v>
      </c>
      <c r="AZ30" s="24">
        <v>7593.3</v>
      </c>
      <c r="BA30" s="24">
        <v>421.7</v>
      </c>
      <c r="BB30" s="24">
        <v>394.3</v>
      </c>
      <c r="BC30" s="24">
        <v>2161.3</v>
      </c>
      <c r="BD30" s="24">
        <v>3302.4</v>
      </c>
      <c r="BE30" s="24">
        <v>1087.5</v>
      </c>
      <c r="BF30" s="24">
        <v>3039.5</v>
      </c>
      <c r="BG30" s="24">
        <v>1351.3</v>
      </c>
      <c r="BH30" s="24">
        <v>696.8</v>
      </c>
      <c r="BI30" s="24">
        <v>755.8</v>
      </c>
      <c r="BJ30" s="24">
        <v>832</v>
      </c>
      <c r="BK30" s="24">
        <v>235.3</v>
      </c>
      <c r="BL30" s="24">
        <v>574.8</v>
      </c>
      <c r="BM30" s="24">
        <v>0</v>
      </c>
      <c r="BN30" s="24">
        <v>0</v>
      </c>
      <c r="BO30" s="24">
        <v>854</v>
      </c>
      <c r="BP30" s="24">
        <v>152286.3</v>
      </c>
      <c r="BQ30" s="24">
        <v>33.5</v>
      </c>
      <c r="BR30" s="24">
        <v>30479.8</v>
      </c>
      <c r="BS30" s="24">
        <v>75.4</v>
      </c>
    </row>
    <row r="31" spans="1:71" x14ac:dyDescent="0.25">
      <c r="A31" s="30" t="s">
        <v>317</v>
      </c>
      <c r="B31" s="31" t="s">
        <v>318</v>
      </c>
      <c r="C31" s="24">
        <v>25179.2</v>
      </c>
      <c r="D31" s="24">
        <v>2114.7</v>
      </c>
      <c r="E31" s="24">
        <v>601.4</v>
      </c>
      <c r="F31" s="24">
        <v>2159.8</v>
      </c>
      <c r="G31" s="24">
        <v>93419.4</v>
      </c>
      <c r="H31" s="24">
        <v>15103.1</v>
      </c>
      <c r="I31" s="24">
        <v>10484.5</v>
      </c>
      <c r="J31" s="24">
        <v>10664.8</v>
      </c>
      <c r="K31" s="24">
        <v>3079.6</v>
      </c>
      <c r="L31" s="24">
        <v>12417.3</v>
      </c>
      <c r="M31" s="24">
        <v>34392.5</v>
      </c>
      <c r="N31" s="24">
        <v>16530.4</v>
      </c>
      <c r="O31" s="24">
        <v>17052.7</v>
      </c>
      <c r="P31" s="24">
        <v>14304.9</v>
      </c>
      <c r="Q31" s="24">
        <v>21356.1</v>
      </c>
      <c r="R31" s="24">
        <v>26489.6</v>
      </c>
      <c r="S31" s="24">
        <v>19333.2</v>
      </c>
      <c r="T31" s="24">
        <v>20252</v>
      </c>
      <c r="U31" s="24">
        <v>38853</v>
      </c>
      <c r="V31" s="24">
        <v>42706.3</v>
      </c>
      <c r="W31" s="24">
        <v>10852.5</v>
      </c>
      <c r="X31" s="24">
        <v>18030</v>
      </c>
      <c r="Y31" s="24">
        <v>12671.1</v>
      </c>
      <c r="Z31" s="24">
        <v>18364.2</v>
      </c>
      <c r="AA31" s="24">
        <v>1142.2</v>
      </c>
      <c r="AB31" s="24">
        <v>8725.9</v>
      </c>
      <c r="AC31" s="24">
        <v>98196.5</v>
      </c>
      <c r="AD31" s="24">
        <v>11442.5</v>
      </c>
      <c r="AE31" s="24">
        <v>91719.5</v>
      </c>
      <c r="AF31" s="24">
        <v>27643.9</v>
      </c>
      <c r="AG31" s="24">
        <v>13588.6</v>
      </c>
      <c r="AH31" s="24">
        <v>3899.7</v>
      </c>
      <c r="AI31" s="24">
        <v>3787.5</v>
      </c>
      <c r="AJ31" s="24">
        <v>9927.9</v>
      </c>
      <c r="AK31" s="24">
        <v>1728.6</v>
      </c>
      <c r="AL31" s="24">
        <v>40636.5</v>
      </c>
      <c r="AM31" s="24">
        <v>7609</v>
      </c>
      <c r="AN31" s="24">
        <v>3701.7</v>
      </c>
      <c r="AO31" s="24">
        <v>8648.4</v>
      </c>
      <c r="AP31" s="24">
        <v>23529</v>
      </c>
      <c r="AQ31" s="24">
        <v>2500.2</v>
      </c>
      <c r="AR31" s="24">
        <v>1262.3</v>
      </c>
      <c r="AS31" s="24">
        <v>5278.9</v>
      </c>
      <c r="AT31" s="24">
        <v>6571.6</v>
      </c>
      <c r="AU31" s="24">
        <v>13489.7</v>
      </c>
      <c r="AV31" s="24">
        <v>6866.9</v>
      </c>
      <c r="AW31" s="24">
        <v>3461.7</v>
      </c>
      <c r="AX31" s="24">
        <v>3534.8</v>
      </c>
      <c r="AY31" s="24">
        <v>3882.8</v>
      </c>
      <c r="AZ31" s="24">
        <v>6963.2</v>
      </c>
      <c r="BA31" s="24">
        <v>1154.5</v>
      </c>
      <c r="BB31" s="24">
        <v>1701</v>
      </c>
      <c r="BC31" s="24">
        <v>12984.6</v>
      </c>
      <c r="BD31" s="24">
        <v>12693.5</v>
      </c>
      <c r="BE31" s="24">
        <v>6659.6</v>
      </c>
      <c r="BF31" s="24">
        <v>41382.4</v>
      </c>
      <c r="BG31" s="24">
        <v>9060</v>
      </c>
      <c r="BH31" s="24">
        <v>4201.4</v>
      </c>
      <c r="BI31" s="24">
        <v>3372.5</v>
      </c>
      <c r="BJ31" s="24">
        <v>2337.8</v>
      </c>
      <c r="BK31" s="24">
        <v>1224.2</v>
      </c>
      <c r="BL31" s="24">
        <v>3185.6</v>
      </c>
      <c r="BM31" s="24">
        <v>0</v>
      </c>
      <c r="BN31" s="24">
        <v>0</v>
      </c>
      <c r="BO31" s="24">
        <v>22441.4</v>
      </c>
      <c r="BP31" s="24">
        <v>334251.2</v>
      </c>
      <c r="BQ31" s="24">
        <v>122.6</v>
      </c>
      <c r="BR31" s="24">
        <v>111770.3</v>
      </c>
      <c r="BS31" s="24">
        <v>5498.2</v>
      </c>
    </row>
    <row r="32" spans="1:71" x14ac:dyDescent="0.25">
      <c r="A32" s="30" t="s">
        <v>319</v>
      </c>
      <c r="B32" s="31" t="s">
        <v>320</v>
      </c>
      <c r="C32" s="24">
        <v>9561.2</v>
      </c>
      <c r="D32" s="24">
        <v>683.2</v>
      </c>
      <c r="E32" s="24">
        <v>377.1</v>
      </c>
      <c r="F32" s="24">
        <v>939.1</v>
      </c>
      <c r="G32" s="24">
        <v>28630.4</v>
      </c>
      <c r="H32" s="24">
        <v>4210</v>
      </c>
      <c r="I32" s="24">
        <v>2911.3</v>
      </c>
      <c r="J32" s="24">
        <v>2520.4</v>
      </c>
      <c r="K32" s="24">
        <v>1108.9</v>
      </c>
      <c r="L32" s="24">
        <v>2505.6</v>
      </c>
      <c r="M32" s="24">
        <v>8548.2</v>
      </c>
      <c r="N32" s="24">
        <v>3384.4</v>
      </c>
      <c r="O32" s="24">
        <v>4775.1</v>
      </c>
      <c r="P32" s="24">
        <v>3806.7</v>
      </c>
      <c r="Q32" s="24">
        <v>3982.2</v>
      </c>
      <c r="R32" s="24">
        <v>6532.4</v>
      </c>
      <c r="S32" s="24">
        <v>6692.9</v>
      </c>
      <c r="T32" s="24">
        <v>5718.9</v>
      </c>
      <c r="U32" s="24">
        <v>7825.5</v>
      </c>
      <c r="V32" s="24">
        <v>12564</v>
      </c>
      <c r="W32" s="24">
        <v>4594.7</v>
      </c>
      <c r="X32" s="24">
        <v>5565.1</v>
      </c>
      <c r="Y32" s="24">
        <v>2971.6</v>
      </c>
      <c r="Z32" s="24">
        <v>4974.8</v>
      </c>
      <c r="AA32" s="24">
        <v>543.3</v>
      </c>
      <c r="AB32" s="24">
        <v>1930.8</v>
      </c>
      <c r="AC32" s="24">
        <v>23036.3</v>
      </c>
      <c r="AD32" s="24">
        <v>3021.2</v>
      </c>
      <c r="AE32" s="24">
        <v>10280.2</v>
      </c>
      <c r="AF32" s="24">
        <v>6468.4</v>
      </c>
      <c r="AG32" s="24">
        <v>5539.3</v>
      </c>
      <c r="AH32" s="24">
        <v>1446.1</v>
      </c>
      <c r="AI32" s="24">
        <v>1351.2</v>
      </c>
      <c r="AJ32" s="24">
        <v>3100.2</v>
      </c>
      <c r="AK32" s="24">
        <v>1017.6</v>
      </c>
      <c r="AL32" s="24">
        <v>16707.5</v>
      </c>
      <c r="AM32" s="24">
        <v>1171.2</v>
      </c>
      <c r="AN32" s="24">
        <v>1591.4</v>
      </c>
      <c r="AO32" s="24">
        <v>2631.8</v>
      </c>
      <c r="AP32" s="24">
        <v>4094.3</v>
      </c>
      <c r="AQ32" s="24">
        <v>1336.1</v>
      </c>
      <c r="AR32" s="24">
        <v>968.9</v>
      </c>
      <c r="AS32" s="24">
        <v>1090.2</v>
      </c>
      <c r="AT32" s="24">
        <v>2417.7</v>
      </c>
      <c r="AU32" s="24">
        <v>3808.8</v>
      </c>
      <c r="AV32" s="24">
        <v>2242.4</v>
      </c>
      <c r="AW32" s="24">
        <v>1325.2</v>
      </c>
      <c r="AX32" s="24">
        <v>2343.2</v>
      </c>
      <c r="AY32" s="24">
        <v>1672.1</v>
      </c>
      <c r="AZ32" s="24">
        <v>1764.8</v>
      </c>
      <c r="BA32" s="24">
        <v>646.4</v>
      </c>
      <c r="BB32" s="24">
        <v>1048.3</v>
      </c>
      <c r="BC32" s="24">
        <v>3597.8</v>
      </c>
      <c r="BD32" s="24">
        <v>5934</v>
      </c>
      <c r="BE32" s="24">
        <v>3017.5</v>
      </c>
      <c r="BF32" s="24">
        <v>19338.6</v>
      </c>
      <c r="BG32" s="24">
        <v>6661.9</v>
      </c>
      <c r="BH32" s="24">
        <v>2159.1</v>
      </c>
      <c r="BI32" s="24">
        <v>1218.4</v>
      </c>
      <c r="BJ32" s="24">
        <v>1180.8</v>
      </c>
      <c r="BK32" s="24">
        <v>625.5</v>
      </c>
      <c r="BL32" s="24">
        <v>1763.6</v>
      </c>
      <c r="BM32" s="24">
        <v>0</v>
      </c>
      <c r="BN32" s="24">
        <v>0</v>
      </c>
      <c r="BO32" s="24">
        <v>37378.2</v>
      </c>
      <c r="BP32" s="24">
        <v>704719.4</v>
      </c>
      <c r="BQ32" s="24">
        <v>179.8</v>
      </c>
      <c r="BR32" s="24">
        <v>36423</v>
      </c>
      <c r="BS32" s="24">
        <v>4714.3</v>
      </c>
    </row>
    <row r="33" spans="1:71" x14ac:dyDescent="0.25">
      <c r="A33" s="30" t="s">
        <v>321</v>
      </c>
      <c r="B33" s="31" t="s">
        <v>322</v>
      </c>
      <c r="C33" s="24">
        <v>4392</v>
      </c>
      <c r="D33" s="24">
        <v>2120</v>
      </c>
      <c r="E33" s="24">
        <v>111.4</v>
      </c>
      <c r="F33" s="24">
        <v>2968.4</v>
      </c>
      <c r="G33" s="24">
        <v>31166.5</v>
      </c>
      <c r="H33" s="24">
        <v>3403.7</v>
      </c>
      <c r="I33" s="24">
        <v>4631.8</v>
      </c>
      <c r="J33" s="24">
        <v>7140.9</v>
      </c>
      <c r="K33" s="24">
        <v>898.4</v>
      </c>
      <c r="L33" s="24">
        <v>13770.2</v>
      </c>
      <c r="M33" s="24">
        <v>13112.9</v>
      </c>
      <c r="N33" s="24">
        <v>2284.2</v>
      </c>
      <c r="O33" s="24">
        <v>7027.3</v>
      </c>
      <c r="P33" s="24">
        <v>10222.5</v>
      </c>
      <c r="Q33" s="24">
        <v>11930.6</v>
      </c>
      <c r="R33" s="24">
        <v>6934.7</v>
      </c>
      <c r="S33" s="24">
        <v>2463.7</v>
      </c>
      <c r="T33" s="24">
        <v>4706.3</v>
      </c>
      <c r="U33" s="24">
        <v>7679.5</v>
      </c>
      <c r="V33" s="24">
        <v>14666.4</v>
      </c>
      <c r="W33" s="24">
        <v>1683</v>
      </c>
      <c r="X33" s="24">
        <v>4455.2</v>
      </c>
      <c r="Y33" s="24">
        <v>1587.1</v>
      </c>
      <c r="Z33" s="24">
        <v>13782.5</v>
      </c>
      <c r="AA33" s="24">
        <v>236.1</v>
      </c>
      <c r="AB33" s="24">
        <v>4034.1</v>
      </c>
      <c r="AC33" s="24">
        <v>19879.9</v>
      </c>
      <c r="AD33" s="24">
        <v>6517.3</v>
      </c>
      <c r="AE33" s="24">
        <v>67814.9</v>
      </c>
      <c r="AF33" s="24">
        <v>21145.4</v>
      </c>
      <c r="AG33" s="24">
        <v>72621.9</v>
      </c>
      <c r="AH33" s="24">
        <v>2298.3</v>
      </c>
      <c r="AI33" s="24">
        <v>1734.8</v>
      </c>
      <c r="AJ33" s="24">
        <v>57442</v>
      </c>
      <c r="AK33" s="24">
        <v>5002</v>
      </c>
      <c r="AL33" s="24">
        <v>4066.5</v>
      </c>
      <c r="AM33" s="24">
        <v>1547.4</v>
      </c>
      <c r="AN33" s="24">
        <v>865.3</v>
      </c>
      <c r="AO33" s="24">
        <v>1143.8</v>
      </c>
      <c r="AP33" s="24">
        <v>3672.7</v>
      </c>
      <c r="AQ33" s="24">
        <v>876.4</v>
      </c>
      <c r="AR33" s="24">
        <v>441.2</v>
      </c>
      <c r="AS33" s="24">
        <v>919.8</v>
      </c>
      <c r="AT33" s="24">
        <v>1266.1</v>
      </c>
      <c r="AU33" s="24">
        <v>3099.7</v>
      </c>
      <c r="AV33" s="24">
        <v>1344</v>
      </c>
      <c r="AW33" s="24">
        <v>1063.6</v>
      </c>
      <c r="AX33" s="24">
        <v>1113.3</v>
      </c>
      <c r="AY33" s="24">
        <v>1007.4</v>
      </c>
      <c r="AZ33" s="24">
        <v>2518.8</v>
      </c>
      <c r="BA33" s="24">
        <v>307.9</v>
      </c>
      <c r="BB33" s="24">
        <v>8148.2</v>
      </c>
      <c r="BC33" s="24">
        <v>2416.2</v>
      </c>
      <c r="BD33" s="24">
        <v>10334.2</v>
      </c>
      <c r="BE33" s="24">
        <v>10976.6</v>
      </c>
      <c r="BF33" s="24">
        <v>4339</v>
      </c>
      <c r="BG33" s="24">
        <v>2100.2</v>
      </c>
      <c r="BH33" s="24">
        <v>798.1</v>
      </c>
      <c r="BI33" s="24">
        <v>885.9</v>
      </c>
      <c r="BJ33" s="24">
        <v>1892.6</v>
      </c>
      <c r="BK33" s="24">
        <v>286.9</v>
      </c>
      <c r="BL33" s="24">
        <v>650.9</v>
      </c>
      <c r="BM33" s="24">
        <v>0</v>
      </c>
      <c r="BN33" s="24">
        <v>0</v>
      </c>
      <c r="BO33" s="24">
        <v>34759.2</v>
      </c>
      <c r="BP33" s="24">
        <v>135601.2</v>
      </c>
      <c r="BQ33" s="24">
        <v>50.1</v>
      </c>
      <c r="BR33" s="24">
        <v>11122.3</v>
      </c>
      <c r="BS33" s="24">
        <v>199.7</v>
      </c>
    </row>
    <row r="34" spans="1:71" x14ac:dyDescent="0.25">
      <c r="A34" s="30" t="s">
        <v>134</v>
      </c>
      <c r="B34" s="31" t="s">
        <v>324</v>
      </c>
      <c r="C34" s="24">
        <v>243.9</v>
      </c>
      <c r="D34" s="24">
        <v>190.2</v>
      </c>
      <c r="E34" s="24">
        <v>50.3</v>
      </c>
      <c r="F34" s="24">
        <v>333.7</v>
      </c>
      <c r="G34" s="24">
        <v>2405.6</v>
      </c>
      <c r="H34" s="24">
        <v>258.5</v>
      </c>
      <c r="I34" s="24">
        <v>387.3</v>
      </c>
      <c r="J34" s="24">
        <v>806.5</v>
      </c>
      <c r="K34" s="24">
        <v>56.2</v>
      </c>
      <c r="L34" s="24">
        <v>2123.9</v>
      </c>
      <c r="M34" s="24">
        <v>1754.6</v>
      </c>
      <c r="N34" s="24">
        <v>566.2</v>
      </c>
      <c r="O34" s="24">
        <v>516.9</v>
      </c>
      <c r="P34" s="24">
        <v>676.9</v>
      </c>
      <c r="Q34" s="24">
        <v>1516.6</v>
      </c>
      <c r="R34" s="24">
        <v>721.6</v>
      </c>
      <c r="S34" s="24">
        <v>757.2</v>
      </c>
      <c r="T34" s="24">
        <v>681.4</v>
      </c>
      <c r="U34" s="24">
        <v>1282.8</v>
      </c>
      <c r="V34" s="24">
        <v>1549.5</v>
      </c>
      <c r="W34" s="24">
        <v>193.7</v>
      </c>
      <c r="X34" s="24">
        <v>331.7</v>
      </c>
      <c r="Y34" s="24">
        <v>174.6</v>
      </c>
      <c r="Z34" s="24">
        <v>756.7</v>
      </c>
      <c r="AA34" s="24">
        <v>25.3</v>
      </c>
      <c r="AB34" s="24">
        <v>315.1</v>
      </c>
      <c r="AC34" s="24">
        <v>1335.1</v>
      </c>
      <c r="AD34" s="24">
        <v>512.2</v>
      </c>
      <c r="AE34" s="24">
        <v>6976.2</v>
      </c>
      <c r="AF34" s="24">
        <v>624.3</v>
      </c>
      <c r="AG34" s="24">
        <v>3587.1</v>
      </c>
      <c r="AH34" s="24">
        <v>22400.9</v>
      </c>
      <c r="AI34" s="24">
        <v>286.5</v>
      </c>
      <c r="AJ34" s="24">
        <v>7075.5</v>
      </c>
      <c r="AK34" s="24">
        <v>259.4</v>
      </c>
      <c r="AL34" s="24">
        <v>418.2</v>
      </c>
      <c r="AM34" s="24">
        <v>133.2</v>
      </c>
      <c r="AN34" s="24">
        <v>66.7</v>
      </c>
      <c r="AO34" s="24">
        <v>191.9</v>
      </c>
      <c r="AP34" s="24">
        <v>321.7</v>
      </c>
      <c r="AQ34" s="24">
        <v>62.9</v>
      </c>
      <c r="AR34" s="24">
        <v>20.9</v>
      </c>
      <c r="AS34" s="24">
        <v>56.5</v>
      </c>
      <c r="AT34" s="24">
        <v>87.4</v>
      </c>
      <c r="AU34" s="24">
        <v>293.8</v>
      </c>
      <c r="AV34" s="24">
        <v>105</v>
      </c>
      <c r="AW34" s="24">
        <v>59.7</v>
      </c>
      <c r="AX34" s="24">
        <v>70</v>
      </c>
      <c r="AY34" s="24">
        <v>70.2</v>
      </c>
      <c r="AZ34" s="24">
        <v>385.4</v>
      </c>
      <c r="BA34" s="24">
        <v>38.4</v>
      </c>
      <c r="BB34" s="24">
        <v>2296.6</v>
      </c>
      <c r="BC34" s="24">
        <v>238.4</v>
      </c>
      <c r="BD34" s="24">
        <v>442</v>
      </c>
      <c r="BE34" s="24">
        <v>225.6</v>
      </c>
      <c r="BF34" s="24">
        <v>526</v>
      </c>
      <c r="BG34" s="24">
        <v>185.5</v>
      </c>
      <c r="BH34" s="24">
        <v>65.5</v>
      </c>
      <c r="BI34" s="24">
        <v>56.2</v>
      </c>
      <c r="BJ34" s="24">
        <v>52.4</v>
      </c>
      <c r="BK34" s="24">
        <v>13.8</v>
      </c>
      <c r="BL34" s="24">
        <v>44.6</v>
      </c>
      <c r="BM34" s="24">
        <v>0</v>
      </c>
      <c r="BN34" s="24">
        <v>0</v>
      </c>
      <c r="BO34" s="24">
        <v>866.6</v>
      </c>
      <c r="BP34" s="24">
        <v>19901.1</v>
      </c>
      <c r="BQ34" s="24">
        <v>21.7</v>
      </c>
      <c r="BR34" s="24">
        <v>2080.5</v>
      </c>
      <c r="BS34" s="24">
        <v>-4794</v>
      </c>
    </row>
    <row r="35" spans="1:71" x14ac:dyDescent="0.25">
      <c r="A35" s="30" t="s">
        <v>137</v>
      </c>
      <c r="B35" s="31" t="s">
        <v>325</v>
      </c>
      <c r="C35" s="24">
        <v>235.7</v>
      </c>
      <c r="D35" s="24">
        <v>33.9</v>
      </c>
      <c r="E35" s="24">
        <v>62</v>
      </c>
      <c r="F35" s="24">
        <v>89.8</v>
      </c>
      <c r="G35" s="24">
        <v>1138.9</v>
      </c>
      <c r="H35" s="24">
        <v>218.9</v>
      </c>
      <c r="I35" s="24">
        <v>98.8</v>
      </c>
      <c r="J35" s="24">
        <v>171.4</v>
      </c>
      <c r="K35" s="24">
        <v>99.4</v>
      </c>
      <c r="L35" s="24">
        <v>209.4</v>
      </c>
      <c r="M35" s="24">
        <v>931.3</v>
      </c>
      <c r="N35" s="24">
        <v>477.7</v>
      </c>
      <c r="O35" s="24">
        <v>324</v>
      </c>
      <c r="P35" s="24">
        <v>272.9</v>
      </c>
      <c r="Q35" s="24">
        <v>279.3</v>
      </c>
      <c r="R35" s="24">
        <v>802.8</v>
      </c>
      <c r="S35" s="24">
        <v>2394.1</v>
      </c>
      <c r="T35" s="24">
        <v>1166</v>
      </c>
      <c r="U35" s="24">
        <v>2597.8</v>
      </c>
      <c r="V35" s="24">
        <v>1861.6</v>
      </c>
      <c r="W35" s="24">
        <v>668.3</v>
      </c>
      <c r="X35" s="24">
        <v>495.5</v>
      </c>
      <c r="Y35" s="24">
        <v>619.3</v>
      </c>
      <c r="Z35" s="24">
        <v>684.3</v>
      </c>
      <c r="AA35" s="24">
        <v>36.3</v>
      </c>
      <c r="AB35" s="24">
        <v>175.6</v>
      </c>
      <c r="AC35" s="24">
        <v>1169.5</v>
      </c>
      <c r="AD35" s="24">
        <v>262.1</v>
      </c>
      <c r="AE35" s="24">
        <v>2173.5</v>
      </c>
      <c r="AF35" s="24">
        <v>1078.1</v>
      </c>
      <c r="AG35" s="24">
        <v>616.9</v>
      </c>
      <c r="AH35" s="24">
        <v>499</v>
      </c>
      <c r="AI35" s="24">
        <v>11221.9</v>
      </c>
      <c r="AJ35" s="24">
        <v>3012</v>
      </c>
      <c r="AK35" s="24">
        <v>2178.8</v>
      </c>
      <c r="AL35" s="24">
        <v>548.8</v>
      </c>
      <c r="AM35" s="24">
        <v>167.1</v>
      </c>
      <c r="AN35" s="24">
        <v>366.8</v>
      </c>
      <c r="AO35" s="24">
        <v>273.5</v>
      </c>
      <c r="AP35" s="24">
        <v>1008.4</v>
      </c>
      <c r="AQ35" s="24">
        <v>1273.4</v>
      </c>
      <c r="AR35" s="24">
        <v>794.7</v>
      </c>
      <c r="AS35" s="24">
        <v>1458.2</v>
      </c>
      <c r="AT35" s="24">
        <v>133.5</v>
      </c>
      <c r="AU35" s="24">
        <v>1728.2</v>
      </c>
      <c r="AV35" s="24">
        <v>689.7</v>
      </c>
      <c r="AW35" s="24">
        <v>421.9</v>
      </c>
      <c r="AX35" s="24">
        <v>226.4</v>
      </c>
      <c r="AY35" s="24">
        <v>227.2</v>
      </c>
      <c r="AZ35" s="24">
        <v>548.6</v>
      </c>
      <c r="BA35" s="24">
        <v>108.8</v>
      </c>
      <c r="BB35" s="24">
        <v>10003.9</v>
      </c>
      <c r="BC35" s="24">
        <v>546.7</v>
      </c>
      <c r="BD35" s="24">
        <v>1892.4</v>
      </c>
      <c r="BE35" s="24">
        <v>637.3</v>
      </c>
      <c r="BF35" s="24">
        <v>759.2</v>
      </c>
      <c r="BG35" s="24">
        <v>303.6</v>
      </c>
      <c r="BH35" s="24">
        <v>340.7</v>
      </c>
      <c r="BI35" s="24">
        <v>249.1</v>
      </c>
      <c r="BJ35" s="24">
        <v>628.6</v>
      </c>
      <c r="BK35" s="24">
        <v>25.6</v>
      </c>
      <c r="BL35" s="24">
        <v>153.8</v>
      </c>
      <c r="BM35" s="24">
        <v>0</v>
      </c>
      <c r="BN35" s="24">
        <v>0</v>
      </c>
      <c r="BO35" s="24">
        <v>1707.3</v>
      </c>
      <c r="BP35" s="24">
        <v>33542.3</v>
      </c>
      <c r="BQ35" s="24">
        <v>2.1</v>
      </c>
      <c r="BR35" s="24">
        <v>2431.3</v>
      </c>
      <c r="BS35" s="24">
        <v>-75.8</v>
      </c>
    </row>
    <row r="36" spans="1:71" x14ac:dyDescent="0.25">
      <c r="A36" s="30" t="s">
        <v>326</v>
      </c>
      <c r="B36" s="31" t="s">
        <v>327</v>
      </c>
      <c r="C36" s="24">
        <v>1462.3</v>
      </c>
      <c r="D36" s="24">
        <v>421.3</v>
      </c>
      <c r="E36" s="24">
        <v>215.1</v>
      </c>
      <c r="F36" s="24">
        <v>1755</v>
      </c>
      <c r="G36" s="24">
        <v>24042.6</v>
      </c>
      <c r="H36" s="24">
        <v>2402.4</v>
      </c>
      <c r="I36" s="24">
        <v>2044.5</v>
      </c>
      <c r="J36" s="24">
        <v>4545.4</v>
      </c>
      <c r="K36" s="24">
        <v>510.1</v>
      </c>
      <c r="L36" s="24">
        <v>7318</v>
      </c>
      <c r="M36" s="24">
        <v>8031.2</v>
      </c>
      <c r="N36" s="24">
        <v>1392.4</v>
      </c>
      <c r="O36" s="24">
        <v>3671.5</v>
      </c>
      <c r="P36" s="24">
        <v>4900.9</v>
      </c>
      <c r="Q36" s="24">
        <v>5034.9</v>
      </c>
      <c r="R36" s="24">
        <v>3981.8</v>
      </c>
      <c r="S36" s="24">
        <v>2224.9</v>
      </c>
      <c r="T36" s="24">
        <v>2969.1</v>
      </c>
      <c r="U36" s="24">
        <v>7829</v>
      </c>
      <c r="V36" s="24">
        <v>10605.2</v>
      </c>
      <c r="W36" s="24">
        <v>1446.8</v>
      </c>
      <c r="X36" s="24">
        <v>2356.6</v>
      </c>
      <c r="Y36" s="24">
        <v>1203.4</v>
      </c>
      <c r="Z36" s="24">
        <v>8429.1</v>
      </c>
      <c r="AA36" s="24">
        <v>185.2</v>
      </c>
      <c r="AB36" s="24">
        <v>2692.1</v>
      </c>
      <c r="AC36" s="24">
        <v>10076.3</v>
      </c>
      <c r="AD36" s="24">
        <v>5505</v>
      </c>
      <c r="AE36" s="24">
        <v>85179.9</v>
      </c>
      <c r="AF36" s="24">
        <v>20415.9</v>
      </c>
      <c r="AG36" s="24">
        <v>74350.8</v>
      </c>
      <c r="AH36" s="24">
        <v>30654.8</v>
      </c>
      <c r="AI36" s="24">
        <v>13458.6</v>
      </c>
      <c r="AJ36" s="24">
        <v>135752.7</v>
      </c>
      <c r="AK36" s="24">
        <v>16508.7</v>
      </c>
      <c r="AL36" s="24">
        <v>2162.9</v>
      </c>
      <c r="AM36" s="24">
        <v>1615.1</v>
      </c>
      <c r="AN36" s="24">
        <v>390.3</v>
      </c>
      <c r="AO36" s="24">
        <v>1687.7</v>
      </c>
      <c r="AP36" s="24">
        <v>3394.9</v>
      </c>
      <c r="AQ36" s="24">
        <v>493.6</v>
      </c>
      <c r="AR36" s="24">
        <v>263.5</v>
      </c>
      <c r="AS36" s="24">
        <v>768.9</v>
      </c>
      <c r="AT36" s="24">
        <v>1255.7</v>
      </c>
      <c r="AU36" s="24">
        <v>3902.9</v>
      </c>
      <c r="AV36" s="24">
        <v>1082</v>
      </c>
      <c r="AW36" s="24">
        <v>399.4</v>
      </c>
      <c r="AX36" s="24">
        <v>738.7</v>
      </c>
      <c r="AY36" s="24">
        <v>1224.5</v>
      </c>
      <c r="AZ36" s="24">
        <v>2584.8</v>
      </c>
      <c r="BA36" s="24">
        <v>285.7</v>
      </c>
      <c r="BB36" s="24">
        <v>1106.3</v>
      </c>
      <c r="BC36" s="24">
        <v>2689.1</v>
      </c>
      <c r="BD36" s="24">
        <v>3548.7</v>
      </c>
      <c r="BE36" s="24">
        <v>1265.5</v>
      </c>
      <c r="BF36" s="24">
        <v>1197</v>
      </c>
      <c r="BG36" s="24">
        <v>468.7</v>
      </c>
      <c r="BH36" s="24">
        <v>458.2</v>
      </c>
      <c r="BI36" s="24">
        <v>488.6</v>
      </c>
      <c r="BJ36" s="24">
        <v>353.3</v>
      </c>
      <c r="BK36" s="24">
        <v>226.3</v>
      </c>
      <c r="BL36" s="24">
        <v>436.6</v>
      </c>
      <c r="BM36" s="24">
        <v>0</v>
      </c>
      <c r="BN36" s="24">
        <v>0</v>
      </c>
      <c r="BO36" s="24">
        <v>63111.1</v>
      </c>
      <c r="BP36" s="24">
        <v>42837.5</v>
      </c>
      <c r="BQ36" s="24">
        <v>45.1</v>
      </c>
      <c r="BR36" s="24">
        <v>6288.3</v>
      </c>
      <c r="BS36" s="24">
        <v>14.4</v>
      </c>
    </row>
    <row r="37" spans="1:71" x14ac:dyDescent="0.25">
      <c r="A37" s="30" t="s">
        <v>328</v>
      </c>
      <c r="B37" s="31" t="s">
        <v>329</v>
      </c>
      <c r="C37" s="24">
        <v>217.1</v>
      </c>
      <c r="D37" s="24">
        <v>39.6</v>
      </c>
      <c r="E37" s="24">
        <v>5.7</v>
      </c>
      <c r="F37" s="24">
        <v>107.4</v>
      </c>
      <c r="G37" s="24">
        <v>1357.8</v>
      </c>
      <c r="H37" s="24">
        <v>406.1</v>
      </c>
      <c r="I37" s="24">
        <v>139.3</v>
      </c>
      <c r="J37" s="24">
        <v>272.1</v>
      </c>
      <c r="K37" s="24">
        <v>350.3</v>
      </c>
      <c r="L37" s="24">
        <v>463.3</v>
      </c>
      <c r="M37" s="24">
        <v>2657.2</v>
      </c>
      <c r="N37" s="24">
        <v>1095.9</v>
      </c>
      <c r="O37" s="24">
        <v>622.7</v>
      </c>
      <c r="P37" s="24">
        <v>314.4</v>
      </c>
      <c r="Q37" s="24">
        <v>323.4</v>
      </c>
      <c r="R37" s="24">
        <v>998.6</v>
      </c>
      <c r="S37" s="24">
        <v>1502.8</v>
      </c>
      <c r="T37" s="24">
        <v>1764.2</v>
      </c>
      <c r="U37" s="24">
        <v>3137.2</v>
      </c>
      <c r="V37" s="24">
        <v>1864.9</v>
      </c>
      <c r="W37" s="24">
        <v>143.4</v>
      </c>
      <c r="X37" s="24">
        <v>990.3</v>
      </c>
      <c r="Y37" s="24">
        <v>471.1</v>
      </c>
      <c r="Z37" s="24">
        <v>1671.9</v>
      </c>
      <c r="AA37" s="24">
        <v>401.6</v>
      </c>
      <c r="AB37" s="24">
        <v>707.6</v>
      </c>
      <c r="AC37" s="24">
        <v>1850.6</v>
      </c>
      <c r="AD37" s="24">
        <v>1333</v>
      </c>
      <c r="AE37" s="24">
        <v>11217.7</v>
      </c>
      <c r="AF37" s="24">
        <v>17592.2</v>
      </c>
      <c r="AG37" s="24">
        <v>3645.1</v>
      </c>
      <c r="AH37" s="24">
        <v>307.5</v>
      </c>
      <c r="AI37" s="24">
        <v>406.6</v>
      </c>
      <c r="AJ37" s="24">
        <v>4181.3</v>
      </c>
      <c r="AK37" s="24">
        <v>13317.6</v>
      </c>
      <c r="AL37" s="24">
        <v>2864.7</v>
      </c>
      <c r="AM37" s="24">
        <v>1388.4</v>
      </c>
      <c r="AN37" s="24">
        <v>443.9</v>
      </c>
      <c r="AO37" s="24">
        <v>4142.6</v>
      </c>
      <c r="AP37" s="24">
        <v>2050.8</v>
      </c>
      <c r="AQ37" s="24">
        <v>2547.3</v>
      </c>
      <c r="AR37" s="24">
        <v>1175</v>
      </c>
      <c r="AS37" s="24">
        <v>1609.4</v>
      </c>
      <c r="AT37" s="24">
        <v>751.8</v>
      </c>
      <c r="AU37" s="24">
        <v>4349.4</v>
      </c>
      <c r="AV37" s="24">
        <v>814.3</v>
      </c>
      <c r="AW37" s="24">
        <v>359.5</v>
      </c>
      <c r="AX37" s="24">
        <v>670.6</v>
      </c>
      <c r="AY37" s="24">
        <v>757.5</v>
      </c>
      <c r="AZ37" s="24">
        <v>656.4</v>
      </c>
      <c r="BA37" s="24">
        <v>1328.3</v>
      </c>
      <c r="BB37" s="24">
        <v>320.5</v>
      </c>
      <c r="BC37" s="24">
        <v>2116.2</v>
      </c>
      <c r="BD37" s="24">
        <v>7380.5</v>
      </c>
      <c r="BE37" s="24">
        <v>943.5</v>
      </c>
      <c r="BF37" s="24">
        <v>1413.6</v>
      </c>
      <c r="BG37" s="24">
        <v>1164</v>
      </c>
      <c r="BH37" s="24">
        <v>881.5</v>
      </c>
      <c r="BI37" s="24">
        <v>433.9</v>
      </c>
      <c r="BJ37" s="24">
        <v>881.8</v>
      </c>
      <c r="BK37" s="24">
        <v>97.7</v>
      </c>
      <c r="BL37" s="24">
        <v>444.1</v>
      </c>
      <c r="BM37" s="24">
        <v>0</v>
      </c>
      <c r="BN37" s="24">
        <v>0</v>
      </c>
      <c r="BO37" s="24">
        <v>225</v>
      </c>
      <c r="BP37" s="24">
        <v>10360</v>
      </c>
      <c r="BQ37" s="24">
        <v>6.1</v>
      </c>
      <c r="BR37" s="24">
        <v>391.3</v>
      </c>
      <c r="BS37" s="24">
        <v>12.1</v>
      </c>
    </row>
    <row r="38" spans="1:71" x14ac:dyDescent="0.25">
      <c r="A38" s="30" t="s">
        <v>330</v>
      </c>
      <c r="B38" s="31" t="s">
        <v>331</v>
      </c>
      <c r="C38" s="24">
        <v>737.8</v>
      </c>
      <c r="D38" s="24">
        <v>74.9</v>
      </c>
      <c r="E38" s="24">
        <v>50.4</v>
      </c>
      <c r="F38" s="24">
        <v>393</v>
      </c>
      <c r="G38" s="24">
        <v>3221</v>
      </c>
      <c r="H38" s="24">
        <v>865</v>
      </c>
      <c r="I38" s="24">
        <v>883.9</v>
      </c>
      <c r="J38" s="24">
        <v>454</v>
      </c>
      <c r="K38" s="24">
        <v>296</v>
      </c>
      <c r="L38" s="24">
        <v>794.3</v>
      </c>
      <c r="M38" s="24">
        <v>1851.9</v>
      </c>
      <c r="N38" s="24">
        <v>1104.5</v>
      </c>
      <c r="O38" s="24">
        <v>736.2</v>
      </c>
      <c r="P38" s="24">
        <v>704</v>
      </c>
      <c r="Q38" s="24">
        <v>785.8</v>
      </c>
      <c r="R38" s="24">
        <v>1949.2</v>
      </c>
      <c r="S38" s="24">
        <v>902</v>
      </c>
      <c r="T38" s="24">
        <v>1092.5</v>
      </c>
      <c r="U38" s="24">
        <v>2596.4</v>
      </c>
      <c r="V38" s="24">
        <v>1377.2</v>
      </c>
      <c r="W38" s="24">
        <v>661.5</v>
      </c>
      <c r="X38" s="24">
        <v>896.4</v>
      </c>
      <c r="Y38" s="24">
        <v>1858.1</v>
      </c>
      <c r="Z38" s="24">
        <v>2521.6</v>
      </c>
      <c r="AA38" s="24">
        <v>465.6</v>
      </c>
      <c r="AB38" s="24">
        <v>767.1</v>
      </c>
      <c r="AC38" s="24">
        <v>13785.8</v>
      </c>
      <c r="AD38" s="24">
        <v>2081</v>
      </c>
      <c r="AE38" s="24">
        <v>13188.6</v>
      </c>
      <c r="AF38" s="24">
        <v>4538.3</v>
      </c>
      <c r="AG38" s="24">
        <v>7500.4</v>
      </c>
      <c r="AH38" s="24">
        <v>694.9</v>
      </c>
      <c r="AI38" s="24">
        <v>4101.5</v>
      </c>
      <c r="AJ38" s="24">
        <v>7698.8</v>
      </c>
      <c r="AK38" s="24">
        <v>394.7</v>
      </c>
      <c r="AL38" s="24">
        <v>9219.8</v>
      </c>
      <c r="AM38" s="24">
        <v>873.3</v>
      </c>
      <c r="AN38" s="24">
        <v>2618.1</v>
      </c>
      <c r="AO38" s="24">
        <v>1922.4</v>
      </c>
      <c r="AP38" s="24">
        <v>5789.5</v>
      </c>
      <c r="AQ38" s="24">
        <v>2878.6</v>
      </c>
      <c r="AR38" s="24">
        <v>1097.8</v>
      </c>
      <c r="AS38" s="24">
        <v>3349.7</v>
      </c>
      <c r="AT38" s="24">
        <v>1533.5</v>
      </c>
      <c r="AU38" s="24">
        <v>8220.4</v>
      </c>
      <c r="AV38" s="24">
        <v>2322.3</v>
      </c>
      <c r="AW38" s="24">
        <v>855.5</v>
      </c>
      <c r="AX38" s="24">
        <v>1102.7</v>
      </c>
      <c r="AY38" s="24">
        <v>1183.9</v>
      </c>
      <c r="AZ38" s="24">
        <v>1423.8</v>
      </c>
      <c r="BA38" s="24">
        <v>1140</v>
      </c>
      <c r="BB38" s="24">
        <v>18385.5</v>
      </c>
      <c r="BC38" s="24">
        <v>6225.6</v>
      </c>
      <c r="BD38" s="24">
        <v>8035.4</v>
      </c>
      <c r="BE38" s="24">
        <v>5536.2</v>
      </c>
      <c r="BF38" s="24">
        <v>6548</v>
      </c>
      <c r="BG38" s="24">
        <v>6629.6</v>
      </c>
      <c r="BH38" s="24">
        <v>2417</v>
      </c>
      <c r="BI38" s="24">
        <v>3107.5</v>
      </c>
      <c r="BJ38" s="24">
        <v>3993.7</v>
      </c>
      <c r="BK38" s="24">
        <v>260</v>
      </c>
      <c r="BL38" s="24">
        <v>1536.4</v>
      </c>
      <c r="BM38" s="24">
        <v>0</v>
      </c>
      <c r="BN38" s="24">
        <v>0</v>
      </c>
      <c r="BO38" s="24">
        <v>5819.1</v>
      </c>
      <c r="BP38" s="24">
        <v>680869.4</v>
      </c>
      <c r="BQ38" s="24">
        <v>2215.1</v>
      </c>
      <c r="BR38" s="24">
        <v>1208</v>
      </c>
      <c r="BS38" s="24">
        <v>-108.8</v>
      </c>
    </row>
    <row r="39" spans="1:71" x14ac:dyDescent="0.25">
      <c r="A39" s="30" t="s">
        <v>332</v>
      </c>
      <c r="B39" s="31" t="s">
        <v>333</v>
      </c>
      <c r="C39" s="24">
        <v>278</v>
      </c>
      <c r="D39" s="24">
        <v>29.8</v>
      </c>
      <c r="E39" s="24">
        <v>3.7</v>
      </c>
      <c r="F39" s="24">
        <v>197.7</v>
      </c>
      <c r="G39" s="24">
        <v>1160.1</v>
      </c>
      <c r="H39" s="24">
        <v>182.3</v>
      </c>
      <c r="I39" s="24">
        <v>114</v>
      </c>
      <c r="J39" s="24">
        <v>376.7</v>
      </c>
      <c r="K39" s="24">
        <v>385.4</v>
      </c>
      <c r="L39" s="24">
        <v>277.9</v>
      </c>
      <c r="M39" s="24">
        <v>719.8</v>
      </c>
      <c r="N39" s="24">
        <v>555.6</v>
      </c>
      <c r="O39" s="24">
        <v>286.7</v>
      </c>
      <c r="P39" s="24">
        <v>190</v>
      </c>
      <c r="Q39" s="24">
        <v>274.2</v>
      </c>
      <c r="R39" s="24">
        <v>505.8</v>
      </c>
      <c r="S39" s="24">
        <v>820.1</v>
      </c>
      <c r="T39" s="24">
        <v>660.8</v>
      </c>
      <c r="U39" s="24">
        <v>772.2</v>
      </c>
      <c r="V39" s="24">
        <v>954</v>
      </c>
      <c r="W39" s="24">
        <v>301.5</v>
      </c>
      <c r="X39" s="24">
        <v>311.5</v>
      </c>
      <c r="Y39" s="24">
        <v>221</v>
      </c>
      <c r="Z39" s="24">
        <v>690.2</v>
      </c>
      <c r="AA39" s="24">
        <v>64.9</v>
      </c>
      <c r="AB39" s="24">
        <v>499.9</v>
      </c>
      <c r="AC39" s="24">
        <v>1207.8</v>
      </c>
      <c r="AD39" s="24">
        <v>645.7</v>
      </c>
      <c r="AE39" s="24">
        <v>4194.4</v>
      </c>
      <c r="AF39" s="24">
        <v>2932.1</v>
      </c>
      <c r="AG39" s="24">
        <v>629.3</v>
      </c>
      <c r="AH39" s="24">
        <v>194.7</v>
      </c>
      <c r="AI39" s="24">
        <v>266.1</v>
      </c>
      <c r="AJ39" s="24">
        <v>633.6</v>
      </c>
      <c r="AK39" s="24">
        <v>278.6</v>
      </c>
      <c r="AL39" s="24">
        <v>1059.8</v>
      </c>
      <c r="AM39" s="24">
        <v>5350.6</v>
      </c>
      <c r="AN39" s="24">
        <v>936.6</v>
      </c>
      <c r="AO39" s="24">
        <v>1316.9</v>
      </c>
      <c r="AP39" s="24">
        <v>8927.4</v>
      </c>
      <c r="AQ39" s="24">
        <v>3191.4</v>
      </c>
      <c r="AR39" s="24">
        <v>1231.7</v>
      </c>
      <c r="AS39" s="24">
        <v>2637.3</v>
      </c>
      <c r="AT39" s="24">
        <v>706.1</v>
      </c>
      <c r="AU39" s="24">
        <v>4543.1</v>
      </c>
      <c r="AV39" s="24">
        <v>1952.6</v>
      </c>
      <c r="AW39" s="24">
        <v>1115.8</v>
      </c>
      <c r="AX39" s="24">
        <v>3803.4</v>
      </c>
      <c r="AY39" s="24">
        <v>841</v>
      </c>
      <c r="AZ39" s="24">
        <v>840.4</v>
      </c>
      <c r="BA39" s="24">
        <v>474.4</v>
      </c>
      <c r="BB39" s="24">
        <v>389.8</v>
      </c>
      <c r="BC39" s="24">
        <v>2298</v>
      </c>
      <c r="BD39" s="24">
        <v>4836.5</v>
      </c>
      <c r="BE39" s="24">
        <v>4588.4</v>
      </c>
      <c r="BF39" s="24">
        <v>2187.3</v>
      </c>
      <c r="BG39" s="24">
        <v>1331.7</v>
      </c>
      <c r="BH39" s="24">
        <v>2125.1</v>
      </c>
      <c r="BI39" s="24">
        <v>992.2</v>
      </c>
      <c r="BJ39" s="24">
        <v>1499.7</v>
      </c>
      <c r="BK39" s="24">
        <v>56.2</v>
      </c>
      <c r="BL39" s="24">
        <v>268.2</v>
      </c>
      <c r="BM39" s="24">
        <v>0</v>
      </c>
      <c r="BN39" s="24">
        <v>0</v>
      </c>
      <c r="BO39" s="24">
        <v>901.9</v>
      </c>
      <c r="BP39" s="24">
        <v>39144</v>
      </c>
      <c r="BQ39" s="24">
        <v>62.9</v>
      </c>
      <c r="BR39" s="24">
        <v>23819.5</v>
      </c>
      <c r="BS39" s="24">
        <v>261.4</v>
      </c>
    </row>
    <row r="40" spans="1:71" x14ac:dyDescent="0.25">
      <c r="A40" s="30" t="s">
        <v>335</v>
      </c>
      <c r="B40" s="31" t="s">
        <v>336</v>
      </c>
      <c r="C40" s="24">
        <v>83</v>
      </c>
      <c r="D40" s="24">
        <v>11</v>
      </c>
      <c r="E40" s="24">
        <v>8.4</v>
      </c>
      <c r="F40" s="24">
        <v>48.2</v>
      </c>
      <c r="G40" s="24">
        <v>2093.7</v>
      </c>
      <c r="H40" s="24">
        <v>162</v>
      </c>
      <c r="I40" s="24">
        <v>77.4</v>
      </c>
      <c r="J40" s="24">
        <v>124.9</v>
      </c>
      <c r="K40" s="24">
        <v>93.8</v>
      </c>
      <c r="L40" s="24">
        <v>144.5</v>
      </c>
      <c r="M40" s="24">
        <v>557.3</v>
      </c>
      <c r="N40" s="24">
        <v>542.1</v>
      </c>
      <c r="O40" s="24">
        <v>153.8</v>
      </c>
      <c r="P40" s="24">
        <v>131.9</v>
      </c>
      <c r="Q40" s="24">
        <v>97.6</v>
      </c>
      <c r="R40" s="24">
        <v>238.2</v>
      </c>
      <c r="S40" s="24">
        <v>299.4</v>
      </c>
      <c r="T40" s="24">
        <v>224.3</v>
      </c>
      <c r="U40" s="24">
        <v>302.4</v>
      </c>
      <c r="V40" s="24">
        <v>453.5</v>
      </c>
      <c r="W40" s="24">
        <v>346.2</v>
      </c>
      <c r="X40" s="24">
        <v>211.8</v>
      </c>
      <c r="Y40" s="24">
        <v>169.6</v>
      </c>
      <c r="Z40" s="24">
        <v>529.1</v>
      </c>
      <c r="AA40" s="24">
        <v>59.3</v>
      </c>
      <c r="AB40" s="24">
        <v>165.2</v>
      </c>
      <c r="AC40" s="24">
        <v>1262.4</v>
      </c>
      <c r="AD40" s="24">
        <v>598.5</v>
      </c>
      <c r="AE40" s="24">
        <v>4691.3</v>
      </c>
      <c r="AF40" s="24">
        <v>3258.3</v>
      </c>
      <c r="AG40" s="24">
        <v>616.4</v>
      </c>
      <c r="AH40" s="24">
        <v>157.3</v>
      </c>
      <c r="AI40" s="24">
        <v>205.3</v>
      </c>
      <c r="AJ40" s="24">
        <v>468.1</v>
      </c>
      <c r="AK40" s="24">
        <v>136</v>
      </c>
      <c r="AL40" s="24">
        <v>2020.3</v>
      </c>
      <c r="AM40" s="24">
        <v>1875.2</v>
      </c>
      <c r="AN40" s="24">
        <v>24730.5</v>
      </c>
      <c r="AO40" s="24">
        <v>7897.7</v>
      </c>
      <c r="AP40" s="24">
        <v>6060.4</v>
      </c>
      <c r="AQ40" s="24">
        <v>484.2</v>
      </c>
      <c r="AR40" s="24">
        <v>220.6</v>
      </c>
      <c r="AS40" s="24">
        <v>206.7</v>
      </c>
      <c r="AT40" s="24">
        <v>439.7</v>
      </c>
      <c r="AU40" s="24">
        <v>3657.9</v>
      </c>
      <c r="AV40" s="24">
        <v>1006.3</v>
      </c>
      <c r="AW40" s="24">
        <v>584.5</v>
      </c>
      <c r="AX40" s="24">
        <v>10894.2</v>
      </c>
      <c r="AY40" s="24">
        <v>610.3</v>
      </c>
      <c r="AZ40" s="24">
        <v>1424.5</v>
      </c>
      <c r="BA40" s="24">
        <v>188.2</v>
      </c>
      <c r="BB40" s="24">
        <v>252.4</v>
      </c>
      <c r="BC40" s="24">
        <v>1690.8</v>
      </c>
      <c r="BD40" s="24">
        <v>1432.2</v>
      </c>
      <c r="BE40" s="24">
        <v>680.8</v>
      </c>
      <c r="BF40" s="24">
        <v>648.6</v>
      </c>
      <c r="BG40" s="24">
        <v>340</v>
      </c>
      <c r="BH40" s="24">
        <v>1389.3</v>
      </c>
      <c r="BI40" s="24">
        <v>1623.5</v>
      </c>
      <c r="BJ40" s="24">
        <v>773.8</v>
      </c>
      <c r="BK40" s="24">
        <v>43.1</v>
      </c>
      <c r="BL40" s="24">
        <v>255.9</v>
      </c>
      <c r="BM40" s="24">
        <v>0</v>
      </c>
      <c r="BN40" s="24">
        <v>0</v>
      </c>
      <c r="BO40" s="24">
        <v>25524.1</v>
      </c>
      <c r="BP40" s="24">
        <v>25473.1</v>
      </c>
      <c r="BQ40" s="24">
        <v>749.3</v>
      </c>
      <c r="BR40" s="24">
        <v>17489.7</v>
      </c>
      <c r="BS40" s="24">
        <v>-73.4</v>
      </c>
    </row>
    <row r="41" spans="1:71" x14ac:dyDescent="0.25">
      <c r="A41" s="30" t="s">
        <v>337</v>
      </c>
      <c r="B41" s="31" t="s">
        <v>338</v>
      </c>
      <c r="C41" s="24">
        <v>526.8</v>
      </c>
      <c r="D41" s="24">
        <v>70.4</v>
      </c>
      <c r="E41" s="24">
        <v>41.3</v>
      </c>
      <c r="F41" s="24">
        <v>285.6</v>
      </c>
      <c r="G41" s="24">
        <v>3258.8</v>
      </c>
      <c r="H41" s="24">
        <v>1003.5</v>
      </c>
      <c r="I41" s="24">
        <v>351.4</v>
      </c>
      <c r="J41" s="24">
        <v>691.6</v>
      </c>
      <c r="K41" s="24">
        <v>276.6</v>
      </c>
      <c r="L41" s="24">
        <v>602.5</v>
      </c>
      <c r="M41" s="24">
        <v>1572.7</v>
      </c>
      <c r="N41" s="24">
        <v>649.6</v>
      </c>
      <c r="O41" s="24">
        <v>1062.5</v>
      </c>
      <c r="P41" s="24">
        <v>1200.4</v>
      </c>
      <c r="Q41" s="24">
        <v>1448.1</v>
      </c>
      <c r="R41" s="24">
        <v>1906.2</v>
      </c>
      <c r="S41" s="24">
        <v>1119.7</v>
      </c>
      <c r="T41" s="24">
        <v>914.2</v>
      </c>
      <c r="U41" s="24">
        <v>1834</v>
      </c>
      <c r="V41" s="24">
        <v>1785.6</v>
      </c>
      <c r="W41" s="24">
        <v>586.4</v>
      </c>
      <c r="X41" s="24">
        <v>644.1</v>
      </c>
      <c r="Y41" s="24">
        <v>656.3</v>
      </c>
      <c r="Z41" s="24">
        <v>1906.1</v>
      </c>
      <c r="AA41" s="24">
        <v>493.9</v>
      </c>
      <c r="AB41" s="24">
        <v>1037.1</v>
      </c>
      <c r="AC41" s="24">
        <v>4783.6</v>
      </c>
      <c r="AD41" s="24">
        <v>1871.3</v>
      </c>
      <c r="AE41" s="24">
        <v>9045.5</v>
      </c>
      <c r="AF41" s="24">
        <v>5723.6</v>
      </c>
      <c r="AG41" s="24">
        <v>2459.3</v>
      </c>
      <c r="AH41" s="24">
        <v>248.3</v>
      </c>
      <c r="AI41" s="24">
        <v>551.3</v>
      </c>
      <c r="AJ41" s="24">
        <v>2126.3</v>
      </c>
      <c r="AK41" s="24">
        <v>3082.4</v>
      </c>
      <c r="AL41" s="24">
        <v>5605.8</v>
      </c>
      <c r="AM41" s="24">
        <v>1834.9</v>
      </c>
      <c r="AN41" s="24">
        <v>2539.9</v>
      </c>
      <c r="AO41" s="24">
        <v>52371.2</v>
      </c>
      <c r="AP41" s="24">
        <v>9092.2</v>
      </c>
      <c r="AQ41" s="24">
        <v>6676.1</v>
      </c>
      <c r="AR41" s="24">
        <v>2408.5</v>
      </c>
      <c r="AS41" s="24">
        <v>4585.8</v>
      </c>
      <c r="AT41" s="24">
        <v>2624.8</v>
      </c>
      <c r="AU41" s="24">
        <v>7289.3</v>
      </c>
      <c r="AV41" s="24">
        <v>2439.2</v>
      </c>
      <c r="AW41" s="24">
        <v>1087.4</v>
      </c>
      <c r="AX41" s="24">
        <v>1918.8</v>
      </c>
      <c r="AY41" s="24">
        <v>1398.6</v>
      </c>
      <c r="AZ41" s="24">
        <v>1555.8</v>
      </c>
      <c r="BA41" s="24">
        <v>2011.4</v>
      </c>
      <c r="BB41" s="24">
        <v>2669.5</v>
      </c>
      <c r="BC41" s="24">
        <v>3264.2</v>
      </c>
      <c r="BD41" s="24">
        <v>8240.8</v>
      </c>
      <c r="BE41" s="24">
        <v>2261.3</v>
      </c>
      <c r="BF41" s="24">
        <v>3599.6</v>
      </c>
      <c r="BG41" s="24">
        <v>2348</v>
      </c>
      <c r="BH41" s="24">
        <v>2210.3</v>
      </c>
      <c r="BI41" s="24">
        <v>1325.8</v>
      </c>
      <c r="BJ41" s="24">
        <v>1276.1</v>
      </c>
      <c r="BK41" s="24">
        <v>172</v>
      </c>
      <c r="BL41" s="24">
        <v>1118.2</v>
      </c>
      <c r="BM41" s="24">
        <v>0</v>
      </c>
      <c r="BN41" s="24">
        <v>0</v>
      </c>
      <c r="BO41" s="24">
        <v>1304.3</v>
      </c>
      <c r="BP41" s="24">
        <v>129385.3</v>
      </c>
      <c r="BQ41" s="24">
        <v>23.2</v>
      </c>
      <c r="BR41" s="24">
        <v>4833.4</v>
      </c>
      <c r="BS41" s="24">
        <v>142.9</v>
      </c>
    </row>
    <row r="42" spans="1:71" x14ac:dyDescent="0.25">
      <c r="A42" s="30" t="s">
        <v>339</v>
      </c>
      <c r="B42" s="31" t="s">
        <v>340</v>
      </c>
      <c r="C42" s="24">
        <v>934</v>
      </c>
      <c r="D42" s="24">
        <v>127.7</v>
      </c>
      <c r="E42" s="24">
        <v>31.5</v>
      </c>
      <c r="F42" s="24">
        <v>694.6</v>
      </c>
      <c r="G42" s="24">
        <v>6755.8</v>
      </c>
      <c r="H42" s="24">
        <v>1765.4</v>
      </c>
      <c r="I42" s="24">
        <v>704.9</v>
      </c>
      <c r="J42" s="24">
        <v>1785.4</v>
      </c>
      <c r="K42" s="24">
        <v>1008.9</v>
      </c>
      <c r="L42" s="24">
        <v>2541.3</v>
      </c>
      <c r="M42" s="24">
        <v>7368.3</v>
      </c>
      <c r="N42" s="24">
        <v>3901.4</v>
      </c>
      <c r="O42" s="24">
        <v>2355.1</v>
      </c>
      <c r="P42" s="24">
        <v>1790.5</v>
      </c>
      <c r="Q42" s="24">
        <v>2799.6</v>
      </c>
      <c r="R42" s="24">
        <v>5246.2</v>
      </c>
      <c r="S42" s="24">
        <v>4991.4</v>
      </c>
      <c r="T42" s="24">
        <v>4650.5</v>
      </c>
      <c r="U42" s="24">
        <v>8684.1</v>
      </c>
      <c r="V42" s="24">
        <v>10621.6</v>
      </c>
      <c r="W42" s="24">
        <v>3823.8</v>
      </c>
      <c r="X42" s="24">
        <v>2099.2</v>
      </c>
      <c r="Y42" s="24">
        <v>2615.2</v>
      </c>
      <c r="Z42" s="24">
        <v>9698.5</v>
      </c>
      <c r="AA42" s="24">
        <v>763.5</v>
      </c>
      <c r="AB42" s="24">
        <v>4018.6</v>
      </c>
      <c r="AC42" s="24">
        <v>10202.1</v>
      </c>
      <c r="AD42" s="24">
        <v>5376.7</v>
      </c>
      <c r="AE42" s="24">
        <v>33944.6</v>
      </c>
      <c r="AF42" s="24">
        <v>17474.5</v>
      </c>
      <c r="AG42" s="24">
        <v>6597.8</v>
      </c>
      <c r="AH42" s="24">
        <v>2310.9</v>
      </c>
      <c r="AI42" s="24">
        <v>2855.1</v>
      </c>
      <c r="AJ42" s="24">
        <v>8401.8</v>
      </c>
      <c r="AK42" s="24">
        <v>3889.4</v>
      </c>
      <c r="AL42" s="24">
        <v>4822.6</v>
      </c>
      <c r="AM42" s="24">
        <v>9995</v>
      </c>
      <c r="AN42" s="24">
        <v>4750.3</v>
      </c>
      <c r="AO42" s="24">
        <v>14307.7</v>
      </c>
      <c r="AP42" s="24">
        <v>201162.9</v>
      </c>
      <c r="AQ42" s="24">
        <v>21407.1</v>
      </c>
      <c r="AR42" s="24">
        <v>7122.7</v>
      </c>
      <c r="AS42" s="24">
        <v>7960</v>
      </c>
      <c r="AT42" s="24">
        <v>4813.8</v>
      </c>
      <c r="AU42" s="24">
        <v>44017.3</v>
      </c>
      <c r="AV42" s="24">
        <v>10182.6</v>
      </c>
      <c r="AW42" s="24">
        <v>7570.9</v>
      </c>
      <c r="AX42" s="24">
        <v>6463.2</v>
      </c>
      <c r="AY42" s="24">
        <v>3628.4</v>
      </c>
      <c r="AZ42" s="24">
        <v>5405.3</v>
      </c>
      <c r="BA42" s="24">
        <v>3537.7</v>
      </c>
      <c r="BB42" s="24">
        <v>2097.3</v>
      </c>
      <c r="BC42" s="24">
        <v>11958.1</v>
      </c>
      <c r="BD42" s="24">
        <v>19995.1</v>
      </c>
      <c r="BE42" s="24">
        <v>8601.8</v>
      </c>
      <c r="BF42" s="24">
        <v>10749.8</v>
      </c>
      <c r="BG42" s="24">
        <v>4806.9</v>
      </c>
      <c r="BH42" s="24">
        <v>7061.6</v>
      </c>
      <c r="BI42" s="24">
        <v>1452.6</v>
      </c>
      <c r="BJ42" s="24">
        <v>2230.7</v>
      </c>
      <c r="BK42" s="24">
        <v>521.4</v>
      </c>
      <c r="BL42" s="24">
        <v>1495</v>
      </c>
      <c r="BM42" s="24">
        <v>0</v>
      </c>
      <c r="BN42" s="24">
        <v>0</v>
      </c>
      <c r="BO42" s="24">
        <v>4773.6</v>
      </c>
      <c r="BP42" s="24">
        <v>26450.9</v>
      </c>
      <c r="BQ42" s="24">
        <v>194.1</v>
      </c>
      <c r="BR42" s="24">
        <v>266488.9</v>
      </c>
      <c r="BS42" s="24">
        <v>548.3</v>
      </c>
    </row>
    <row r="43" spans="1:71" x14ac:dyDescent="0.25">
      <c r="A43" s="30" t="s">
        <v>341</v>
      </c>
      <c r="B43" s="31" t="s">
        <v>342</v>
      </c>
      <c r="C43" s="24">
        <v>7810.8</v>
      </c>
      <c r="D43" s="24">
        <v>641</v>
      </c>
      <c r="E43" s="24">
        <v>247.1</v>
      </c>
      <c r="F43" s="24">
        <v>939.8</v>
      </c>
      <c r="G43" s="24">
        <v>10787.7</v>
      </c>
      <c r="H43" s="24">
        <v>2563.4</v>
      </c>
      <c r="I43" s="24">
        <v>1338.7</v>
      </c>
      <c r="J43" s="24">
        <v>1627.1</v>
      </c>
      <c r="K43" s="24">
        <v>782.4</v>
      </c>
      <c r="L43" s="24">
        <v>3070.3</v>
      </c>
      <c r="M43" s="24">
        <v>4933.2</v>
      </c>
      <c r="N43" s="24">
        <v>2021.1</v>
      </c>
      <c r="O43" s="24">
        <v>3009.4</v>
      </c>
      <c r="P43" s="24">
        <v>2295.5</v>
      </c>
      <c r="Q43" s="24">
        <v>3494.3</v>
      </c>
      <c r="R43" s="24">
        <v>5267.1</v>
      </c>
      <c r="S43" s="24">
        <v>2224.2</v>
      </c>
      <c r="T43" s="24">
        <v>2779.6</v>
      </c>
      <c r="U43" s="24">
        <v>5967.6</v>
      </c>
      <c r="V43" s="24">
        <v>6203.7</v>
      </c>
      <c r="W43" s="24">
        <v>1432.5</v>
      </c>
      <c r="X43" s="24">
        <v>2190.9</v>
      </c>
      <c r="Y43" s="24">
        <v>1698.6</v>
      </c>
      <c r="Z43" s="24">
        <v>8817.3</v>
      </c>
      <c r="AA43" s="24">
        <v>975.1</v>
      </c>
      <c r="AB43" s="24">
        <v>2249.7</v>
      </c>
      <c r="AC43" s="24">
        <v>25818.1</v>
      </c>
      <c r="AD43" s="24">
        <v>6263.6</v>
      </c>
      <c r="AE43" s="24">
        <v>27167.3</v>
      </c>
      <c r="AF43" s="24">
        <v>21499.1</v>
      </c>
      <c r="AG43" s="24">
        <v>7954.9</v>
      </c>
      <c r="AH43" s="24">
        <v>2553.9</v>
      </c>
      <c r="AI43" s="24">
        <v>1904.9</v>
      </c>
      <c r="AJ43" s="24">
        <v>7988.6</v>
      </c>
      <c r="AK43" s="24">
        <v>1255</v>
      </c>
      <c r="AL43" s="24">
        <v>11847.8</v>
      </c>
      <c r="AM43" s="24">
        <v>1765.9</v>
      </c>
      <c r="AN43" s="24">
        <v>1791.2</v>
      </c>
      <c r="AO43" s="24">
        <v>3669.5</v>
      </c>
      <c r="AP43" s="24">
        <v>12877.5</v>
      </c>
      <c r="AQ43" s="24">
        <v>101642.7</v>
      </c>
      <c r="AR43" s="24">
        <v>35120.7</v>
      </c>
      <c r="AS43" s="24">
        <v>21346.1</v>
      </c>
      <c r="AT43" s="24">
        <v>79753.1</v>
      </c>
      <c r="AU43" s="24">
        <v>21212.1</v>
      </c>
      <c r="AV43" s="24">
        <v>4553.2</v>
      </c>
      <c r="AW43" s="24">
        <v>1012.1</v>
      </c>
      <c r="AX43" s="24">
        <v>2171.5</v>
      </c>
      <c r="AY43" s="24">
        <v>2087.8</v>
      </c>
      <c r="AZ43" s="24">
        <v>7019.8</v>
      </c>
      <c r="BA43" s="24">
        <v>1901.7</v>
      </c>
      <c r="BB43" s="24">
        <v>1870</v>
      </c>
      <c r="BC43" s="24">
        <v>6277.9</v>
      </c>
      <c r="BD43" s="24">
        <v>23116.6</v>
      </c>
      <c r="BE43" s="24">
        <v>3199.9</v>
      </c>
      <c r="BF43" s="24">
        <v>7991.6</v>
      </c>
      <c r="BG43" s="24">
        <v>3770.7</v>
      </c>
      <c r="BH43" s="24">
        <v>2422.1</v>
      </c>
      <c r="BI43" s="24">
        <v>1826.1</v>
      </c>
      <c r="BJ43" s="24">
        <v>4608.2</v>
      </c>
      <c r="BK43" s="24">
        <v>354.6</v>
      </c>
      <c r="BL43" s="24">
        <v>3026</v>
      </c>
      <c r="BM43" s="24">
        <v>0</v>
      </c>
      <c r="BN43" s="24">
        <v>0</v>
      </c>
      <c r="BO43" s="24">
        <v>1760.4</v>
      </c>
      <c r="BP43" s="24">
        <v>175530.3</v>
      </c>
      <c r="BQ43" s="24">
        <v>113</v>
      </c>
      <c r="BR43" s="24">
        <v>4408.1</v>
      </c>
      <c r="BS43" s="24">
        <v>4.8</v>
      </c>
    </row>
    <row r="44" spans="1:71" x14ac:dyDescent="0.25">
      <c r="A44" s="30" t="s">
        <v>344</v>
      </c>
      <c r="B44" s="31" t="s">
        <v>345</v>
      </c>
      <c r="C44" s="24">
        <v>3752.1</v>
      </c>
      <c r="D44" s="24">
        <v>103.8</v>
      </c>
      <c r="E44" s="24">
        <v>66.7</v>
      </c>
      <c r="F44" s="24">
        <v>242.2</v>
      </c>
      <c r="G44" s="24">
        <v>2507.2</v>
      </c>
      <c r="H44" s="24">
        <v>445.8</v>
      </c>
      <c r="I44" s="24">
        <v>529.3</v>
      </c>
      <c r="J44" s="24">
        <v>616.6</v>
      </c>
      <c r="K44" s="24">
        <v>306.4</v>
      </c>
      <c r="L44" s="24">
        <v>621.4</v>
      </c>
      <c r="M44" s="24">
        <v>2202.7</v>
      </c>
      <c r="N44" s="24">
        <v>554.7</v>
      </c>
      <c r="O44" s="24">
        <v>962.1</v>
      </c>
      <c r="P44" s="24">
        <v>746.8</v>
      </c>
      <c r="Q44" s="24">
        <v>707.8</v>
      </c>
      <c r="R44" s="24">
        <v>1220.8</v>
      </c>
      <c r="S44" s="24">
        <v>499.4</v>
      </c>
      <c r="T44" s="24">
        <v>662.8</v>
      </c>
      <c r="U44" s="24">
        <v>1366.9</v>
      </c>
      <c r="V44" s="24">
        <v>1481.1</v>
      </c>
      <c r="W44" s="24">
        <v>514.3</v>
      </c>
      <c r="X44" s="24">
        <v>641.6</v>
      </c>
      <c r="Y44" s="24">
        <v>532.2</v>
      </c>
      <c r="Z44" s="24">
        <v>2842.1</v>
      </c>
      <c r="AA44" s="24">
        <v>293.6</v>
      </c>
      <c r="AB44" s="24">
        <v>1399.9</v>
      </c>
      <c r="AC44" s="24">
        <v>6107.5</v>
      </c>
      <c r="AD44" s="24">
        <v>1824.9</v>
      </c>
      <c r="AE44" s="24">
        <v>5231.6</v>
      </c>
      <c r="AF44" s="24">
        <v>5110.5</v>
      </c>
      <c r="AG44" s="24">
        <v>7707</v>
      </c>
      <c r="AH44" s="24">
        <v>1168.7</v>
      </c>
      <c r="AI44" s="24">
        <v>684.9</v>
      </c>
      <c r="AJ44" s="24">
        <v>3959.9</v>
      </c>
      <c r="AK44" s="24">
        <v>323.2</v>
      </c>
      <c r="AL44" s="24">
        <v>2320.7</v>
      </c>
      <c r="AM44" s="24">
        <v>450.7</v>
      </c>
      <c r="AN44" s="24">
        <v>356.3</v>
      </c>
      <c r="AO44" s="24">
        <v>1144.3</v>
      </c>
      <c r="AP44" s="24">
        <v>1913.8</v>
      </c>
      <c r="AQ44" s="24">
        <v>2872.5</v>
      </c>
      <c r="AR44" s="24">
        <v>28936.4</v>
      </c>
      <c r="AS44" s="24">
        <v>4678.7</v>
      </c>
      <c r="AT44" s="24">
        <v>7624.8</v>
      </c>
      <c r="AU44" s="24">
        <v>3995.6</v>
      </c>
      <c r="AV44" s="24">
        <v>1307.8</v>
      </c>
      <c r="AW44" s="24">
        <v>276.3</v>
      </c>
      <c r="AX44" s="24">
        <v>337.9</v>
      </c>
      <c r="AY44" s="24">
        <v>458</v>
      </c>
      <c r="AZ44" s="24">
        <v>4057.3</v>
      </c>
      <c r="BA44" s="24">
        <v>330.6</v>
      </c>
      <c r="BB44" s="24">
        <v>348.9</v>
      </c>
      <c r="BC44" s="24">
        <v>2071.2</v>
      </c>
      <c r="BD44" s="24">
        <v>4705.5</v>
      </c>
      <c r="BE44" s="24">
        <v>3336.2</v>
      </c>
      <c r="BF44" s="24">
        <v>2227.9</v>
      </c>
      <c r="BG44" s="24">
        <v>1098.2</v>
      </c>
      <c r="BH44" s="24">
        <v>600.9</v>
      </c>
      <c r="BI44" s="24">
        <v>391.3</v>
      </c>
      <c r="BJ44" s="24">
        <v>585.6</v>
      </c>
      <c r="BK44" s="24">
        <v>128</v>
      </c>
      <c r="BL44" s="24">
        <v>435.9</v>
      </c>
      <c r="BM44" s="24">
        <v>0</v>
      </c>
      <c r="BN44" s="24">
        <v>0</v>
      </c>
      <c r="BO44" s="24">
        <v>1059.5</v>
      </c>
      <c r="BP44" s="24">
        <v>226631.4</v>
      </c>
      <c r="BQ44" s="24">
        <v>269.7</v>
      </c>
      <c r="BR44" s="24">
        <v>1443.9</v>
      </c>
      <c r="BS44" s="24">
        <v>4.6</v>
      </c>
    </row>
    <row r="45" spans="1:71" x14ac:dyDescent="0.25">
      <c r="A45" s="30" t="s">
        <v>346</v>
      </c>
      <c r="B45" s="31" t="s">
        <v>347</v>
      </c>
      <c r="C45" s="24">
        <v>714</v>
      </c>
      <c r="D45" s="24">
        <v>50</v>
      </c>
      <c r="E45" s="24">
        <v>48.7</v>
      </c>
      <c r="F45" s="24">
        <v>87.1</v>
      </c>
      <c r="G45" s="24">
        <v>2048.7</v>
      </c>
      <c r="H45" s="24">
        <v>785.1</v>
      </c>
      <c r="I45" s="24">
        <v>305.9</v>
      </c>
      <c r="J45" s="24">
        <v>216.2</v>
      </c>
      <c r="K45" s="24">
        <v>134.3</v>
      </c>
      <c r="L45" s="24">
        <v>789.5</v>
      </c>
      <c r="M45" s="24">
        <v>1250.6</v>
      </c>
      <c r="N45" s="24">
        <v>331.1</v>
      </c>
      <c r="O45" s="24">
        <v>451.1</v>
      </c>
      <c r="P45" s="24">
        <v>561.2</v>
      </c>
      <c r="Q45" s="24">
        <v>324.1</v>
      </c>
      <c r="R45" s="24">
        <v>831.9</v>
      </c>
      <c r="S45" s="24">
        <v>359.8</v>
      </c>
      <c r="T45" s="24">
        <v>586.5</v>
      </c>
      <c r="U45" s="24">
        <v>1583.7</v>
      </c>
      <c r="V45" s="24">
        <v>675.8</v>
      </c>
      <c r="W45" s="24">
        <v>664.4</v>
      </c>
      <c r="X45" s="24">
        <v>791.7</v>
      </c>
      <c r="Y45" s="24">
        <v>434.7</v>
      </c>
      <c r="Z45" s="24">
        <v>1592.8</v>
      </c>
      <c r="AA45" s="24">
        <v>128.2</v>
      </c>
      <c r="AB45" s="24">
        <v>308.7</v>
      </c>
      <c r="AC45" s="24">
        <v>3887</v>
      </c>
      <c r="AD45" s="24">
        <v>954.8</v>
      </c>
      <c r="AE45" s="24">
        <v>6667</v>
      </c>
      <c r="AF45" s="24">
        <v>2938</v>
      </c>
      <c r="AG45" s="24">
        <v>2766.1</v>
      </c>
      <c r="AH45" s="24">
        <v>997.1</v>
      </c>
      <c r="AI45" s="24">
        <v>602.3</v>
      </c>
      <c r="AJ45" s="24">
        <v>711.6</v>
      </c>
      <c r="AK45" s="24">
        <v>369.6</v>
      </c>
      <c r="AL45" s="24">
        <v>1658.7</v>
      </c>
      <c r="AM45" s="24">
        <v>727.8</v>
      </c>
      <c r="AN45" s="24">
        <v>228.9</v>
      </c>
      <c r="AO45" s="24">
        <v>2886.7</v>
      </c>
      <c r="AP45" s="24">
        <v>1897</v>
      </c>
      <c r="AQ45" s="24">
        <v>71495.3</v>
      </c>
      <c r="AR45" s="24">
        <v>91233.2</v>
      </c>
      <c r="AS45" s="24">
        <v>40501.5</v>
      </c>
      <c r="AT45" s="24">
        <v>2155.1</v>
      </c>
      <c r="AU45" s="24">
        <v>4895.7</v>
      </c>
      <c r="AV45" s="24">
        <v>1300.7</v>
      </c>
      <c r="AW45" s="24">
        <v>299.6</v>
      </c>
      <c r="AX45" s="24">
        <v>313.4</v>
      </c>
      <c r="AY45" s="24">
        <v>367.5</v>
      </c>
      <c r="AZ45" s="24">
        <v>2231.4</v>
      </c>
      <c r="BA45" s="24">
        <v>255.5</v>
      </c>
      <c r="BB45" s="24">
        <v>392.3</v>
      </c>
      <c r="BC45" s="24">
        <v>1857.1</v>
      </c>
      <c r="BD45" s="24">
        <v>703.8</v>
      </c>
      <c r="BE45" s="24">
        <v>457.8</v>
      </c>
      <c r="BF45" s="24">
        <v>591.8</v>
      </c>
      <c r="BG45" s="24">
        <v>424</v>
      </c>
      <c r="BH45" s="24">
        <v>314.4</v>
      </c>
      <c r="BI45" s="24">
        <v>304.2</v>
      </c>
      <c r="BJ45" s="24">
        <v>519.5</v>
      </c>
      <c r="BK45" s="24">
        <v>210.4</v>
      </c>
      <c r="BL45" s="24">
        <v>233.1</v>
      </c>
      <c r="BM45" s="24">
        <v>0</v>
      </c>
      <c r="BN45" s="24">
        <v>0</v>
      </c>
      <c r="BO45" s="24">
        <v>661.2</v>
      </c>
      <c r="BP45" s="24">
        <v>23137.7</v>
      </c>
      <c r="BQ45" s="24">
        <v>3.8</v>
      </c>
      <c r="BR45" s="24">
        <v>2655.3</v>
      </c>
      <c r="BS45" s="24">
        <v>112.1</v>
      </c>
    </row>
    <row r="46" spans="1:71" x14ac:dyDescent="0.25">
      <c r="A46" s="30" t="s">
        <v>348</v>
      </c>
      <c r="B46" s="31" t="s">
        <v>349</v>
      </c>
      <c r="C46" s="24">
        <v>2091.1</v>
      </c>
      <c r="D46" s="24">
        <v>197.4</v>
      </c>
      <c r="E46" s="24">
        <v>40.6</v>
      </c>
      <c r="F46" s="24">
        <v>678.2</v>
      </c>
      <c r="G46" s="24">
        <v>10019.3</v>
      </c>
      <c r="H46" s="24">
        <v>2707.4</v>
      </c>
      <c r="I46" s="24">
        <v>1538.8</v>
      </c>
      <c r="J46" s="24">
        <v>1659.9</v>
      </c>
      <c r="K46" s="24">
        <v>1329</v>
      </c>
      <c r="L46" s="24">
        <v>1328.2</v>
      </c>
      <c r="M46" s="24">
        <v>3594.7</v>
      </c>
      <c r="N46" s="24">
        <v>1579.6</v>
      </c>
      <c r="O46" s="24">
        <v>3191.9</v>
      </c>
      <c r="P46" s="24">
        <v>2267.1</v>
      </c>
      <c r="Q46" s="24">
        <v>1868.1</v>
      </c>
      <c r="R46" s="24">
        <v>6731.5</v>
      </c>
      <c r="S46" s="24">
        <v>2773.6</v>
      </c>
      <c r="T46" s="24">
        <v>2806.4</v>
      </c>
      <c r="U46" s="24">
        <v>6296.7</v>
      </c>
      <c r="V46" s="24">
        <v>8111.8</v>
      </c>
      <c r="W46" s="24">
        <v>1539.4</v>
      </c>
      <c r="X46" s="24">
        <v>3001.9</v>
      </c>
      <c r="Y46" s="24">
        <v>2721.2</v>
      </c>
      <c r="Z46" s="24">
        <v>8543.1</v>
      </c>
      <c r="AA46" s="24">
        <v>1174.9</v>
      </c>
      <c r="AB46" s="24">
        <v>2745.1</v>
      </c>
      <c r="AC46" s="24">
        <v>41790.5</v>
      </c>
      <c r="AD46" s="24">
        <v>15517.9</v>
      </c>
      <c r="AE46" s="24">
        <v>39663.6</v>
      </c>
      <c r="AF46" s="24">
        <v>77185.3</v>
      </c>
      <c r="AG46" s="24">
        <v>8446</v>
      </c>
      <c r="AH46" s="24">
        <v>703.6</v>
      </c>
      <c r="AI46" s="24">
        <v>1710.2</v>
      </c>
      <c r="AJ46" s="24">
        <v>12588.2</v>
      </c>
      <c r="AK46" s="24">
        <v>1901.1</v>
      </c>
      <c r="AL46" s="24">
        <v>44224.6</v>
      </c>
      <c r="AM46" s="24">
        <v>2311.9</v>
      </c>
      <c r="AN46" s="24">
        <v>2979.9</v>
      </c>
      <c r="AO46" s="24">
        <v>10944.2</v>
      </c>
      <c r="AP46" s="24">
        <v>12755.1</v>
      </c>
      <c r="AQ46" s="24">
        <v>15496.5</v>
      </c>
      <c r="AR46" s="24">
        <v>7265.5</v>
      </c>
      <c r="AS46" s="24">
        <v>7398.7</v>
      </c>
      <c r="AT46" s="24">
        <v>41975.7</v>
      </c>
      <c r="AU46" s="24">
        <v>31071.3</v>
      </c>
      <c r="AV46" s="24">
        <v>12503.4</v>
      </c>
      <c r="AW46" s="24">
        <v>3178.6</v>
      </c>
      <c r="AX46" s="24">
        <v>3856.8</v>
      </c>
      <c r="AY46" s="24">
        <v>3776.7</v>
      </c>
      <c r="AZ46" s="24">
        <v>5352.5</v>
      </c>
      <c r="BA46" s="24">
        <v>4508.9</v>
      </c>
      <c r="BB46" s="24">
        <v>2158.8</v>
      </c>
      <c r="BC46" s="24">
        <v>16081.8</v>
      </c>
      <c r="BD46" s="24">
        <v>21271.5</v>
      </c>
      <c r="BE46" s="24">
        <v>9738.5</v>
      </c>
      <c r="BF46" s="24">
        <v>14494.8</v>
      </c>
      <c r="BG46" s="24">
        <v>11844.3</v>
      </c>
      <c r="BH46" s="24">
        <v>3864.6</v>
      </c>
      <c r="BI46" s="24">
        <v>4874.4</v>
      </c>
      <c r="BJ46" s="24">
        <v>3614.4</v>
      </c>
      <c r="BK46" s="24">
        <v>767.2</v>
      </c>
      <c r="BL46" s="24">
        <v>5923.8</v>
      </c>
      <c r="BM46" s="24">
        <v>0</v>
      </c>
      <c r="BN46" s="24">
        <v>0</v>
      </c>
      <c r="BO46" s="24">
        <v>26164.4</v>
      </c>
      <c r="BP46" s="24">
        <v>1437164.7</v>
      </c>
      <c r="BQ46" s="24">
        <v>639.7</v>
      </c>
      <c r="BR46" s="24">
        <v>55668.1</v>
      </c>
      <c r="BS46" s="24">
        <v>-223.3</v>
      </c>
    </row>
    <row r="47" spans="1:71" x14ac:dyDescent="0.25">
      <c r="A47" s="30" t="s">
        <v>350</v>
      </c>
      <c r="B47" s="31" t="s">
        <v>351</v>
      </c>
      <c r="C47" s="24">
        <v>3738.8</v>
      </c>
      <c r="D47" s="24">
        <v>283.7</v>
      </c>
      <c r="E47" s="24">
        <v>180.1</v>
      </c>
      <c r="F47" s="24">
        <v>1414.6</v>
      </c>
      <c r="G47" s="24">
        <v>24302.4</v>
      </c>
      <c r="H47" s="24">
        <v>3578.3</v>
      </c>
      <c r="I47" s="24">
        <v>2011.3</v>
      </c>
      <c r="J47" s="24">
        <v>3610.6</v>
      </c>
      <c r="K47" s="24">
        <v>1615.9</v>
      </c>
      <c r="L47" s="24">
        <v>7396.1</v>
      </c>
      <c r="M47" s="24">
        <v>13098.2</v>
      </c>
      <c r="N47" s="24">
        <v>8694.7</v>
      </c>
      <c r="O47" s="24">
        <v>5650.3</v>
      </c>
      <c r="P47" s="24">
        <v>4719.1</v>
      </c>
      <c r="Q47" s="24">
        <v>6436</v>
      </c>
      <c r="R47" s="24">
        <v>10024.8</v>
      </c>
      <c r="S47" s="24">
        <v>7595.4</v>
      </c>
      <c r="T47" s="24">
        <v>8161.7</v>
      </c>
      <c r="U47" s="24">
        <v>17975.2</v>
      </c>
      <c r="V47" s="24">
        <v>18323.5</v>
      </c>
      <c r="W47" s="24">
        <v>5138.4</v>
      </c>
      <c r="X47" s="24">
        <v>4136.4</v>
      </c>
      <c r="Y47" s="24">
        <v>5015</v>
      </c>
      <c r="Z47" s="24">
        <v>13691.3</v>
      </c>
      <c r="AA47" s="24">
        <v>1177.8</v>
      </c>
      <c r="AB47" s="24">
        <v>5292.7</v>
      </c>
      <c r="AC47" s="24">
        <v>38519.3</v>
      </c>
      <c r="AD47" s="24">
        <v>10610.1</v>
      </c>
      <c r="AE47" s="24">
        <v>63487.2</v>
      </c>
      <c r="AF47" s="24">
        <v>33537.2</v>
      </c>
      <c r="AG47" s="24">
        <v>11693.1</v>
      </c>
      <c r="AH47" s="24">
        <v>3288.3</v>
      </c>
      <c r="AI47" s="24">
        <v>2694.2</v>
      </c>
      <c r="AJ47" s="24">
        <v>15010</v>
      </c>
      <c r="AK47" s="24">
        <v>4247</v>
      </c>
      <c r="AL47" s="24">
        <v>17202.5</v>
      </c>
      <c r="AM47" s="24">
        <v>8012</v>
      </c>
      <c r="AN47" s="24">
        <v>5244.4</v>
      </c>
      <c r="AO47" s="24">
        <v>10411.6</v>
      </c>
      <c r="AP47" s="24">
        <v>46973.7</v>
      </c>
      <c r="AQ47" s="24">
        <v>30026.2</v>
      </c>
      <c r="AR47" s="24">
        <v>11258.8</v>
      </c>
      <c r="AS47" s="24">
        <v>13839.7</v>
      </c>
      <c r="AT47" s="24">
        <v>30031</v>
      </c>
      <c r="AU47" s="24">
        <v>207134</v>
      </c>
      <c r="AV47" s="24">
        <v>36117.6</v>
      </c>
      <c r="AW47" s="24">
        <v>5987.2</v>
      </c>
      <c r="AX47" s="24">
        <v>7941.2</v>
      </c>
      <c r="AY47" s="24">
        <v>9784.9</v>
      </c>
      <c r="AZ47" s="24">
        <v>12769.1</v>
      </c>
      <c r="BA47" s="24">
        <v>7183.1</v>
      </c>
      <c r="BB47" s="24">
        <v>4493.3</v>
      </c>
      <c r="BC47" s="24">
        <v>40942.4</v>
      </c>
      <c r="BD47" s="24">
        <v>20504.6</v>
      </c>
      <c r="BE47" s="24">
        <v>7373.5</v>
      </c>
      <c r="BF47" s="24">
        <v>17085.4</v>
      </c>
      <c r="BG47" s="24">
        <v>7556.1</v>
      </c>
      <c r="BH47" s="24">
        <v>5546.6</v>
      </c>
      <c r="BI47" s="24">
        <v>4072.3</v>
      </c>
      <c r="BJ47" s="24">
        <v>5646.9</v>
      </c>
      <c r="BK47" s="24">
        <v>742.1</v>
      </c>
      <c r="BL47" s="24">
        <v>3809.7</v>
      </c>
      <c r="BM47" s="24">
        <v>0</v>
      </c>
      <c r="BN47" s="24">
        <v>0</v>
      </c>
      <c r="BO47" s="24">
        <v>3601.3</v>
      </c>
      <c r="BP47" s="24">
        <v>35978.3</v>
      </c>
      <c r="BQ47" s="24">
        <v>582.4</v>
      </c>
      <c r="BR47" s="24">
        <v>46126.1</v>
      </c>
      <c r="BS47" s="24">
        <v>59.9</v>
      </c>
    </row>
    <row r="48" spans="1:71" x14ac:dyDescent="0.25">
      <c r="A48" s="30" t="s">
        <v>353</v>
      </c>
      <c r="B48" s="31" t="s">
        <v>354</v>
      </c>
      <c r="C48" s="24">
        <v>1460.6</v>
      </c>
      <c r="D48" s="24">
        <v>107.6</v>
      </c>
      <c r="E48" s="24">
        <v>22.6</v>
      </c>
      <c r="F48" s="24">
        <v>1300.9</v>
      </c>
      <c r="G48" s="24">
        <v>4232.2</v>
      </c>
      <c r="H48" s="24">
        <v>990.8</v>
      </c>
      <c r="I48" s="24">
        <v>824.6</v>
      </c>
      <c r="J48" s="24">
        <v>1158.4</v>
      </c>
      <c r="K48" s="24">
        <v>294</v>
      </c>
      <c r="L48" s="24">
        <v>3871.3</v>
      </c>
      <c r="M48" s="24">
        <v>6319</v>
      </c>
      <c r="N48" s="24">
        <v>3237.1</v>
      </c>
      <c r="O48" s="24">
        <v>3329.3</v>
      </c>
      <c r="P48" s="24">
        <v>2497.2</v>
      </c>
      <c r="Q48" s="24">
        <v>2502.7</v>
      </c>
      <c r="R48" s="24">
        <v>4842.3</v>
      </c>
      <c r="S48" s="24">
        <v>3837.5</v>
      </c>
      <c r="T48" s="24">
        <v>4752.8</v>
      </c>
      <c r="U48" s="24">
        <v>6884.6</v>
      </c>
      <c r="V48" s="24">
        <v>8690.9</v>
      </c>
      <c r="W48" s="24">
        <v>4939.5</v>
      </c>
      <c r="X48" s="24">
        <v>1020.2</v>
      </c>
      <c r="Y48" s="24">
        <v>2727</v>
      </c>
      <c r="Z48" s="24">
        <v>8047.9</v>
      </c>
      <c r="AA48" s="24">
        <v>1390.3</v>
      </c>
      <c r="AB48" s="24">
        <v>6849.3</v>
      </c>
      <c r="AC48" s="24">
        <v>53863.5</v>
      </c>
      <c r="AD48" s="24">
        <v>1808.1</v>
      </c>
      <c r="AE48" s="24">
        <v>8244.3</v>
      </c>
      <c r="AF48" s="24">
        <v>4027.3</v>
      </c>
      <c r="AG48" s="24">
        <v>5509.4</v>
      </c>
      <c r="AH48" s="24">
        <v>928.9</v>
      </c>
      <c r="AI48" s="24">
        <v>1330.6</v>
      </c>
      <c r="AJ48" s="24">
        <v>5755.2</v>
      </c>
      <c r="AK48" s="24">
        <v>524.2</v>
      </c>
      <c r="AL48" s="24">
        <v>2759.9</v>
      </c>
      <c r="AM48" s="24">
        <v>1052.2</v>
      </c>
      <c r="AN48" s="24">
        <v>704.2</v>
      </c>
      <c r="AO48" s="24">
        <v>3525.1</v>
      </c>
      <c r="AP48" s="24">
        <v>9252.8</v>
      </c>
      <c r="AQ48" s="24">
        <v>2225.3</v>
      </c>
      <c r="AR48" s="24">
        <v>1242.1</v>
      </c>
      <c r="AS48" s="24">
        <v>1366.4</v>
      </c>
      <c r="AT48" s="24">
        <v>8530.3</v>
      </c>
      <c r="AU48" s="24">
        <v>11309.3</v>
      </c>
      <c r="AV48" s="24">
        <v>46870.2</v>
      </c>
      <c r="AW48" s="24">
        <v>3580.1</v>
      </c>
      <c r="AX48" s="24">
        <v>2334.5</v>
      </c>
      <c r="AY48" s="24">
        <v>3313.4</v>
      </c>
      <c r="AZ48" s="24">
        <v>3371.1</v>
      </c>
      <c r="BA48" s="24">
        <v>1470.8</v>
      </c>
      <c r="BB48" s="24">
        <v>249</v>
      </c>
      <c r="BC48" s="24">
        <v>8192.5</v>
      </c>
      <c r="BD48" s="24">
        <v>9338.4</v>
      </c>
      <c r="BE48" s="24">
        <v>2036.4</v>
      </c>
      <c r="BF48" s="24">
        <v>3003.6</v>
      </c>
      <c r="BG48" s="24">
        <v>764.4</v>
      </c>
      <c r="BH48" s="24">
        <v>1529.5</v>
      </c>
      <c r="BI48" s="24">
        <v>1006.8</v>
      </c>
      <c r="BJ48" s="24">
        <v>780.7</v>
      </c>
      <c r="BK48" s="24">
        <v>168.5</v>
      </c>
      <c r="BL48" s="24">
        <v>1221.6</v>
      </c>
      <c r="BM48" s="24">
        <v>0</v>
      </c>
      <c r="BN48" s="24">
        <v>0</v>
      </c>
      <c r="BO48" s="24">
        <v>3099.6</v>
      </c>
      <c r="BP48" s="24">
        <v>13813.1</v>
      </c>
      <c r="BQ48" s="24">
        <v>122.3</v>
      </c>
      <c r="BR48" s="24">
        <v>99540</v>
      </c>
      <c r="BS48" s="24">
        <v>914</v>
      </c>
    </row>
    <row r="49" spans="1:71" x14ac:dyDescent="0.25">
      <c r="A49" s="30" t="s">
        <v>355</v>
      </c>
      <c r="B49" s="31" t="s">
        <v>356</v>
      </c>
      <c r="C49" s="24">
        <v>532</v>
      </c>
      <c r="D49" s="24">
        <v>19.8</v>
      </c>
      <c r="E49" s="24">
        <v>4</v>
      </c>
      <c r="F49" s="24">
        <v>67</v>
      </c>
      <c r="G49" s="24">
        <v>702.7</v>
      </c>
      <c r="H49" s="24">
        <v>112.1</v>
      </c>
      <c r="I49" s="24">
        <v>111.9</v>
      </c>
      <c r="J49" s="24">
        <v>156.2</v>
      </c>
      <c r="K49" s="24">
        <v>112.2</v>
      </c>
      <c r="L49" s="24">
        <v>203.7</v>
      </c>
      <c r="M49" s="24">
        <v>664.7</v>
      </c>
      <c r="N49" s="24">
        <v>1731.4</v>
      </c>
      <c r="O49" s="24">
        <v>430.3</v>
      </c>
      <c r="P49" s="24">
        <v>204.4</v>
      </c>
      <c r="Q49" s="24">
        <v>192.5</v>
      </c>
      <c r="R49" s="24">
        <v>374.6</v>
      </c>
      <c r="S49" s="24">
        <v>805.3</v>
      </c>
      <c r="T49" s="24">
        <v>392.8</v>
      </c>
      <c r="U49" s="24">
        <v>1195.7</v>
      </c>
      <c r="V49" s="24">
        <v>1819.4</v>
      </c>
      <c r="W49" s="24">
        <v>176.4</v>
      </c>
      <c r="X49" s="24">
        <v>173.4</v>
      </c>
      <c r="Y49" s="24">
        <v>170.7</v>
      </c>
      <c r="Z49" s="24">
        <v>681</v>
      </c>
      <c r="AA49" s="24">
        <v>51.3</v>
      </c>
      <c r="AB49" s="24">
        <v>398.2</v>
      </c>
      <c r="AC49" s="24">
        <v>2975.9</v>
      </c>
      <c r="AD49" s="24">
        <v>323.7</v>
      </c>
      <c r="AE49" s="24">
        <v>2368.3</v>
      </c>
      <c r="AF49" s="24">
        <v>1085.1</v>
      </c>
      <c r="AG49" s="24">
        <v>580.4</v>
      </c>
      <c r="AH49" s="24">
        <v>236.9</v>
      </c>
      <c r="AI49" s="24">
        <v>370.8</v>
      </c>
      <c r="AJ49" s="24">
        <v>595.5</v>
      </c>
      <c r="AK49" s="24">
        <v>115.6</v>
      </c>
      <c r="AL49" s="24">
        <v>450.4</v>
      </c>
      <c r="AM49" s="24">
        <v>221.1</v>
      </c>
      <c r="AN49" s="24">
        <v>364.4</v>
      </c>
      <c r="AO49" s="24">
        <v>321.6</v>
      </c>
      <c r="AP49" s="24">
        <v>1801.5</v>
      </c>
      <c r="AQ49" s="24">
        <v>405.9</v>
      </c>
      <c r="AR49" s="24">
        <v>210.3</v>
      </c>
      <c r="AS49" s="24">
        <v>293.8</v>
      </c>
      <c r="AT49" s="24">
        <v>417.7</v>
      </c>
      <c r="AU49" s="24">
        <v>1576.8</v>
      </c>
      <c r="AV49" s="24">
        <v>620.5</v>
      </c>
      <c r="AW49" s="24">
        <v>6773.9</v>
      </c>
      <c r="AX49" s="24">
        <v>255.6</v>
      </c>
      <c r="AY49" s="24">
        <v>263.4</v>
      </c>
      <c r="AZ49" s="24">
        <v>3148.5</v>
      </c>
      <c r="BA49" s="24">
        <v>105</v>
      </c>
      <c r="BB49" s="24">
        <v>98.1</v>
      </c>
      <c r="BC49" s="24">
        <v>732.8</v>
      </c>
      <c r="BD49" s="24">
        <v>1063.2</v>
      </c>
      <c r="BE49" s="24">
        <v>1455.1</v>
      </c>
      <c r="BF49" s="24">
        <v>855.5</v>
      </c>
      <c r="BG49" s="24">
        <v>387.6</v>
      </c>
      <c r="BH49" s="24">
        <v>201.9</v>
      </c>
      <c r="BI49" s="24">
        <v>185.2</v>
      </c>
      <c r="BJ49" s="24">
        <v>188.5</v>
      </c>
      <c r="BK49" s="24">
        <v>18.5</v>
      </c>
      <c r="BL49" s="24">
        <v>142.4</v>
      </c>
      <c r="BM49" s="24">
        <v>0</v>
      </c>
      <c r="BN49" s="24">
        <v>0</v>
      </c>
      <c r="BO49" s="24">
        <v>41259.1</v>
      </c>
      <c r="BP49" s="24">
        <v>4323.4</v>
      </c>
      <c r="BQ49" s="24">
        <v>1319.5</v>
      </c>
      <c r="BR49" s="24">
        <v>133832.4</v>
      </c>
      <c r="BS49" s="24">
        <v>118.7</v>
      </c>
    </row>
    <row r="50" spans="1:71" x14ac:dyDescent="0.25">
      <c r="A50" s="30" t="s">
        <v>357</v>
      </c>
      <c r="B50" s="31" t="s">
        <v>358</v>
      </c>
      <c r="C50" s="24">
        <v>271.3</v>
      </c>
      <c r="D50" s="24">
        <v>46.1</v>
      </c>
      <c r="E50" s="24">
        <v>16.1</v>
      </c>
      <c r="F50" s="24">
        <v>172.5</v>
      </c>
      <c r="G50" s="24">
        <v>14812.4</v>
      </c>
      <c r="H50" s="24">
        <v>1189.4</v>
      </c>
      <c r="I50" s="24">
        <v>253.6</v>
      </c>
      <c r="J50" s="24">
        <v>754.2</v>
      </c>
      <c r="K50" s="24">
        <v>191.9</v>
      </c>
      <c r="L50" s="24">
        <v>1108.3</v>
      </c>
      <c r="M50" s="24">
        <v>3737.4</v>
      </c>
      <c r="N50" s="24">
        <v>4471.6</v>
      </c>
      <c r="O50" s="24">
        <v>1008.9</v>
      </c>
      <c r="P50" s="24">
        <v>720.7</v>
      </c>
      <c r="Q50" s="24">
        <v>394.6</v>
      </c>
      <c r="R50" s="24">
        <v>1132.6</v>
      </c>
      <c r="S50" s="24">
        <v>1171.9</v>
      </c>
      <c r="T50" s="24">
        <v>1273.5</v>
      </c>
      <c r="U50" s="24">
        <v>1392.5</v>
      </c>
      <c r="V50" s="24">
        <v>3660</v>
      </c>
      <c r="W50" s="24">
        <v>319.3</v>
      </c>
      <c r="X50" s="24">
        <v>1609</v>
      </c>
      <c r="Y50" s="24">
        <v>359</v>
      </c>
      <c r="Z50" s="24">
        <v>1331</v>
      </c>
      <c r="AA50" s="24">
        <v>159.8</v>
      </c>
      <c r="AB50" s="24">
        <v>581.2</v>
      </c>
      <c r="AC50" s="24">
        <v>2555.2</v>
      </c>
      <c r="AD50" s="24">
        <v>4859.4</v>
      </c>
      <c r="AE50" s="24">
        <v>17716.8</v>
      </c>
      <c r="AF50" s="24">
        <v>12433.9</v>
      </c>
      <c r="AG50" s="24">
        <v>955.8</v>
      </c>
      <c r="AH50" s="24">
        <v>126.4</v>
      </c>
      <c r="AI50" s="24">
        <v>610.3</v>
      </c>
      <c r="AJ50" s="24">
        <v>1171.5</v>
      </c>
      <c r="AK50" s="24">
        <v>544.8</v>
      </c>
      <c r="AL50" s="24">
        <v>2565.3</v>
      </c>
      <c r="AM50" s="24">
        <v>2071.3</v>
      </c>
      <c r="AN50" s="24">
        <v>1912.1</v>
      </c>
      <c r="AO50" s="24">
        <v>2497.4</v>
      </c>
      <c r="AP50" s="24">
        <v>6084.1</v>
      </c>
      <c r="AQ50" s="24">
        <v>3380.9</v>
      </c>
      <c r="AR50" s="24">
        <v>2163.7</v>
      </c>
      <c r="AS50" s="24">
        <v>1063.2</v>
      </c>
      <c r="AT50" s="24">
        <v>1150.8</v>
      </c>
      <c r="AU50" s="24">
        <v>5731.8</v>
      </c>
      <c r="AV50" s="24">
        <v>963.8</v>
      </c>
      <c r="AW50" s="24">
        <v>364.7</v>
      </c>
      <c r="AX50" s="24">
        <v>16623</v>
      </c>
      <c r="AY50" s="24">
        <v>910.3</v>
      </c>
      <c r="AZ50" s="24">
        <v>1467.1</v>
      </c>
      <c r="BA50" s="24">
        <v>1040</v>
      </c>
      <c r="BB50" s="24">
        <v>2679.8</v>
      </c>
      <c r="BC50" s="24">
        <v>2286.5</v>
      </c>
      <c r="BD50" s="24">
        <v>2790.9</v>
      </c>
      <c r="BE50" s="24">
        <v>823.8</v>
      </c>
      <c r="BF50" s="24">
        <v>1157.3</v>
      </c>
      <c r="BG50" s="24">
        <v>370.8</v>
      </c>
      <c r="BH50" s="24">
        <v>1898.5</v>
      </c>
      <c r="BI50" s="24">
        <v>1094</v>
      </c>
      <c r="BJ50" s="24">
        <v>752</v>
      </c>
      <c r="BK50" s="24">
        <v>95.2</v>
      </c>
      <c r="BL50" s="24">
        <v>493.8</v>
      </c>
      <c r="BM50" s="24">
        <v>0</v>
      </c>
      <c r="BN50" s="24">
        <v>0</v>
      </c>
      <c r="BO50" s="24">
        <v>262.5</v>
      </c>
      <c r="BP50" s="24">
        <v>1542.9</v>
      </c>
      <c r="BQ50" s="24">
        <v>29.9</v>
      </c>
      <c r="BR50" s="24">
        <v>1440.9</v>
      </c>
      <c r="BS50" s="24">
        <v>-80.9</v>
      </c>
    </row>
    <row r="51" spans="1:71" x14ac:dyDescent="0.25">
      <c r="A51" s="30" t="s">
        <v>359</v>
      </c>
      <c r="B51" s="31" t="s">
        <v>360</v>
      </c>
      <c r="C51" s="24">
        <v>6795.5</v>
      </c>
      <c r="D51" s="24">
        <v>101.6</v>
      </c>
      <c r="E51" s="24">
        <v>40.8</v>
      </c>
      <c r="F51" s="24">
        <v>278.5</v>
      </c>
      <c r="G51" s="24">
        <v>2751.5</v>
      </c>
      <c r="H51" s="24">
        <v>1633.6</v>
      </c>
      <c r="I51" s="24">
        <v>241.9</v>
      </c>
      <c r="J51" s="24">
        <v>405.4</v>
      </c>
      <c r="K51" s="24">
        <v>248.3</v>
      </c>
      <c r="L51" s="24">
        <v>523.6</v>
      </c>
      <c r="M51" s="24">
        <v>1573.5</v>
      </c>
      <c r="N51" s="24">
        <v>677.1</v>
      </c>
      <c r="O51" s="24">
        <v>752.5</v>
      </c>
      <c r="P51" s="24">
        <v>563.7</v>
      </c>
      <c r="Q51" s="24">
        <v>667.9</v>
      </c>
      <c r="R51" s="24">
        <v>1196.6</v>
      </c>
      <c r="S51" s="24">
        <v>1257.5</v>
      </c>
      <c r="T51" s="24">
        <v>1287.2</v>
      </c>
      <c r="U51" s="24">
        <v>2141.2</v>
      </c>
      <c r="V51" s="24">
        <v>2854</v>
      </c>
      <c r="W51" s="24">
        <v>602.8</v>
      </c>
      <c r="X51" s="24">
        <v>1161</v>
      </c>
      <c r="Y51" s="24">
        <v>521.2</v>
      </c>
      <c r="Z51" s="24">
        <v>1621.9</v>
      </c>
      <c r="AA51" s="24">
        <v>211.2</v>
      </c>
      <c r="AB51" s="24">
        <v>1080.6</v>
      </c>
      <c r="AC51" s="24">
        <v>4838.6</v>
      </c>
      <c r="AD51" s="24">
        <v>1649.1</v>
      </c>
      <c r="AE51" s="24">
        <v>11351.2</v>
      </c>
      <c r="AF51" s="24">
        <v>3388</v>
      </c>
      <c r="AG51" s="24">
        <v>1422</v>
      </c>
      <c r="AH51" s="24">
        <v>167.6</v>
      </c>
      <c r="AI51" s="24">
        <v>597.3</v>
      </c>
      <c r="AJ51" s="24">
        <v>1698.3</v>
      </c>
      <c r="AK51" s="24">
        <v>275.5</v>
      </c>
      <c r="AL51" s="24">
        <v>2267.2</v>
      </c>
      <c r="AM51" s="24">
        <v>1509.2</v>
      </c>
      <c r="AN51" s="24">
        <v>1072.3</v>
      </c>
      <c r="AO51" s="24">
        <v>1845.4</v>
      </c>
      <c r="AP51" s="24">
        <v>5781.4</v>
      </c>
      <c r="AQ51" s="24">
        <v>3327</v>
      </c>
      <c r="AR51" s="24">
        <v>2589</v>
      </c>
      <c r="AS51" s="24">
        <v>2347.2</v>
      </c>
      <c r="AT51" s="24">
        <v>2824.6</v>
      </c>
      <c r="AU51" s="24">
        <v>9800.8</v>
      </c>
      <c r="AV51" s="24">
        <v>3849.2</v>
      </c>
      <c r="AW51" s="24">
        <v>936</v>
      </c>
      <c r="AX51" s="24">
        <v>2577</v>
      </c>
      <c r="AY51" s="24">
        <v>6221.9</v>
      </c>
      <c r="AZ51" s="24">
        <v>1706</v>
      </c>
      <c r="BA51" s="24">
        <v>810</v>
      </c>
      <c r="BB51" s="24">
        <v>484.2</v>
      </c>
      <c r="BC51" s="24">
        <v>4560.3</v>
      </c>
      <c r="BD51" s="24">
        <v>4402.4</v>
      </c>
      <c r="BE51" s="24">
        <v>2139.7</v>
      </c>
      <c r="BF51" s="24">
        <v>2335.8</v>
      </c>
      <c r="BG51" s="24">
        <v>1162.4</v>
      </c>
      <c r="BH51" s="24">
        <v>1712.3</v>
      </c>
      <c r="BI51" s="24">
        <v>1437.1</v>
      </c>
      <c r="BJ51" s="24">
        <v>926.5</v>
      </c>
      <c r="BK51" s="24">
        <v>103.3</v>
      </c>
      <c r="BL51" s="24">
        <v>705.4</v>
      </c>
      <c r="BM51" s="24">
        <v>0</v>
      </c>
      <c r="BN51" s="24">
        <v>0</v>
      </c>
      <c r="BO51" s="24">
        <v>2106</v>
      </c>
      <c r="BP51" s="24">
        <v>23261.9</v>
      </c>
      <c r="BQ51" s="24">
        <v>53.4</v>
      </c>
      <c r="BR51" s="24">
        <v>1842.4</v>
      </c>
      <c r="BS51" s="24">
        <v>291.7</v>
      </c>
    </row>
    <row r="52" spans="1:71" x14ac:dyDescent="0.25">
      <c r="A52" s="30" t="s">
        <v>361</v>
      </c>
      <c r="B52" s="31" t="s">
        <v>362</v>
      </c>
      <c r="C52" s="24">
        <v>3410.5</v>
      </c>
      <c r="D52" s="24">
        <v>211.1</v>
      </c>
      <c r="E52" s="24">
        <v>87.8</v>
      </c>
      <c r="F52" s="24">
        <v>724.7</v>
      </c>
      <c r="G52" s="24">
        <v>6429.8</v>
      </c>
      <c r="H52" s="24">
        <v>970.8</v>
      </c>
      <c r="I52" s="24">
        <v>818.1</v>
      </c>
      <c r="J52" s="24">
        <v>1189.8</v>
      </c>
      <c r="K52" s="24">
        <v>910.2</v>
      </c>
      <c r="L52" s="24">
        <v>1336.3</v>
      </c>
      <c r="M52" s="24">
        <v>4934.5</v>
      </c>
      <c r="N52" s="24">
        <v>6439.2</v>
      </c>
      <c r="O52" s="24">
        <v>2265.6</v>
      </c>
      <c r="P52" s="24">
        <v>2031.3</v>
      </c>
      <c r="Q52" s="24">
        <v>1579.2</v>
      </c>
      <c r="R52" s="24">
        <v>3168.7</v>
      </c>
      <c r="S52" s="24">
        <v>2243.5</v>
      </c>
      <c r="T52" s="24">
        <v>2064.2</v>
      </c>
      <c r="U52" s="24">
        <v>3869.3</v>
      </c>
      <c r="V52" s="24">
        <v>4546.3</v>
      </c>
      <c r="W52" s="24">
        <v>1295.7</v>
      </c>
      <c r="X52" s="24">
        <v>1429</v>
      </c>
      <c r="Y52" s="24">
        <v>1553.6</v>
      </c>
      <c r="Z52" s="24">
        <v>5707.1</v>
      </c>
      <c r="AA52" s="24">
        <v>818.9</v>
      </c>
      <c r="AB52" s="24">
        <v>3433.1</v>
      </c>
      <c r="AC52" s="24">
        <v>26403.5</v>
      </c>
      <c r="AD52" s="24">
        <v>2755.7</v>
      </c>
      <c r="AE52" s="24">
        <v>20009.8</v>
      </c>
      <c r="AF52" s="24">
        <v>10476.4</v>
      </c>
      <c r="AG52" s="24">
        <v>10454.3</v>
      </c>
      <c r="AH52" s="24">
        <v>3928.3</v>
      </c>
      <c r="AI52" s="24">
        <v>6041.8</v>
      </c>
      <c r="AJ52" s="24">
        <v>7764.6</v>
      </c>
      <c r="AK52" s="24">
        <v>1001.6</v>
      </c>
      <c r="AL52" s="24">
        <v>6311.9</v>
      </c>
      <c r="AM52" s="24">
        <v>1839.7</v>
      </c>
      <c r="AN52" s="24">
        <v>6990.9</v>
      </c>
      <c r="AO52" s="24">
        <v>5699.7</v>
      </c>
      <c r="AP52" s="24">
        <v>16526</v>
      </c>
      <c r="AQ52" s="24">
        <v>3056.2</v>
      </c>
      <c r="AR52" s="24">
        <v>2748.4</v>
      </c>
      <c r="AS52" s="24">
        <v>3282.3</v>
      </c>
      <c r="AT52" s="24">
        <v>1407.3</v>
      </c>
      <c r="AU52" s="24">
        <v>12515</v>
      </c>
      <c r="AV52" s="24">
        <v>3330.9</v>
      </c>
      <c r="AW52" s="24">
        <v>2065.7</v>
      </c>
      <c r="AX52" s="24">
        <v>1922</v>
      </c>
      <c r="AY52" s="24">
        <v>1598.7</v>
      </c>
      <c r="AZ52" s="24">
        <v>32605.5</v>
      </c>
      <c r="BA52" s="24">
        <v>524.4</v>
      </c>
      <c r="BB52" s="24">
        <v>1044.6</v>
      </c>
      <c r="BC52" s="24">
        <v>11832.9</v>
      </c>
      <c r="BD52" s="24">
        <v>6687.1</v>
      </c>
      <c r="BE52" s="24">
        <v>3761.5</v>
      </c>
      <c r="BF52" s="24">
        <v>4819.9</v>
      </c>
      <c r="BG52" s="24">
        <v>2718.1</v>
      </c>
      <c r="BH52" s="24">
        <v>2043.4</v>
      </c>
      <c r="BI52" s="24">
        <v>2184.7</v>
      </c>
      <c r="BJ52" s="24">
        <v>1130.4</v>
      </c>
      <c r="BK52" s="24">
        <v>222.2</v>
      </c>
      <c r="BL52" s="24">
        <v>2404.9</v>
      </c>
      <c r="BM52" s="24">
        <v>0</v>
      </c>
      <c r="BN52" s="24">
        <v>0</v>
      </c>
      <c r="BO52" s="24">
        <v>930.3</v>
      </c>
      <c r="BP52" s="24">
        <v>32270.7</v>
      </c>
      <c r="BQ52" s="24">
        <v>26.2</v>
      </c>
      <c r="BR52" s="24">
        <v>3741.4</v>
      </c>
      <c r="BS52" s="24">
        <v>32.8</v>
      </c>
    </row>
    <row r="53" spans="1:71" x14ac:dyDescent="0.25">
      <c r="A53" s="30" t="s">
        <v>364</v>
      </c>
      <c r="B53" s="31" t="s">
        <v>365</v>
      </c>
      <c r="C53" s="24">
        <v>3572.5</v>
      </c>
      <c r="D53" s="24">
        <v>144.3</v>
      </c>
      <c r="E53" s="24">
        <v>27.1</v>
      </c>
      <c r="F53" s="24">
        <v>518.2</v>
      </c>
      <c r="G53" s="24">
        <v>12691.2</v>
      </c>
      <c r="H53" s="24">
        <v>1055.9</v>
      </c>
      <c r="I53" s="24">
        <v>1057.9</v>
      </c>
      <c r="J53" s="24">
        <v>1335.5</v>
      </c>
      <c r="K53" s="24">
        <v>701.2</v>
      </c>
      <c r="L53" s="24">
        <v>395.9</v>
      </c>
      <c r="M53" s="24">
        <v>3030.3</v>
      </c>
      <c r="N53" s="24">
        <v>2824.5</v>
      </c>
      <c r="O53" s="24">
        <v>3234</v>
      </c>
      <c r="P53" s="24">
        <v>2542</v>
      </c>
      <c r="Q53" s="24">
        <v>2048.5</v>
      </c>
      <c r="R53" s="24">
        <v>5871.3</v>
      </c>
      <c r="S53" s="24">
        <v>2704.7</v>
      </c>
      <c r="T53" s="24">
        <v>3336</v>
      </c>
      <c r="U53" s="24">
        <v>6982.3</v>
      </c>
      <c r="V53" s="24">
        <v>6302</v>
      </c>
      <c r="W53" s="24">
        <v>3450.2</v>
      </c>
      <c r="X53" s="24">
        <v>1844.3</v>
      </c>
      <c r="Y53" s="24">
        <v>3936.9</v>
      </c>
      <c r="Z53" s="24">
        <v>2708.2</v>
      </c>
      <c r="AA53" s="24">
        <v>354</v>
      </c>
      <c r="AB53" s="24">
        <v>2225.2</v>
      </c>
      <c r="AC53" s="24">
        <v>18094.4</v>
      </c>
      <c r="AD53" s="24">
        <v>1785.7</v>
      </c>
      <c r="AE53" s="24">
        <v>14071.1</v>
      </c>
      <c r="AF53" s="24">
        <v>7507.8</v>
      </c>
      <c r="AG53" s="24">
        <v>7179.7</v>
      </c>
      <c r="AH53" s="24">
        <v>2233.3</v>
      </c>
      <c r="AI53" s="24">
        <v>1176.6</v>
      </c>
      <c r="AJ53" s="24">
        <v>10846.4</v>
      </c>
      <c r="AK53" s="24">
        <v>2562.6</v>
      </c>
      <c r="AL53" s="24">
        <v>5183</v>
      </c>
      <c r="AM53" s="24">
        <v>741</v>
      </c>
      <c r="AN53" s="24">
        <v>431.1</v>
      </c>
      <c r="AO53" s="24">
        <v>2058.1</v>
      </c>
      <c r="AP53" s="24">
        <v>6431</v>
      </c>
      <c r="AQ53" s="24">
        <v>2420.8</v>
      </c>
      <c r="AR53" s="24">
        <v>721.3</v>
      </c>
      <c r="AS53" s="24">
        <v>1663.6</v>
      </c>
      <c r="AT53" s="24">
        <v>1754.2</v>
      </c>
      <c r="AU53" s="24">
        <v>7833.3</v>
      </c>
      <c r="AV53" s="24">
        <v>4345.1</v>
      </c>
      <c r="AW53" s="24">
        <v>1428.8</v>
      </c>
      <c r="AX53" s="24">
        <v>927.3</v>
      </c>
      <c r="AY53" s="24">
        <v>1125.8</v>
      </c>
      <c r="AZ53" s="24">
        <v>3328</v>
      </c>
      <c r="BA53" s="24">
        <v>8881.8</v>
      </c>
      <c r="BB53" s="24">
        <v>584.4</v>
      </c>
      <c r="BC53" s="24">
        <v>9112.6</v>
      </c>
      <c r="BD53" s="24">
        <v>4702.7</v>
      </c>
      <c r="BE53" s="24">
        <v>3225.4</v>
      </c>
      <c r="BF53" s="24">
        <v>6769.7</v>
      </c>
      <c r="BG53" s="24">
        <v>4074.5</v>
      </c>
      <c r="BH53" s="24">
        <v>645.6</v>
      </c>
      <c r="BI53" s="24">
        <v>503.1</v>
      </c>
      <c r="BJ53" s="24">
        <v>726.5</v>
      </c>
      <c r="BK53" s="24">
        <v>217.4</v>
      </c>
      <c r="BL53" s="24">
        <v>590.9</v>
      </c>
      <c r="BM53" s="24">
        <v>0</v>
      </c>
      <c r="BN53" s="24">
        <v>0</v>
      </c>
      <c r="BO53" s="24">
        <v>3197.7</v>
      </c>
      <c r="BP53" s="24">
        <v>3611.7</v>
      </c>
      <c r="BQ53" s="24">
        <v>42.1</v>
      </c>
      <c r="BR53" s="24">
        <v>648.1</v>
      </c>
      <c r="BS53" s="24">
        <v>45.6</v>
      </c>
    </row>
    <row r="54" spans="1:71" x14ac:dyDescent="0.25">
      <c r="A54" s="30" t="s">
        <v>366</v>
      </c>
      <c r="B54" s="31" t="s">
        <v>367</v>
      </c>
      <c r="C54" s="24">
        <v>68.8</v>
      </c>
      <c r="D54" s="24">
        <v>22.1</v>
      </c>
      <c r="E54" s="24">
        <v>14.7</v>
      </c>
      <c r="F54" s="24">
        <v>54.2</v>
      </c>
      <c r="G54" s="24">
        <v>315.4</v>
      </c>
      <c r="H54" s="24">
        <v>104.4</v>
      </c>
      <c r="I54" s="24">
        <v>56</v>
      </c>
      <c r="J54" s="24">
        <v>69.4</v>
      </c>
      <c r="K54" s="24">
        <v>36.5</v>
      </c>
      <c r="L54" s="24">
        <v>75.5</v>
      </c>
      <c r="M54" s="24">
        <v>227.8</v>
      </c>
      <c r="N54" s="24">
        <v>151.4</v>
      </c>
      <c r="O54" s="24">
        <v>97.1</v>
      </c>
      <c r="P54" s="24">
        <v>157.6</v>
      </c>
      <c r="Q54" s="24">
        <v>90.4</v>
      </c>
      <c r="R54" s="24">
        <v>251.3</v>
      </c>
      <c r="S54" s="24">
        <v>131.9</v>
      </c>
      <c r="T54" s="24">
        <v>346.1</v>
      </c>
      <c r="U54" s="24">
        <v>283.5</v>
      </c>
      <c r="V54" s="24">
        <v>461.1</v>
      </c>
      <c r="W54" s="24">
        <v>133.7</v>
      </c>
      <c r="X54" s="24">
        <v>104.9</v>
      </c>
      <c r="Y54" s="24">
        <v>115.3</v>
      </c>
      <c r="Z54" s="24">
        <v>384.7</v>
      </c>
      <c r="AA54" s="24">
        <v>48.9</v>
      </c>
      <c r="AB54" s="24">
        <v>122.6</v>
      </c>
      <c r="AC54" s="24">
        <v>591.3</v>
      </c>
      <c r="AD54" s="24">
        <v>156.3</v>
      </c>
      <c r="AE54" s="24">
        <v>1159.1</v>
      </c>
      <c r="AF54" s="24">
        <v>325.1</v>
      </c>
      <c r="AG54" s="24">
        <v>2183.7</v>
      </c>
      <c r="AH54" s="24">
        <v>308</v>
      </c>
      <c r="AI54" s="24">
        <v>2602</v>
      </c>
      <c r="AJ54" s="24">
        <v>995</v>
      </c>
      <c r="AK54" s="24">
        <v>67</v>
      </c>
      <c r="AL54" s="24">
        <v>1610</v>
      </c>
      <c r="AM54" s="24">
        <v>68.6</v>
      </c>
      <c r="AN54" s="24">
        <v>240.8</v>
      </c>
      <c r="AO54" s="24">
        <v>500.8</v>
      </c>
      <c r="AP54" s="24">
        <v>620.1</v>
      </c>
      <c r="AQ54" s="24">
        <v>291.5</v>
      </c>
      <c r="AR54" s="24">
        <v>259</v>
      </c>
      <c r="AS54" s="24">
        <v>167.3</v>
      </c>
      <c r="AT54" s="24">
        <v>163.3</v>
      </c>
      <c r="AU54" s="24">
        <v>721.8</v>
      </c>
      <c r="AV54" s="24">
        <v>142.9</v>
      </c>
      <c r="AW54" s="24">
        <v>140.9</v>
      </c>
      <c r="AX54" s="24">
        <v>125.2</v>
      </c>
      <c r="AY54" s="24">
        <v>88.7</v>
      </c>
      <c r="AZ54" s="24">
        <v>336.5</v>
      </c>
      <c r="BA54" s="24">
        <v>66</v>
      </c>
      <c r="BB54" s="24">
        <v>11649.3</v>
      </c>
      <c r="BC54" s="24">
        <v>268.4</v>
      </c>
      <c r="BD54" s="24">
        <v>669.1</v>
      </c>
      <c r="BE54" s="24">
        <v>400.6</v>
      </c>
      <c r="BF54" s="24">
        <v>249.9</v>
      </c>
      <c r="BG54" s="24">
        <v>175.4</v>
      </c>
      <c r="BH54" s="24">
        <v>554.7</v>
      </c>
      <c r="BI54" s="24">
        <v>1178.9</v>
      </c>
      <c r="BJ54" s="24">
        <v>113.7</v>
      </c>
      <c r="BK54" s="24">
        <v>33.7</v>
      </c>
      <c r="BL54" s="24">
        <v>56.4</v>
      </c>
      <c r="BM54" s="24">
        <v>0</v>
      </c>
      <c r="BN54" s="24">
        <v>0</v>
      </c>
      <c r="BO54" s="24">
        <v>2270.1</v>
      </c>
      <c r="BP54" s="24">
        <v>75812.4</v>
      </c>
      <c r="BQ54" s="24">
        <v>153.4</v>
      </c>
      <c r="BR54" s="24">
        <v>367.4</v>
      </c>
      <c r="BS54" s="24">
        <v>50.8</v>
      </c>
    </row>
    <row r="55" spans="1:71" x14ac:dyDescent="0.25">
      <c r="A55" s="30" t="s">
        <v>368</v>
      </c>
      <c r="B55" s="31" t="s">
        <v>369</v>
      </c>
      <c r="C55" s="24">
        <v>2410.7</v>
      </c>
      <c r="D55" s="24">
        <v>259.3</v>
      </c>
      <c r="E55" s="24">
        <v>53.9</v>
      </c>
      <c r="F55" s="24">
        <v>1254.8</v>
      </c>
      <c r="G55" s="24">
        <v>12101.8</v>
      </c>
      <c r="H55" s="24">
        <v>2494.9</v>
      </c>
      <c r="I55" s="24">
        <v>1238.2</v>
      </c>
      <c r="J55" s="24">
        <v>2251.2</v>
      </c>
      <c r="K55" s="24">
        <v>1003.4</v>
      </c>
      <c r="L55" s="24">
        <v>3294.6</v>
      </c>
      <c r="M55" s="24">
        <v>8954.2</v>
      </c>
      <c r="N55" s="24">
        <v>4306.3</v>
      </c>
      <c r="O55" s="24">
        <v>2909</v>
      </c>
      <c r="P55" s="24">
        <v>2672.7</v>
      </c>
      <c r="Q55" s="24">
        <v>3780.7</v>
      </c>
      <c r="R55" s="24">
        <v>4928.5</v>
      </c>
      <c r="S55" s="24">
        <v>2768.7</v>
      </c>
      <c r="T55" s="24">
        <v>3673.7</v>
      </c>
      <c r="U55" s="24">
        <v>7556.2</v>
      </c>
      <c r="V55" s="24">
        <v>9114.4</v>
      </c>
      <c r="W55" s="24">
        <v>2494.5</v>
      </c>
      <c r="X55" s="24">
        <v>2653.2</v>
      </c>
      <c r="Y55" s="24">
        <v>2557.2</v>
      </c>
      <c r="Z55" s="24">
        <v>12301.6</v>
      </c>
      <c r="AA55" s="24">
        <v>1883.8</v>
      </c>
      <c r="AB55" s="24">
        <v>6638.6</v>
      </c>
      <c r="AC55" s="24">
        <v>29673.9</v>
      </c>
      <c r="AD55" s="24">
        <v>6358.6</v>
      </c>
      <c r="AE55" s="24">
        <v>36933.2</v>
      </c>
      <c r="AF55" s="24">
        <v>23200.5</v>
      </c>
      <c r="AG55" s="24">
        <v>9387.7</v>
      </c>
      <c r="AH55" s="24">
        <v>2995.9</v>
      </c>
      <c r="AI55" s="24">
        <v>1939.7</v>
      </c>
      <c r="AJ55" s="24">
        <v>15397.4</v>
      </c>
      <c r="AK55" s="24">
        <v>2108.2</v>
      </c>
      <c r="AL55" s="24">
        <v>13624.1</v>
      </c>
      <c r="AM55" s="24">
        <v>4186.8</v>
      </c>
      <c r="AN55" s="24">
        <v>5352.1</v>
      </c>
      <c r="AO55" s="24">
        <v>6266.3</v>
      </c>
      <c r="AP55" s="24">
        <v>17605.3</v>
      </c>
      <c r="AQ55" s="24">
        <v>13493.7</v>
      </c>
      <c r="AR55" s="24">
        <v>7549.5</v>
      </c>
      <c r="AS55" s="24">
        <v>7373.9</v>
      </c>
      <c r="AT55" s="24">
        <v>19028</v>
      </c>
      <c r="AU55" s="24">
        <v>27093.8</v>
      </c>
      <c r="AV55" s="24">
        <v>8770.9</v>
      </c>
      <c r="AW55" s="24">
        <v>3645.3</v>
      </c>
      <c r="AX55" s="24">
        <v>4534.2</v>
      </c>
      <c r="AY55" s="24">
        <v>4308.1</v>
      </c>
      <c r="AZ55" s="24">
        <v>13699.7</v>
      </c>
      <c r="BA55" s="24">
        <v>2295.6</v>
      </c>
      <c r="BB55" s="24">
        <v>2795.2</v>
      </c>
      <c r="BC55" s="24">
        <v>46528.9</v>
      </c>
      <c r="BD55" s="24">
        <v>32170.4</v>
      </c>
      <c r="BE55" s="24">
        <v>10093.5</v>
      </c>
      <c r="BF55" s="24">
        <v>19140.2</v>
      </c>
      <c r="BG55" s="24">
        <v>9117.5</v>
      </c>
      <c r="BH55" s="24">
        <v>4961.3</v>
      </c>
      <c r="BI55" s="24">
        <v>4024.2</v>
      </c>
      <c r="BJ55" s="24">
        <v>3393.3</v>
      </c>
      <c r="BK55" s="24">
        <v>571</v>
      </c>
      <c r="BL55" s="24">
        <v>2816.4</v>
      </c>
      <c r="BM55" s="24">
        <v>0</v>
      </c>
      <c r="BN55" s="24">
        <v>0</v>
      </c>
      <c r="BO55" s="24">
        <v>5271.6</v>
      </c>
      <c r="BP55" s="24">
        <v>48852.1</v>
      </c>
      <c r="BQ55" s="24">
        <v>154.3</v>
      </c>
      <c r="BR55" s="24">
        <v>16574.4</v>
      </c>
      <c r="BS55" s="24">
        <v>-197.7</v>
      </c>
    </row>
    <row r="56" spans="1:71" x14ac:dyDescent="0.25">
      <c r="A56" s="30" t="s">
        <v>370</v>
      </c>
      <c r="B56" s="31" t="s">
        <v>371</v>
      </c>
      <c r="C56" s="24">
        <v>1487.4</v>
      </c>
      <c r="D56" s="24">
        <v>385</v>
      </c>
      <c r="E56" s="24">
        <v>84.2</v>
      </c>
      <c r="F56" s="24">
        <v>566.1</v>
      </c>
      <c r="G56" s="24">
        <v>4854.5</v>
      </c>
      <c r="H56" s="24">
        <v>739.6</v>
      </c>
      <c r="I56" s="24">
        <v>701.9</v>
      </c>
      <c r="J56" s="24">
        <v>1204.1</v>
      </c>
      <c r="K56" s="24">
        <v>402.7</v>
      </c>
      <c r="L56" s="24">
        <v>1650.8</v>
      </c>
      <c r="M56" s="24">
        <v>3136.4</v>
      </c>
      <c r="N56" s="24">
        <v>1035</v>
      </c>
      <c r="O56" s="24">
        <v>1450.6</v>
      </c>
      <c r="P56" s="24">
        <v>1260.8</v>
      </c>
      <c r="Q56" s="24">
        <v>3152.3</v>
      </c>
      <c r="R56" s="24">
        <v>1985.3</v>
      </c>
      <c r="S56" s="24">
        <v>992.5</v>
      </c>
      <c r="T56" s="24">
        <v>1475.6</v>
      </c>
      <c r="U56" s="24">
        <v>1947.2</v>
      </c>
      <c r="V56" s="24">
        <v>2700.4</v>
      </c>
      <c r="W56" s="24">
        <v>625.6</v>
      </c>
      <c r="X56" s="24">
        <v>808</v>
      </c>
      <c r="Y56" s="24">
        <v>618</v>
      </c>
      <c r="Z56" s="24">
        <v>15085.3</v>
      </c>
      <c r="AA56" s="24">
        <v>1043.2</v>
      </c>
      <c r="AB56" s="24">
        <v>6843.4</v>
      </c>
      <c r="AC56" s="24">
        <v>13329.6</v>
      </c>
      <c r="AD56" s="24">
        <v>1522.4</v>
      </c>
      <c r="AE56" s="24">
        <v>5697.4</v>
      </c>
      <c r="AF56" s="24">
        <v>4303.1</v>
      </c>
      <c r="AG56" s="24">
        <v>4488.2</v>
      </c>
      <c r="AH56" s="24">
        <v>742.3</v>
      </c>
      <c r="AI56" s="24">
        <v>636.1</v>
      </c>
      <c r="AJ56" s="24">
        <v>6154</v>
      </c>
      <c r="AK56" s="24">
        <v>397.6</v>
      </c>
      <c r="AL56" s="24">
        <v>3318.1</v>
      </c>
      <c r="AM56" s="24">
        <v>570</v>
      </c>
      <c r="AN56" s="24">
        <v>826.2</v>
      </c>
      <c r="AO56" s="24">
        <v>1694</v>
      </c>
      <c r="AP56" s="24">
        <v>3867.2</v>
      </c>
      <c r="AQ56" s="24">
        <v>1873.2</v>
      </c>
      <c r="AR56" s="24">
        <v>903.5</v>
      </c>
      <c r="AS56" s="24">
        <v>1050.2</v>
      </c>
      <c r="AT56" s="24">
        <v>4782.6</v>
      </c>
      <c r="AU56" s="24">
        <v>9169.8</v>
      </c>
      <c r="AV56" s="24">
        <v>4603.2</v>
      </c>
      <c r="AW56" s="24">
        <v>1059.8</v>
      </c>
      <c r="AX56" s="24">
        <v>1690.5</v>
      </c>
      <c r="AY56" s="24">
        <v>1746.5</v>
      </c>
      <c r="AZ56" s="24">
        <v>1397.1</v>
      </c>
      <c r="BA56" s="24">
        <v>755.6</v>
      </c>
      <c r="BB56" s="24">
        <v>366.5</v>
      </c>
      <c r="BC56" s="24">
        <v>5018.3</v>
      </c>
      <c r="BD56" s="24">
        <v>18377.7</v>
      </c>
      <c r="BE56" s="24">
        <v>3517</v>
      </c>
      <c r="BF56" s="24">
        <v>3292.6</v>
      </c>
      <c r="BG56" s="24">
        <v>2024.9</v>
      </c>
      <c r="BH56" s="24">
        <v>2001.7</v>
      </c>
      <c r="BI56" s="24">
        <v>1322.2</v>
      </c>
      <c r="BJ56" s="24">
        <v>1424.8</v>
      </c>
      <c r="BK56" s="24">
        <v>86.3</v>
      </c>
      <c r="BL56" s="24">
        <v>464.3</v>
      </c>
      <c r="BM56" s="24">
        <v>0</v>
      </c>
      <c r="BN56" s="24">
        <v>0</v>
      </c>
      <c r="BO56" s="24">
        <v>1176709.4</v>
      </c>
      <c r="BP56" s="24">
        <v>53714</v>
      </c>
      <c r="BQ56" s="24">
        <v>1166.7</v>
      </c>
      <c r="BR56" s="24">
        <v>17369.1</v>
      </c>
      <c r="BS56" s="24">
        <v>242.7</v>
      </c>
    </row>
    <row r="57" spans="1:71" x14ac:dyDescent="0.25">
      <c r="A57" s="30" t="s">
        <v>373</v>
      </c>
      <c r="B57" s="31" t="s">
        <v>374</v>
      </c>
      <c r="C57" s="24">
        <v>288.9</v>
      </c>
      <c r="D57" s="24">
        <v>55.8</v>
      </c>
      <c r="E57" s="24">
        <v>18.1</v>
      </c>
      <c r="F57" s="24">
        <v>124.9</v>
      </c>
      <c r="G57" s="24">
        <v>1254.6</v>
      </c>
      <c r="H57" s="24">
        <v>315.9</v>
      </c>
      <c r="I57" s="24">
        <v>131.1</v>
      </c>
      <c r="J57" s="24">
        <v>171.5</v>
      </c>
      <c r="K57" s="24">
        <v>75.6</v>
      </c>
      <c r="L57" s="24">
        <v>430.2</v>
      </c>
      <c r="M57" s="24">
        <v>846.5</v>
      </c>
      <c r="N57" s="24">
        <v>750.1</v>
      </c>
      <c r="O57" s="24">
        <v>301.8</v>
      </c>
      <c r="P57" s="24">
        <v>276.1</v>
      </c>
      <c r="Q57" s="24">
        <v>282.8</v>
      </c>
      <c r="R57" s="24">
        <v>750.3</v>
      </c>
      <c r="S57" s="24">
        <v>803.2</v>
      </c>
      <c r="T57" s="24">
        <v>754.3</v>
      </c>
      <c r="U57" s="24">
        <v>1318.3</v>
      </c>
      <c r="V57" s="24">
        <v>2705.9</v>
      </c>
      <c r="W57" s="24">
        <v>631.2</v>
      </c>
      <c r="X57" s="24">
        <v>300.5</v>
      </c>
      <c r="Y57" s="24">
        <v>509.9</v>
      </c>
      <c r="Z57" s="24">
        <v>901.8</v>
      </c>
      <c r="AA57" s="24">
        <v>117.5</v>
      </c>
      <c r="AB57" s="24">
        <v>446.7</v>
      </c>
      <c r="AC57" s="24">
        <v>2268.6</v>
      </c>
      <c r="AD57" s="24">
        <v>835.6</v>
      </c>
      <c r="AE57" s="24">
        <v>3140.9</v>
      </c>
      <c r="AF57" s="24">
        <v>1846.3</v>
      </c>
      <c r="AG57" s="24">
        <v>1605.3</v>
      </c>
      <c r="AH57" s="24">
        <v>861.4</v>
      </c>
      <c r="AI57" s="24">
        <v>661.2</v>
      </c>
      <c r="AJ57" s="24">
        <v>1198.4</v>
      </c>
      <c r="AK57" s="24">
        <v>422.4</v>
      </c>
      <c r="AL57" s="24">
        <v>925.7</v>
      </c>
      <c r="AM57" s="24">
        <v>337.2</v>
      </c>
      <c r="AN57" s="24">
        <v>334.8</v>
      </c>
      <c r="AO57" s="24">
        <v>1065.7</v>
      </c>
      <c r="AP57" s="24">
        <v>3888.8</v>
      </c>
      <c r="AQ57" s="24">
        <v>2270.9</v>
      </c>
      <c r="AR57" s="24">
        <v>823.9</v>
      </c>
      <c r="AS57" s="24">
        <v>524.8</v>
      </c>
      <c r="AT57" s="24">
        <v>1242.1</v>
      </c>
      <c r="AU57" s="24">
        <v>4495.2</v>
      </c>
      <c r="AV57" s="24">
        <v>1001.9</v>
      </c>
      <c r="AW57" s="24">
        <v>3653.7</v>
      </c>
      <c r="AX57" s="24">
        <v>693.8</v>
      </c>
      <c r="AY57" s="24">
        <v>708</v>
      </c>
      <c r="AZ57" s="24">
        <v>525.4</v>
      </c>
      <c r="BA57" s="24">
        <v>1075.1</v>
      </c>
      <c r="BB57" s="24">
        <v>213.6</v>
      </c>
      <c r="BC57" s="24">
        <v>1830.2</v>
      </c>
      <c r="BD57" s="24">
        <v>8417.9</v>
      </c>
      <c r="BE57" s="24">
        <v>25406.3</v>
      </c>
      <c r="BF57" s="24">
        <v>4989.3</v>
      </c>
      <c r="BG57" s="24">
        <v>2211.5</v>
      </c>
      <c r="BH57" s="24">
        <v>769.4</v>
      </c>
      <c r="BI57" s="24">
        <v>1045.5</v>
      </c>
      <c r="BJ57" s="24">
        <v>1350.6</v>
      </c>
      <c r="BK57" s="24">
        <v>116.7</v>
      </c>
      <c r="BL57" s="24">
        <v>214.3</v>
      </c>
      <c r="BM57" s="24">
        <v>0</v>
      </c>
      <c r="BN57" s="24">
        <v>0</v>
      </c>
      <c r="BO57" s="24">
        <v>669972.1</v>
      </c>
      <c r="BP57" s="24">
        <v>102416.6</v>
      </c>
      <c r="BQ57" s="24">
        <v>30612.1</v>
      </c>
      <c r="BR57" s="24">
        <v>37560.9</v>
      </c>
      <c r="BS57" s="24">
        <v>-14.4</v>
      </c>
    </row>
    <row r="58" spans="1:71" x14ac:dyDescent="0.25">
      <c r="A58" s="30" t="s">
        <v>376</v>
      </c>
      <c r="B58" s="31" t="s">
        <v>377</v>
      </c>
      <c r="C58" s="24">
        <v>251.3</v>
      </c>
      <c r="D58" s="24">
        <v>27.4</v>
      </c>
      <c r="E58" s="24">
        <v>15.4</v>
      </c>
      <c r="F58" s="24">
        <v>107.5</v>
      </c>
      <c r="G58" s="24">
        <v>549.9</v>
      </c>
      <c r="H58" s="24">
        <v>104.2</v>
      </c>
      <c r="I58" s="24">
        <v>69.3</v>
      </c>
      <c r="J58" s="24">
        <v>80.4</v>
      </c>
      <c r="K58" s="24">
        <v>45.8</v>
      </c>
      <c r="L58" s="24">
        <v>153.5</v>
      </c>
      <c r="M58" s="24">
        <v>268.5</v>
      </c>
      <c r="N58" s="24">
        <v>587.5</v>
      </c>
      <c r="O58" s="24">
        <v>156.5</v>
      </c>
      <c r="P58" s="24">
        <v>118.4</v>
      </c>
      <c r="Q58" s="24">
        <v>161.2</v>
      </c>
      <c r="R58" s="24">
        <v>247</v>
      </c>
      <c r="S58" s="24">
        <v>155.8</v>
      </c>
      <c r="T58" s="24">
        <v>217.9</v>
      </c>
      <c r="U58" s="24">
        <v>356</v>
      </c>
      <c r="V58" s="24">
        <v>560.2</v>
      </c>
      <c r="W58" s="24">
        <v>172.5</v>
      </c>
      <c r="X58" s="24">
        <v>246</v>
      </c>
      <c r="Y58" s="24">
        <v>172.1</v>
      </c>
      <c r="Z58" s="24">
        <v>276.3</v>
      </c>
      <c r="AA58" s="24">
        <v>80.1</v>
      </c>
      <c r="AB58" s="24">
        <v>460.6</v>
      </c>
      <c r="AC58" s="24">
        <v>1036.8</v>
      </c>
      <c r="AD58" s="24">
        <v>276.8</v>
      </c>
      <c r="AE58" s="24">
        <v>1830.1</v>
      </c>
      <c r="AF58" s="24">
        <v>736.5</v>
      </c>
      <c r="AG58" s="24">
        <v>621.7</v>
      </c>
      <c r="AH58" s="24">
        <v>116.4</v>
      </c>
      <c r="AI58" s="24">
        <v>228</v>
      </c>
      <c r="AJ58" s="24">
        <v>653.6</v>
      </c>
      <c r="AK58" s="24">
        <v>106.8</v>
      </c>
      <c r="AL58" s="24">
        <v>716.8</v>
      </c>
      <c r="AM58" s="24">
        <v>134.9</v>
      </c>
      <c r="AN58" s="24">
        <v>123.1</v>
      </c>
      <c r="AO58" s="24">
        <v>327.3</v>
      </c>
      <c r="AP58" s="24">
        <v>1077.7</v>
      </c>
      <c r="AQ58" s="24">
        <v>569.6</v>
      </c>
      <c r="AR58" s="24">
        <v>450</v>
      </c>
      <c r="AS58" s="24">
        <v>385.3</v>
      </c>
      <c r="AT58" s="24">
        <v>287.2</v>
      </c>
      <c r="AU58" s="24">
        <v>906.8</v>
      </c>
      <c r="AV58" s="24">
        <v>399.1</v>
      </c>
      <c r="AW58" s="24">
        <v>734.3</v>
      </c>
      <c r="AX58" s="24">
        <v>1770.9</v>
      </c>
      <c r="AY58" s="24">
        <v>890.2</v>
      </c>
      <c r="AZ58" s="24">
        <v>349.8</v>
      </c>
      <c r="BA58" s="24">
        <v>428.4</v>
      </c>
      <c r="BB58" s="24">
        <v>156.1</v>
      </c>
      <c r="BC58" s="24">
        <v>2863.2</v>
      </c>
      <c r="BD58" s="24">
        <v>16598.4</v>
      </c>
      <c r="BE58" s="24">
        <v>1813</v>
      </c>
      <c r="BF58" s="24">
        <v>59383.6</v>
      </c>
      <c r="BG58" s="24">
        <v>8539.2</v>
      </c>
      <c r="BH58" s="24">
        <v>251.4</v>
      </c>
      <c r="BI58" s="24">
        <v>519.7</v>
      </c>
      <c r="BJ58" s="24">
        <v>389.1</v>
      </c>
      <c r="BK58" s="24">
        <v>40.1</v>
      </c>
      <c r="BL58" s="24">
        <v>178.1</v>
      </c>
      <c r="BM58" s="24">
        <v>0</v>
      </c>
      <c r="BN58" s="24">
        <v>0</v>
      </c>
      <c r="BO58" s="24">
        <v>887746.5</v>
      </c>
      <c r="BP58" s="24">
        <v>235188.9</v>
      </c>
      <c r="BQ58" s="24">
        <v>9050.8</v>
      </c>
      <c r="BR58" s="24">
        <v>7459.9</v>
      </c>
      <c r="BS58" s="24">
        <v>54.2</v>
      </c>
    </row>
    <row r="59" spans="1:71" x14ac:dyDescent="0.25">
      <c r="A59" s="30" t="s">
        <v>379</v>
      </c>
      <c r="B59" s="31" t="s">
        <v>380</v>
      </c>
      <c r="C59" s="24">
        <v>37.8</v>
      </c>
      <c r="D59" s="24">
        <v>3.8</v>
      </c>
      <c r="E59" s="24">
        <v>1.1</v>
      </c>
      <c r="F59" s="24">
        <v>7</v>
      </c>
      <c r="G59" s="24">
        <v>125.5</v>
      </c>
      <c r="H59" s="24">
        <v>19.5</v>
      </c>
      <c r="I59" s="24">
        <v>23.1</v>
      </c>
      <c r="J59" s="24">
        <v>14.6</v>
      </c>
      <c r="K59" s="24">
        <v>6.8</v>
      </c>
      <c r="L59" s="24">
        <v>12.3</v>
      </c>
      <c r="M59" s="24">
        <v>30.4</v>
      </c>
      <c r="N59" s="24">
        <v>20.2</v>
      </c>
      <c r="O59" s="24">
        <v>19.5</v>
      </c>
      <c r="P59" s="24">
        <v>15.5</v>
      </c>
      <c r="Q59" s="24">
        <v>19.4</v>
      </c>
      <c r="R59" s="24">
        <v>37.2</v>
      </c>
      <c r="S59" s="24">
        <v>27.8</v>
      </c>
      <c r="T59" s="24">
        <v>24</v>
      </c>
      <c r="U59" s="24">
        <v>46.9</v>
      </c>
      <c r="V59" s="24">
        <v>83.9</v>
      </c>
      <c r="W59" s="24">
        <v>34.5</v>
      </c>
      <c r="X59" s="24">
        <v>23.2</v>
      </c>
      <c r="Y59" s="24">
        <v>27.9</v>
      </c>
      <c r="Z59" s="24">
        <v>57.2</v>
      </c>
      <c r="AA59" s="24">
        <v>9.9</v>
      </c>
      <c r="AB59" s="24">
        <v>33.8</v>
      </c>
      <c r="AC59" s="24">
        <v>221.4</v>
      </c>
      <c r="AD59" s="24">
        <v>47.7</v>
      </c>
      <c r="AE59" s="24">
        <v>225.4</v>
      </c>
      <c r="AF59" s="24">
        <v>148</v>
      </c>
      <c r="AG59" s="24">
        <v>73.4</v>
      </c>
      <c r="AH59" s="24">
        <v>22.6</v>
      </c>
      <c r="AI59" s="24">
        <v>20.6</v>
      </c>
      <c r="AJ59" s="24">
        <v>81.6</v>
      </c>
      <c r="AK59" s="24">
        <v>11.4</v>
      </c>
      <c r="AL59" s="24">
        <v>128.7</v>
      </c>
      <c r="AM59" s="24">
        <v>22.4</v>
      </c>
      <c r="AN59" s="24">
        <v>28.4</v>
      </c>
      <c r="AO59" s="24">
        <v>41.5</v>
      </c>
      <c r="AP59" s="24">
        <v>172.3</v>
      </c>
      <c r="AQ59" s="24">
        <v>85.4</v>
      </c>
      <c r="AR59" s="24">
        <v>37.8</v>
      </c>
      <c r="AS59" s="24">
        <v>49.6</v>
      </c>
      <c r="AT59" s="24">
        <v>96.8</v>
      </c>
      <c r="AU59" s="24">
        <v>199.6</v>
      </c>
      <c r="AV59" s="24">
        <v>42.5</v>
      </c>
      <c r="AW59" s="24">
        <v>82</v>
      </c>
      <c r="AX59" s="24">
        <v>1834.2</v>
      </c>
      <c r="AY59" s="24">
        <v>394.3</v>
      </c>
      <c r="AZ59" s="24">
        <v>73.9</v>
      </c>
      <c r="BA59" s="24">
        <v>43.5</v>
      </c>
      <c r="BB59" s="24">
        <v>65.4</v>
      </c>
      <c r="BC59" s="24">
        <v>2011.7</v>
      </c>
      <c r="BD59" s="24">
        <v>1167.3</v>
      </c>
      <c r="BE59" s="24">
        <v>522.5</v>
      </c>
      <c r="BF59" s="24">
        <v>3477.2</v>
      </c>
      <c r="BG59" s="24">
        <v>5504.2</v>
      </c>
      <c r="BH59" s="24">
        <v>669.3</v>
      </c>
      <c r="BI59" s="24">
        <v>66</v>
      </c>
      <c r="BJ59" s="24">
        <v>92.4</v>
      </c>
      <c r="BK59" s="24">
        <v>6.9</v>
      </c>
      <c r="BL59" s="24">
        <v>47</v>
      </c>
      <c r="BM59" s="24">
        <v>0</v>
      </c>
      <c r="BN59" s="24">
        <v>0</v>
      </c>
      <c r="BO59" s="24">
        <v>324537.5</v>
      </c>
      <c r="BP59" s="24">
        <v>130217.6</v>
      </c>
      <c r="BQ59" s="24">
        <v>67849.6</v>
      </c>
      <c r="BR59" s="24">
        <v>545.6</v>
      </c>
      <c r="BS59" s="24">
        <v>22</v>
      </c>
    </row>
    <row r="60" spans="1:71" x14ac:dyDescent="0.25">
      <c r="A60" s="30" t="s">
        <v>381</v>
      </c>
      <c r="B60" s="31" t="s">
        <v>382</v>
      </c>
      <c r="C60" s="24">
        <v>155.5</v>
      </c>
      <c r="D60" s="24">
        <v>8</v>
      </c>
      <c r="E60" s="24">
        <v>15.7</v>
      </c>
      <c r="F60" s="24">
        <v>35.3</v>
      </c>
      <c r="G60" s="24">
        <v>1036.4</v>
      </c>
      <c r="H60" s="24">
        <v>307.3</v>
      </c>
      <c r="I60" s="24">
        <v>61.4</v>
      </c>
      <c r="J60" s="24">
        <v>187.8</v>
      </c>
      <c r="K60" s="24">
        <v>190.2</v>
      </c>
      <c r="L60" s="24">
        <v>152</v>
      </c>
      <c r="M60" s="24">
        <v>241.3</v>
      </c>
      <c r="N60" s="24">
        <v>274.9</v>
      </c>
      <c r="O60" s="24">
        <v>131.5</v>
      </c>
      <c r="P60" s="24">
        <v>96.7</v>
      </c>
      <c r="Q60" s="24">
        <v>160.4</v>
      </c>
      <c r="R60" s="24">
        <v>182.3</v>
      </c>
      <c r="S60" s="24">
        <v>85.4</v>
      </c>
      <c r="T60" s="24">
        <v>148.9</v>
      </c>
      <c r="U60" s="24">
        <v>168.5</v>
      </c>
      <c r="V60" s="24">
        <v>185.5</v>
      </c>
      <c r="W60" s="24">
        <v>113.4</v>
      </c>
      <c r="X60" s="24">
        <v>180.8</v>
      </c>
      <c r="Y60" s="24">
        <v>131.9</v>
      </c>
      <c r="Z60" s="24">
        <v>263.8</v>
      </c>
      <c r="AA60" s="24">
        <v>29.2</v>
      </c>
      <c r="AB60" s="24">
        <v>129.3</v>
      </c>
      <c r="AC60" s="24">
        <v>1281.5</v>
      </c>
      <c r="AD60" s="24">
        <v>341.6</v>
      </c>
      <c r="AE60" s="24">
        <v>672</v>
      </c>
      <c r="AF60" s="24">
        <v>587.6</v>
      </c>
      <c r="AG60" s="24">
        <v>310.1</v>
      </c>
      <c r="AH60" s="24">
        <v>71.2</v>
      </c>
      <c r="AI60" s="24">
        <v>268.3</v>
      </c>
      <c r="AJ60" s="24">
        <v>488.9</v>
      </c>
      <c r="AK60" s="24">
        <v>52.2</v>
      </c>
      <c r="AL60" s="24">
        <v>4884.8</v>
      </c>
      <c r="AM60" s="24">
        <v>1779.4</v>
      </c>
      <c r="AN60" s="24">
        <v>3614.6</v>
      </c>
      <c r="AO60" s="24">
        <v>357.8</v>
      </c>
      <c r="AP60" s="24">
        <v>771.1</v>
      </c>
      <c r="AQ60" s="24">
        <v>449.6</v>
      </c>
      <c r="AR60" s="24">
        <v>66.1</v>
      </c>
      <c r="AS60" s="24">
        <v>94</v>
      </c>
      <c r="AT60" s="24">
        <v>271.8</v>
      </c>
      <c r="AU60" s="24">
        <v>1032.1</v>
      </c>
      <c r="AV60" s="24">
        <v>194.2</v>
      </c>
      <c r="AW60" s="24">
        <v>137.9</v>
      </c>
      <c r="AX60" s="24">
        <v>490.7</v>
      </c>
      <c r="AY60" s="24">
        <v>494.2</v>
      </c>
      <c r="AZ60" s="24">
        <v>208.8</v>
      </c>
      <c r="BA60" s="24">
        <v>173.6</v>
      </c>
      <c r="BB60" s="24">
        <v>583.8</v>
      </c>
      <c r="BC60" s="24">
        <v>1014.9</v>
      </c>
      <c r="BD60" s="24">
        <v>1590</v>
      </c>
      <c r="BE60" s="24">
        <v>1122.8</v>
      </c>
      <c r="BF60" s="24">
        <v>253.2</v>
      </c>
      <c r="BG60" s="24">
        <v>306.6</v>
      </c>
      <c r="BH60" s="24">
        <v>19477.5</v>
      </c>
      <c r="BI60" s="24">
        <v>2972.1</v>
      </c>
      <c r="BJ60" s="24">
        <v>714.5</v>
      </c>
      <c r="BK60" s="24">
        <v>56.2</v>
      </c>
      <c r="BL60" s="24">
        <v>173.3</v>
      </c>
      <c r="BM60" s="24">
        <v>0</v>
      </c>
      <c r="BN60" s="24">
        <v>0</v>
      </c>
      <c r="BO60" s="24">
        <v>59934.9</v>
      </c>
      <c r="BP60" s="24">
        <v>93602.1</v>
      </c>
      <c r="BQ60" s="24">
        <v>7613.1</v>
      </c>
      <c r="BR60" s="24">
        <v>5874.4</v>
      </c>
      <c r="BS60" s="24">
        <v>2236.6</v>
      </c>
    </row>
    <row r="61" spans="1:71" x14ac:dyDescent="0.25">
      <c r="A61" s="30" t="s">
        <v>384</v>
      </c>
      <c r="B61" s="31" t="s">
        <v>385</v>
      </c>
      <c r="C61" s="24">
        <v>91.4</v>
      </c>
      <c r="D61" s="24">
        <v>28.5</v>
      </c>
      <c r="E61" s="24">
        <v>16.3</v>
      </c>
      <c r="F61" s="24">
        <v>57.2</v>
      </c>
      <c r="G61" s="24">
        <v>1057.2</v>
      </c>
      <c r="H61" s="24">
        <v>176.5</v>
      </c>
      <c r="I61" s="24">
        <v>66.5</v>
      </c>
      <c r="J61" s="24">
        <v>113.4</v>
      </c>
      <c r="K61" s="24">
        <v>85.2</v>
      </c>
      <c r="L61" s="24">
        <v>136.1</v>
      </c>
      <c r="M61" s="24">
        <v>206.2</v>
      </c>
      <c r="N61" s="24">
        <v>206.7</v>
      </c>
      <c r="O61" s="24">
        <v>116.2</v>
      </c>
      <c r="P61" s="24">
        <v>97.8</v>
      </c>
      <c r="Q61" s="24">
        <v>129.8</v>
      </c>
      <c r="R61" s="24">
        <v>188.6</v>
      </c>
      <c r="S61" s="24">
        <v>116.4</v>
      </c>
      <c r="T61" s="24">
        <v>142.4</v>
      </c>
      <c r="U61" s="24">
        <v>277.1</v>
      </c>
      <c r="V61" s="24">
        <v>332</v>
      </c>
      <c r="W61" s="24">
        <v>161.6</v>
      </c>
      <c r="X61" s="24">
        <v>157.6</v>
      </c>
      <c r="Y61" s="24">
        <v>148.8</v>
      </c>
      <c r="Z61" s="24">
        <v>351.3</v>
      </c>
      <c r="AA61" s="24">
        <v>62.4</v>
      </c>
      <c r="AB61" s="24">
        <v>179.9</v>
      </c>
      <c r="AC61" s="24">
        <v>1385.9</v>
      </c>
      <c r="AD61" s="24">
        <v>305.6</v>
      </c>
      <c r="AE61" s="24">
        <v>3849.7</v>
      </c>
      <c r="AF61" s="24">
        <v>923.8</v>
      </c>
      <c r="AG61" s="24">
        <v>477.8</v>
      </c>
      <c r="AH61" s="24">
        <v>138.4</v>
      </c>
      <c r="AI61" s="24">
        <v>100.5</v>
      </c>
      <c r="AJ61" s="24">
        <v>595.8</v>
      </c>
      <c r="AK61" s="24">
        <v>86</v>
      </c>
      <c r="AL61" s="24">
        <v>3663.2</v>
      </c>
      <c r="AM61" s="24">
        <v>157.5</v>
      </c>
      <c r="AN61" s="24">
        <v>1387.1</v>
      </c>
      <c r="AO61" s="24">
        <v>441.9</v>
      </c>
      <c r="AP61" s="24">
        <v>756.3</v>
      </c>
      <c r="AQ61" s="24">
        <v>755.7</v>
      </c>
      <c r="AR61" s="24">
        <v>183.4</v>
      </c>
      <c r="AS61" s="24">
        <v>162.2</v>
      </c>
      <c r="AT61" s="24">
        <v>378.4</v>
      </c>
      <c r="AU61" s="24">
        <v>949.5</v>
      </c>
      <c r="AV61" s="24">
        <v>264.9</v>
      </c>
      <c r="AW61" s="24">
        <v>116.6</v>
      </c>
      <c r="AX61" s="24">
        <v>686.7</v>
      </c>
      <c r="AY61" s="24">
        <v>223.3</v>
      </c>
      <c r="AZ61" s="24">
        <v>459.1</v>
      </c>
      <c r="BA61" s="24">
        <v>137.4</v>
      </c>
      <c r="BB61" s="24">
        <v>659.6</v>
      </c>
      <c r="BC61" s="24">
        <v>986.5</v>
      </c>
      <c r="BD61" s="24">
        <v>6034.9</v>
      </c>
      <c r="BE61" s="24">
        <v>1910.3</v>
      </c>
      <c r="BF61" s="24">
        <v>669.4</v>
      </c>
      <c r="BG61" s="24">
        <v>548.7</v>
      </c>
      <c r="BH61" s="24">
        <v>4931.5</v>
      </c>
      <c r="BI61" s="24">
        <v>16921.8</v>
      </c>
      <c r="BJ61" s="24">
        <v>1559</v>
      </c>
      <c r="BK61" s="24">
        <v>36.4</v>
      </c>
      <c r="BL61" s="24">
        <v>623.8</v>
      </c>
      <c r="BM61" s="24">
        <v>0</v>
      </c>
      <c r="BN61" s="24">
        <v>0</v>
      </c>
      <c r="BO61" s="24">
        <v>36200.5</v>
      </c>
      <c r="BP61" s="24">
        <v>58082.1</v>
      </c>
      <c r="BQ61" s="24">
        <v>16176.1</v>
      </c>
      <c r="BR61" s="24">
        <v>999.3</v>
      </c>
      <c r="BS61" s="24">
        <v>26.5</v>
      </c>
    </row>
    <row r="62" spans="1:71" x14ac:dyDescent="0.25">
      <c r="A62" s="30" t="s">
        <v>386</v>
      </c>
      <c r="B62" s="31" t="s">
        <v>387</v>
      </c>
      <c r="C62" s="24">
        <v>870</v>
      </c>
      <c r="D62" s="24">
        <v>31.1</v>
      </c>
      <c r="E62" s="24">
        <v>250.4</v>
      </c>
      <c r="F62" s="24">
        <v>116.5</v>
      </c>
      <c r="G62" s="24">
        <v>1253.3</v>
      </c>
      <c r="H62" s="24">
        <v>260.3</v>
      </c>
      <c r="I62" s="24">
        <v>114.9</v>
      </c>
      <c r="J62" s="24">
        <v>221.1</v>
      </c>
      <c r="K62" s="24">
        <v>143.5</v>
      </c>
      <c r="L62" s="24">
        <v>703.1</v>
      </c>
      <c r="M62" s="24">
        <v>605</v>
      </c>
      <c r="N62" s="24">
        <v>318.5</v>
      </c>
      <c r="O62" s="24">
        <v>238.5</v>
      </c>
      <c r="P62" s="24">
        <v>252.5</v>
      </c>
      <c r="Q62" s="24">
        <v>395.1</v>
      </c>
      <c r="R62" s="24">
        <v>447.7</v>
      </c>
      <c r="S62" s="24">
        <v>231</v>
      </c>
      <c r="T62" s="24">
        <v>261.7</v>
      </c>
      <c r="U62" s="24">
        <v>426.3</v>
      </c>
      <c r="V62" s="24">
        <v>437.8</v>
      </c>
      <c r="W62" s="24">
        <v>166</v>
      </c>
      <c r="X62" s="24">
        <v>250.9</v>
      </c>
      <c r="Y62" s="24">
        <v>211.4</v>
      </c>
      <c r="Z62" s="24">
        <v>862.2</v>
      </c>
      <c r="AA62" s="24">
        <v>158.5</v>
      </c>
      <c r="AB62" s="24">
        <v>566.6</v>
      </c>
      <c r="AC62" s="24">
        <v>2632.4</v>
      </c>
      <c r="AD62" s="24">
        <v>895.5</v>
      </c>
      <c r="AE62" s="24">
        <v>2727.5</v>
      </c>
      <c r="AF62" s="24">
        <v>2661</v>
      </c>
      <c r="AG62" s="24">
        <v>936.9</v>
      </c>
      <c r="AH62" s="24">
        <v>107.5</v>
      </c>
      <c r="AI62" s="24">
        <v>88.1</v>
      </c>
      <c r="AJ62" s="24">
        <v>1253.5</v>
      </c>
      <c r="AK62" s="24">
        <v>117.8</v>
      </c>
      <c r="AL62" s="24">
        <v>1314.8</v>
      </c>
      <c r="AM62" s="24">
        <v>465.9</v>
      </c>
      <c r="AN62" s="24">
        <v>273.9</v>
      </c>
      <c r="AO62" s="24">
        <v>1160.5</v>
      </c>
      <c r="AP62" s="24">
        <v>1508.7</v>
      </c>
      <c r="AQ62" s="24">
        <v>1035.2</v>
      </c>
      <c r="AR62" s="24">
        <v>469.6</v>
      </c>
      <c r="AS62" s="24">
        <v>901.8</v>
      </c>
      <c r="AT62" s="24">
        <v>608.7</v>
      </c>
      <c r="AU62" s="24">
        <v>4356.1</v>
      </c>
      <c r="AV62" s="24">
        <v>977.7</v>
      </c>
      <c r="AW62" s="24">
        <v>489.9</v>
      </c>
      <c r="AX62" s="24">
        <v>557.8</v>
      </c>
      <c r="AY62" s="24">
        <v>414.7</v>
      </c>
      <c r="AZ62" s="24">
        <v>400.8</v>
      </c>
      <c r="BA62" s="24">
        <v>387.6</v>
      </c>
      <c r="BB62" s="24">
        <v>262</v>
      </c>
      <c r="BC62" s="24">
        <v>1654.7</v>
      </c>
      <c r="BD62" s="24">
        <v>990.6</v>
      </c>
      <c r="BE62" s="24">
        <v>1332.5</v>
      </c>
      <c r="BF62" s="24">
        <v>2363.3</v>
      </c>
      <c r="BG62" s="24">
        <v>1268.6</v>
      </c>
      <c r="BH62" s="24">
        <v>752.9</v>
      </c>
      <c r="BI62" s="24">
        <v>616.8</v>
      </c>
      <c r="BJ62" s="24">
        <v>2118</v>
      </c>
      <c r="BK62" s="24">
        <v>44.1</v>
      </c>
      <c r="BL62" s="24">
        <v>462.8</v>
      </c>
      <c r="BM62" s="24">
        <v>0</v>
      </c>
      <c r="BN62" s="24">
        <v>0</v>
      </c>
      <c r="BO62" s="24">
        <v>19666.1</v>
      </c>
      <c r="BP62" s="24">
        <v>17419.2</v>
      </c>
      <c r="BQ62" s="24">
        <v>85376</v>
      </c>
      <c r="BR62" s="24">
        <v>1928.1</v>
      </c>
      <c r="BS62" s="24">
        <v>42.6</v>
      </c>
    </row>
    <row r="63" spans="1:71" x14ac:dyDescent="0.25">
      <c r="A63" s="30" t="s">
        <v>389</v>
      </c>
      <c r="B63" s="31" t="s">
        <v>390</v>
      </c>
      <c r="C63" s="24">
        <v>64.7</v>
      </c>
      <c r="D63" s="24">
        <v>28</v>
      </c>
      <c r="E63" s="24">
        <v>63.9</v>
      </c>
      <c r="F63" s="24">
        <v>36.9</v>
      </c>
      <c r="G63" s="24">
        <v>430</v>
      </c>
      <c r="H63" s="24">
        <v>82.1</v>
      </c>
      <c r="I63" s="24">
        <v>65.2</v>
      </c>
      <c r="J63" s="24">
        <v>99</v>
      </c>
      <c r="K63" s="24">
        <v>40.3</v>
      </c>
      <c r="L63" s="24">
        <v>152.5</v>
      </c>
      <c r="M63" s="24">
        <v>153.5</v>
      </c>
      <c r="N63" s="24">
        <v>91.7</v>
      </c>
      <c r="O63" s="24">
        <v>99.4</v>
      </c>
      <c r="P63" s="24">
        <v>133.5</v>
      </c>
      <c r="Q63" s="24">
        <v>102.6</v>
      </c>
      <c r="R63" s="24">
        <v>184</v>
      </c>
      <c r="S63" s="24">
        <v>337.7</v>
      </c>
      <c r="T63" s="24">
        <v>188.6</v>
      </c>
      <c r="U63" s="24">
        <v>273.5</v>
      </c>
      <c r="V63" s="24">
        <v>342.7</v>
      </c>
      <c r="W63" s="24">
        <v>193.9</v>
      </c>
      <c r="X63" s="24">
        <v>238.2</v>
      </c>
      <c r="Y63" s="24">
        <v>283.5</v>
      </c>
      <c r="Z63" s="24">
        <v>292.3</v>
      </c>
      <c r="AA63" s="24">
        <v>72.8</v>
      </c>
      <c r="AB63" s="24">
        <v>100.5</v>
      </c>
      <c r="AC63" s="24">
        <v>445.1</v>
      </c>
      <c r="AD63" s="24">
        <v>107</v>
      </c>
      <c r="AE63" s="24">
        <v>784.9</v>
      </c>
      <c r="AF63" s="24">
        <v>1003.2</v>
      </c>
      <c r="AG63" s="24">
        <v>222.1</v>
      </c>
      <c r="AH63" s="24">
        <v>73.6</v>
      </c>
      <c r="AI63" s="24">
        <v>120.2</v>
      </c>
      <c r="AJ63" s="24">
        <v>232</v>
      </c>
      <c r="AK63" s="24">
        <v>64</v>
      </c>
      <c r="AL63" s="24">
        <v>603.4</v>
      </c>
      <c r="AM63" s="24">
        <v>79</v>
      </c>
      <c r="AN63" s="24">
        <v>291</v>
      </c>
      <c r="AO63" s="24">
        <v>707.7</v>
      </c>
      <c r="AP63" s="24">
        <v>961.4</v>
      </c>
      <c r="AQ63" s="24">
        <v>576.8</v>
      </c>
      <c r="AR63" s="24">
        <v>202.4</v>
      </c>
      <c r="AS63" s="24">
        <v>225.6</v>
      </c>
      <c r="AT63" s="24">
        <v>431</v>
      </c>
      <c r="AU63" s="24">
        <v>1171.6</v>
      </c>
      <c r="AV63" s="24">
        <v>286.4</v>
      </c>
      <c r="AW63" s="24">
        <v>85.9</v>
      </c>
      <c r="AX63" s="24">
        <v>123.5</v>
      </c>
      <c r="AY63" s="24">
        <v>313.8</v>
      </c>
      <c r="AZ63" s="24">
        <v>357.7</v>
      </c>
      <c r="BA63" s="24">
        <v>28</v>
      </c>
      <c r="BB63" s="24">
        <v>84.7</v>
      </c>
      <c r="BC63" s="24">
        <v>493.9</v>
      </c>
      <c r="BD63" s="24">
        <v>790.9</v>
      </c>
      <c r="BE63" s="24">
        <v>276.3</v>
      </c>
      <c r="BF63" s="24">
        <v>415.1</v>
      </c>
      <c r="BG63" s="24">
        <v>158</v>
      </c>
      <c r="BH63" s="24">
        <v>93.5</v>
      </c>
      <c r="BI63" s="24">
        <v>99</v>
      </c>
      <c r="BJ63" s="24">
        <v>146.9</v>
      </c>
      <c r="BK63" s="24">
        <v>1119.4</v>
      </c>
      <c r="BL63" s="24">
        <v>41.8</v>
      </c>
      <c r="BM63" s="24">
        <v>0</v>
      </c>
      <c r="BN63" s="24">
        <v>0</v>
      </c>
      <c r="BO63" s="24">
        <v>36.2</v>
      </c>
      <c r="BP63" s="24">
        <v>9365.6</v>
      </c>
      <c r="BQ63" s="24">
        <v>16</v>
      </c>
      <c r="BR63" s="24">
        <v>3871.8</v>
      </c>
      <c r="BS63" s="24">
        <v>-25.2</v>
      </c>
    </row>
    <row r="64" spans="1:71" x14ac:dyDescent="0.25">
      <c r="A64" s="30" t="s">
        <v>391</v>
      </c>
      <c r="B64" s="31" t="s">
        <v>392</v>
      </c>
      <c r="C64" s="24">
        <v>118.5</v>
      </c>
      <c r="D64" s="24">
        <v>13.2</v>
      </c>
      <c r="E64" s="24">
        <v>20.2</v>
      </c>
      <c r="F64" s="24">
        <v>54.7</v>
      </c>
      <c r="G64" s="24">
        <v>456.4</v>
      </c>
      <c r="H64" s="24">
        <v>132</v>
      </c>
      <c r="I64" s="24">
        <v>147.8</v>
      </c>
      <c r="J64" s="24">
        <v>108.1</v>
      </c>
      <c r="K64" s="24">
        <v>50.4</v>
      </c>
      <c r="L64" s="24">
        <v>125.5</v>
      </c>
      <c r="M64" s="24">
        <v>405.9</v>
      </c>
      <c r="N64" s="24">
        <v>178.9</v>
      </c>
      <c r="O64" s="24">
        <v>141.8</v>
      </c>
      <c r="P64" s="24">
        <v>135.5</v>
      </c>
      <c r="Q64" s="24">
        <v>133.7</v>
      </c>
      <c r="R64" s="24">
        <v>209.8</v>
      </c>
      <c r="S64" s="24">
        <v>155.9</v>
      </c>
      <c r="T64" s="24">
        <v>171.2</v>
      </c>
      <c r="U64" s="24">
        <v>276.7</v>
      </c>
      <c r="V64" s="24">
        <v>280.5</v>
      </c>
      <c r="W64" s="24">
        <v>101</v>
      </c>
      <c r="X64" s="24">
        <v>349.3</v>
      </c>
      <c r="Y64" s="24">
        <v>56.8</v>
      </c>
      <c r="Z64" s="24">
        <v>284.7</v>
      </c>
      <c r="AA64" s="24">
        <v>62.6</v>
      </c>
      <c r="AB64" s="24">
        <v>426.3</v>
      </c>
      <c r="AC64" s="24">
        <v>606.5</v>
      </c>
      <c r="AD64" s="24">
        <v>129.7</v>
      </c>
      <c r="AE64" s="24">
        <v>503.6</v>
      </c>
      <c r="AF64" s="24">
        <v>493</v>
      </c>
      <c r="AG64" s="24">
        <v>427.7</v>
      </c>
      <c r="AH64" s="24">
        <v>44.3</v>
      </c>
      <c r="AI64" s="24">
        <v>168.2</v>
      </c>
      <c r="AJ64" s="24">
        <v>398.6</v>
      </c>
      <c r="AK64" s="24">
        <v>79.2</v>
      </c>
      <c r="AL64" s="24">
        <v>2404.1</v>
      </c>
      <c r="AM64" s="24">
        <v>59</v>
      </c>
      <c r="AN64" s="24">
        <v>261.6</v>
      </c>
      <c r="AO64" s="24">
        <v>216</v>
      </c>
      <c r="AP64" s="24">
        <v>463.4</v>
      </c>
      <c r="AQ64" s="24">
        <v>166</v>
      </c>
      <c r="AR64" s="24">
        <v>83.6</v>
      </c>
      <c r="AS64" s="24">
        <v>54.6</v>
      </c>
      <c r="AT64" s="24">
        <v>238.2</v>
      </c>
      <c r="AU64" s="24">
        <v>1707.8</v>
      </c>
      <c r="AV64" s="24">
        <v>403.9</v>
      </c>
      <c r="AW64" s="24">
        <v>161.1</v>
      </c>
      <c r="AX64" s="24">
        <v>336.9</v>
      </c>
      <c r="AY64" s="24">
        <v>247.1</v>
      </c>
      <c r="AZ64" s="24">
        <v>944.7</v>
      </c>
      <c r="BA64" s="24">
        <v>313.8</v>
      </c>
      <c r="BB64" s="24">
        <v>135</v>
      </c>
      <c r="BC64" s="24">
        <v>739</v>
      </c>
      <c r="BD64" s="24">
        <v>815.9</v>
      </c>
      <c r="BE64" s="24">
        <v>516.1</v>
      </c>
      <c r="BF64" s="24">
        <v>3350.8</v>
      </c>
      <c r="BG64" s="24">
        <v>1793.7</v>
      </c>
      <c r="BH64" s="24">
        <v>659.5</v>
      </c>
      <c r="BI64" s="24">
        <v>603.2</v>
      </c>
      <c r="BJ64" s="24">
        <v>423.1</v>
      </c>
      <c r="BK64" s="24">
        <v>14.1</v>
      </c>
      <c r="BL64" s="24">
        <v>14096.1</v>
      </c>
      <c r="BM64" s="24">
        <v>0</v>
      </c>
      <c r="BN64" s="24">
        <v>0</v>
      </c>
      <c r="BO64" s="24">
        <v>1022.7</v>
      </c>
      <c r="BP64" s="24">
        <v>146690.5</v>
      </c>
      <c r="BQ64" s="24">
        <v>153.9</v>
      </c>
      <c r="BR64" s="24">
        <v>287.6</v>
      </c>
      <c r="BS64" s="24">
        <v>32.1</v>
      </c>
    </row>
    <row r="65" spans="1:71" x14ac:dyDescent="0.25">
      <c r="A65" s="30" t="s">
        <v>393</v>
      </c>
      <c r="B65" s="31" t="s">
        <v>394</v>
      </c>
      <c r="C65" s="24">
        <v>13.3</v>
      </c>
      <c r="D65" s="24">
        <v>1.4</v>
      </c>
      <c r="E65" s="24">
        <v>20.2</v>
      </c>
      <c r="F65" s="24">
        <v>0</v>
      </c>
      <c r="G65" s="24">
        <v>49.2</v>
      </c>
      <c r="H65" s="24">
        <v>0</v>
      </c>
      <c r="I65" s="24">
        <v>0</v>
      </c>
      <c r="J65" s="24">
        <v>0</v>
      </c>
      <c r="K65" s="24">
        <v>0</v>
      </c>
      <c r="L65" s="24">
        <v>0</v>
      </c>
      <c r="M65" s="24">
        <v>0.1</v>
      </c>
      <c r="N65" s="24">
        <v>0</v>
      </c>
      <c r="O65" s="24">
        <v>0</v>
      </c>
      <c r="P65" s="24">
        <v>0</v>
      </c>
      <c r="Q65" s="24">
        <v>0</v>
      </c>
      <c r="R65" s="24">
        <v>0</v>
      </c>
      <c r="S65" s="24">
        <v>0</v>
      </c>
      <c r="T65" s="24">
        <v>0</v>
      </c>
      <c r="U65" s="24">
        <v>0</v>
      </c>
      <c r="V65" s="24">
        <v>0</v>
      </c>
      <c r="W65" s="24">
        <v>0</v>
      </c>
      <c r="X65" s="24">
        <v>0</v>
      </c>
      <c r="Y65" s="24">
        <v>0.1</v>
      </c>
      <c r="Z65" s="24">
        <v>0</v>
      </c>
      <c r="AA65" s="24">
        <v>0</v>
      </c>
      <c r="AB65" s="24">
        <v>0</v>
      </c>
      <c r="AC65" s="24">
        <v>8.8</v>
      </c>
      <c r="AD65" s="24">
        <v>0</v>
      </c>
      <c r="AE65" s="24">
        <v>0</v>
      </c>
      <c r="AF65" s="24">
        <v>0</v>
      </c>
      <c r="AG65" s="24">
        <v>0</v>
      </c>
      <c r="AH65" s="24">
        <v>0.4</v>
      </c>
      <c r="AI65" s="24">
        <v>0</v>
      </c>
      <c r="AJ65" s="24">
        <v>20.8</v>
      </c>
      <c r="AK65" s="24">
        <v>0</v>
      </c>
      <c r="AL65" s="24">
        <v>2.4</v>
      </c>
      <c r="AM65" s="24">
        <v>0</v>
      </c>
      <c r="AN65" s="24">
        <v>0</v>
      </c>
      <c r="AO65" s="24">
        <v>0</v>
      </c>
      <c r="AP65" s="24">
        <v>0</v>
      </c>
      <c r="AQ65" s="24">
        <v>0</v>
      </c>
      <c r="AR65" s="24">
        <v>0</v>
      </c>
      <c r="AS65" s="24">
        <v>0</v>
      </c>
      <c r="AT65" s="24">
        <v>7</v>
      </c>
      <c r="AU65" s="24">
        <v>0</v>
      </c>
      <c r="AV65" s="24">
        <v>4.2</v>
      </c>
      <c r="AW65" s="24">
        <v>1.4</v>
      </c>
      <c r="AX65" s="24">
        <v>0</v>
      </c>
      <c r="AY65" s="24">
        <v>0</v>
      </c>
      <c r="AZ65" s="24">
        <v>0</v>
      </c>
      <c r="BA65" s="24">
        <v>2.5</v>
      </c>
      <c r="BB65" s="24">
        <v>0.4</v>
      </c>
      <c r="BC65" s="24">
        <v>4.6</v>
      </c>
      <c r="BD65" s="24">
        <v>280.9</v>
      </c>
      <c r="BE65" s="24">
        <v>81.3</v>
      </c>
      <c r="BF65" s="24">
        <v>63.9</v>
      </c>
      <c r="BG65" s="24">
        <v>72.3</v>
      </c>
      <c r="BH65" s="24">
        <v>10</v>
      </c>
      <c r="BI65" s="24">
        <v>5.2</v>
      </c>
      <c r="BJ65" s="24">
        <v>1.1</v>
      </c>
      <c r="BK65" s="24">
        <v>0</v>
      </c>
      <c r="BL65" s="24">
        <v>0</v>
      </c>
      <c r="BM65" s="24">
        <v>0</v>
      </c>
      <c r="BN65" s="24">
        <v>0</v>
      </c>
      <c r="BO65" s="24">
        <v>1743.1</v>
      </c>
      <c r="BP65" s="24">
        <v>43634.9</v>
      </c>
      <c r="BQ65" s="24">
        <v>0</v>
      </c>
      <c r="BR65" s="24">
        <v>0.5</v>
      </c>
      <c r="BS65" s="24">
        <v>0</v>
      </c>
    </row>
    <row r="66" spans="1:71" x14ac:dyDescent="0.25">
      <c r="A66" s="30" t="s">
        <v>395</v>
      </c>
      <c r="B66" s="31" t="s">
        <v>396</v>
      </c>
      <c r="C66" s="24">
        <v>0</v>
      </c>
      <c r="D66" s="24">
        <v>0</v>
      </c>
      <c r="E66" s="24">
        <v>0</v>
      </c>
      <c r="F66" s="24">
        <v>0</v>
      </c>
      <c r="G66" s="24">
        <v>0</v>
      </c>
      <c r="H66" s="24">
        <v>0</v>
      </c>
      <c r="I66" s="24">
        <v>0</v>
      </c>
      <c r="J66" s="24">
        <v>0</v>
      </c>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4">
        <v>0</v>
      </c>
      <c r="AG66" s="24">
        <v>0</v>
      </c>
      <c r="AH66" s="24">
        <v>0</v>
      </c>
      <c r="AI66" s="24">
        <v>0</v>
      </c>
      <c r="AJ66" s="24">
        <v>0</v>
      </c>
      <c r="AK66" s="24">
        <v>0</v>
      </c>
      <c r="AL66" s="24">
        <v>0</v>
      </c>
      <c r="AM66" s="24">
        <v>0</v>
      </c>
      <c r="AN66" s="24">
        <v>0</v>
      </c>
      <c r="AO66" s="24">
        <v>0</v>
      </c>
      <c r="AP66" s="24">
        <v>0</v>
      </c>
      <c r="AQ66" s="24">
        <v>0</v>
      </c>
      <c r="AR66" s="24">
        <v>0</v>
      </c>
      <c r="AS66" s="24">
        <v>0</v>
      </c>
      <c r="AT66" s="24">
        <v>0</v>
      </c>
      <c r="AU66" s="24">
        <v>0</v>
      </c>
      <c r="AV66" s="24">
        <v>0</v>
      </c>
      <c r="AW66" s="24">
        <v>0</v>
      </c>
      <c r="AX66" s="24">
        <v>0</v>
      </c>
      <c r="AY66" s="24">
        <v>0</v>
      </c>
      <c r="AZ66" s="24">
        <v>0</v>
      </c>
      <c r="BA66" s="24">
        <v>0</v>
      </c>
      <c r="BB66" s="24">
        <v>0</v>
      </c>
      <c r="BC66" s="24">
        <v>0</v>
      </c>
      <c r="BD66" s="24">
        <v>0</v>
      </c>
      <c r="BE66" s="24">
        <v>0</v>
      </c>
      <c r="BF66" s="24">
        <v>0</v>
      </c>
      <c r="BG66" s="24">
        <v>0</v>
      </c>
      <c r="BH66" s="24">
        <v>0</v>
      </c>
      <c r="BI66" s="24">
        <v>0</v>
      </c>
      <c r="BJ66" s="24">
        <v>0</v>
      </c>
      <c r="BK66" s="24">
        <v>0</v>
      </c>
      <c r="BL66" s="24">
        <v>0</v>
      </c>
      <c r="BM66" s="24">
        <v>0</v>
      </c>
      <c r="BN66" s="24">
        <v>0</v>
      </c>
      <c r="BO66" s="24">
        <v>0</v>
      </c>
      <c r="BP66" s="24">
        <v>0</v>
      </c>
      <c r="BQ66" s="24">
        <v>0</v>
      </c>
      <c r="BR66" s="24">
        <v>0</v>
      </c>
      <c r="BS66" s="24">
        <v>0</v>
      </c>
    </row>
    <row r="67" spans="1:71" x14ac:dyDescent="0.25">
      <c r="A67" s="30" t="s">
        <v>408</v>
      </c>
      <c r="B67" s="31" t="s">
        <v>409</v>
      </c>
      <c r="C67" s="24">
        <v>230146.4</v>
      </c>
      <c r="D67" s="24">
        <v>21434.6</v>
      </c>
      <c r="E67" s="24">
        <v>4307.4</v>
      </c>
      <c r="F67" s="24">
        <v>38968.7</v>
      </c>
      <c r="G67" s="24">
        <v>132312.7</v>
      </c>
      <c r="H67" s="24">
        <v>32088.6</v>
      </c>
      <c r="I67" s="24">
        <v>25626.3</v>
      </c>
      <c r="J67" s="24">
        <v>25312.8</v>
      </c>
      <c r="K67" s="24">
        <v>9276.4</v>
      </c>
      <c r="L67" s="24">
        <v>47156.4</v>
      </c>
      <c r="M67" s="24">
        <v>65780.2</v>
      </c>
      <c r="N67" s="24">
        <v>131798.9</v>
      </c>
      <c r="O67" s="24">
        <v>41902.2</v>
      </c>
      <c r="P67" s="24">
        <v>34716.6</v>
      </c>
      <c r="Q67" s="24">
        <v>37886.3</v>
      </c>
      <c r="R67" s="24">
        <v>74974.8</v>
      </c>
      <c r="S67" s="24">
        <v>118454.5</v>
      </c>
      <c r="T67" s="24">
        <v>42546.6</v>
      </c>
      <c r="U67" s="24">
        <v>102190.3</v>
      </c>
      <c r="V67" s="24">
        <v>137475.3</v>
      </c>
      <c r="W67" s="24">
        <v>28397.8</v>
      </c>
      <c r="X67" s="24">
        <v>45579.9</v>
      </c>
      <c r="Y67" s="24">
        <v>30311.2</v>
      </c>
      <c r="Z67" s="24">
        <v>335246.8</v>
      </c>
      <c r="AA67" s="24">
        <v>17647.3</v>
      </c>
      <c r="AB67" s="24">
        <v>61027.4</v>
      </c>
      <c r="AC67" s="24">
        <v>398479.8</v>
      </c>
      <c r="AD67" s="24">
        <v>87315.4</v>
      </c>
      <c r="AE67" s="24">
        <v>472646.7</v>
      </c>
      <c r="AF67" s="24">
        <v>220766.7</v>
      </c>
      <c r="AG67" s="24">
        <v>113506.3</v>
      </c>
      <c r="AH67" s="24">
        <v>59586.5</v>
      </c>
      <c r="AI67" s="24">
        <v>11937.6</v>
      </c>
      <c r="AJ67" s="24">
        <v>123878.1</v>
      </c>
      <c r="AK67" s="24">
        <v>8280.7</v>
      </c>
      <c r="AL67" s="24">
        <v>178636.3</v>
      </c>
      <c r="AM67" s="24">
        <v>64425.8</v>
      </c>
      <c r="AN67" s="24">
        <v>31726.2</v>
      </c>
      <c r="AO67" s="24">
        <v>86386.5</v>
      </c>
      <c r="AP67" s="24">
        <v>181778.8</v>
      </c>
      <c r="AQ67" s="24">
        <v>207063.7</v>
      </c>
      <c r="AR67" s="24">
        <v>77592.6</v>
      </c>
      <c r="AS67" s="24">
        <v>50830.9</v>
      </c>
      <c r="AT67" s="24">
        <v>1495163.6</v>
      </c>
      <c r="AU67" s="24">
        <v>210975.3</v>
      </c>
      <c r="AV67" s="24">
        <v>83826.4</v>
      </c>
      <c r="AW67" s="24">
        <v>81112.1</v>
      </c>
      <c r="AX67" s="24">
        <v>25001.2</v>
      </c>
      <c r="AY67" s="24">
        <v>47044.1</v>
      </c>
      <c r="AZ67" s="24">
        <v>159246.6</v>
      </c>
      <c r="BA67" s="24">
        <v>11516.8</v>
      </c>
      <c r="BB67" s="24">
        <v>16841.4</v>
      </c>
      <c r="BC67" s="24">
        <v>97541.7</v>
      </c>
      <c r="BD67" s="24">
        <v>235106.9</v>
      </c>
      <c r="BE67" s="24">
        <v>119321.5</v>
      </c>
      <c r="BF67" s="24">
        <v>221855.3</v>
      </c>
      <c r="BG67" s="24">
        <v>43459.1</v>
      </c>
      <c r="BH67" s="24">
        <v>55685.1</v>
      </c>
      <c r="BI67" s="24">
        <v>24019.6</v>
      </c>
      <c r="BJ67" s="24">
        <v>10920.5</v>
      </c>
      <c r="BK67" s="24">
        <v>7966</v>
      </c>
      <c r="BL67" s="24">
        <v>73395.4</v>
      </c>
      <c r="BM67" s="24">
        <v>12.1</v>
      </c>
      <c r="BN67" s="24">
        <v>0</v>
      </c>
      <c r="BO67" s="24">
        <v>0</v>
      </c>
      <c r="BP67" s="24">
        <v>0</v>
      </c>
      <c r="BQ67" s="24">
        <v>0</v>
      </c>
      <c r="BR67" s="24">
        <v>0</v>
      </c>
      <c r="BS67" s="24">
        <v>0</v>
      </c>
    </row>
    <row r="68" spans="1:71" x14ac:dyDescent="0.25">
      <c r="A68" s="30" t="s">
        <v>410</v>
      </c>
      <c r="B68" s="31" t="s">
        <v>411</v>
      </c>
      <c r="C68" s="24">
        <v>55795.8</v>
      </c>
      <c r="D68" s="24">
        <v>9168.9</v>
      </c>
      <c r="E68" s="24">
        <v>2540</v>
      </c>
      <c r="F68" s="24">
        <v>19451.9</v>
      </c>
      <c r="G68" s="24">
        <v>163173.1</v>
      </c>
      <c r="H68" s="24">
        <v>44207.4</v>
      </c>
      <c r="I68" s="24">
        <v>27376.6</v>
      </c>
      <c r="J68" s="24">
        <v>28810.8</v>
      </c>
      <c r="K68" s="24">
        <v>16842.9</v>
      </c>
      <c r="L68" s="24">
        <v>9163.1</v>
      </c>
      <c r="M68" s="24">
        <v>78035.1</v>
      </c>
      <c r="N68" s="24">
        <v>43594.6</v>
      </c>
      <c r="O68" s="24">
        <v>66784.9</v>
      </c>
      <c r="P68" s="24">
        <v>48639</v>
      </c>
      <c r="Q68" s="24">
        <v>47120.7</v>
      </c>
      <c r="R68" s="24">
        <v>141421.8</v>
      </c>
      <c r="S68" s="24">
        <v>64081</v>
      </c>
      <c r="T68" s="24">
        <v>75910</v>
      </c>
      <c r="U68" s="24">
        <v>170726.5</v>
      </c>
      <c r="V68" s="24">
        <v>134665.4</v>
      </c>
      <c r="W68" s="24">
        <v>40847.3</v>
      </c>
      <c r="X68" s="24">
        <v>62954.8</v>
      </c>
      <c r="Y68" s="24">
        <v>70079.3</v>
      </c>
      <c r="Z68" s="24">
        <v>83268.5</v>
      </c>
      <c r="AA68" s="24">
        <v>14135.1</v>
      </c>
      <c r="AB68" s="24">
        <v>49814.9</v>
      </c>
      <c r="AC68" s="24">
        <v>460011.2</v>
      </c>
      <c r="AD68" s="24">
        <v>116614.7</v>
      </c>
      <c r="AE68" s="24">
        <v>439785</v>
      </c>
      <c r="AF68" s="24">
        <v>388581.7</v>
      </c>
      <c r="AG68" s="24">
        <v>198638.5</v>
      </c>
      <c r="AH68" s="24">
        <v>13497.9</v>
      </c>
      <c r="AI68" s="24">
        <v>20724.1</v>
      </c>
      <c r="AJ68" s="24">
        <v>146271</v>
      </c>
      <c r="AK68" s="24">
        <v>47483.1</v>
      </c>
      <c r="AL68" s="24">
        <v>237266.2</v>
      </c>
      <c r="AM68" s="24">
        <v>41434.8</v>
      </c>
      <c r="AN68" s="24">
        <v>36394.6</v>
      </c>
      <c r="AO68" s="24">
        <v>46778.1</v>
      </c>
      <c r="AP68" s="24">
        <v>326346.8</v>
      </c>
      <c r="AQ68" s="24">
        <v>202559.6</v>
      </c>
      <c r="AR68" s="24">
        <v>52745.7</v>
      </c>
      <c r="AS68" s="24">
        <v>75668.7</v>
      </c>
      <c r="AT68" s="24">
        <v>84237</v>
      </c>
      <c r="AU68" s="24">
        <v>339931.2</v>
      </c>
      <c r="AV68" s="24">
        <v>140991.6</v>
      </c>
      <c r="AW68" s="24">
        <v>80574.1</v>
      </c>
      <c r="AX68" s="24">
        <v>40093.7</v>
      </c>
      <c r="AY68" s="24">
        <v>34556.9</v>
      </c>
      <c r="AZ68" s="24">
        <v>33083.2</v>
      </c>
      <c r="BA68" s="24">
        <v>165308.9</v>
      </c>
      <c r="BB68" s="24">
        <v>12775</v>
      </c>
      <c r="BC68" s="24">
        <v>231395.7</v>
      </c>
      <c r="BD68" s="24">
        <v>713606.4</v>
      </c>
      <c r="BE68" s="24">
        <v>615661.2</v>
      </c>
      <c r="BF68" s="24">
        <v>556785.3</v>
      </c>
      <c r="BG68" s="24">
        <v>326038.8</v>
      </c>
      <c r="BH68" s="24">
        <v>54191.3</v>
      </c>
      <c r="BI68" s="24">
        <v>54683.6</v>
      </c>
      <c r="BJ68" s="24">
        <v>89371.3</v>
      </c>
      <c r="BK68" s="24">
        <v>8515.5</v>
      </c>
      <c r="BL68" s="24">
        <v>40841</v>
      </c>
      <c r="BM68" s="24">
        <v>46020.6</v>
      </c>
      <c r="BN68" s="24">
        <v>0</v>
      </c>
      <c r="BO68" s="24">
        <v>0</v>
      </c>
      <c r="BP68" s="24">
        <v>0</v>
      </c>
      <c r="BQ68" s="24">
        <v>0</v>
      </c>
      <c r="BR68" s="24">
        <v>0</v>
      </c>
      <c r="BS68" s="24">
        <v>0</v>
      </c>
    </row>
    <row r="69" spans="1:71" x14ac:dyDescent="0.25">
      <c r="A69" s="30" t="s">
        <v>412</v>
      </c>
      <c r="B69" s="31" t="s">
        <v>413</v>
      </c>
      <c r="C69" s="24">
        <v>10176.4</v>
      </c>
      <c r="D69" s="24">
        <v>830.9</v>
      </c>
      <c r="E69" s="24">
        <v>277.3</v>
      </c>
      <c r="F69" s="24">
        <v>1221.3</v>
      </c>
      <c r="G69" s="24">
        <v>8652.6</v>
      </c>
      <c r="H69" s="24">
        <v>2007.2</v>
      </c>
      <c r="I69" s="24">
        <v>1004.4</v>
      </c>
      <c r="J69" s="24">
        <v>1510</v>
      </c>
      <c r="K69" s="24">
        <v>476.5</v>
      </c>
      <c r="L69" s="24">
        <v>4261</v>
      </c>
      <c r="M69" s="24">
        <v>5854.9</v>
      </c>
      <c r="N69" s="24">
        <v>2161.6</v>
      </c>
      <c r="O69" s="24">
        <v>2357.5</v>
      </c>
      <c r="P69" s="24">
        <v>2427</v>
      </c>
      <c r="Q69" s="24">
        <v>2737</v>
      </c>
      <c r="R69" s="24">
        <v>3458.7</v>
      </c>
      <c r="S69" s="24">
        <v>1791.4</v>
      </c>
      <c r="T69" s="24">
        <v>2144.4</v>
      </c>
      <c r="U69" s="24">
        <v>3139.9</v>
      </c>
      <c r="V69" s="24">
        <v>4089.3</v>
      </c>
      <c r="W69" s="24">
        <v>1120.1</v>
      </c>
      <c r="X69" s="24">
        <v>2110.6</v>
      </c>
      <c r="Y69" s="24">
        <v>1265</v>
      </c>
      <c r="Z69" s="24">
        <v>2102.8</v>
      </c>
      <c r="AA69" s="24">
        <v>820.2</v>
      </c>
      <c r="AB69" s="24">
        <v>5337.5</v>
      </c>
      <c r="AC69" s="24">
        <v>19553.3</v>
      </c>
      <c r="AD69" s="24">
        <v>3172.3</v>
      </c>
      <c r="AE69" s="24">
        <v>11522.3</v>
      </c>
      <c r="AF69" s="24">
        <v>7121.6</v>
      </c>
      <c r="AG69" s="24">
        <v>24576.5</v>
      </c>
      <c r="AH69" s="24">
        <v>3059.1</v>
      </c>
      <c r="AI69" s="24">
        <v>4625.1</v>
      </c>
      <c r="AJ69" s="24">
        <v>9440.3</v>
      </c>
      <c r="AK69" s="24">
        <v>4179.7</v>
      </c>
      <c r="AL69" s="24">
        <v>13316.2</v>
      </c>
      <c r="AM69" s="24">
        <v>1310.9</v>
      </c>
      <c r="AN69" s="24">
        <v>1346.5</v>
      </c>
      <c r="AO69" s="24">
        <v>1905.6</v>
      </c>
      <c r="AP69" s="24">
        <v>5282.9</v>
      </c>
      <c r="AQ69" s="24">
        <v>21640.7</v>
      </c>
      <c r="AR69" s="24">
        <v>17153.2</v>
      </c>
      <c r="AS69" s="24">
        <v>10618.3</v>
      </c>
      <c r="AT69" s="24">
        <v>25744.6</v>
      </c>
      <c r="AU69" s="24">
        <v>10070.3</v>
      </c>
      <c r="AV69" s="24">
        <v>2183.5</v>
      </c>
      <c r="AW69" s="24">
        <v>5575</v>
      </c>
      <c r="AX69" s="24">
        <v>797.9</v>
      </c>
      <c r="AY69" s="24">
        <v>1181.8</v>
      </c>
      <c r="AZ69" s="24">
        <v>3231.2</v>
      </c>
      <c r="BA69" s="24">
        <v>590.7</v>
      </c>
      <c r="BB69" s="24">
        <v>1084.6</v>
      </c>
      <c r="BC69" s="24">
        <v>4254.4</v>
      </c>
      <c r="BD69" s="24">
        <v>52991.2</v>
      </c>
      <c r="BE69" s="24">
        <v>18122.2</v>
      </c>
      <c r="BF69" s="24">
        <v>43878.9</v>
      </c>
      <c r="BG69" s="24">
        <v>18155.5</v>
      </c>
      <c r="BH69" s="24">
        <v>8179.7</v>
      </c>
      <c r="BI69" s="24">
        <v>5393.5</v>
      </c>
      <c r="BJ69" s="24">
        <v>7561</v>
      </c>
      <c r="BK69" s="24">
        <v>246.6</v>
      </c>
      <c r="BL69" s="24">
        <v>1562.4</v>
      </c>
      <c r="BM69" s="24">
        <v>0</v>
      </c>
      <c r="BN69" s="24">
        <v>0</v>
      </c>
      <c r="BO69" s="24">
        <v>19201.1</v>
      </c>
      <c r="BP69" s="24">
        <v>942316.8</v>
      </c>
      <c r="BQ69" s="24">
        <v>72.1</v>
      </c>
      <c r="BR69" s="24">
        <v>252326.1</v>
      </c>
      <c r="BS69" s="24">
        <v>1143.4</v>
      </c>
    </row>
    <row r="70" spans="1:71" x14ac:dyDescent="0.25">
      <c r="A70" s="30" t="s">
        <v>414</v>
      </c>
      <c r="B70" s="31" t="s">
        <v>415</v>
      </c>
      <c r="C70" s="24">
        <v>-42811.3</v>
      </c>
      <c r="D70" s="24">
        <v>-353.8</v>
      </c>
      <c r="E70" s="24">
        <v>-193.5</v>
      </c>
      <c r="F70" s="24">
        <v>474.8</v>
      </c>
      <c r="G70" s="24">
        <v>2050.5</v>
      </c>
      <c r="H70" s="24">
        <v>189.7</v>
      </c>
      <c r="I70" s="24">
        <v>458.9</v>
      </c>
      <c r="J70" s="24">
        <v>686.9</v>
      </c>
      <c r="K70" s="24">
        <v>71.1</v>
      </c>
      <c r="L70" s="24">
        <v>6713.8</v>
      </c>
      <c r="M70" s="24">
        <v>1304.9</v>
      </c>
      <c r="N70" s="24">
        <v>576.8</v>
      </c>
      <c r="O70" s="24">
        <v>298.7</v>
      </c>
      <c r="P70" s="24">
        <v>2331.5</v>
      </c>
      <c r="Q70" s="24">
        <v>789.9</v>
      </c>
      <c r="R70" s="24">
        <v>1068.2</v>
      </c>
      <c r="S70" s="24">
        <v>-133.3</v>
      </c>
      <c r="T70" s="24">
        <v>67.8</v>
      </c>
      <c r="U70" s="24">
        <v>396.3</v>
      </c>
      <c r="V70" s="24">
        <v>815.5</v>
      </c>
      <c r="W70" s="24">
        <v>-93.6</v>
      </c>
      <c r="X70" s="24">
        <v>419.4</v>
      </c>
      <c r="Y70" s="24">
        <v>1096.1</v>
      </c>
      <c r="Z70" s="24">
        <v>7390.4</v>
      </c>
      <c r="AA70" s="24">
        <v>495.8</v>
      </c>
      <c r="AB70" s="24">
        <v>743.3</v>
      </c>
      <c r="AC70" s="24">
        <v>13071.9</v>
      </c>
      <c r="AD70" s="24">
        <v>5755.7</v>
      </c>
      <c r="AE70" s="24">
        <v>-12758.9</v>
      </c>
      <c r="AF70" s="24">
        <v>30098.1</v>
      </c>
      <c r="AG70" s="24">
        <v>-3514.6</v>
      </c>
      <c r="AH70" s="24">
        <v>-444.9</v>
      </c>
      <c r="AI70" s="24">
        <v>248.5</v>
      </c>
      <c r="AJ70" s="24">
        <v>3655.4</v>
      </c>
      <c r="AK70" s="24">
        <v>-422.1</v>
      </c>
      <c r="AL70" s="24">
        <v>4320.9</v>
      </c>
      <c r="AM70" s="24">
        <v>444.2</v>
      </c>
      <c r="AN70" s="24">
        <v>-1076.9</v>
      </c>
      <c r="AO70" s="24">
        <v>2242</v>
      </c>
      <c r="AP70" s="24">
        <v>4559</v>
      </c>
      <c r="AQ70" s="24">
        <v>33761.6</v>
      </c>
      <c r="AR70" s="24">
        <v>3900</v>
      </c>
      <c r="AS70" s="24">
        <v>3015.6</v>
      </c>
      <c r="AT70" s="24">
        <v>94419.1</v>
      </c>
      <c r="AU70" s="24">
        <v>5220.6</v>
      </c>
      <c r="AV70" s="24">
        <v>2297.9</v>
      </c>
      <c r="AW70" s="24">
        <v>-5869.8</v>
      </c>
      <c r="AX70" s="24">
        <v>607.7</v>
      </c>
      <c r="AY70" s="24">
        <v>468.2</v>
      </c>
      <c r="AZ70" s="24">
        <v>1762.8</v>
      </c>
      <c r="BA70" s="24">
        <v>1419.5</v>
      </c>
      <c r="BB70" s="24">
        <v>-662.9</v>
      </c>
      <c r="BC70" s="24">
        <v>-543.8</v>
      </c>
      <c r="BD70" s="24">
        <v>12008</v>
      </c>
      <c r="BE70" s="24">
        <v>5445.2</v>
      </c>
      <c r="BF70" s="24">
        <v>2620.8</v>
      </c>
      <c r="BG70" s="24">
        <v>-149.1</v>
      </c>
      <c r="BH70" s="24">
        <v>112.9</v>
      </c>
      <c r="BI70" s="24">
        <v>-714</v>
      </c>
      <c r="BJ70" s="24">
        <v>-825.1</v>
      </c>
      <c r="BK70" s="24">
        <v>174.3</v>
      </c>
      <c r="BL70" s="24">
        <v>487.3</v>
      </c>
      <c r="BM70" s="24">
        <v>0</v>
      </c>
      <c r="BN70" s="24">
        <v>0</v>
      </c>
      <c r="BO70" s="24">
        <v>0</v>
      </c>
      <c r="BP70" s="24">
        <v>0</v>
      </c>
      <c r="BQ70" s="24">
        <v>0</v>
      </c>
      <c r="BR70" s="24">
        <v>0</v>
      </c>
      <c r="BS70" s="24">
        <v>0</v>
      </c>
    </row>
    <row r="71" spans="1:71" x14ac:dyDescent="0.25">
      <c r="A71" s="30" t="s">
        <v>416</v>
      </c>
      <c r="B71" s="31" t="s">
        <v>417</v>
      </c>
      <c r="C71" s="24">
        <v>0</v>
      </c>
      <c r="D71" s="24">
        <v>0</v>
      </c>
      <c r="E71" s="24">
        <v>0</v>
      </c>
      <c r="F71" s="24">
        <v>0</v>
      </c>
      <c r="G71" s="24">
        <v>0</v>
      </c>
      <c r="H71" s="24">
        <v>0</v>
      </c>
      <c r="I71" s="24">
        <v>0</v>
      </c>
      <c r="J71" s="24">
        <v>0</v>
      </c>
      <c r="K71" s="24">
        <v>0</v>
      </c>
      <c r="L71" s="24">
        <v>0</v>
      </c>
      <c r="M71" s="24">
        <v>0</v>
      </c>
      <c r="N71" s="24">
        <v>0</v>
      </c>
      <c r="O71" s="24">
        <v>0</v>
      </c>
      <c r="P71" s="24">
        <v>0</v>
      </c>
      <c r="Q71" s="24">
        <v>0</v>
      </c>
      <c r="R71" s="24">
        <v>0</v>
      </c>
      <c r="S71" s="24">
        <v>0</v>
      </c>
      <c r="T71" s="24">
        <v>0</v>
      </c>
      <c r="U71" s="24">
        <v>0</v>
      </c>
      <c r="V71" s="24">
        <v>0</v>
      </c>
      <c r="W71" s="24">
        <v>0</v>
      </c>
      <c r="X71" s="24">
        <v>0</v>
      </c>
      <c r="Y71" s="24">
        <v>0</v>
      </c>
      <c r="Z71" s="24">
        <v>0</v>
      </c>
      <c r="AA71" s="24">
        <v>0</v>
      </c>
      <c r="AB71" s="24">
        <v>0</v>
      </c>
      <c r="AC71" s="24">
        <v>0</v>
      </c>
      <c r="AD71" s="24">
        <v>0</v>
      </c>
      <c r="AE71" s="24">
        <v>0</v>
      </c>
      <c r="AF71" s="24">
        <v>0</v>
      </c>
      <c r="AG71" s="24">
        <v>0</v>
      </c>
      <c r="AH71" s="24">
        <v>0</v>
      </c>
      <c r="AI71" s="24">
        <v>0</v>
      </c>
      <c r="AJ71" s="24">
        <v>0</v>
      </c>
      <c r="AK71" s="24">
        <v>0</v>
      </c>
      <c r="AL71" s="24">
        <v>0</v>
      </c>
      <c r="AM71" s="24">
        <v>0</v>
      </c>
      <c r="AN71" s="24">
        <v>0</v>
      </c>
      <c r="AO71" s="24">
        <v>0</v>
      </c>
      <c r="AP71" s="24">
        <v>0</v>
      </c>
      <c r="AQ71" s="24">
        <v>0</v>
      </c>
      <c r="AR71" s="24">
        <v>0</v>
      </c>
      <c r="AS71" s="24">
        <v>0</v>
      </c>
      <c r="AT71" s="24">
        <v>0</v>
      </c>
      <c r="AU71" s="24">
        <v>0</v>
      </c>
      <c r="AV71" s="24">
        <v>0</v>
      </c>
      <c r="AW71" s="24">
        <v>0</v>
      </c>
      <c r="AX71" s="24">
        <v>0</v>
      </c>
      <c r="AY71" s="24">
        <v>0</v>
      </c>
      <c r="AZ71" s="24">
        <v>0</v>
      </c>
      <c r="BA71" s="24">
        <v>0</v>
      </c>
      <c r="BB71" s="24">
        <v>0</v>
      </c>
      <c r="BC71" s="24">
        <v>0</v>
      </c>
      <c r="BD71" s="24">
        <v>0</v>
      </c>
      <c r="BE71" s="24">
        <v>0</v>
      </c>
      <c r="BF71" s="24">
        <v>0</v>
      </c>
      <c r="BG71" s="24">
        <v>0</v>
      </c>
      <c r="BH71" s="24">
        <v>0</v>
      </c>
      <c r="BI71" s="24">
        <v>0</v>
      </c>
      <c r="BJ71" s="24">
        <v>0</v>
      </c>
      <c r="BK71" s="24">
        <v>0</v>
      </c>
      <c r="BL71" s="24">
        <v>0</v>
      </c>
      <c r="BM71" s="24">
        <v>0</v>
      </c>
      <c r="BN71" s="24">
        <v>0</v>
      </c>
      <c r="BO71" s="24">
        <v>0</v>
      </c>
      <c r="BP71" s="24">
        <v>316426.1</v>
      </c>
      <c r="BQ71" s="24">
        <v>0</v>
      </c>
      <c r="BR71" s="24">
        <v>0</v>
      </c>
      <c r="BS71" s="24">
        <v>0</v>
      </c>
    </row>
    <row r="72" spans="1:71" x14ac:dyDescent="0.25">
      <c r="A72" s="30" t="s">
        <v>418</v>
      </c>
      <c r="B72" s="31" t="s">
        <v>419</v>
      </c>
      <c r="C72" s="24">
        <v>0</v>
      </c>
      <c r="D72" s="24">
        <v>0</v>
      </c>
      <c r="E72" s="24">
        <v>0</v>
      </c>
      <c r="F72" s="24">
        <v>0</v>
      </c>
      <c r="G72" s="24">
        <v>0</v>
      </c>
      <c r="H72" s="24">
        <v>0</v>
      </c>
      <c r="I72" s="24">
        <v>0</v>
      </c>
      <c r="J72" s="24">
        <v>0</v>
      </c>
      <c r="K72" s="24">
        <v>0</v>
      </c>
      <c r="L72" s="24">
        <v>0</v>
      </c>
      <c r="M72" s="24">
        <v>0</v>
      </c>
      <c r="N72" s="24">
        <v>0</v>
      </c>
      <c r="O72" s="24">
        <v>0</v>
      </c>
      <c r="P72" s="24">
        <v>0</v>
      </c>
      <c r="Q72" s="24">
        <v>0</v>
      </c>
      <c r="R72" s="24">
        <v>0</v>
      </c>
      <c r="S72" s="24">
        <v>0</v>
      </c>
      <c r="T72" s="24">
        <v>0</v>
      </c>
      <c r="U72" s="24">
        <v>0</v>
      </c>
      <c r="V72" s="24">
        <v>0</v>
      </c>
      <c r="W72" s="24">
        <v>0</v>
      </c>
      <c r="X72" s="24">
        <v>0</v>
      </c>
      <c r="Y72" s="24">
        <v>0</v>
      </c>
      <c r="Z72" s="24">
        <v>0</v>
      </c>
      <c r="AA72" s="24">
        <v>0</v>
      </c>
      <c r="AB72" s="24">
        <v>0</v>
      </c>
      <c r="AC72" s="24">
        <v>0</v>
      </c>
      <c r="AD72" s="24">
        <v>0</v>
      </c>
      <c r="AE72" s="24">
        <v>0</v>
      </c>
      <c r="AF72" s="24">
        <v>0</v>
      </c>
      <c r="AG72" s="24">
        <v>0</v>
      </c>
      <c r="AH72" s="24">
        <v>0</v>
      </c>
      <c r="AI72" s="24">
        <v>0</v>
      </c>
      <c r="AJ72" s="24">
        <v>0</v>
      </c>
      <c r="AK72" s="24">
        <v>0</v>
      </c>
      <c r="AL72" s="24">
        <v>0</v>
      </c>
      <c r="AM72" s="24">
        <v>0</v>
      </c>
      <c r="AN72" s="24">
        <v>0</v>
      </c>
      <c r="AO72" s="24">
        <v>0</v>
      </c>
      <c r="AP72" s="24">
        <v>0</v>
      </c>
      <c r="AQ72" s="24">
        <v>0</v>
      </c>
      <c r="AR72" s="24">
        <v>0</v>
      </c>
      <c r="AS72" s="24">
        <v>0</v>
      </c>
      <c r="AT72" s="24">
        <v>0</v>
      </c>
      <c r="AU72" s="24">
        <v>0</v>
      </c>
      <c r="AV72" s="24">
        <v>0</v>
      </c>
      <c r="AW72" s="24">
        <v>0</v>
      </c>
      <c r="AX72" s="24">
        <v>0</v>
      </c>
      <c r="AY72" s="24">
        <v>0</v>
      </c>
      <c r="AZ72" s="24">
        <v>0</v>
      </c>
      <c r="BA72" s="24">
        <v>0</v>
      </c>
      <c r="BB72" s="24">
        <v>0</v>
      </c>
      <c r="BC72" s="24">
        <v>0</v>
      </c>
      <c r="BD72" s="24">
        <v>0</v>
      </c>
      <c r="BE72" s="24">
        <v>0</v>
      </c>
      <c r="BF72" s="24">
        <v>0</v>
      </c>
      <c r="BG72" s="24">
        <v>0</v>
      </c>
      <c r="BH72" s="24">
        <v>0</v>
      </c>
      <c r="BI72" s="24">
        <v>0</v>
      </c>
      <c r="BJ72" s="24">
        <v>0</v>
      </c>
      <c r="BK72" s="24">
        <v>0</v>
      </c>
      <c r="BL72" s="24">
        <v>0</v>
      </c>
      <c r="BM72" s="24">
        <v>0</v>
      </c>
      <c r="BN72" s="24">
        <v>0</v>
      </c>
      <c r="BO72" s="24">
        <v>0</v>
      </c>
      <c r="BP72" s="24">
        <v>-405789</v>
      </c>
      <c r="BQ72" s="24">
        <v>0</v>
      </c>
      <c r="BR72" s="24">
        <v>0</v>
      </c>
      <c r="BS72" s="24">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BS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71" width="11" customWidth="1"/>
  </cols>
  <sheetData>
    <row r="1" spans="1:71" x14ac:dyDescent="0.25">
      <c r="A1" s="27" t="s">
        <v>421</v>
      </c>
      <c r="B1" s="27"/>
      <c r="C1" s="28" t="s">
        <v>273</v>
      </c>
      <c r="D1" s="28" t="s">
        <v>276</v>
      </c>
      <c r="E1" s="28" t="s">
        <v>278</v>
      </c>
      <c r="F1" s="28" t="s">
        <v>280</v>
      </c>
      <c r="G1" s="28" t="s">
        <v>282</v>
      </c>
      <c r="H1" s="28" t="s">
        <v>145</v>
      </c>
      <c r="I1" s="28" t="s">
        <v>85</v>
      </c>
      <c r="J1" s="28" t="s">
        <v>87</v>
      </c>
      <c r="K1" s="28" t="s">
        <v>89</v>
      </c>
      <c r="L1" s="28" t="s">
        <v>91</v>
      </c>
      <c r="M1" s="28" t="s">
        <v>93</v>
      </c>
      <c r="N1" s="28" t="s">
        <v>95</v>
      </c>
      <c r="O1" s="28" t="s">
        <v>97</v>
      </c>
      <c r="P1" s="28" t="s">
        <v>99</v>
      </c>
      <c r="Q1" s="28" t="s">
        <v>101</v>
      </c>
      <c r="R1" s="28" t="s">
        <v>103</v>
      </c>
      <c r="S1" s="28" t="s">
        <v>105</v>
      </c>
      <c r="T1" s="28" t="s">
        <v>107</v>
      </c>
      <c r="U1" s="28" t="s">
        <v>109</v>
      </c>
      <c r="V1" s="28" t="s">
        <v>111</v>
      </c>
      <c r="W1" s="28" t="s">
        <v>113</v>
      </c>
      <c r="X1" s="28" t="s">
        <v>301</v>
      </c>
      <c r="Y1" s="28" t="s">
        <v>119</v>
      </c>
      <c r="Z1" s="28" t="s">
        <v>304</v>
      </c>
      <c r="AA1" s="28" t="s">
        <v>307</v>
      </c>
      <c r="AB1" s="28" t="s">
        <v>310</v>
      </c>
      <c r="AC1" s="28" t="s">
        <v>312</v>
      </c>
      <c r="AD1" s="28" t="s">
        <v>314</v>
      </c>
      <c r="AE1" s="28" t="s">
        <v>317</v>
      </c>
      <c r="AF1" s="28" t="s">
        <v>319</v>
      </c>
      <c r="AG1" s="28" t="s">
        <v>321</v>
      </c>
      <c r="AH1" s="28" t="s">
        <v>134</v>
      </c>
      <c r="AI1" s="28" t="s">
        <v>137</v>
      </c>
      <c r="AJ1" s="28" t="s">
        <v>326</v>
      </c>
      <c r="AK1" s="28" t="s">
        <v>328</v>
      </c>
      <c r="AL1" s="28" t="s">
        <v>330</v>
      </c>
      <c r="AM1" s="28" t="s">
        <v>332</v>
      </c>
      <c r="AN1" s="28" t="s">
        <v>335</v>
      </c>
      <c r="AO1" s="28" t="s">
        <v>337</v>
      </c>
      <c r="AP1" s="28" t="s">
        <v>339</v>
      </c>
      <c r="AQ1" s="28" t="s">
        <v>341</v>
      </c>
      <c r="AR1" s="28" t="s">
        <v>344</v>
      </c>
      <c r="AS1" s="28" t="s">
        <v>346</v>
      </c>
      <c r="AT1" s="28" t="s">
        <v>348</v>
      </c>
      <c r="AU1" s="28" t="s">
        <v>350</v>
      </c>
      <c r="AV1" s="28" t="s">
        <v>353</v>
      </c>
      <c r="AW1" s="28" t="s">
        <v>355</v>
      </c>
      <c r="AX1" s="28" t="s">
        <v>357</v>
      </c>
      <c r="AY1" s="28" t="s">
        <v>359</v>
      </c>
      <c r="AZ1" s="28" t="s">
        <v>361</v>
      </c>
      <c r="BA1" s="28" t="s">
        <v>364</v>
      </c>
      <c r="BB1" s="28" t="s">
        <v>366</v>
      </c>
      <c r="BC1" s="28" t="s">
        <v>368</v>
      </c>
      <c r="BD1" s="28" t="s">
        <v>370</v>
      </c>
      <c r="BE1" s="28" t="s">
        <v>373</v>
      </c>
      <c r="BF1" s="28" t="s">
        <v>376</v>
      </c>
      <c r="BG1" s="28" t="s">
        <v>379</v>
      </c>
      <c r="BH1" s="28" t="s">
        <v>381</v>
      </c>
      <c r="BI1" s="28" t="s">
        <v>384</v>
      </c>
      <c r="BJ1" s="28" t="s">
        <v>386</v>
      </c>
      <c r="BK1" s="28" t="s">
        <v>389</v>
      </c>
      <c r="BL1" s="28" t="s">
        <v>391</v>
      </c>
      <c r="BM1" s="28" t="s">
        <v>393</v>
      </c>
      <c r="BN1" s="28" t="s">
        <v>395</v>
      </c>
      <c r="BO1" s="28" t="s">
        <v>398</v>
      </c>
      <c r="BP1" s="28" t="s">
        <v>399</v>
      </c>
      <c r="BQ1" s="28" t="s">
        <v>400</v>
      </c>
      <c r="BR1" s="28" t="s">
        <v>401</v>
      </c>
      <c r="BS1" s="28" t="s">
        <v>402</v>
      </c>
    </row>
    <row r="2" ht="46" customHeight="1" spans="1:71"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c r="BO2" s="29" t="s">
        <v>403</v>
      </c>
      <c r="BP2" s="29" t="s">
        <v>404</v>
      </c>
      <c r="BQ2" s="29" t="s">
        <v>405</v>
      </c>
      <c r="BR2" s="29" t="s">
        <v>406</v>
      </c>
      <c r="BS2" s="29" t="s">
        <v>407</v>
      </c>
    </row>
    <row r="3" spans="1:71" x14ac:dyDescent="0.25">
      <c r="A3" s="30" t="s">
        <v>273</v>
      </c>
      <c r="B3" s="31" t="s">
        <v>274</v>
      </c>
      <c r="C3" s="24">
        <v>3420.3999999999996</v>
      </c>
      <c r="D3" s="24">
        <v>35.8</v>
      </c>
      <c r="E3" s="24">
        <v>4.2</v>
      </c>
      <c r="F3" s="24">
        <v>0.8</v>
      </c>
      <c r="G3" s="24">
        <v>24018.1</v>
      </c>
      <c r="H3" s="24">
        <v>308.5</v>
      </c>
      <c r="I3" s="24">
        <v>42.00000000000001</v>
      </c>
      <c r="J3" s="24">
        <v>37.6</v>
      </c>
      <c r="K3" s="24">
        <v>0.6000000000000001</v>
      </c>
      <c r="L3" s="24">
        <v>15.8</v>
      </c>
      <c r="M3" s="24">
        <v>341.7</v>
      </c>
      <c r="N3" s="24">
        <v>67.69999999999999</v>
      </c>
      <c r="O3" s="24">
        <v>328.29999999999995</v>
      </c>
      <c r="P3" s="24">
        <v>4.6</v>
      </c>
      <c r="Q3" s="24">
        <v>4.5</v>
      </c>
      <c r="R3" s="24">
        <v>3.7</v>
      </c>
      <c r="S3" s="24">
        <v>2.7</v>
      </c>
      <c r="T3" s="24">
        <v>3.1</v>
      </c>
      <c r="U3" s="24">
        <v>4.7</v>
      </c>
      <c r="V3" s="24">
        <v>6.800000000000001</v>
      </c>
      <c r="W3" s="24">
        <v>1.3000000000000003</v>
      </c>
      <c r="X3" s="24">
        <v>23.499999999999996</v>
      </c>
      <c r="Y3" s="24">
        <v>1.2</v>
      </c>
      <c r="Z3" s="24">
        <v>71.3</v>
      </c>
      <c r="AA3" s="24">
        <v>0.5</v>
      </c>
      <c r="AB3" s="24">
        <v>8.100000000000001</v>
      </c>
      <c r="AC3" s="24">
        <v>23.499999999999996</v>
      </c>
      <c r="AD3" s="24">
        <v>1.6999999999999997</v>
      </c>
      <c r="AE3" s="24">
        <v>191.79999999999998</v>
      </c>
      <c r="AF3" s="24">
        <v>34.3</v>
      </c>
      <c r="AG3" s="24">
        <v>8</v>
      </c>
      <c r="AH3" s="24">
        <v>12.9</v>
      </c>
      <c r="AI3" s="24">
        <v>2.1000000000000005</v>
      </c>
      <c r="AJ3" s="24">
        <v>6.000000000000001</v>
      </c>
      <c r="AK3" s="24">
        <v>0.4</v>
      </c>
      <c r="AL3" s="24">
        <v>677</v>
      </c>
      <c r="AM3" s="24">
        <v>1.9000000000000004</v>
      </c>
      <c r="AN3" s="24">
        <v>4</v>
      </c>
      <c r="AO3" s="24">
        <v>1.4</v>
      </c>
      <c r="AP3" s="24">
        <v>10.3</v>
      </c>
      <c r="AQ3" s="24">
        <v>1.2999999999999998</v>
      </c>
      <c r="AR3" s="24">
        <v>0.8</v>
      </c>
      <c r="AS3" s="24">
        <v>1.1</v>
      </c>
      <c r="AT3" s="24">
        <v>5.300000000000001</v>
      </c>
      <c r="AU3" s="24">
        <v>11.100000000000001</v>
      </c>
      <c r="AV3" s="24">
        <v>2.5</v>
      </c>
      <c r="AW3" s="24">
        <v>6.6</v>
      </c>
      <c r="AX3" s="24">
        <v>3.9</v>
      </c>
      <c r="AY3" s="24">
        <v>3.9000000000000004</v>
      </c>
      <c r="AZ3" s="24">
        <v>2.7</v>
      </c>
      <c r="BA3" s="24">
        <v>0.7000000000000001</v>
      </c>
      <c r="BB3" s="24">
        <v>3.8</v>
      </c>
      <c r="BC3" s="24">
        <v>154.9</v>
      </c>
      <c r="BD3" s="24">
        <v>102.1</v>
      </c>
      <c r="BE3" s="24">
        <v>35.9</v>
      </c>
      <c r="BF3" s="24">
        <v>101</v>
      </c>
      <c r="BG3" s="24">
        <v>78.20000000000002</v>
      </c>
      <c r="BH3" s="24">
        <v>12.3</v>
      </c>
      <c r="BI3" s="24">
        <v>6.4</v>
      </c>
      <c r="BJ3" s="24">
        <v>6</v>
      </c>
      <c r="BK3" s="24">
        <v>0.1</v>
      </c>
      <c r="BL3" s="24">
        <v>10</v>
      </c>
      <c r="BM3" s="24">
        <v>0</v>
      </c>
      <c r="BN3" s="24">
        <v>0</v>
      </c>
      <c r="BO3" s="24">
        <v>107.69999999999999</v>
      </c>
      <c r="BP3" s="24">
        <v>18571</v>
      </c>
      <c r="BQ3" s="24">
        <v>0</v>
      </c>
      <c r="BR3" s="24">
        <v>607.9</v>
      </c>
      <c r="BS3" s="24">
        <v>951.5999999999999</v>
      </c>
    </row>
    <row r="4" spans="1:71" x14ac:dyDescent="0.25">
      <c r="A4" s="30" t="s">
        <v>276</v>
      </c>
      <c r="B4" s="31" t="s">
        <v>277</v>
      </c>
      <c r="C4" s="24">
        <v>18.9</v>
      </c>
      <c r="D4" s="24">
        <v>79.20000000000002</v>
      </c>
      <c r="E4" s="24">
        <v>0</v>
      </c>
      <c r="F4" s="24">
        <v>0.1</v>
      </c>
      <c r="G4" s="24">
        <v>81.89999999999998</v>
      </c>
      <c r="H4" s="24">
        <v>2</v>
      </c>
      <c r="I4" s="24">
        <v>506.5999999999999</v>
      </c>
      <c r="J4" s="24">
        <v>212.2</v>
      </c>
      <c r="K4" s="24">
        <v>0.1</v>
      </c>
      <c r="L4" s="24">
        <v>1.2000000000000002</v>
      </c>
      <c r="M4" s="24">
        <v>38.2</v>
      </c>
      <c r="N4" s="24">
        <v>2.5</v>
      </c>
      <c r="O4" s="24">
        <v>4.7</v>
      </c>
      <c r="P4" s="24">
        <v>0.5</v>
      </c>
      <c r="Q4" s="24">
        <v>0.5</v>
      </c>
      <c r="R4" s="24">
        <v>1.3</v>
      </c>
      <c r="S4" s="24">
        <v>0.2</v>
      </c>
      <c r="T4" s="24">
        <v>0</v>
      </c>
      <c r="U4" s="24">
        <v>0.4</v>
      </c>
      <c r="V4" s="24">
        <v>0.5</v>
      </c>
      <c r="W4" s="24">
        <v>0</v>
      </c>
      <c r="X4" s="24">
        <v>22.200000000000003</v>
      </c>
      <c r="Y4" s="24">
        <v>0</v>
      </c>
      <c r="Z4" s="24">
        <v>12.8</v>
      </c>
      <c r="AA4" s="24">
        <v>0.1</v>
      </c>
      <c r="AB4" s="24">
        <v>0.1</v>
      </c>
      <c r="AC4" s="24">
        <v>24.8</v>
      </c>
      <c r="AD4" s="24">
        <v>0</v>
      </c>
      <c r="AE4" s="24">
        <v>4.3999999999999995</v>
      </c>
      <c r="AF4" s="24">
        <v>2.1</v>
      </c>
      <c r="AG4" s="24">
        <v>0.8</v>
      </c>
      <c r="AH4" s="24">
        <v>0.1</v>
      </c>
      <c r="AI4" s="24">
        <v>3.1</v>
      </c>
      <c r="AJ4" s="24">
        <v>0.30000000000000004</v>
      </c>
      <c r="AK4" s="24">
        <v>0</v>
      </c>
      <c r="AL4" s="24">
        <v>4.300000000000001</v>
      </c>
      <c r="AM4" s="24">
        <v>0.2</v>
      </c>
      <c r="AN4" s="24">
        <v>0</v>
      </c>
      <c r="AO4" s="24">
        <v>0</v>
      </c>
      <c r="AP4" s="24">
        <v>1.2000000000000002</v>
      </c>
      <c r="AQ4" s="24">
        <v>0</v>
      </c>
      <c r="AR4" s="24">
        <v>0</v>
      </c>
      <c r="AS4" s="24">
        <v>0</v>
      </c>
      <c r="AT4" s="24">
        <v>0.1</v>
      </c>
      <c r="AU4" s="24">
        <v>0.4</v>
      </c>
      <c r="AV4" s="24">
        <v>0.8</v>
      </c>
      <c r="AW4" s="24">
        <v>0.2</v>
      </c>
      <c r="AX4" s="24">
        <v>0</v>
      </c>
      <c r="AY4" s="24">
        <v>0</v>
      </c>
      <c r="AZ4" s="24">
        <v>0.2</v>
      </c>
      <c r="BA4" s="24">
        <v>0</v>
      </c>
      <c r="BB4" s="24">
        <v>0.1</v>
      </c>
      <c r="BC4" s="24">
        <v>3.7</v>
      </c>
      <c r="BD4" s="24">
        <v>14.399999999999999</v>
      </c>
      <c r="BE4" s="24">
        <v>0.30000000000000004</v>
      </c>
      <c r="BF4" s="24">
        <v>1.2000000000000002</v>
      </c>
      <c r="BG4" s="24">
        <v>1</v>
      </c>
      <c r="BH4" s="24">
        <v>6.300000000000001</v>
      </c>
      <c r="BI4" s="24">
        <v>0.2</v>
      </c>
      <c r="BJ4" s="24">
        <v>0.9</v>
      </c>
      <c r="BK4" s="24">
        <v>0</v>
      </c>
      <c r="BL4" s="24">
        <v>1</v>
      </c>
      <c r="BM4" s="24">
        <v>0</v>
      </c>
      <c r="BN4" s="24">
        <v>0</v>
      </c>
      <c r="BO4" s="24">
        <v>1</v>
      </c>
      <c r="BP4" s="24">
        <v>276.5</v>
      </c>
      <c r="BQ4" s="24">
        <v>0</v>
      </c>
      <c r="BR4" s="24">
        <v>2.5</v>
      </c>
      <c r="BS4" s="24">
        <v>34.9</v>
      </c>
    </row>
    <row r="5" spans="1:71" x14ac:dyDescent="0.25">
      <c r="A5" s="30" t="s">
        <v>278</v>
      </c>
      <c r="B5" s="31" t="s">
        <v>279</v>
      </c>
      <c r="C5" s="24">
        <v>10.299999999999999</v>
      </c>
      <c r="D5" s="24">
        <v>0.7</v>
      </c>
      <c r="E5" s="24">
        <v>66.00000000000001</v>
      </c>
      <c r="F5" s="24">
        <v>0.1</v>
      </c>
      <c r="G5" s="24">
        <v>3379.2</v>
      </c>
      <c r="H5" s="24">
        <v>1</v>
      </c>
      <c r="I5" s="24">
        <v>0.2</v>
      </c>
      <c r="J5" s="24">
        <v>0</v>
      </c>
      <c r="K5" s="24">
        <v>0</v>
      </c>
      <c r="L5" s="24">
        <v>3.3</v>
      </c>
      <c r="M5" s="24">
        <v>19.400000000000002</v>
      </c>
      <c r="N5" s="24">
        <v>48.800000000000004</v>
      </c>
      <c r="O5" s="24">
        <v>0.1</v>
      </c>
      <c r="P5" s="24">
        <v>0.1</v>
      </c>
      <c r="Q5" s="24">
        <v>0.7</v>
      </c>
      <c r="R5" s="24">
        <v>0.1</v>
      </c>
      <c r="S5" s="24">
        <v>0.4</v>
      </c>
      <c r="T5" s="24">
        <v>0.1</v>
      </c>
      <c r="U5" s="24">
        <v>0.4</v>
      </c>
      <c r="V5" s="24">
        <v>0.4</v>
      </c>
      <c r="W5" s="24">
        <v>0</v>
      </c>
      <c r="X5" s="24">
        <v>1.2</v>
      </c>
      <c r="Y5" s="24">
        <v>0</v>
      </c>
      <c r="Z5" s="24">
        <v>2.7</v>
      </c>
      <c r="AA5" s="24">
        <v>0.1</v>
      </c>
      <c r="AB5" s="24">
        <v>0.4</v>
      </c>
      <c r="AC5" s="24">
        <v>9.499999999999998</v>
      </c>
      <c r="AD5" s="24">
        <v>0.3</v>
      </c>
      <c r="AE5" s="24">
        <v>10.599999999999998</v>
      </c>
      <c r="AF5" s="24">
        <v>16.800000000000004</v>
      </c>
      <c r="AG5" s="24">
        <v>1.3000000000000003</v>
      </c>
      <c r="AH5" s="24">
        <v>4.4</v>
      </c>
      <c r="AI5" s="24">
        <v>0.2</v>
      </c>
      <c r="AJ5" s="24">
        <v>6.8</v>
      </c>
      <c r="AK5" s="24">
        <v>0</v>
      </c>
      <c r="AL5" s="24">
        <v>863.7000000000002</v>
      </c>
      <c r="AM5" s="24">
        <v>0.1</v>
      </c>
      <c r="AN5" s="24">
        <v>0.5</v>
      </c>
      <c r="AO5" s="24">
        <v>1</v>
      </c>
      <c r="AP5" s="24">
        <v>5.5</v>
      </c>
      <c r="AQ5" s="24">
        <v>0.7</v>
      </c>
      <c r="AR5" s="24">
        <v>0.6</v>
      </c>
      <c r="AS5" s="24">
        <v>0.2</v>
      </c>
      <c r="AT5" s="24">
        <v>1.7</v>
      </c>
      <c r="AU5" s="24">
        <v>7.099999999999999</v>
      </c>
      <c r="AV5" s="24">
        <v>1.7000000000000002</v>
      </c>
      <c r="AW5" s="24">
        <v>1.6</v>
      </c>
      <c r="AX5" s="24">
        <v>0.5</v>
      </c>
      <c r="AY5" s="24">
        <v>0.7</v>
      </c>
      <c r="AZ5" s="24">
        <v>6.8999999999999995</v>
      </c>
      <c r="BA5" s="24">
        <v>0.1</v>
      </c>
      <c r="BB5" s="24">
        <v>0.2</v>
      </c>
      <c r="BC5" s="24">
        <v>11.799999999999999</v>
      </c>
      <c r="BD5" s="24">
        <v>3.6</v>
      </c>
      <c r="BE5" s="24">
        <v>6.8</v>
      </c>
      <c r="BF5" s="24">
        <v>25.400000000000006</v>
      </c>
      <c r="BG5" s="24">
        <v>32.1</v>
      </c>
      <c r="BH5" s="24">
        <v>13.499999999999998</v>
      </c>
      <c r="BI5" s="24">
        <v>12.399999999999999</v>
      </c>
      <c r="BJ5" s="24">
        <v>5.999999999999999</v>
      </c>
      <c r="BK5" s="24">
        <v>0</v>
      </c>
      <c r="BL5" s="24">
        <v>0.4</v>
      </c>
      <c r="BM5" s="24">
        <v>0</v>
      </c>
      <c r="BN5" s="24">
        <v>0</v>
      </c>
      <c r="BO5" s="24">
        <v>0</v>
      </c>
      <c r="BP5" s="24">
        <v>2782.1</v>
      </c>
      <c r="BQ5" s="24">
        <v>0</v>
      </c>
      <c r="BR5" s="24">
        <v>10.799999999999997</v>
      </c>
      <c r="BS5" s="24">
        <v>-105.59999999999997</v>
      </c>
    </row>
    <row r="6" spans="1:71" x14ac:dyDescent="0.25">
      <c r="A6" s="30" t="s">
        <v>280</v>
      </c>
      <c r="B6" s="31" t="s">
        <v>281</v>
      </c>
      <c r="C6" s="24">
        <v>1326.4</v>
      </c>
      <c r="D6" s="24">
        <v>8.399999999999999</v>
      </c>
      <c r="E6" s="24">
        <v>10.2</v>
      </c>
      <c r="F6" s="24">
        <v>1546.8000000000002</v>
      </c>
      <c r="G6" s="24">
        <v>2465.8</v>
      </c>
      <c r="H6" s="24">
        <v>355.5</v>
      </c>
      <c r="I6" s="24">
        <v>64.9</v>
      </c>
      <c r="J6" s="24">
        <v>1637.7</v>
      </c>
      <c r="K6" s="24">
        <v>85</v>
      </c>
      <c r="L6" s="24">
        <v>264110.1</v>
      </c>
      <c r="M6" s="24">
        <v>13597.399999999998</v>
      </c>
      <c r="N6" s="24">
        <v>413.4</v>
      </c>
      <c r="O6" s="24">
        <v>468.3999999999999</v>
      </c>
      <c r="P6" s="24">
        <v>5820.3</v>
      </c>
      <c r="Q6" s="24">
        <v>36209.7</v>
      </c>
      <c r="R6" s="24">
        <v>1127</v>
      </c>
      <c r="S6" s="24">
        <v>122.00000000000003</v>
      </c>
      <c r="T6" s="24">
        <v>383.7</v>
      </c>
      <c r="U6" s="24">
        <v>942.5000000000002</v>
      </c>
      <c r="V6" s="24">
        <v>437</v>
      </c>
      <c r="W6" s="24">
        <v>261.29999999999995</v>
      </c>
      <c r="X6" s="24">
        <v>570.4</v>
      </c>
      <c r="Y6" s="24">
        <v>77.9</v>
      </c>
      <c r="Z6" s="24">
        <v>75031</v>
      </c>
      <c r="AA6" s="24">
        <v>62.2</v>
      </c>
      <c r="AB6" s="24">
        <v>169.7</v>
      </c>
      <c r="AC6" s="24">
        <v>4438.500000000001</v>
      </c>
      <c r="AD6" s="24">
        <v>64.2</v>
      </c>
      <c r="AE6" s="24">
        <v>1369.9</v>
      </c>
      <c r="AF6" s="24">
        <v>311.6</v>
      </c>
      <c r="AG6" s="24">
        <v>610.2</v>
      </c>
      <c r="AH6" s="24">
        <v>180.2</v>
      </c>
      <c r="AI6" s="24">
        <v>126.90000000000002</v>
      </c>
      <c r="AJ6" s="24">
        <v>352.4</v>
      </c>
      <c r="AK6" s="24">
        <v>33.900000000000006</v>
      </c>
      <c r="AL6" s="24">
        <v>597.6999999999999</v>
      </c>
      <c r="AM6" s="24">
        <v>21.599999999999998</v>
      </c>
      <c r="AN6" s="24">
        <v>15.1</v>
      </c>
      <c r="AO6" s="24">
        <v>46.199999999999996</v>
      </c>
      <c r="AP6" s="24">
        <v>92.89999999999999</v>
      </c>
      <c r="AQ6" s="24">
        <v>25.199999999999996</v>
      </c>
      <c r="AR6" s="24">
        <v>11.299999999999999</v>
      </c>
      <c r="AS6" s="24">
        <v>16.599999999999998</v>
      </c>
      <c r="AT6" s="24">
        <v>113.60000000000001</v>
      </c>
      <c r="AU6" s="24">
        <v>1529.3</v>
      </c>
      <c r="AV6" s="24">
        <v>320.6</v>
      </c>
      <c r="AW6" s="24">
        <v>48.1</v>
      </c>
      <c r="AX6" s="24">
        <v>9.8</v>
      </c>
      <c r="AY6" s="24">
        <v>13</v>
      </c>
      <c r="AZ6" s="24">
        <v>44.2</v>
      </c>
      <c r="BA6" s="24">
        <v>16.700000000000003</v>
      </c>
      <c r="BB6" s="24">
        <v>4.9</v>
      </c>
      <c r="BC6" s="24">
        <v>245.7</v>
      </c>
      <c r="BD6" s="24">
        <v>577.7</v>
      </c>
      <c r="BE6" s="24">
        <v>197.5</v>
      </c>
      <c r="BF6" s="24">
        <v>491</v>
      </c>
      <c r="BG6" s="24">
        <v>259</v>
      </c>
      <c r="BH6" s="24">
        <v>42.7</v>
      </c>
      <c r="BI6" s="24">
        <v>59.599999999999994</v>
      </c>
      <c r="BJ6" s="24">
        <v>76.80000000000001</v>
      </c>
      <c r="BK6" s="24">
        <v>3.8000000000000007</v>
      </c>
      <c r="BL6" s="24">
        <v>74.19999999999999</v>
      </c>
      <c r="BM6" s="24">
        <v>0</v>
      </c>
      <c r="BN6" s="24">
        <v>0</v>
      </c>
      <c r="BO6" s="24">
        <v>134</v>
      </c>
      <c r="BP6" s="24">
        <v>20327.5</v>
      </c>
      <c r="BQ6" s="24">
        <v>0</v>
      </c>
      <c r="BR6" s="24">
        <v>464.80000000000007</v>
      </c>
      <c r="BS6" s="24">
        <v>4581</v>
      </c>
    </row>
    <row r="7" spans="1:71" x14ac:dyDescent="0.25">
      <c r="A7" s="30" t="s">
        <v>282</v>
      </c>
      <c r="B7" s="31" t="s">
        <v>283</v>
      </c>
      <c r="C7" s="24">
        <v>1795.3999999999996</v>
      </c>
      <c r="D7" s="24">
        <v>9.8</v>
      </c>
      <c r="E7" s="24">
        <v>50.4</v>
      </c>
      <c r="F7" s="24">
        <v>15.1</v>
      </c>
      <c r="G7" s="24">
        <v>20211.199999999997</v>
      </c>
      <c r="H7" s="24">
        <v>272.8</v>
      </c>
      <c r="I7" s="24">
        <v>29.8</v>
      </c>
      <c r="J7" s="24">
        <v>96.9</v>
      </c>
      <c r="K7" s="24">
        <v>13.700000000000001</v>
      </c>
      <c r="L7" s="24">
        <v>163.79999999999998</v>
      </c>
      <c r="M7" s="24">
        <v>1500.9</v>
      </c>
      <c r="N7" s="24">
        <v>582.2</v>
      </c>
      <c r="O7" s="24">
        <v>169.50000000000003</v>
      </c>
      <c r="P7" s="24">
        <v>43.89999999999999</v>
      </c>
      <c r="Q7" s="24">
        <v>73.8</v>
      </c>
      <c r="R7" s="24">
        <v>70.10000000000002</v>
      </c>
      <c r="S7" s="24">
        <v>98</v>
      </c>
      <c r="T7" s="24">
        <v>61.10000000000001</v>
      </c>
      <c r="U7" s="24">
        <v>128.9</v>
      </c>
      <c r="V7" s="24">
        <v>105.30000000000001</v>
      </c>
      <c r="W7" s="24">
        <v>45.00000000000001</v>
      </c>
      <c r="X7" s="24">
        <v>128.8</v>
      </c>
      <c r="Y7" s="24">
        <v>43.8</v>
      </c>
      <c r="Z7" s="24">
        <v>159</v>
      </c>
      <c r="AA7" s="24">
        <v>6.999999999999999</v>
      </c>
      <c r="AB7" s="24">
        <v>108.7</v>
      </c>
      <c r="AC7" s="24">
        <v>168.4</v>
      </c>
      <c r="AD7" s="24">
        <v>41.10000000000001</v>
      </c>
      <c r="AE7" s="24">
        <v>851.6999999999999</v>
      </c>
      <c r="AF7" s="24">
        <v>431.4</v>
      </c>
      <c r="AG7" s="24">
        <v>81.9</v>
      </c>
      <c r="AH7" s="24">
        <v>120.6</v>
      </c>
      <c r="AI7" s="24">
        <v>80</v>
      </c>
      <c r="AJ7" s="24">
        <v>72.7</v>
      </c>
      <c r="AK7" s="24">
        <v>13.399999999999999</v>
      </c>
      <c r="AL7" s="24">
        <v>5465.799999999999</v>
      </c>
      <c r="AM7" s="24">
        <v>97.3</v>
      </c>
      <c r="AN7" s="24">
        <v>35.300000000000004</v>
      </c>
      <c r="AO7" s="24">
        <v>40.300000000000004</v>
      </c>
      <c r="AP7" s="24">
        <v>275.19999999999993</v>
      </c>
      <c r="AQ7" s="24">
        <v>14</v>
      </c>
      <c r="AR7" s="24">
        <v>16.099999999999998</v>
      </c>
      <c r="AS7" s="24">
        <v>22.1</v>
      </c>
      <c r="AT7" s="24">
        <v>26.800000000000004</v>
      </c>
      <c r="AU7" s="24">
        <v>108.80000000000001</v>
      </c>
      <c r="AV7" s="24">
        <v>41.3</v>
      </c>
      <c r="AW7" s="24">
        <v>68.49999999999999</v>
      </c>
      <c r="AX7" s="24">
        <v>27.9</v>
      </c>
      <c r="AY7" s="24">
        <v>29.3</v>
      </c>
      <c r="AZ7" s="24">
        <v>59.09999999999999</v>
      </c>
      <c r="BA7" s="24">
        <v>18</v>
      </c>
      <c r="BB7" s="24">
        <v>23.60000000000001</v>
      </c>
      <c r="BC7" s="24">
        <v>95.9</v>
      </c>
      <c r="BD7" s="24">
        <v>262.49999999999994</v>
      </c>
      <c r="BE7" s="24">
        <v>247.19999999999996</v>
      </c>
      <c r="BF7" s="24">
        <v>765.9000000000001</v>
      </c>
      <c r="BG7" s="24">
        <v>447.6999999999999</v>
      </c>
      <c r="BH7" s="24">
        <v>40.599999999999994</v>
      </c>
      <c r="BI7" s="24">
        <v>115.4</v>
      </c>
      <c r="BJ7" s="24">
        <v>61.5</v>
      </c>
      <c r="BK7" s="24">
        <v>7.6</v>
      </c>
      <c r="BL7" s="24">
        <v>35.2</v>
      </c>
      <c r="BM7" s="24">
        <v>0</v>
      </c>
      <c r="BN7" s="24">
        <v>0</v>
      </c>
      <c r="BO7" s="24">
        <v>149.49999999999997</v>
      </c>
      <c r="BP7" s="24">
        <v>47953.1</v>
      </c>
      <c r="BQ7" s="24">
        <v>73.10000000000001</v>
      </c>
      <c r="BR7" s="24">
        <v>211.09999999999997</v>
      </c>
      <c r="BS7" s="24">
        <v>2002.8999999999999</v>
      </c>
    </row>
    <row r="8" spans="1:71" x14ac:dyDescent="0.25">
      <c r="A8" s="30" t="s">
        <v>145</v>
      </c>
      <c r="B8" s="31" t="s">
        <v>285</v>
      </c>
      <c r="C8" s="24">
        <v>207.60000000000002</v>
      </c>
      <c r="D8" s="24">
        <v>20.800000000000004</v>
      </c>
      <c r="E8" s="24">
        <v>19.400000000000002</v>
      </c>
      <c r="F8" s="24">
        <v>31.1</v>
      </c>
      <c r="G8" s="24">
        <v>462.09999999999997</v>
      </c>
      <c r="H8" s="24">
        <v>13761.9</v>
      </c>
      <c r="I8" s="24">
        <v>69.00000000000001</v>
      </c>
      <c r="J8" s="24">
        <v>548.3</v>
      </c>
      <c r="K8" s="24">
        <v>225.10000000000002</v>
      </c>
      <c r="L8" s="24">
        <v>74.80000000000001</v>
      </c>
      <c r="M8" s="24">
        <v>572.6</v>
      </c>
      <c r="N8" s="24">
        <v>238.5</v>
      </c>
      <c r="O8" s="24">
        <v>1392.4</v>
      </c>
      <c r="P8" s="24">
        <v>240.3</v>
      </c>
      <c r="Q8" s="24">
        <v>136.8</v>
      </c>
      <c r="R8" s="24">
        <v>380.7</v>
      </c>
      <c r="S8" s="24">
        <v>149.3</v>
      </c>
      <c r="T8" s="24">
        <v>184.00000000000003</v>
      </c>
      <c r="U8" s="24">
        <v>384.59999999999997</v>
      </c>
      <c r="V8" s="24">
        <v>2114.3999999999996</v>
      </c>
      <c r="W8" s="24">
        <v>281.7</v>
      </c>
      <c r="X8" s="24">
        <v>1785.1</v>
      </c>
      <c r="Y8" s="24">
        <v>205.5</v>
      </c>
      <c r="Z8" s="24">
        <v>216.40000000000003</v>
      </c>
      <c r="AA8" s="24">
        <v>14.1</v>
      </c>
      <c r="AB8" s="24">
        <v>152.7</v>
      </c>
      <c r="AC8" s="24">
        <v>1089.5</v>
      </c>
      <c r="AD8" s="24">
        <v>220.79999999999998</v>
      </c>
      <c r="AE8" s="24">
        <v>1418.4999999999998</v>
      </c>
      <c r="AF8" s="24">
        <v>788.5</v>
      </c>
      <c r="AG8" s="24">
        <v>241.7</v>
      </c>
      <c r="AH8" s="24">
        <v>85.5</v>
      </c>
      <c r="AI8" s="24">
        <v>45.699999999999996</v>
      </c>
      <c r="AJ8" s="24">
        <v>218.8</v>
      </c>
      <c r="AK8" s="24">
        <v>67.6</v>
      </c>
      <c r="AL8" s="24">
        <v>637.3999999999999</v>
      </c>
      <c r="AM8" s="24">
        <v>43.400000000000006</v>
      </c>
      <c r="AN8" s="24">
        <v>299.9</v>
      </c>
      <c r="AO8" s="24">
        <v>123.7</v>
      </c>
      <c r="AP8" s="24">
        <v>180.50000000000003</v>
      </c>
      <c r="AQ8" s="24">
        <v>37.900000000000006</v>
      </c>
      <c r="AR8" s="24">
        <v>19.9</v>
      </c>
      <c r="AS8" s="24">
        <v>25.1</v>
      </c>
      <c r="AT8" s="24">
        <v>122.1</v>
      </c>
      <c r="AU8" s="24">
        <v>300.9</v>
      </c>
      <c r="AV8" s="24">
        <v>112</v>
      </c>
      <c r="AW8" s="24">
        <v>84.8</v>
      </c>
      <c r="AX8" s="24">
        <v>32.4</v>
      </c>
      <c r="AY8" s="24">
        <v>159.6</v>
      </c>
      <c r="AZ8" s="24">
        <v>156.10000000000002</v>
      </c>
      <c r="BA8" s="24">
        <v>69.2</v>
      </c>
      <c r="BB8" s="24">
        <v>37.7</v>
      </c>
      <c r="BC8" s="24">
        <v>433.6</v>
      </c>
      <c r="BD8" s="24">
        <v>660</v>
      </c>
      <c r="BE8" s="24">
        <v>279.5</v>
      </c>
      <c r="BF8" s="24">
        <v>1668.2999999999997</v>
      </c>
      <c r="BG8" s="24">
        <v>524.0999999999999</v>
      </c>
      <c r="BH8" s="24">
        <v>261.70000000000005</v>
      </c>
      <c r="BI8" s="24">
        <v>180.1</v>
      </c>
      <c r="BJ8" s="24">
        <v>82.1</v>
      </c>
      <c r="BK8" s="24">
        <v>87.7</v>
      </c>
      <c r="BL8" s="24">
        <v>156.1</v>
      </c>
      <c r="BM8" s="24">
        <v>0</v>
      </c>
      <c r="BN8" s="24">
        <v>0</v>
      </c>
      <c r="BO8" s="24">
        <v>134.1</v>
      </c>
      <c r="BP8" s="24">
        <v>79152.59999999999</v>
      </c>
      <c r="BQ8" s="24">
        <v>91.1</v>
      </c>
      <c r="BR8" s="24">
        <v>717.1999999999999</v>
      </c>
      <c r="BS8" s="24">
        <v>14046.599999999999</v>
      </c>
    </row>
    <row r="9" spans="1:71" x14ac:dyDescent="0.25">
      <c r="A9" s="30" t="s">
        <v>85</v>
      </c>
      <c r="B9" s="31" t="s">
        <v>286</v>
      </c>
      <c r="C9" s="24">
        <v>212.9</v>
      </c>
      <c r="D9" s="24">
        <v>20.299999999999997</v>
      </c>
      <c r="E9" s="24">
        <v>5.4</v>
      </c>
      <c r="F9" s="24">
        <v>13.799999999999999</v>
      </c>
      <c r="G9" s="24">
        <v>488.8</v>
      </c>
      <c r="H9" s="24">
        <v>34.900000000000006</v>
      </c>
      <c r="I9" s="24">
        <v>3980.4000000000005</v>
      </c>
      <c r="J9" s="24">
        <v>288.5</v>
      </c>
      <c r="K9" s="24">
        <v>15.299999999999997</v>
      </c>
      <c r="L9" s="24">
        <v>10.2</v>
      </c>
      <c r="M9" s="24">
        <v>136.29999999999998</v>
      </c>
      <c r="N9" s="24">
        <v>45.8</v>
      </c>
      <c r="O9" s="24">
        <v>100.30000000000001</v>
      </c>
      <c r="P9" s="24">
        <v>144.9</v>
      </c>
      <c r="Q9" s="24">
        <v>96.69999999999999</v>
      </c>
      <c r="R9" s="24">
        <v>274.6</v>
      </c>
      <c r="S9" s="24">
        <v>47.7</v>
      </c>
      <c r="T9" s="24">
        <v>89.5</v>
      </c>
      <c r="U9" s="24">
        <v>130.8</v>
      </c>
      <c r="V9" s="24">
        <v>216.29999999999995</v>
      </c>
      <c r="W9" s="24">
        <v>114.70000000000002</v>
      </c>
      <c r="X9" s="24">
        <v>1853.7999999999997</v>
      </c>
      <c r="Y9" s="24">
        <v>62.300000000000004</v>
      </c>
      <c r="Z9" s="24">
        <v>293.5</v>
      </c>
      <c r="AA9" s="24">
        <v>1.7000000000000002</v>
      </c>
      <c r="AB9" s="24">
        <v>35.1</v>
      </c>
      <c r="AC9" s="24">
        <v>4523.1</v>
      </c>
      <c r="AD9" s="24">
        <v>24.9</v>
      </c>
      <c r="AE9" s="24">
        <v>229</v>
      </c>
      <c r="AF9" s="24">
        <v>95.10000000000001</v>
      </c>
      <c r="AG9" s="24">
        <v>61</v>
      </c>
      <c r="AH9" s="24">
        <v>15.4</v>
      </c>
      <c r="AI9" s="24">
        <v>11.3</v>
      </c>
      <c r="AJ9" s="24">
        <v>70.4</v>
      </c>
      <c r="AK9" s="24">
        <v>3.5000000000000004</v>
      </c>
      <c r="AL9" s="24">
        <v>101.4</v>
      </c>
      <c r="AM9" s="24">
        <v>20</v>
      </c>
      <c r="AN9" s="24">
        <v>61.60000000000001</v>
      </c>
      <c r="AO9" s="24">
        <v>23.199999999999996</v>
      </c>
      <c r="AP9" s="24">
        <v>63.00000000000001</v>
      </c>
      <c r="AQ9" s="24">
        <v>3.7</v>
      </c>
      <c r="AR9" s="24">
        <v>2.3</v>
      </c>
      <c r="AS9" s="24">
        <v>4.5</v>
      </c>
      <c r="AT9" s="24">
        <v>145.39999999999998</v>
      </c>
      <c r="AU9" s="24">
        <v>28.7</v>
      </c>
      <c r="AV9" s="24">
        <v>29.100000000000005</v>
      </c>
      <c r="AW9" s="24">
        <v>6.299999999999999</v>
      </c>
      <c r="AX9" s="24">
        <v>15.499999999999998</v>
      </c>
      <c r="AY9" s="24">
        <v>19.299999999999997</v>
      </c>
      <c r="AZ9" s="24">
        <v>35.2</v>
      </c>
      <c r="BA9" s="24">
        <v>1.8000000000000003</v>
      </c>
      <c r="BB9" s="24">
        <v>1.7</v>
      </c>
      <c r="BC9" s="24">
        <v>169.6</v>
      </c>
      <c r="BD9" s="24">
        <v>35.4</v>
      </c>
      <c r="BE9" s="24">
        <v>39.099999999999994</v>
      </c>
      <c r="BF9" s="24">
        <v>97.29999999999998</v>
      </c>
      <c r="BG9" s="24">
        <v>23.300000000000004</v>
      </c>
      <c r="BH9" s="24">
        <v>32.5</v>
      </c>
      <c r="BI9" s="24">
        <v>17.599999999999998</v>
      </c>
      <c r="BJ9" s="24">
        <v>13.799999999999999</v>
      </c>
      <c r="BK9" s="24">
        <v>8.5</v>
      </c>
      <c r="BL9" s="24">
        <v>44.9</v>
      </c>
      <c r="BM9" s="24">
        <v>0</v>
      </c>
      <c r="BN9" s="24">
        <v>0</v>
      </c>
      <c r="BO9" s="24">
        <v>29.5</v>
      </c>
      <c r="BP9" s="24">
        <v>2126.2000000000003</v>
      </c>
      <c r="BQ9" s="24">
        <v>0.2</v>
      </c>
      <c r="BR9" s="24">
        <v>632.5</v>
      </c>
      <c r="BS9" s="24">
        <v>302.1</v>
      </c>
    </row>
    <row r="10" spans="1:71" x14ac:dyDescent="0.25">
      <c r="A10" s="30" t="s">
        <v>87</v>
      </c>
      <c r="B10" s="31" t="s">
        <v>287</v>
      </c>
      <c r="C10" s="24">
        <v>51.89999999999999</v>
      </c>
      <c r="D10" s="24">
        <v>13.999999999999998</v>
      </c>
      <c r="E10" s="24">
        <v>1</v>
      </c>
      <c r="F10" s="24">
        <v>6.8999999999999995</v>
      </c>
      <c r="G10" s="24">
        <v>1438.0000000000005</v>
      </c>
      <c r="H10" s="24">
        <v>73.9</v>
      </c>
      <c r="I10" s="24">
        <v>180.70000000000002</v>
      </c>
      <c r="J10" s="24">
        <v>6118</v>
      </c>
      <c r="K10" s="24">
        <v>1075.8000000000002</v>
      </c>
      <c r="L10" s="24">
        <v>17.4</v>
      </c>
      <c r="M10" s="24">
        <v>421.6000000000001</v>
      </c>
      <c r="N10" s="24">
        <v>324.20000000000005</v>
      </c>
      <c r="O10" s="24">
        <v>358.0000000000001</v>
      </c>
      <c r="P10" s="24">
        <v>116.8</v>
      </c>
      <c r="Q10" s="24">
        <v>48.599999999999994</v>
      </c>
      <c r="R10" s="24">
        <v>100.5</v>
      </c>
      <c r="S10" s="24">
        <v>75.1</v>
      </c>
      <c r="T10" s="24">
        <v>108</v>
      </c>
      <c r="U10" s="24">
        <v>84.70000000000002</v>
      </c>
      <c r="V10" s="24">
        <v>125.30000000000001</v>
      </c>
      <c r="W10" s="24">
        <v>15.299999999999997</v>
      </c>
      <c r="X10" s="24">
        <v>260.5</v>
      </c>
      <c r="Y10" s="24">
        <v>26.6</v>
      </c>
      <c r="Z10" s="24">
        <v>91.20000000000002</v>
      </c>
      <c r="AA10" s="24">
        <v>2.2</v>
      </c>
      <c r="AB10" s="24">
        <v>64.1</v>
      </c>
      <c r="AC10" s="24">
        <v>233.90000000000006</v>
      </c>
      <c r="AD10" s="24">
        <v>40.3</v>
      </c>
      <c r="AE10" s="24">
        <v>432.1</v>
      </c>
      <c r="AF10" s="24">
        <v>235.5</v>
      </c>
      <c r="AG10" s="24">
        <v>52.7</v>
      </c>
      <c r="AH10" s="24">
        <v>8.299999999999999</v>
      </c>
      <c r="AI10" s="24">
        <v>11.699999999999998</v>
      </c>
      <c r="AJ10" s="24">
        <v>53.89999999999999</v>
      </c>
      <c r="AK10" s="24">
        <v>11.699999999999998</v>
      </c>
      <c r="AL10" s="24">
        <v>144.39999999999998</v>
      </c>
      <c r="AM10" s="24">
        <v>418.80000000000007</v>
      </c>
      <c r="AN10" s="24">
        <v>51.60000000000001</v>
      </c>
      <c r="AO10" s="24">
        <v>21.5</v>
      </c>
      <c r="AP10" s="24">
        <v>385.9</v>
      </c>
      <c r="AQ10" s="24">
        <v>60.400000000000006</v>
      </c>
      <c r="AR10" s="24">
        <v>39.1</v>
      </c>
      <c r="AS10" s="24">
        <v>52.19999999999999</v>
      </c>
      <c r="AT10" s="24">
        <v>39.800000000000004</v>
      </c>
      <c r="AU10" s="24">
        <v>221.09999999999997</v>
      </c>
      <c r="AV10" s="24">
        <v>69.4</v>
      </c>
      <c r="AW10" s="24">
        <v>22.5</v>
      </c>
      <c r="AX10" s="24">
        <v>77.8</v>
      </c>
      <c r="AY10" s="24">
        <v>48.29999999999999</v>
      </c>
      <c r="AZ10" s="24">
        <v>47.39999999999999</v>
      </c>
      <c r="BA10" s="24">
        <v>12.599999999999998</v>
      </c>
      <c r="BB10" s="24">
        <v>18.299999999999997</v>
      </c>
      <c r="BC10" s="24">
        <v>169.3</v>
      </c>
      <c r="BD10" s="24">
        <v>160.7</v>
      </c>
      <c r="BE10" s="24">
        <v>77.50000000000001</v>
      </c>
      <c r="BF10" s="24">
        <v>254.6</v>
      </c>
      <c r="BG10" s="24">
        <v>87.30000000000001</v>
      </c>
      <c r="BH10" s="24">
        <v>26.700000000000003</v>
      </c>
      <c r="BI10" s="24">
        <v>20.599999999999998</v>
      </c>
      <c r="BJ10" s="24">
        <v>29.9</v>
      </c>
      <c r="BK10" s="24">
        <v>2.4000000000000004</v>
      </c>
      <c r="BL10" s="24">
        <v>35.2</v>
      </c>
      <c r="BM10" s="24">
        <v>0</v>
      </c>
      <c r="BN10" s="24">
        <v>0</v>
      </c>
      <c r="BO10" s="24">
        <v>32.300000000000004</v>
      </c>
      <c r="BP10" s="24">
        <v>2880.9000000000005</v>
      </c>
      <c r="BQ10" s="24">
        <v>0.2</v>
      </c>
      <c r="BR10" s="24">
        <v>50.400000000000006</v>
      </c>
      <c r="BS10" s="24">
        <v>8.099999999999998</v>
      </c>
    </row>
    <row r="11" spans="1:71" x14ac:dyDescent="0.25">
      <c r="A11" s="30" t="s">
        <v>89</v>
      </c>
      <c r="B11" s="31" t="s">
        <v>288</v>
      </c>
      <c r="C11" s="24">
        <v>7.8</v>
      </c>
      <c r="D11" s="24">
        <v>0.8</v>
      </c>
      <c r="E11" s="24">
        <v>0.9000000000000001</v>
      </c>
      <c r="F11" s="24">
        <v>1.0999999999999999</v>
      </c>
      <c r="G11" s="24">
        <v>119.69999999999999</v>
      </c>
      <c r="H11" s="24">
        <v>26.6</v>
      </c>
      <c r="I11" s="24">
        <v>9.499999999999998</v>
      </c>
      <c r="J11" s="24">
        <v>425.20000000000005</v>
      </c>
      <c r="K11" s="24">
        <v>635.9</v>
      </c>
      <c r="L11" s="24">
        <v>4.6000000000000005</v>
      </c>
      <c r="M11" s="24">
        <v>166.2</v>
      </c>
      <c r="N11" s="24">
        <v>77.40000000000002</v>
      </c>
      <c r="O11" s="24">
        <v>256.5</v>
      </c>
      <c r="P11" s="24">
        <v>14.299999999999999</v>
      </c>
      <c r="Q11" s="24">
        <v>27.1</v>
      </c>
      <c r="R11" s="24">
        <v>85.7</v>
      </c>
      <c r="S11" s="24">
        <v>34.00000000000001</v>
      </c>
      <c r="T11" s="24">
        <v>22.100000000000005</v>
      </c>
      <c r="U11" s="24">
        <v>163.90000000000003</v>
      </c>
      <c r="V11" s="24">
        <v>67.1</v>
      </c>
      <c r="W11" s="24">
        <v>8.7</v>
      </c>
      <c r="X11" s="24">
        <v>37.8</v>
      </c>
      <c r="Y11" s="24">
        <v>11.399999999999997</v>
      </c>
      <c r="Z11" s="24">
        <v>38.4</v>
      </c>
      <c r="AA11" s="24">
        <v>1.7000000000000002</v>
      </c>
      <c r="AB11" s="24">
        <v>18.1</v>
      </c>
      <c r="AC11" s="24">
        <v>83.89999999999999</v>
      </c>
      <c r="AD11" s="24">
        <v>51.9</v>
      </c>
      <c r="AE11" s="24">
        <v>395.5</v>
      </c>
      <c r="AF11" s="24">
        <v>244.50000000000003</v>
      </c>
      <c r="AG11" s="24">
        <v>145.6</v>
      </c>
      <c r="AH11" s="24">
        <v>2.1000000000000005</v>
      </c>
      <c r="AI11" s="24">
        <v>7.399999999999999</v>
      </c>
      <c r="AJ11" s="24">
        <v>21.9</v>
      </c>
      <c r="AK11" s="24">
        <v>75.39999999999999</v>
      </c>
      <c r="AL11" s="24">
        <v>54.89999999999999</v>
      </c>
      <c r="AM11" s="24">
        <v>462.0999999999999</v>
      </c>
      <c r="AN11" s="24">
        <v>131.79999999999998</v>
      </c>
      <c r="AO11" s="24">
        <v>55.89999999999999</v>
      </c>
      <c r="AP11" s="24">
        <v>276.7</v>
      </c>
      <c r="AQ11" s="24">
        <v>129.4</v>
      </c>
      <c r="AR11" s="24">
        <v>94.09999999999998</v>
      </c>
      <c r="AS11" s="24">
        <v>112.80000000000001</v>
      </c>
      <c r="AT11" s="24">
        <v>31.6</v>
      </c>
      <c r="AU11" s="24">
        <v>337.70000000000005</v>
      </c>
      <c r="AV11" s="24">
        <v>58.699999999999996</v>
      </c>
      <c r="AW11" s="24">
        <v>37.9</v>
      </c>
      <c r="AX11" s="24">
        <v>241.4</v>
      </c>
      <c r="AY11" s="24">
        <v>54.99999999999999</v>
      </c>
      <c r="AZ11" s="24">
        <v>35.5</v>
      </c>
      <c r="BA11" s="24">
        <v>22.900000000000002</v>
      </c>
      <c r="BB11" s="24">
        <v>27.20000000000001</v>
      </c>
      <c r="BC11" s="24">
        <v>135.5</v>
      </c>
      <c r="BD11" s="24">
        <v>255.39999999999995</v>
      </c>
      <c r="BE11" s="24">
        <v>121.1</v>
      </c>
      <c r="BF11" s="24">
        <v>66.7</v>
      </c>
      <c r="BG11" s="24">
        <v>38.30000000000001</v>
      </c>
      <c r="BH11" s="24">
        <v>41</v>
      </c>
      <c r="BI11" s="24">
        <v>39.2</v>
      </c>
      <c r="BJ11" s="24">
        <v>42.599999999999994</v>
      </c>
      <c r="BK11" s="24">
        <v>2.2</v>
      </c>
      <c r="BL11" s="24">
        <v>7.099999999999998</v>
      </c>
      <c r="BM11" s="24">
        <v>0</v>
      </c>
      <c r="BN11" s="24">
        <v>0</v>
      </c>
      <c r="BO11" s="24">
        <v>8.6</v>
      </c>
      <c r="BP11" s="24">
        <v>295.3</v>
      </c>
      <c r="BQ11" s="24">
        <v>0.30000000000000004</v>
      </c>
      <c r="BR11" s="24">
        <v>75.39999999999999</v>
      </c>
      <c r="BS11" s="24">
        <v>-857.7</v>
      </c>
    </row>
    <row r="12" spans="1:71" x14ac:dyDescent="0.25">
      <c r="A12" s="30" t="s">
        <v>91</v>
      </c>
      <c r="B12" s="31" t="s">
        <v>289</v>
      </c>
      <c r="C12" s="24">
        <v>1417.8</v>
      </c>
      <c r="D12" s="24">
        <v>72.60000000000001</v>
      </c>
      <c r="E12" s="24">
        <v>43.599999999999994</v>
      </c>
      <c r="F12" s="24">
        <v>120.5</v>
      </c>
      <c r="G12" s="24">
        <v>516.3000000000001</v>
      </c>
      <c r="H12" s="24">
        <v>68.9</v>
      </c>
      <c r="I12" s="24">
        <v>80.19999999999999</v>
      </c>
      <c r="J12" s="24">
        <v>108.80000000000001</v>
      </c>
      <c r="K12" s="24">
        <v>17.699999999999996</v>
      </c>
      <c r="L12" s="24">
        <v>7484.999999999998</v>
      </c>
      <c r="M12" s="24">
        <v>7249.799999999999</v>
      </c>
      <c r="N12" s="24">
        <v>210.2</v>
      </c>
      <c r="O12" s="24">
        <v>400.20000000000005</v>
      </c>
      <c r="P12" s="24">
        <v>791.0999999999999</v>
      </c>
      <c r="Q12" s="24">
        <v>1184.6</v>
      </c>
      <c r="R12" s="24">
        <v>263.5</v>
      </c>
      <c r="S12" s="24">
        <v>54.3</v>
      </c>
      <c r="T12" s="24">
        <v>248.70000000000002</v>
      </c>
      <c r="U12" s="24">
        <v>228.79999999999998</v>
      </c>
      <c r="V12" s="24">
        <v>190.79999999999995</v>
      </c>
      <c r="W12" s="24">
        <v>49</v>
      </c>
      <c r="X12" s="24">
        <v>169.70000000000002</v>
      </c>
      <c r="Y12" s="24">
        <v>110</v>
      </c>
      <c r="Z12" s="24">
        <v>2249.8999999999996</v>
      </c>
      <c r="AA12" s="24">
        <v>21.1</v>
      </c>
      <c r="AB12" s="24">
        <v>344.9</v>
      </c>
      <c r="AC12" s="24">
        <v>2014.2000000000003</v>
      </c>
      <c r="AD12" s="24">
        <v>249.90000000000003</v>
      </c>
      <c r="AE12" s="24">
        <v>830.9999999999999</v>
      </c>
      <c r="AF12" s="24">
        <v>392.79999999999995</v>
      </c>
      <c r="AG12" s="24">
        <v>5025.1</v>
      </c>
      <c r="AH12" s="24">
        <v>7095.6</v>
      </c>
      <c r="AI12" s="24">
        <v>4388.799999999999</v>
      </c>
      <c r="AJ12" s="24">
        <v>779.9000000000001</v>
      </c>
      <c r="AK12" s="24">
        <v>96.2</v>
      </c>
      <c r="AL12" s="24">
        <v>193.7</v>
      </c>
      <c r="AM12" s="24">
        <v>52.600000000000016</v>
      </c>
      <c r="AN12" s="24">
        <v>54</v>
      </c>
      <c r="AO12" s="24">
        <v>51.5</v>
      </c>
      <c r="AP12" s="24">
        <v>151.9</v>
      </c>
      <c r="AQ12" s="24">
        <v>29</v>
      </c>
      <c r="AR12" s="24">
        <v>48.3</v>
      </c>
      <c r="AS12" s="24">
        <v>24.299999999999997</v>
      </c>
      <c r="AT12" s="24">
        <v>54.30000000000001</v>
      </c>
      <c r="AU12" s="24">
        <v>140.9</v>
      </c>
      <c r="AV12" s="24">
        <v>112.39999999999999</v>
      </c>
      <c r="AW12" s="24">
        <v>46.50000000000001</v>
      </c>
      <c r="AX12" s="24">
        <v>28.1</v>
      </c>
      <c r="AY12" s="24">
        <v>41.10000000000001</v>
      </c>
      <c r="AZ12" s="24">
        <v>377.9</v>
      </c>
      <c r="BA12" s="24">
        <v>17.5</v>
      </c>
      <c r="BB12" s="24">
        <v>15.2</v>
      </c>
      <c r="BC12" s="24">
        <v>235.3</v>
      </c>
      <c r="BD12" s="24">
        <v>480.4</v>
      </c>
      <c r="BE12" s="24">
        <v>120.39999999999998</v>
      </c>
      <c r="BF12" s="24">
        <v>246</v>
      </c>
      <c r="BG12" s="24">
        <v>89.7</v>
      </c>
      <c r="BH12" s="24">
        <v>40.1</v>
      </c>
      <c r="BI12" s="24">
        <v>49</v>
      </c>
      <c r="BJ12" s="24">
        <v>44.1</v>
      </c>
      <c r="BK12" s="24">
        <v>7.4</v>
      </c>
      <c r="BL12" s="24">
        <v>53.5</v>
      </c>
      <c r="BM12" s="24">
        <v>0</v>
      </c>
      <c r="BN12" s="24">
        <v>0</v>
      </c>
      <c r="BO12" s="24">
        <v>183.29999999999995</v>
      </c>
      <c r="BP12" s="24">
        <v>14508</v>
      </c>
      <c r="BQ12" s="24">
        <v>0.1</v>
      </c>
      <c r="BR12" s="24">
        <v>29.1</v>
      </c>
      <c r="BS12" s="24">
        <v>-86.7</v>
      </c>
    </row>
    <row r="13" spans="1:71" x14ac:dyDescent="0.25">
      <c r="A13" s="30" t="s">
        <v>93</v>
      </c>
      <c r="B13" s="31" t="s">
        <v>290</v>
      </c>
      <c r="C13" s="24">
        <v>4273.799999999999</v>
      </c>
      <c r="D13" s="24">
        <v>53.599999999999994</v>
      </c>
      <c r="E13" s="24">
        <v>37.2</v>
      </c>
      <c r="F13" s="24">
        <v>135.3</v>
      </c>
      <c r="G13" s="24">
        <v>2919.1000000000004</v>
      </c>
      <c r="H13" s="24">
        <v>1699</v>
      </c>
      <c r="I13" s="24">
        <v>680.6999999999999</v>
      </c>
      <c r="J13" s="24">
        <v>1773.9000000000003</v>
      </c>
      <c r="K13" s="24">
        <v>383.6</v>
      </c>
      <c r="L13" s="24">
        <v>3020.7</v>
      </c>
      <c r="M13" s="24">
        <v>37985.600000000006</v>
      </c>
      <c r="N13" s="24">
        <v>7494.4</v>
      </c>
      <c r="O13" s="24">
        <v>13541.800000000001</v>
      </c>
      <c r="P13" s="24">
        <v>1417.1</v>
      </c>
      <c r="Q13" s="24">
        <v>1370.7000000000003</v>
      </c>
      <c r="R13" s="24">
        <v>1762.4</v>
      </c>
      <c r="S13" s="24">
        <v>1102.4999999999998</v>
      </c>
      <c r="T13" s="24">
        <v>2048.2999999999997</v>
      </c>
      <c r="U13" s="24">
        <v>1091.2</v>
      </c>
      <c r="V13" s="24">
        <v>2054.1000000000004</v>
      </c>
      <c r="W13" s="24">
        <v>554.3</v>
      </c>
      <c r="X13" s="24">
        <v>1160.3</v>
      </c>
      <c r="Y13" s="24">
        <v>531.8</v>
      </c>
      <c r="Z13" s="24">
        <v>1861.1999999999998</v>
      </c>
      <c r="AA13" s="24">
        <v>54.30000000000001</v>
      </c>
      <c r="AB13" s="24">
        <v>338.3</v>
      </c>
      <c r="AC13" s="24">
        <v>3919.2</v>
      </c>
      <c r="AD13" s="24">
        <v>413.0000000000001</v>
      </c>
      <c r="AE13" s="24">
        <v>2115.1</v>
      </c>
      <c r="AF13" s="24">
        <v>450.19999999999993</v>
      </c>
      <c r="AG13" s="24">
        <v>429.79999999999995</v>
      </c>
      <c r="AH13" s="24">
        <v>107.1</v>
      </c>
      <c r="AI13" s="24">
        <v>115.5</v>
      </c>
      <c r="AJ13" s="24">
        <v>215.20000000000005</v>
      </c>
      <c r="AK13" s="24">
        <v>11.4</v>
      </c>
      <c r="AL13" s="24">
        <v>452.69999999999993</v>
      </c>
      <c r="AM13" s="24">
        <v>1077</v>
      </c>
      <c r="AN13" s="24">
        <v>74.30000000000001</v>
      </c>
      <c r="AO13" s="24">
        <v>39.400000000000006</v>
      </c>
      <c r="AP13" s="24">
        <v>267.5</v>
      </c>
      <c r="AQ13" s="24">
        <v>17.6</v>
      </c>
      <c r="AR13" s="24">
        <v>11</v>
      </c>
      <c r="AS13" s="24">
        <v>18.599999999999998</v>
      </c>
      <c r="AT13" s="24">
        <v>353.09999999999997</v>
      </c>
      <c r="AU13" s="24">
        <v>146.6</v>
      </c>
      <c r="AV13" s="24">
        <v>294.09999999999997</v>
      </c>
      <c r="AW13" s="24">
        <v>394.59999999999997</v>
      </c>
      <c r="AX13" s="24">
        <v>38.5</v>
      </c>
      <c r="AY13" s="24">
        <v>123.20000000000002</v>
      </c>
      <c r="AZ13" s="24">
        <v>149.4</v>
      </c>
      <c r="BA13" s="24">
        <v>12.299999999999997</v>
      </c>
      <c r="BB13" s="24">
        <v>17.4</v>
      </c>
      <c r="BC13" s="24">
        <v>650.2</v>
      </c>
      <c r="BD13" s="24">
        <v>293.0999999999999</v>
      </c>
      <c r="BE13" s="24">
        <v>168</v>
      </c>
      <c r="BF13" s="24">
        <v>3063.6000000000004</v>
      </c>
      <c r="BG13" s="24">
        <v>233</v>
      </c>
      <c r="BH13" s="24">
        <v>91.5</v>
      </c>
      <c r="BI13" s="24">
        <v>58.900000000000006</v>
      </c>
      <c r="BJ13" s="24">
        <v>80.20000000000002</v>
      </c>
      <c r="BK13" s="24">
        <v>9.000000000000002</v>
      </c>
      <c r="BL13" s="24">
        <v>501.69999999999993</v>
      </c>
      <c r="BM13" s="24">
        <v>0</v>
      </c>
      <c r="BN13" s="24">
        <v>0</v>
      </c>
      <c r="BO13" s="24">
        <v>214.60000000000002</v>
      </c>
      <c r="BP13" s="24">
        <v>10738.699999999999</v>
      </c>
      <c r="BQ13" s="24">
        <v>1.3</v>
      </c>
      <c r="BR13" s="24">
        <v>455.8999999999999</v>
      </c>
      <c r="BS13" s="24">
        <v>2179.4</v>
      </c>
    </row>
    <row r="14" spans="1:71" x14ac:dyDescent="0.25">
      <c r="A14" s="30" t="s">
        <v>95</v>
      </c>
      <c r="B14" s="31" t="s">
        <v>291</v>
      </c>
      <c r="C14" s="24">
        <v>446.9999999999999</v>
      </c>
      <c r="D14" s="24">
        <v>0.9</v>
      </c>
      <c r="E14" s="24">
        <v>6.8</v>
      </c>
      <c r="F14" s="24">
        <v>3.0000000000000004</v>
      </c>
      <c r="G14" s="24">
        <v>886.4</v>
      </c>
      <c r="H14" s="24">
        <v>34.5</v>
      </c>
      <c r="I14" s="24">
        <v>13.399999999999997</v>
      </c>
      <c r="J14" s="24">
        <v>27.200000000000003</v>
      </c>
      <c r="K14" s="24">
        <v>5.1000000000000005</v>
      </c>
      <c r="L14" s="24">
        <v>32.099999999999994</v>
      </c>
      <c r="M14" s="24">
        <v>1025.5</v>
      </c>
      <c r="N14" s="24">
        <v>16109.000000000004</v>
      </c>
      <c r="O14" s="24">
        <v>182.3</v>
      </c>
      <c r="P14" s="24">
        <v>38.900000000000006</v>
      </c>
      <c r="Q14" s="24">
        <v>26.7</v>
      </c>
      <c r="R14" s="24">
        <v>33.300000000000004</v>
      </c>
      <c r="S14" s="24">
        <v>60.6</v>
      </c>
      <c r="T14" s="24">
        <v>43.4</v>
      </c>
      <c r="U14" s="24">
        <v>58.5</v>
      </c>
      <c r="V14" s="24">
        <v>70.80000000000001</v>
      </c>
      <c r="W14" s="24">
        <v>18.600000000000005</v>
      </c>
      <c r="X14" s="24">
        <v>107</v>
      </c>
      <c r="Y14" s="24">
        <v>17</v>
      </c>
      <c r="Z14" s="24">
        <v>40.699999999999996</v>
      </c>
      <c r="AA14" s="24">
        <v>1.2</v>
      </c>
      <c r="AB14" s="24">
        <v>20.200000000000003</v>
      </c>
      <c r="AC14" s="24">
        <v>103.89999999999998</v>
      </c>
      <c r="AD14" s="24">
        <v>12.5</v>
      </c>
      <c r="AE14" s="24">
        <v>3218.6000000000004</v>
      </c>
      <c r="AF14" s="24">
        <v>162.19999999999993</v>
      </c>
      <c r="AG14" s="24">
        <v>13.299999999999999</v>
      </c>
      <c r="AH14" s="24">
        <v>13.1</v>
      </c>
      <c r="AI14" s="24">
        <v>13.599999999999998</v>
      </c>
      <c r="AJ14" s="24">
        <v>17.700000000000003</v>
      </c>
      <c r="AK14" s="24">
        <v>1.6000000000000003</v>
      </c>
      <c r="AL14" s="24">
        <v>32.900000000000006</v>
      </c>
      <c r="AM14" s="24">
        <v>41.60000000000001</v>
      </c>
      <c r="AN14" s="24">
        <v>5.2</v>
      </c>
      <c r="AO14" s="24">
        <v>15.7</v>
      </c>
      <c r="AP14" s="24">
        <v>102.5</v>
      </c>
      <c r="AQ14" s="24">
        <v>4.699999999999998</v>
      </c>
      <c r="AR14" s="24">
        <v>3.5000000000000004</v>
      </c>
      <c r="AS14" s="24">
        <v>3.9</v>
      </c>
      <c r="AT14" s="24">
        <v>7.4</v>
      </c>
      <c r="AU14" s="24">
        <v>112.9</v>
      </c>
      <c r="AV14" s="24">
        <v>37.7</v>
      </c>
      <c r="AW14" s="24">
        <v>342.69999999999993</v>
      </c>
      <c r="AX14" s="24">
        <v>12.8</v>
      </c>
      <c r="AY14" s="24">
        <v>370.99999999999994</v>
      </c>
      <c r="AZ14" s="24">
        <v>13.099999999999998</v>
      </c>
      <c r="BA14" s="24">
        <v>1.8000000000000005</v>
      </c>
      <c r="BB14" s="24">
        <v>4.8</v>
      </c>
      <c r="BC14" s="24">
        <v>151.00000000000003</v>
      </c>
      <c r="BD14" s="24">
        <v>770.1999999999999</v>
      </c>
      <c r="BE14" s="24">
        <v>183.79999999999998</v>
      </c>
      <c r="BF14" s="24">
        <v>15104.099999999999</v>
      </c>
      <c r="BG14" s="24">
        <v>1127.9000000000003</v>
      </c>
      <c r="BH14" s="24">
        <v>19.8</v>
      </c>
      <c r="BI14" s="24">
        <v>23.000000000000007</v>
      </c>
      <c r="BJ14" s="24">
        <v>16.099999999999998</v>
      </c>
      <c r="BK14" s="24">
        <v>1.2000000000000002</v>
      </c>
      <c r="BL14" s="24">
        <v>9.699999999999998</v>
      </c>
      <c r="BM14" s="24">
        <v>0</v>
      </c>
      <c r="BN14" s="24">
        <v>0</v>
      </c>
      <c r="BO14" s="24">
        <v>22430.399999999998</v>
      </c>
      <c r="BP14" s="24">
        <v>15648.400000000005</v>
      </c>
      <c r="BQ14" s="24">
        <v>17.7</v>
      </c>
      <c r="BR14" s="24">
        <v>711.1999999999999</v>
      </c>
      <c r="BS14" s="24">
        <v>3700.9</v>
      </c>
    </row>
    <row r="15" spans="1:71" x14ac:dyDescent="0.25">
      <c r="A15" s="30" t="s">
        <v>97</v>
      </c>
      <c r="B15" s="31" t="s">
        <v>292</v>
      </c>
      <c r="C15" s="24">
        <v>368.9000000000001</v>
      </c>
      <c r="D15" s="24">
        <v>10.5</v>
      </c>
      <c r="E15" s="24">
        <v>9.7</v>
      </c>
      <c r="F15" s="24">
        <v>50.50000000000001</v>
      </c>
      <c r="G15" s="24">
        <v>3514.5</v>
      </c>
      <c r="H15" s="24">
        <v>352.0000000000001</v>
      </c>
      <c r="I15" s="24">
        <v>209.29999999999998</v>
      </c>
      <c r="J15" s="24">
        <v>590.3</v>
      </c>
      <c r="K15" s="24">
        <v>147.20000000000002</v>
      </c>
      <c r="L15" s="24">
        <v>260.7</v>
      </c>
      <c r="M15" s="24">
        <v>1854.8000000000002</v>
      </c>
      <c r="N15" s="24">
        <v>1694.7</v>
      </c>
      <c r="O15" s="24">
        <v>6850.100000000001</v>
      </c>
      <c r="P15" s="24">
        <v>480.8999999999999</v>
      </c>
      <c r="Q15" s="24">
        <v>341.70000000000005</v>
      </c>
      <c r="R15" s="24">
        <v>929.4</v>
      </c>
      <c r="S15" s="24">
        <v>630.8</v>
      </c>
      <c r="T15" s="24">
        <v>1237.7</v>
      </c>
      <c r="U15" s="24">
        <v>1411.3000000000002</v>
      </c>
      <c r="V15" s="24">
        <v>4446.9</v>
      </c>
      <c r="W15" s="24">
        <v>415.40000000000003</v>
      </c>
      <c r="X15" s="24">
        <v>1014.4</v>
      </c>
      <c r="Y15" s="24">
        <v>323.9</v>
      </c>
      <c r="Z15" s="24">
        <v>186</v>
      </c>
      <c r="AA15" s="24">
        <v>13.6</v>
      </c>
      <c r="AB15" s="24">
        <v>235.3</v>
      </c>
      <c r="AC15" s="24">
        <v>6953</v>
      </c>
      <c r="AD15" s="24">
        <v>856.2</v>
      </c>
      <c r="AE15" s="24">
        <v>1036.8999999999999</v>
      </c>
      <c r="AF15" s="24">
        <v>625.8999999999999</v>
      </c>
      <c r="AG15" s="24">
        <v>899.9000000000003</v>
      </c>
      <c r="AH15" s="24">
        <v>25.9</v>
      </c>
      <c r="AI15" s="24">
        <v>39.1</v>
      </c>
      <c r="AJ15" s="24">
        <v>249.9</v>
      </c>
      <c r="AK15" s="24">
        <v>30.000000000000004</v>
      </c>
      <c r="AL15" s="24">
        <v>135</v>
      </c>
      <c r="AM15" s="24">
        <v>66.10000000000001</v>
      </c>
      <c r="AN15" s="24">
        <v>34.599999999999994</v>
      </c>
      <c r="AO15" s="24">
        <v>166.29999999999998</v>
      </c>
      <c r="AP15" s="24">
        <v>245.3</v>
      </c>
      <c r="AQ15" s="24">
        <v>34.4</v>
      </c>
      <c r="AR15" s="24">
        <v>31.700000000000003</v>
      </c>
      <c r="AS15" s="24">
        <v>23.8</v>
      </c>
      <c r="AT15" s="24">
        <v>317.9000000000001</v>
      </c>
      <c r="AU15" s="24">
        <v>130.29999999999998</v>
      </c>
      <c r="AV15" s="24">
        <v>183.5</v>
      </c>
      <c r="AW15" s="24">
        <v>86.20000000000002</v>
      </c>
      <c r="AX15" s="24">
        <v>54.69999999999999</v>
      </c>
      <c r="AY15" s="24">
        <v>68.7</v>
      </c>
      <c r="AZ15" s="24">
        <v>132.20000000000002</v>
      </c>
      <c r="BA15" s="24">
        <v>9.1</v>
      </c>
      <c r="BB15" s="24">
        <v>9.2</v>
      </c>
      <c r="BC15" s="24">
        <v>376.30000000000007</v>
      </c>
      <c r="BD15" s="24">
        <v>204.4</v>
      </c>
      <c r="BE15" s="24">
        <v>64.69999999999999</v>
      </c>
      <c r="BF15" s="24">
        <v>766.9999999999999</v>
      </c>
      <c r="BG15" s="24">
        <v>132.6</v>
      </c>
      <c r="BH15" s="24">
        <v>45.7</v>
      </c>
      <c r="BI15" s="24">
        <v>28.6</v>
      </c>
      <c r="BJ15" s="24">
        <v>21.799999999999997</v>
      </c>
      <c r="BK15" s="24">
        <v>20.999999999999996</v>
      </c>
      <c r="BL15" s="24">
        <v>49.10000000000001</v>
      </c>
      <c r="BM15" s="24">
        <v>0</v>
      </c>
      <c r="BN15" s="24">
        <v>0</v>
      </c>
      <c r="BO15" s="24">
        <v>55.10000000000001</v>
      </c>
      <c r="BP15" s="24">
        <v>7211.6</v>
      </c>
      <c r="BQ15" s="24">
        <v>1.3000000000000003</v>
      </c>
      <c r="BR15" s="24">
        <v>843.7000000000002</v>
      </c>
      <c r="BS15" s="24">
        <v>114.1</v>
      </c>
    </row>
    <row r="16" spans="1:71" x14ac:dyDescent="0.25">
      <c r="A16" s="30" t="s">
        <v>99</v>
      </c>
      <c r="B16" s="31" t="s">
        <v>293</v>
      </c>
      <c r="C16" s="24">
        <v>181.29999999999998</v>
      </c>
      <c r="D16" s="24">
        <v>3.5</v>
      </c>
      <c r="E16" s="24">
        <v>5.3</v>
      </c>
      <c r="F16" s="24">
        <v>47.80000000000001</v>
      </c>
      <c r="G16" s="24">
        <v>1332.3</v>
      </c>
      <c r="H16" s="24">
        <v>111.99999999999999</v>
      </c>
      <c r="I16" s="24">
        <v>218.89999999999992</v>
      </c>
      <c r="J16" s="24">
        <v>31.300000000000004</v>
      </c>
      <c r="K16" s="24">
        <v>5.500000000000001</v>
      </c>
      <c r="L16" s="24">
        <v>248.1</v>
      </c>
      <c r="M16" s="24">
        <v>969.5999999999999</v>
      </c>
      <c r="N16" s="24">
        <v>356.7</v>
      </c>
      <c r="O16" s="24">
        <v>516.1</v>
      </c>
      <c r="P16" s="24">
        <v>3627.5</v>
      </c>
      <c r="Q16" s="24">
        <v>653.5</v>
      </c>
      <c r="R16" s="24">
        <v>615</v>
      </c>
      <c r="S16" s="24">
        <v>291.3</v>
      </c>
      <c r="T16" s="24">
        <v>702.6</v>
      </c>
      <c r="U16" s="24">
        <v>545.6</v>
      </c>
      <c r="V16" s="24">
        <v>1702.6</v>
      </c>
      <c r="W16" s="24">
        <v>338.7</v>
      </c>
      <c r="X16" s="24">
        <v>415.4</v>
      </c>
      <c r="Y16" s="24">
        <v>142.10000000000002</v>
      </c>
      <c r="Z16" s="24">
        <v>184.20000000000002</v>
      </c>
      <c r="AA16" s="24">
        <v>7.6</v>
      </c>
      <c r="AB16" s="24">
        <v>100.39999999999999</v>
      </c>
      <c r="AC16" s="24">
        <v>9804.5</v>
      </c>
      <c r="AD16" s="24">
        <v>205.3</v>
      </c>
      <c r="AE16" s="24">
        <v>190.60000000000002</v>
      </c>
      <c r="AF16" s="24">
        <v>83.80000000000001</v>
      </c>
      <c r="AG16" s="24">
        <v>73.30000000000001</v>
      </c>
      <c r="AH16" s="24">
        <v>14.599999999999998</v>
      </c>
      <c r="AI16" s="24">
        <v>16.999999999999996</v>
      </c>
      <c r="AJ16" s="24">
        <v>57.7</v>
      </c>
      <c r="AK16" s="24">
        <v>1.2</v>
      </c>
      <c r="AL16" s="24">
        <v>258.4</v>
      </c>
      <c r="AM16" s="24">
        <v>17.7</v>
      </c>
      <c r="AN16" s="24">
        <v>3.9000000000000004</v>
      </c>
      <c r="AO16" s="24">
        <v>22</v>
      </c>
      <c r="AP16" s="24">
        <v>58.1</v>
      </c>
      <c r="AQ16" s="24">
        <v>6.999999999999999</v>
      </c>
      <c r="AR16" s="24">
        <v>1.2999999999999998</v>
      </c>
      <c r="AS16" s="24">
        <v>3.1</v>
      </c>
      <c r="AT16" s="24">
        <v>262.7</v>
      </c>
      <c r="AU16" s="24">
        <v>38.9</v>
      </c>
      <c r="AV16" s="24">
        <v>46.80000000000001</v>
      </c>
      <c r="AW16" s="24">
        <v>64.50000000000001</v>
      </c>
      <c r="AX16" s="24">
        <v>6.6</v>
      </c>
      <c r="AY16" s="24">
        <v>14.2</v>
      </c>
      <c r="AZ16" s="24">
        <v>31.199999999999996</v>
      </c>
      <c r="BA16" s="24">
        <v>2.7</v>
      </c>
      <c r="BB16" s="24">
        <v>2.6</v>
      </c>
      <c r="BC16" s="24">
        <v>113.7</v>
      </c>
      <c r="BD16" s="24">
        <v>49.100000000000016</v>
      </c>
      <c r="BE16" s="24">
        <v>43</v>
      </c>
      <c r="BF16" s="24">
        <v>216.9</v>
      </c>
      <c r="BG16" s="24">
        <v>21.700000000000003</v>
      </c>
      <c r="BH16" s="24">
        <v>28.400000000000002</v>
      </c>
      <c r="BI16" s="24">
        <v>9.5</v>
      </c>
      <c r="BJ16" s="24">
        <v>18.300000000000004</v>
      </c>
      <c r="BK16" s="24">
        <v>5.8999999999999995</v>
      </c>
      <c r="BL16" s="24">
        <v>66.60000000000001</v>
      </c>
      <c r="BM16" s="24">
        <v>0</v>
      </c>
      <c r="BN16" s="24">
        <v>0</v>
      </c>
      <c r="BO16" s="24">
        <v>11.499999999999998</v>
      </c>
      <c r="BP16" s="24">
        <v>3081.8999999999996</v>
      </c>
      <c r="BQ16" s="24">
        <v>0.2</v>
      </c>
      <c r="BR16" s="24">
        <v>584.2</v>
      </c>
      <c r="BS16" s="24">
        <v>-387.09999999999997</v>
      </c>
    </row>
    <row r="17" spans="1:71" x14ac:dyDescent="0.25">
      <c r="A17" s="30" t="s">
        <v>101</v>
      </c>
      <c r="B17" s="31" t="s">
        <v>294</v>
      </c>
      <c r="C17" s="24">
        <v>69.4</v>
      </c>
      <c r="D17" s="24">
        <v>3.7</v>
      </c>
      <c r="E17" s="24">
        <v>1.1</v>
      </c>
      <c r="F17" s="24">
        <v>49.8</v>
      </c>
      <c r="G17" s="24">
        <v>466.9</v>
      </c>
      <c r="H17" s="24">
        <v>55.70000000000002</v>
      </c>
      <c r="I17" s="24">
        <v>87.7</v>
      </c>
      <c r="J17" s="24">
        <v>95.39999999999999</v>
      </c>
      <c r="K17" s="24">
        <v>17.2</v>
      </c>
      <c r="L17" s="24">
        <v>151.2</v>
      </c>
      <c r="M17" s="24">
        <v>1392.6000000000001</v>
      </c>
      <c r="N17" s="24">
        <v>248.39999999999998</v>
      </c>
      <c r="O17" s="24">
        <v>646.6000000000001</v>
      </c>
      <c r="P17" s="24">
        <v>450.19999999999993</v>
      </c>
      <c r="Q17" s="24">
        <v>26382.3</v>
      </c>
      <c r="R17" s="24">
        <v>12165.000000000004</v>
      </c>
      <c r="S17" s="24">
        <v>697.7</v>
      </c>
      <c r="T17" s="24">
        <v>4125.899999999999</v>
      </c>
      <c r="U17" s="24">
        <v>5472.8</v>
      </c>
      <c r="V17" s="24">
        <v>3950.8999999999996</v>
      </c>
      <c r="W17" s="24">
        <v>845.7</v>
      </c>
      <c r="X17" s="24">
        <v>1731.4999999999998</v>
      </c>
      <c r="Y17" s="24">
        <v>610.6999999999999</v>
      </c>
      <c r="Z17" s="24">
        <v>220</v>
      </c>
      <c r="AA17" s="24">
        <v>14.899999999999999</v>
      </c>
      <c r="AB17" s="24">
        <v>552.4</v>
      </c>
      <c r="AC17" s="24">
        <v>4295.099999999999</v>
      </c>
      <c r="AD17" s="24">
        <v>55.6</v>
      </c>
      <c r="AE17" s="24">
        <v>354.59999999999997</v>
      </c>
      <c r="AF17" s="24">
        <v>73.50000000000001</v>
      </c>
      <c r="AG17" s="24">
        <v>162.7</v>
      </c>
      <c r="AH17" s="24">
        <v>28.8</v>
      </c>
      <c r="AI17" s="24">
        <v>24.700000000000006</v>
      </c>
      <c r="AJ17" s="24">
        <v>115.30000000000001</v>
      </c>
      <c r="AK17" s="24">
        <v>2.3</v>
      </c>
      <c r="AL17" s="24">
        <v>20.500000000000004</v>
      </c>
      <c r="AM17" s="24">
        <v>22</v>
      </c>
      <c r="AN17" s="24">
        <v>8.5</v>
      </c>
      <c r="AO17" s="24">
        <v>56.7</v>
      </c>
      <c r="AP17" s="24">
        <v>57.6</v>
      </c>
      <c r="AQ17" s="24">
        <v>3.8000000000000007</v>
      </c>
      <c r="AR17" s="24">
        <v>1.4</v>
      </c>
      <c r="AS17" s="24">
        <v>2.2</v>
      </c>
      <c r="AT17" s="24">
        <v>45.9</v>
      </c>
      <c r="AU17" s="24">
        <v>22.200000000000003</v>
      </c>
      <c r="AV17" s="24">
        <v>119.8</v>
      </c>
      <c r="AW17" s="24">
        <v>33.4</v>
      </c>
      <c r="AX17" s="24">
        <v>21.699999999999996</v>
      </c>
      <c r="AY17" s="24">
        <v>11.1</v>
      </c>
      <c r="AZ17" s="24">
        <v>48.2</v>
      </c>
      <c r="BA17" s="24">
        <v>1.9000000000000001</v>
      </c>
      <c r="BB17" s="24">
        <v>1.8</v>
      </c>
      <c r="BC17" s="24">
        <v>82.10000000000001</v>
      </c>
      <c r="BD17" s="24">
        <v>59.400000000000006</v>
      </c>
      <c r="BE17" s="24">
        <v>19.2</v>
      </c>
      <c r="BF17" s="24">
        <v>102.6</v>
      </c>
      <c r="BG17" s="24">
        <v>9.7</v>
      </c>
      <c r="BH17" s="24">
        <v>15.899999999999999</v>
      </c>
      <c r="BI17" s="24">
        <v>7.300000000000001</v>
      </c>
      <c r="BJ17" s="24">
        <v>6.700000000000001</v>
      </c>
      <c r="BK17" s="24">
        <v>16.7</v>
      </c>
      <c r="BL17" s="24">
        <v>9.7</v>
      </c>
      <c r="BM17" s="24">
        <v>0</v>
      </c>
      <c r="BN17" s="24">
        <v>0</v>
      </c>
      <c r="BO17" s="24">
        <v>34.10000000000001</v>
      </c>
      <c r="BP17" s="24">
        <v>698.3000000000001</v>
      </c>
      <c r="BQ17" s="24">
        <v>0.4</v>
      </c>
      <c r="BR17" s="24">
        <v>1156.1000000000001</v>
      </c>
      <c r="BS17" s="24">
        <v>-1202.3</v>
      </c>
    </row>
    <row r="18" spans="1:71" x14ac:dyDescent="0.25">
      <c r="A18" s="30" t="s">
        <v>103</v>
      </c>
      <c r="B18" s="31" t="s">
        <v>295</v>
      </c>
      <c r="C18" s="24">
        <v>466.70000000000005</v>
      </c>
      <c r="D18" s="24">
        <v>20.699999999999996</v>
      </c>
      <c r="E18" s="24">
        <v>8.099999999999998</v>
      </c>
      <c r="F18" s="24">
        <v>113.79999999999998</v>
      </c>
      <c r="G18" s="24">
        <v>1654.8999999999996</v>
      </c>
      <c r="H18" s="24">
        <v>246.2</v>
      </c>
      <c r="I18" s="24">
        <v>360.0999999999999</v>
      </c>
      <c r="J18" s="24">
        <v>139</v>
      </c>
      <c r="K18" s="24">
        <v>23.000000000000004</v>
      </c>
      <c r="L18" s="24">
        <v>184.7</v>
      </c>
      <c r="M18" s="24">
        <v>720.1999999999999</v>
      </c>
      <c r="N18" s="24">
        <v>343.9999999999999</v>
      </c>
      <c r="O18" s="24">
        <v>1058.3</v>
      </c>
      <c r="P18" s="24">
        <v>369.40000000000003</v>
      </c>
      <c r="Q18" s="24">
        <v>1430.6000000000004</v>
      </c>
      <c r="R18" s="24">
        <v>7815.0999999999985</v>
      </c>
      <c r="S18" s="24">
        <v>665.7</v>
      </c>
      <c r="T18" s="24">
        <v>1761</v>
      </c>
      <c r="U18" s="24">
        <v>4099.799999999999</v>
      </c>
      <c r="V18" s="24">
        <v>4971.200000000001</v>
      </c>
      <c r="W18" s="24">
        <v>1300</v>
      </c>
      <c r="X18" s="24">
        <v>1205.3</v>
      </c>
      <c r="Y18" s="24">
        <v>1108.2000000000003</v>
      </c>
      <c r="Z18" s="24">
        <v>382</v>
      </c>
      <c r="AA18" s="24">
        <v>21.9</v>
      </c>
      <c r="AB18" s="24">
        <v>263.29999999999995</v>
      </c>
      <c r="AC18" s="24">
        <v>9070</v>
      </c>
      <c r="AD18" s="24">
        <v>376.9000000000001</v>
      </c>
      <c r="AE18" s="24">
        <v>631.4</v>
      </c>
      <c r="AF18" s="24">
        <v>191.39999999999998</v>
      </c>
      <c r="AG18" s="24">
        <v>248.5</v>
      </c>
      <c r="AH18" s="24">
        <v>86.99999999999999</v>
      </c>
      <c r="AI18" s="24">
        <v>76.89999999999999</v>
      </c>
      <c r="AJ18" s="24">
        <v>261.59999999999997</v>
      </c>
      <c r="AK18" s="24">
        <v>16.199999999999996</v>
      </c>
      <c r="AL18" s="24">
        <v>248.7</v>
      </c>
      <c r="AM18" s="24">
        <v>49</v>
      </c>
      <c r="AN18" s="24">
        <v>19.599999999999994</v>
      </c>
      <c r="AO18" s="24">
        <v>86.4</v>
      </c>
      <c r="AP18" s="24">
        <v>203.89999999999998</v>
      </c>
      <c r="AQ18" s="24">
        <v>25.899999999999995</v>
      </c>
      <c r="AR18" s="24">
        <v>10.399999999999999</v>
      </c>
      <c r="AS18" s="24">
        <v>12.299999999999999</v>
      </c>
      <c r="AT18" s="24">
        <v>175.90000000000003</v>
      </c>
      <c r="AU18" s="24">
        <v>87.10000000000002</v>
      </c>
      <c r="AV18" s="24">
        <v>507.1</v>
      </c>
      <c r="AW18" s="24">
        <v>35.900000000000006</v>
      </c>
      <c r="AX18" s="24">
        <v>61.2</v>
      </c>
      <c r="AY18" s="24">
        <v>25.700000000000003</v>
      </c>
      <c r="AZ18" s="24">
        <v>145.60000000000002</v>
      </c>
      <c r="BA18" s="24">
        <v>7.499999999999999</v>
      </c>
      <c r="BB18" s="24">
        <v>11.599999999999998</v>
      </c>
      <c r="BC18" s="24">
        <v>245.99999999999994</v>
      </c>
      <c r="BD18" s="24">
        <v>556.5</v>
      </c>
      <c r="BE18" s="24">
        <v>64.70000000000002</v>
      </c>
      <c r="BF18" s="24">
        <v>191.6</v>
      </c>
      <c r="BG18" s="24">
        <v>47.3</v>
      </c>
      <c r="BH18" s="24">
        <v>36.7</v>
      </c>
      <c r="BI18" s="24">
        <v>30.400000000000006</v>
      </c>
      <c r="BJ18" s="24">
        <v>21</v>
      </c>
      <c r="BK18" s="24">
        <v>32.400000000000006</v>
      </c>
      <c r="BL18" s="24">
        <v>40.8</v>
      </c>
      <c r="BM18" s="24">
        <v>0</v>
      </c>
      <c r="BN18" s="24">
        <v>0</v>
      </c>
      <c r="BO18" s="24">
        <v>74.30000000000001</v>
      </c>
      <c r="BP18" s="24">
        <v>4384.6</v>
      </c>
      <c r="BQ18" s="24">
        <v>5.5</v>
      </c>
      <c r="BR18" s="24">
        <v>7724.400000000003</v>
      </c>
      <c r="BS18" s="24">
        <v>664.8000000000001</v>
      </c>
    </row>
    <row r="19" spans="1:71" x14ac:dyDescent="0.25">
      <c r="A19" s="30" t="s">
        <v>105</v>
      </c>
      <c r="B19" s="31" t="s">
        <v>296</v>
      </c>
      <c r="C19" s="24">
        <v>71.9</v>
      </c>
      <c r="D19" s="24">
        <v>9.100000000000001</v>
      </c>
      <c r="E19" s="24">
        <v>4.1000000000000005</v>
      </c>
      <c r="F19" s="24">
        <v>37.400000000000006</v>
      </c>
      <c r="G19" s="24">
        <v>254.5</v>
      </c>
      <c r="H19" s="24">
        <v>36.900000000000006</v>
      </c>
      <c r="I19" s="24">
        <v>28.8</v>
      </c>
      <c r="J19" s="24">
        <v>42.50000000000001</v>
      </c>
      <c r="K19" s="24">
        <v>86.30000000000001</v>
      </c>
      <c r="L19" s="24">
        <v>112.60000000000001</v>
      </c>
      <c r="M19" s="24">
        <v>272.90000000000003</v>
      </c>
      <c r="N19" s="24">
        <v>366.4</v>
      </c>
      <c r="O19" s="24">
        <v>235.9</v>
      </c>
      <c r="P19" s="24">
        <v>196.59999999999997</v>
      </c>
      <c r="Q19" s="24">
        <v>209.59999999999997</v>
      </c>
      <c r="R19" s="24">
        <v>843.7</v>
      </c>
      <c r="S19" s="24">
        <v>25724.300000000003</v>
      </c>
      <c r="T19" s="24">
        <v>5815.5</v>
      </c>
      <c r="U19" s="24">
        <v>3947.4000000000005</v>
      </c>
      <c r="V19" s="24">
        <v>4368.6</v>
      </c>
      <c r="W19" s="24">
        <v>2038.2999999999997</v>
      </c>
      <c r="X19" s="24">
        <v>807.5999999999999</v>
      </c>
      <c r="Y19" s="24">
        <v>1957.1</v>
      </c>
      <c r="Z19" s="24">
        <v>673.8</v>
      </c>
      <c r="AA19" s="24">
        <v>64.80000000000001</v>
      </c>
      <c r="AB19" s="24">
        <v>130.70000000000002</v>
      </c>
      <c r="AC19" s="24">
        <v>3009.2000000000003</v>
      </c>
      <c r="AD19" s="24">
        <v>262.20000000000005</v>
      </c>
      <c r="AE19" s="24">
        <v>1798.0999999999997</v>
      </c>
      <c r="AF19" s="24">
        <v>422.50000000000006</v>
      </c>
      <c r="AG19" s="24">
        <v>231.3</v>
      </c>
      <c r="AH19" s="24">
        <v>79.2</v>
      </c>
      <c r="AI19" s="24">
        <v>121.8</v>
      </c>
      <c r="AJ19" s="24">
        <v>298.5</v>
      </c>
      <c r="AK19" s="24">
        <v>98.9</v>
      </c>
      <c r="AL19" s="24">
        <v>217.8</v>
      </c>
      <c r="AM19" s="24">
        <v>590.0999999999999</v>
      </c>
      <c r="AN19" s="24">
        <v>433.90000000000003</v>
      </c>
      <c r="AO19" s="24">
        <v>2861.7</v>
      </c>
      <c r="AP19" s="24">
        <v>5477.6</v>
      </c>
      <c r="AQ19" s="24">
        <v>157.6</v>
      </c>
      <c r="AR19" s="24">
        <v>113.5</v>
      </c>
      <c r="AS19" s="24">
        <v>121.69999999999999</v>
      </c>
      <c r="AT19" s="24">
        <v>152.9</v>
      </c>
      <c r="AU19" s="24">
        <v>511.20000000000005</v>
      </c>
      <c r="AV19" s="24">
        <v>1187.9</v>
      </c>
      <c r="AW19" s="24">
        <v>590.2</v>
      </c>
      <c r="AX19" s="24">
        <v>282.9</v>
      </c>
      <c r="AY19" s="24">
        <v>186.8</v>
      </c>
      <c r="AZ19" s="24">
        <v>372</v>
      </c>
      <c r="BA19" s="24">
        <v>70</v>
      </c>
      <c r="BB19" s="24">
        <v>34.5</v>
      </c>
      <c r="BC19" s="24">
        <v>948.0999999999999</v>
      </c>
      <c r="BD19" s="24">
        <v>1129</v>
      </c>
      <c r="BE19" s="24">
        <v>367.4</v>
      </c>
      <c r="BF19" s="24">
        <v>1404.7</v>
      </c>
      <c r="BG19" s="24">
        <v>278.30000000000007</v>
      </c>
      <c r="BH19" s="24">
        <v>477.9000000000001</v>
      </c>
      <c r="BI19" s="24">
        <v>159.89999999999998</v>
      </c>
      <c r="BJ19" s="24">
        <v>138.7</v>
      </c>
      <c r="BK19" s="24">
        <v>427.4</v>
      </c>
      <c r="BL19" s="24">
        <v>57.5</v>
      </c>
      <c r="BM19" s="24">
        <v>0</v>
      </c>
      <c r="BN19" s="24">
        <v>0</v>
      </c>
      <c r="BO19" s="24">
        <v>541.1999999999999</v>
      </c>
      <c r="BP19" s="24">
        <v>32627.400000000005</v>
      </c>
      <c r="BQ19" s="24">
        <v>4.3</v>
      </c>
      <c r="BR19" s="24">
        <v>45671.8</v>
      </c>
      <c r="BS19" s="24">
        <v>17203.4</v>
      </c>
    </row>
    <row r="20" spans="1:71" x14ac:dyDescent="0.25">
      <c r="A20" s="30" t="s">
        <v>107</v>
      </c>
      <c r="B20" s="31" t="s">
        <v>297</v>
      </c>
      <c r="C20" s="24">
        <v>139.5</v>
      </c>
      <c r="D20" s="24">
        <v>9.9</v>
      </c>
      <c r="E20" s="24">
        <v>2.7</v>
      </c>
      <c r="F20" s="24">
        <v>58</v>
      </c>
      <c r="G20" s="24">
        <v>636.3</v>
      </c>
      <c r="H20" s="24">
        <v>40</v>
      </c>
      <c r="I20" s="24">
        <v>67.1</v>
      </c>
      <c r="J20" s="24">
        <v>91.89999999999998</v>
      </c>
      <c r="K20" s="24">
        <v>26.7</v>
      </c>
      <c r="L20" s="24">
        <v>130.5</v>
      </c>
      <c r="M20" s="24">
        <v>312.9</v>
      </c>
      <c r="N20" s="24">
        <v>255.59999999999997</v>
      </c>
      <c r="O20" s="24">
        <v>369.5</v>
      </c>
      <c r="P20" s="24">
        <v>171.29999999999998</v>
      </c>
      <c r="Q20" s="24">
        <v>819.6</v>
      </c>
      <c r="R20" s="24">
        <v>1423.4999999999995</v>
      </c>
      <c r="S20" s="24">
        <v>3792.8</v>
      </c>
      <c r="T20" s="24">
        <v>17097.100000000002</v>
      </c>
      <c r="U20" s="24">
        <v>6109.6</v>
      </c>
      <c r="V20" s="24">
        <v>8744.300000000001</v>
      </c>
      <c r="W20" s="24">
        <v>1777.9</v>
      </c>
      <c r="X20" s="24">
        <v>620.3</v>
      </c>
      <c r="Y20" s="24">
        <v>1774.4000000000003</v>
      </c>
      <c r="Z20" s="24">
        <v>2235.5000000000005</v>
      </c>
      <c r="AA20" s="24">
        <v>51.4</v>
      </c>
      <c r="AB20" s="24">
        <v>258.5</v>
      </c>
      <c r="AC20" s="24">
        <v>12365.5</v>
      </c>
      <c r="AD20" s="24">
        <v>508.4</v>
      </c>
      <c r="AE20" s="24">
        <v>858.4999999999999</v>
      </c>
      <c r="AF20" s="24">
        <v>316.9</v>
      </c>
      <c r="AG20" s="24">
        <v>402.40000000000003</v>
      </c>
      <c r="AH20" s="24">
        <v>37.1</v>
      </c>
      <c r="AI20" s="24">
        <v>54.70000000000001</v>
      </c>
      <c r="AJ20" s="24">
        <v>308.7</v>
      </c>
      <c r="AK20" s="24">
        <v>46.8</v>
      </c>
      <c r="AL20" s="24">
        <v>358.19999999999993</v>
      </c>
      <c r="AM20" s="24">
        <v>50.400000000000006</v>
      </c>
      <c r="AN20" s="24">
        <v>95.1</v>
      </c>
      <c r="AO20" s="24">
        <v>755.8</v>
      </c>
      <c r="AP20" s="24">
        <v>684.3</v>
      </c>
      <c r="AQ20" s="24">
        <v>11.8</v>
      </c>
      <c r="AR20" s="24">
        <v>11.600000000000001</v>
      </c>
      <c r="AS20" s="24">
        <v>15</v>
      </c>
      <c r="AT20" s="24">
        <v>479.99999999999994</v>
      </c>
      <c r="AU20" s="24">
        <v>233.80000000000004</v>
      </c>
      <c r="AV20" s="24">
        <v>467.20000000000005</v>
      </c>
      <c r="AW20" s="24">
        <v>125.59999999999998</v>
      </c>
      <c r="AX20" s="24">
        <v>41.800000000000004</v>
      </c>
      <c r="AY20" s="24">
        <v>83.5</v>
      </c>
      <c r="AZ20" s="24">
        <v>229.3</v>
      </c>
      <c r="BA20" s="24">
        <v>11.7</v>
      </c>
      <c r="BB20" s="24">
        <v>10.6</v>
      </c>
      <c r="BC20" s="24">
        <v>270.4</v>
      </c>
      <c r="BD20" s="24">
        <v>307.1</v>
      </c>
      <c r="BE20" s="24">
        <v>116.5</v>
      </c>
      <c r="BF20" s="24">
        <v>257</v>
      </c>
      <c r="BG20" s="24">
        <v>73.7</v>
      </c>
      <c r="BH20" s="24">
        <v>113.29999999999998</v>
      </c>
      <c r="BI20" s="24">
        <v>61.10000000000001</v>
      </c>
      <c r="BJ20" s="24">
        <v>25.3</v>
      </c>
      <c r="BK20" s="24">
        <v>154.60000000000002</v>
      </c>
      <c r="BL20" s="24">
        <v>198.39999999999998</v>
      </c>
      <c r="BM20" s="24">
        <v>0</v>
      </c>
      <c r="BN20" s="24">
        <v>0</v>
      </c>
      <c r="BO20" s="24">
        <v>42.800000000000004</v>
      </c>
      <c r="BP20" s="24">
        <v>17540.8</v>
      </c>
      <c r="BQ20" s="24">
        <v>1.7</v>
      </c>
      <c r="BR20" s="24">
        <v>15208.300000000001</v>
      </c>
      <c r="BS20" s="24">
        <v>3793.2</v>
      </c>
    </row>
    <row r="21" spans="1:71" x14ac:dyDescent="0.25">
      <c r="A21" s="30" t="s">
        <v>109</v>
      </c>
      <c r="B21" s="31" t="s">
        <v>298</v>
      </c>
      <c r="C21" s="24">
        <v>653.4</v>
      </c>
      <c r="D21" s="24">
        <v>42.50000000000001</v>
      </c>
      <c r="E21" s="24">
        <v>14.2</v>
      </c>
      <c r="F21" s="24">
        <v>231</v>
      </c>
      <c r="G21" s="24">
        <v>881.3</v>
      </c>
      <c r="H21" s="24">
        <v>155.8</v>
      </c>
      <c r="I21" s="24">
        <v>134.8</v>
      </c>
      <c r="J21" s="24">
        <v>291.09999999999997</v>
      </c>
      <c r="K21" s="24">
        <v>89.29999999999998</v>
      </c>
      <c r="L21" s="24">
        <v>391.4</v>
      </c>
      <c r="M21" s="24">
        <v>888.8000000000002</v>
      </c>
      <c r="N21" s="24">
        <v>374.20000000000005</v>
      </c>
      <c r="O21" s="24">
        <v>924.3000000000001</v>
      </c>
      <c r="P21" s="24">
        <v>359.50000000000006</v>
      </c>
      <c r="Q21" s="24">
        <v>1031.5</v>
      </c>
      <c r="R21" s="24">
        <v>1969.7</v>
      </c>
      <c r="S21" s="24">
        <v>1399.7</v>
      </c>
      <c r="T21" s="24">
        <v>1896.8</v>
      </c>
      <c r="U21" s="24">
        <v>19613.8</v>
      </c>
      <c r="V21" s="24">
        <v>8855.400000000001</v>
      </c>
      <c r="W21" s="24">
        <v>2337.5</v>
      </c>
      <c r="X21" s="24">
        <v>361.79999999999995</v>
      </c>
      <c r="Y21" s="24">
        <v>2644.1000000000004</v>
      </c>
      <c r="Z21" s="24">
        <v>852.6999999999999</v>
      </c>
      <c r="AA21" s="24">
        <v>86.7</v>
      </c>
      <c r="AB21" s="24">
        <v>486.2999999999999</v>
      </c>
      <c r="AC21" s="24">
        <v>5194.900000000001</v>
      </c>
      <c r="AD21" s="24">
        <v>658.3</v>
      </c>
      <c r="AE21" s="24">
        <v>606</v>
      </c>
      <c r="AF21" s="24">
        <v>259.2</v>
      </c>
      <c r="AG21" s="24">
        <v>303.49999999999994</v>
      </c>
      <c r="AH21" s="24">
        <v>151.2</v>
      </c>
      <c r="AI21" s="24">
        <v>158.29999999999998</v>
      </c>
      <c r="AJ21" s="24">
        <v>663.7</v>
      </c>
      <c r="AK21" s="24">
        <v>21.099999999999998</v>
      </c>
      <c r="AL21" s="24">
        <v>158.20000000000002</v>
      </c>
      <c r="AM21" s="24">
        <v>89.8</v>
      </c>
      <c r="AN21" s="24">
        <v>45.300000000000004</v>
      </c>
      <c r="AO21" s="24">
        <v>227.00000000000003</v>
      </c>
      <c r="AP21" s="24">
        <v>406.9</v>
      </c>
      <c r="AQ21" s="24">
        <v>31.999999999999996</v>
      </c>
      <c r="AR21" s="24">
        <v>21.299999999999997</v>
      </c>
      <c r="AS21" s="24">
        <v>12.599999999999998</v>
      </c>
      <c r="AT21" s="24">
        <v>109.7</v>
      </c>
      <c r="AU21" s="24">
        <v>196.8</v>
      </c>
      <c r="AV21" s="24">
        <v>470.4</v>
      </c>
      <c r="AW21" s="24">
        <v>126.49999999999997</v>
      </c>
      <c r="AX21" s="24">
        <v>26.700000000000003</v>
      </c>
      <c r="AY21" s="24">
        <v>58.6</v>
      </c>
      <c r="AZ21" s="24">
        <v>411.19999999999993</v>
      </c>
      <c r="BA21" s="24">
        <v>15</v>
      </c>
      <c r="BB21" s="24">
        <v>21.599999999999998</v>
      </c>
      <c r="BC21" s="24">
        <v>401.7</v>
      </c>
      <c r="BD21" s="24">
        <v>225.39999999999998</v>
      </c>
      <c r="BE21" s="24">
        <v>67.5</v>
      </c>
      <c r="BF21" s="24">
        <v>249.79999999999998</v>
      </c>
      <c r="BG21" s="24">
        <v>87.30000000000003</v>
      </c>
      <c r="BH21" s="24">
        <v>102.49999999999999</v>
      </c>
      <c r="BI21" s="24">
        <v>45.80000000000001</v>
      </c>
      <c r="BJ21" s="24">
        <v>56.5</v>
      </c>
      <c r="BK21" s="24">
        <v>43.9</v>
      </c>
      <c r="BL21" s="24">
        <v>45.599999999999994</v>
      </c>
      <c r="BM21" s="24">
        <v>0</v>
      </c>
      <c r="BN21" s="24">
        <v>0</v>
      </c>
      <c r="BO21" s="24">
        <v>86.69999999999999</v>
      </c>
      <c r="BP21" s="24">
        <v>3171.2999999999997</v>
      </c>
      <c r="BQ21" s="24">
        <v>1.4000000000000004</v>
      </c>
      <c r="BR21" s="24">
        <v>46218.19999999999</v>
      </c>
      <c r="BS21" s="24">
        <v>2426.8</v>
      </c>
    </row>
    <row r="22" spans="1:71" x14ac:dyDescent="0.25">
      <c r="A22" s="30" t="s">
        <v>111</v>
      </c>
      <c r="B22" s="31" t="s">
        <v>299</v>
      </c>
      <c r="C22" s="24">
        <v>113.7</v>
      </c>
      <c r="D22" s="24">
        <v>12.099999999999998</v>
      </c>
      <c r="E22" s="24">
        <v>2.4</v>
      </c>
      <c r="F22" s="24">
        <v>12.599999999999998</v>
      </c>
      <c r="G22" s="24">
        <v>79.30000000000001</v>
      </c>
      <c r="H22" s="24">
        <v>25.699999999999996</v>
      </c>
      <c r="I22" s="24">
        <v>22.199999999999996</v>
      </c>
      <c r="J22" s="24">
        <v>8.3</v>
      </c>
      <c r="K22" s="24">
        <v>2.400000000000001</v>
      </c>
      <c r="L22" s="24">
        <v>24.199999999999996</v>
      </c>
      <c r="M22" s="24">
        <v>201.99999999999997</v>
      </c>
      <c r="N22" s="24">
        <v>34.600000000000016</v>
      </c>
      <c r="O22" s="24">
        <v>107.10000000000001</v>
      </c>
      <c r="P22" s="24">
        <v>162.89999999999998</v>
      </c>
      <c r="Q22" s="24">
        <v>64.19999999999999</v>
      </c>
      <c r="R22" s="24">
        <v>246.29999999999998</v>
      </c>
      <c r="S22" s="24">
        <v>164.3</v>
      </c>
      <c r="T22" s="24">
        <v>446.90000000000003</v>
      </c>
      <c r="U22" s="24">
        <v>1208.3</v>
      </c>
      <c r="V22" s="24">
        <v>35945</v>
      </c>
      <c r="W22" s="24">
        <v>361.1</v>
      </c>
      <c r="X22" s="24">
        <v>72.6</v>
      </c>
      <c r="Y22" s="24">
        <v>642.5</v>
      </c>
      <c r="Z22" s="24">
        <v>80.79999999999998</v>
      </c>
      <c r="AA22" s="24">
        <v>5.6</v>
      </c>
      <c r="AB22" s="24">
        <v>81.2</v>
      </c>
      <c r="AC22" s="24">
        <v>350.5</v>
      </c>
      <c r="AD22" s="24">
        <v>3332.2</v>
      </c>
      <c r="AE22" s="24">
        <v>176.99999999999997</v>
      </c>
      <c r="AF22" s="24">
        <v>65.3</v>
      </c>
      <c r="AG22" s="24">
        <v>1318.2</v>
      </c>
      <c r="AH22" s="24">
        <v>25.700000000000006</v>
      </c>
      <c r="AI22" s="24">
        <v>71.1</v>
      </c>
      <c r="AJ22" s="24">
        <v>220.7</v>
      </c>
      <c r="AK22" s="24">
        <v>13</v>
      </c>
      <c r="AL22" s="24">
        <v>17.1</v>
      </c>
      <c r="AM22" s="24">
        <v>12</v>
      </c>
      <c r="AN22" s="24">
        <v>9.799999999999999</v>
      </c>
      <c r="AO22" s="24">
        <v>29.400000000000006</v>
      </c>
      <c r="AP22" s="24">
        <v>77</v>
      </c>
      <c r="AQ22" s="24">
        <v>16.599999999999998</v>
      </c>
      <c r="AR22" s="24">
        <v>4.5</v>
      </c>
      <c r="AS22" s="24">
        <v>7.7</v>
      </c>
      <c r="AT22" s="24">
        <v>25</v>
      </c>
      <c r="AU22" s="24">
        <v>50.800000000000004</v>
      </c>
      <c r="AV22" s="24">
        <v>31.099999999999998</v>
      </c>
      <c r="AW22" s="24">
        <v>49.80000000000002</v>
      </c>
      <c r="AX22" s="24">
        <v>9.899999999999999</v>
      </c>
      <c r="AY22" s="24">
        <v>33.199999999999996</v>
      </c>
      <c r="AZ22" s="24">
        <v>138.1</v>
      </c>
      <c r="BA22" s="24">
        <v>6.6</v>
      </c>
      <c r="BB22" s="24">
        <v>7.299999999999999</v>
      </c>
      <c r="BC22" s="24">
        <v>51.7</v>
      </c>
      <c r="BD22" s="24">
        <v>102.60000000000001</v>
      </c>
      <c r="BE22" s="24">
        <v>16.999999999999996</v>
      </c>
      <c r="BF22" s="24">
        <v>46.900000000000006</v>
      </c>
      <c r="BG22" s="24">
        <v>19.7</v>
      </c>
      <c r="BH22" s="24">
        <v>12.899999999999999</v>
      </c>
      <c r="BI22" s="24">
        <v>20</v>
      </c>
      <c r="BJ22" s="24">
        <v>23.4</v>
      </c>
      <c r="BK22" s="24">
        <v>3.3</v>
      </c>
      <c r="BL22" s="24">
        <v>7.1</v>
      </c>
      <c r="BM22" s="24">
        <v>0</v>
      </c>
      <c r="BN22" s="24">
        <v>0</v>
      </c>
      <c r="BO22" s="24">
        <v>16.499999999999996</v>
      </c>
      <c r="BP22" s="24">
        <v>34135.8</v>
      </c>
      <c r="BQ22" s="24">
        <v>1.0999999999999999</v>
      </c>
      <c r="BR22" s="24">
        <v>32767.1</v>
      </c>
      <c r="BS22" s="24">
        <v>-883.8000000000001</v>
      </c>
    </row>
    <row r="23" spans="1:71" x14ac:dyDescent="0.25">
      <c r="A23" s="30" t="s">
        <v>113</v>
      </c>
      <c r="B23" s="31" t="s">
        <v>300</v>
      </c>
      <c r="C23" s="24">
        <v>45.099999999999994</v>
      </c>
      <c r="D23" s="24">
        <v>14.399999999999997</v>
      </c>
      <c r="E23" s="24">
        <v>2</v>
      </c>
      <c r="F23" s="24">
        <v>42.3</v>
      </c>
      <c r="G23" s="24">
        <v>52.900000000000006</v>
      </c>
      <c r="H23" s="24">
        <v>9.999999999999998</v>
      </c>
      <c r="I23" s="24">
        <v>9.1</v>
      </c>
      <c r="J23" s="24">
        <v>8.4</v>
      </c>
      <c r="K23" s="24">
        <v>1.9000000000000004</v>
      </c>
      <c r="L23" s="24">
        <v>12.1</v>
      </c>
      <c r="M23" s="24">
        <v>33.300000000000004</v>
      </c>
      <c r="N23" s="24">
        <v>37.70000000000001</v>
      </c>
      <c r="O23" s="24">
        <v>83.2</v>
      </c>
      <c r="P23" s="24">
        <v>15.899999999999999</v>
      </c>
      <c r="Q23" s="24">
        <v>42.99999999999999</v>
      </c>
      <c r="R23" s="24">
        <v>114.60000000000002</v>
      </c>
      <c r="S23" s="24">
        <v>130.49999999999997</v>
      </c>
      <c r="T23" s="24">
        <v>148.79999999999998</v>
      </c>
      <c r="U23" s="24">
        <v>136.69999999999996</v>
      </c>
      <c r="V23" s="24">
        <v>465.8</v>
      </c>
      <c r="W23" s="24">
        <v>25041.4</v>
      </c>
      <c r="X23" s="24">
        <v>143</v>
      </c>
      <c r="Y23" s="24">
        <v>2038.7</v>
      </c>
      <c r="Z23" s="24">
        <v>64.99999999999999</v>
      </c>
      <c r="AA23" s="24">
        <v>1.4000000000000001</v>
      </c>
      <c r="AB23" s="24">
        <v>24.4</v>
      </c>
      <c r="AC23" s="24">
        <v>230.09999999999997</v>
      </c>
      <c r="AD23" s="24">
        <v>250.29999999999995</v>
      </c>
      <c r="AE23" s="24">
        <v>113</v>
      </c>
      <c r="AF23" s="24">
        <v>54.499999999999986</v>
      </c>
      <c r="AG23" s="24">
        <v>1313.5</v>
      </c>
      <c r="AH23" s="24">
        <v>189.2</v>
      </c>
      <c r="AI23" s="24">
        <v>2003.2999999999997</v>
      </c>
      <c r="AJ23" s="24">
        <v>324.8</v>
      </c>
      <c r="AK23" s="24">
        <v>2.9000000000000004</v>
      </c>
      <c r="AL23" s="24">
        <v>20.200000000000003</v>
      </c>
      <c r="AM23" s="24">
        <v>14.399999999999999</v>
      </c>
      <c r="AN23" s="24">
        <v>3.400000000000001</v>
      </c>
      <c r="AO23" s="24">
        <v>17.1</v>
      </c>
      <c r="AP23" s="24">
        <v>109.49999999999999</v>
      </c>
      <c r="AQ23" s="24">
        <v>9.2</v>
      </c>
      <c r="AR23" s="24">
        <v>3.3</v>
      </c>
      <c r="AS23" s="24">
        <v>5.799999999999998</v>
      </c>
      <c r="AT23" s="24">
        <v>7.3</v>
      </c>
      <c r="AU23" s="24">
        <v>31.6</v>
      </c>
      <c r="AV23" s="24">
        <v>18.3</v>
      </c>
      <c r="AW23" s="24">
        <v>42.89999999999999</v>
      </c>
      <c r="AX23" s="24">
        <v>3.7000000000000006</v>
      </c>
      <c r="AY23" s="24">
        <v>62.5</v>
      </c>
      <c r="AZ23" s="24">
        <v>194.6</v>
      </c>
      <c r="BA23" s="24">
        <v>2.6000000000000005</v>
      </c>
      <c r="BB23" s="24">
        <v>3.5000000000000004</v>
      </c>
      <c r="BC23" s="24">
        <v>81.6</v>
      </c>
      <c r="BD23" s="24">
        <v>1513</v>
      </c>
      <c r="BE23" s="24">
        <v>8.8</v>
      </c>
      <c r="BF23" s="24">
        <v>76.8</v>
      </c>
      <c r="BG23" s="24">
        <v>8.899999999999999</v>
      </c>
      <c r="BH23" s="24">
        <v>9.8</v>
      </c>
      <c r="BI23" s="24">
        <v>15.399999999999999</v>
      </c>
      <c r="BJ23" s="24">
        <v>15.399999999999999</v>
      </c>
      <c r="BK23" s="24">
        <v>7.200000000000001</v>
      </c>
      <c r="BL23" s="24">
        <v>17.099999999999998</v>
      </c>
      <c r="BM23" s="24">
        <v>0</v>
      </c>
      <c r="BN23" s="24">
        <v>0</v>
      </c>
      <c r="BO23" s="24">
        <v>199.70000000000002</v>
      </c>
      <c r="BP23" s="24">
        <v>11344.699999999997</v>
      </c>
      <c r="BQ23" s="24">
        <v>4.2</v>
      </c>
      <c r="BR23" s="24">
        <v>38887.799999999996</v>
      </c>
      <c r="BS23" s="24">
        <v>-12246.4</v>
      </c>
    </row>
    <row r="24" spans="1:71" x14ac:dyDescent="0.25">
      <c r="A24" s="30" t="s">
        <v>301</v>
      </c>
      <c r="B24" s="31" t="s">
        <v>302</v>
      </c>
      <c r="C24" s="24">
        <v>61.599999999999994</v>
      </c>
      <c r="D24" s="24">
        <v>3.2</v>
      </c>
      <c r="E24" s="24">
        <v>3.8</v>
      </c>
      <c r="F24" s="24">
        <v>14.3</v>
      </c>
      <c r="G24" s="24">
        <v>394.40000000000003</v>
      </c>
      <c r="H24" s="24">
        <v>217.39999999999998</v>
      </c>
      <c r="I24" s="24">
        <v>118.2</v>
      </c>
      <c r="J24" s="24">
        <v>83.9</v>
      </c>
      <c r="K24" s="24">
        <v>32.199999999999996</v>
      </c>
      <c r="L24" s="24">
        <v>33.699999999999996</v>
      </c>
      <c r="M24" s="24">
        <v>440.59999999999997</v>
      </c>
      <c r="N24" s="24">
        <v>631.5</v>
      </c>
      <c r="O24" s="24">
        <v>196.9</v>
      </c>
      <c r="P24" s="24">
        <v>94.5</v>
      </c>
      <c r="Q24" s="24">
        <v>156.29999999999998</v>
      </c>
      <c r="R24" s="24">
        <v>222.49999999999997</v>
      </c>
      <c r="S24" s="24">
        <v>508.9</v>
      </c>
      <c r="T24" s="24">
        <v>240.80000000000004</v>
      </c>
      <c r="U24" s="24">
        <v>383.20000000000005</v>
      </c>
      <c r="V24" s="24">
        <v>701.0999999999999</v>
      </c>
      <c r="W24" s="24">
        <v>151.10000000000005</v>
      </c>
      <c r="X24" s="24">
        <v>2845.1</v>
      </c>
      <c r="Y24" s="24">
        <v>282</v>
      </c>
      <c r="Z24" s="24">
        <v>143.6</v>
      </c>
      <c r="AA24" s="24">
        <v>7.800000000000001</v>
      </c>
      <c r="AB24" s="24">
        <v>64.4</v>
      </c>
      <c r="AC24" s="24">
        <v>1154.2</v>
      </c>
      <c r="AD24" s="24">
        <v>76.4</v>
      </c>
      <c r="AE24" s="24">
        <v>407.1</v>
      </c>
      <c r="AF24" s="24">
        <v>383.9</v>
      </c>
      <c r="AG24" s="24">
        <v>107.5</v>
      </c>
      <c r="AH24" s="24">
        <v>40.7</v>
      </c>
      <c r="AI24" s="24">
        <v>29.8</v>
      </c>
      <c r="AJ24" s="24">
        <v>73.60000000000001</v>
      </c>
      <c r="AK24" s="24">
        <v>6.4</v>
      </c>
      <c r="AL24" s="24">
        <v>342.1</v>
      </c>
      <c r="AM24" s="24">
        <v>88.89999999999999</v>
      </c>
      <c r="AN24" s="24">
        <v>177.8</v>
      </c>
      <c r="AO24" s="24">
        <v>100.19999999999999</v>
      </c>
      <c r="AP24" s="24">
        <v>314.49999999999994</v>
      </c>
      <c r="AQ24" s="24">
        <v>41.6</v>
      </c>
      <c r="AR24" s="24">
        <v>14.2</v>
      </c>
      <c r="AS24" s="24">
        <v>23.900000000000002</v>
      </c>
      <c r="AT24" s="24">
        <v>123.09999999999998</v>
      </c>
      <c r="AU24" s="24">
        <v>147.1</v>
      </c>
      <c r="AV24" s="24">
        <v>88.4</v>
      </c>
      <c r="AW24" s="24">
        <v>114.49999999999997</v>
      </c>
      <c r="AX24" s="24">
        <v>71.9</v>
      </c>
      <c r="AY24" s="24">
        <v>83.4</v>
      </c>
      <c r="AZ24" s="24">
        <v>134.5</v>
      </c>
      <c r="BA24" s="24">
        <v>27.8</v>
      </c>
      <c r="BB24" s="24">
        <v>7.6</v>
      </c>
      <c r="BC24" s="24">
        <v>211.1</v>
      </c>
      <c r="BD24" s="24">
        <v>272.7</v>
      </c>
      <c r="BE24" s="24">
        <v>222.20000000000005</v>
      </c>
      <c r="BF24" s="24">
        <v>7419.399999999999</v>
      </c>
      <c r="BG24" s="24">
        <v>456.7</v>
      </c>
      <c r="BH24" s="24">
        <v>217.3</v>
      </c>
      <c r="BI24" s="24">
        <v>261</v>
      </c>
      <c r="BJ24" s="24">
        <v>75.2</v>
      </c>
      <c r="BK24" s="24">
        <v>15.9</v>
      </c>
      <c r="BL24" s="24">
        <v>44.8</v>
      </c>
      <c r="BM24" s="24">
        <v>0</v>
      </c>
      <c r="BN24" s="24">
        <v>0</v>
      </c>
      <c r="BO24" s="24">
        <v>2760.3999999999996</v>
      </c>
      <c r="BP24" s="24">
        <v>26898</v>
      </c>
      <c r="BQ24" s="24">
        <v>12.1</v>
      </c>
      <c r="BR24" s="24">
        <v>10557.7</v>
      </c>
      <c r="BS24" s="24">
        <v>4215.299999999999</v>
      </c>
    </row>
    <row r="25" spans="1:71" x14ac:dyDescent="0.25">
      <c r="A25" s="30" t="s">
        <v>119</v>
      </c>
      <c r="B25" s="31" t="s">
        <v>303</v>
      </c>
      <c r="C25" s="24">
        <v>476.6</v>
      </c>
      <c r="D25" s="24">
        <v>4.6000000000000005</v>
      </c>
      <c r="E25" s="24">
        <v>13.1</v>
      </c>
      <c r="F25" s="24">
        <v>142.3</v>
      </c>
      <c r="G25" s="24">
        <v>455.2</v>
      </c>
      <c r="H25" s="24">
        <v>51.5</v>
      </c>
      <c r="I25" s="24">
        <v>50.300000000000004</v>
      </c>
      <c r="J25" s="24">
        <v>102.10000000000001</v>
      </c>
      <c r="K25" s="24">
        <v>14.000000000000002</v>
      </c>
      <c r="L25" s="24">
        <v>117.7</v>
      </c>
      <c r="M25" s="24">
        <v>269.7</v>
      </c>
      <c r="N25" s="24">
        <v>139.8</v>
      </c>
      <c r="O25" s="24">
        <v>106</v>
      </c>
      <c r="P25" s="24">
        <v>148.89999999999998</v>
      </c>
      <c r="Q25" s="24">
        <v>239.6</v>
      </c>
      <c r="R25" s="24">
        <v>254.60000000000002</v>
      </c>
      <c r="S25" s="24">
        <v>119.19999999999999</v>
      </c>
      <c r="T25" s="24">
        <v>221.70000000000002</v>
      </c>
      <c r="U25" s="24">
        <v>383.6</v>
      </c>
      <c r="V25" s="24">
        <v>168.79999999999998</v>
      </c>
      <c r="W25" s="24">
        <v>488</v>
      </c>
      <c r="X25" s="24">
        <v>167.70000000000002</v>
      </c>
      <c r="Y25" s="24">
        <v>575.1</v>
      </c>
      <c r="Z25" s="24">
        <v>835.1</v>
      </c>
      <c r="AA25" s="24">
        <v>17.2</v>
      </c>
      <c r="AB25" s="24">
        <v>120.49999999999999</v>
      </c>
      <c r="AC25" s="24">
        <v>555</v>
      </c>
      <c r="AD25" s="24">
        <v>48.2</v>
      </c>
      <c r="AE25" s="24">
        <v>267.2</v>
      </c>
      <c r="AF25" s="24">
        <v>151</v>
      </c>
      <c r="AG25" s="24">
        <v>469.4</v>
      </c>
      <c r="AH25" s="24">
        <v>1724.2</v>
      </c>
      <c r="AI25" s="24">
        <v>2088.8</v>
      </c>
      <c r="AJ25" s="24">
        <v>250.5</v>
      </c>
      <c r="AK25" s="24">
        <v>11.000000000000002</v>
      </c>
      <c r="AL25" s="24">
        <v>158.3</v>
      </c>
      <c r="AM25" s="24">
        <v>23.200000000000003</v>
      </c>
      <c r="AN25" s="24">
        <v>7.7</v>
      </c>
      <c r="AO25" s="24">
        <v>150.6</v>
      </c>
      <c r="AP25" s="24">
        <v>348.1</v>
      </c>
      <c r="AQ25" s="24">
        <v>9.600000000000001</v>
      </c>
      <c r="AR25" s="24">
        <v>2.4000000000000004</v>
      </c>
      <c r="AS25" s="24">
        <v>14.899999999999999</v>
      </c>
      <c r="AT25" s="24">
        <v>31.4</v>
      </c>
      <c r="AU25" s="24">
        <v>110</v>
      </c>
      <c r="AV25" s="24">
        <v>53.300000000000004</v>
      </c>
      <c r="AW25" s="24">
        <v>25.6</v>
      </c>
      <c r="AX25" s="24">
        <v>6.500000000000001</v>
      </c>
      <c r="AY25" s="24">
        <v>18.5</v>
      </c>
      <c r="AZ25" s="24">
        <v>212.8</v>
      </c>
      <c r="BA25" s="24">
        <v>31.7</v>
      </c>
      <c r="BB25" s="24">
        <v>3.7000000000000006</v>
      </c>
      <c r="BC25" s="24">
        <v>69.7</v>
      </c>
      <c r="BD25" s="24">
        <v>554.4000000000001</v>
      </c>
      <c r="BE25" s="24">
        <v>24.299999999999997</v>
      </c>
      <c r="BF25" s="24">
        <v>160.60000000000002</v>
      </c>
      <c r="BG25" s="24">
        <v>71.19999999999999</v>
      </c>
      <c r="BH25" s="24">
        <v>40.300000000000004</v>
      </c>
      <c r="BI25" s="24">
        <v>27.3</v>
      </c>
      <c r="BJ25" s="24">
        <v>7.6</v>
      </c>
      <c r="BK25" s="24">
        <v>2.4</v>
      </c>
      <c r="BL25" s="24">
        <v>34.9</v>
      </c>
      <c r="BM25" s="24">
        <v>0</v>
      </c>
      <c r="BN25" s="24">
        <v>0</v>
      </c>
      <c r="BO25" s="24">
        <v>8.5</v>
      </c>
      <c r="BP25" s="24">
        <v>220.5</v>
      </c>
      <c r="BQ25" s="24">
        <v>0.1</v>
      </c>
      <c r="BR25" s="24">
        <v>2157.2</v>
      </c>
      <c r="BS25" s="24">
        <v>244.9</v>
      </c>
    </row>
    <row r="26" spans="1:71" x14ac:dyDescent="0.25">
      <c r="A26" s="30" t="s">
        <v>304</v>
      </c>
      <c r="B26" s="31" t="s">
        <v>305</v>
      </c>
      <c r="C26" s="24">
        <v>74.49999999999999</v>
      </c>
      <c r="D26" s="24">
        <v>1.6000000000000003</v>
      </c>
      <c r="E26" s="24">
        <v>0.8999999999999999</v>
      </c>
      <c r="F26" s="24">
        <v>18.799999999999997</v>
      </c>
      <c r="G26" s="24">
        <v>201.7</v>
      </c>
      <c r="H26" s="24">
        <v>30.7</v>
      </c>
      <c r="I26" s="24">
        <v>24.200000000000003</v>
      </c>
      <c r="J26" s="24">
        <v>46.5</v>
      </c>
      <c r="K26" s="24">
        <v>6.6</v>
      </c>
      <c r="L26" s="24">
        <v>154.4</v>
      </c>
      <c r="M26" s="24">
        <v>184.49999999999997</v>
      </c>
      <c r="N26" s="24">
        <v>42.300000000000004</v>
      </c>
      <c r="O26" s="24">
        <v>85</v>
      </c>
      <c r="P26" s="24">
        <v>75.80000000000001</v>
      </c>
      <c r="Q26" s="24">
        <v>238.79999999999998</v>
      </c>
      <c r="R26" s="24">
        <v>102.59999999999998</v>
      </c>
      <c r="S26" s="24">
        <v>43.800000000000004</v>
      </c>
      <c r="T26" s="24">
        <v>129</v>
      </c>
      <c r="U26" s="24">
        <v>100.39999999999999</v>
      </c>
      <c r="V26" s="24">
        <v>122.99999999999999</v>
      </c>
      <c r="W26" s="24">
        <v>24.700000000000003</v>
      </c>
      <c r="X26" s="24">
        <v>33.800000000000004</v>
      </c>
      <c r="Y26" s="24">
        <v>21.5</v>
      </c>
      <c r="Z26" s="24">
        <v>1535.4</v>
      </c>
      <c r="AA26" s="24">
        <v>24.900000000000002</v>
      </c>
      <c r="AB26" s="24">
        <v>38.80000000000001</v>
      </c>
      <c r="AC26" s="24">
        <v>171.59999999999994</v>
      </c>
      <c r="AD26" s="24">
        <v>27.8</v>
      </c>
      <c r="AE26" s="24">
        <v>88.4</v>
      </c>
      <c r="AF26" s="24">
        <v>126.39999999999999</v>
      </c>
      <c r="AG26" s="24">
        <v>92.30000000000003</v>
      </c>
      <c r="AH26" s="24">
        <v>21.200000000000003</v>
      </c>
      <c r="AI26" s="24">
        <v>20.300000000000004</v>
      </c>
      <c r="AJ26" s="24">
        <v>51.50000000000001</v>
      </c>
      <c r="AK26" s="24">
        <v>6.3</v>
      </c>
      <c r="AL26" s="24">
        <v>106.59999999999998</v>
      </c>
      <c r="AM26" s="24">
        <v>11</v>
      </c>
      <c r="AN26" s="24">
        <v>9.299999999999999</v>
      </c>
      <c r="AO26" s="24">
        <v>35.00000000000001</v>
      </c>
      <c r="AP26" s="24">
        <v>88.9</v>
      </c>
      <c r="AQ26" s="24">
        <v>14.199999999999998</v>
      </c>
      <c r="AR26" s="24">
        <v>7.199999999999999</v>
      </c>
      <c r="AS26" s="24">
        <v>8.8</v>
      </c>
      <c r="AT26" s="24">
        <v>61.50000000000001</v>
      </c>
      <c r="AU26" s="24">
        <v>56.4</v>
      </c>
      <c r="AV26" s="24">
        <v>17.5</v>
      </c>
      <c r="AW26" s="24">
        <v>19.499999999999996</v>
      </c>
      <c r="AX26" s="24">
        <v>7.3</v>
      </c>
      <c r="AY26" s="24">
        <v>12.299999999999997</v>
      </c>
      <c r="AZ26" s="24">
        <v>16</v>
      </c>
      <c r="BA26" s="24">
        <v>4.5</v>
      </c>
      <c r="BB26" s="24">
        <v>5.499999999999999</v>
      </c>
      <c r="BC26" s="24">
        <v>33.60000000000001</v>
      </c>
      <c r="BD26" s="24">
        <v>66.4</v>
      </c>
      <c r="BE26" s="24">
        <v>35.30000000000001</v>
      </c>
      <c r="BF26" s="24">
        <v>73.5</v>
      </c>
      <c r="BG26" s="24">
        <v>27.000000000000004</v>
      </c>
      <c r="BH26" s="24">
        <v>12.299999999999999</v>
      </c>
      <c r="BI26" s="24">
        <v>17.799999999999997</v>
      </c>
      <c r="BJ26" s="24">
        <v>8.2</v>
      </c>
      <c r="BK26" s="24">
        <v>2.2</v>
      </c>
      <c r="BL26" s="24">
        <v>18.7</v>
      </c>
      <c r="BM26" s="24">
        <v>0</v>
      </c>
      <c r="BN26" s="24">
        <v>0</v>
      </c>
      <c r="BO26" s="24">
        <v>24.700000000000003</v>
      </c>
      <c r="BP26" s="24">
        <v>1198.9</v>
      </c>
      <c r="BQ26" s="24">
        <v>0.1</v>
      </c>
      <c r="BR26" s="24">
        <v>175</v>
      </c>
      <c r="BS26" s="24">
        <v>65.4</v>
      </c>
    </row>
    <row r="27" spans="1:71" x14ac:dyDescent="0.25">
      <c r="A27" s="30" t="s">
        <v>307</v>
      </c>
      <c r="B27" s="31" t="s">
        <v>308</v>
      </c>
      <c r="C27" s="24">
        <v>4</v>
      </c>
      <c r="D27" s="24">
        <v>0.30000000000000004</v>
      </c>
      <c r="E27" s="24">
        <v>0.30000000000000004</v>
      </c>
      <c r="F27" s="24">
        <v>1.1</v>
      </c>
      <c r="G27" s="24">
        <v>3.8000000000000003</v>
      </c>
      <c r="H27" s="24">
        <v>1</v>
      </c>
      <c r="I27" s="24">
        <v>0.9</v>
      </c>
      <c r="J27" s="24">
        <v>2.1</v>
      </c>
      <c r="K27" s="24">
        <v>0.6</v>
      </c>
      <c r="L27" s="24">
        <v>67.3</v>
      </c>
      <c r="M27" s="24">
        <v>10</v>
      </c>
      <c r="N27" s="24">
        <v>3.1</v>
      </c>
      <c r="O27" s="24">
        <v>7.299999999999999</v>
      </c>
      <c r="P27" s="24">
        <v>2.2</v>
      </c>
      <c r="Q27" s="24">
        <v>21.900000000000002</v>
      </c>
      <c r="R27" s="24">
        <v>10.1</v>
      </c>
      <c r="S27" s="24">
        <v>1.6</v>
      </c>
      <c r="T27" s="24">
        <v>1.6</v>
      </c>
      <c r="U27" s="24">
        <v>2.2</v>
      </c>
      <c r="V27" s="24">
        <v>2.1</v>
      </c>
      <c r="W27" s="24">
        <v>1.1</v>
      </c>
      <c r="X27" s="24">
        <v>1.8000000000000003</v>
      </c>
      <c r="Y27" s="24">
        <v>1</v>
      </c>
      <c r="Z27" s="24">
        <v>19.600000000000005</v>
      </c>
      <c r="AA27" s="24">
        <v>1.2000000000000002</v>
      </c>
      <c r="AB27" s="24">
        <v>15.7</v>
      </c>
      <c r="AC27" s="24">
        <v>5.499999999999999</v>
      </c>
      <c r="AD27" s="24">
        <v>1.7000000000000002</v>
      </c>
      <c r="AE27" s="24">
        <v>4.2</v>
      </c>
      <c r="AF27" s="24">
        <v>2.8000000000000003</v>
      </c>
      <c r="AG27" s="24">
        <v>1.9000000000000004</v>
      </c>
      <c r="AH27" s="24">
        <v>1.7</v>
      </c>
      <c r="AI27" s="24">
        <v>1.5</v>
      </c>
      <c r="AJ27" s="24">
        <v>2.8000000000000007</v>
      </c>
      <c r="AK27" s="24">
        <v>0.8</v>
      </c>
      <c r="AL27" s="24">
        <v>2.9</v>
      </c>
      <c r="AM27" s="24">
        <v>1.4000000000000001</v>
      </c>
      <c r="AN27" s="24">
        <v>1</v>
      </c>
      <c r="AO27" s="24">
        <v>2.2</v>
      </c>
      <c r="AP27" s="24">
        <v>10.799999999999997</v>
      </c>
      <c r="AQ27" s="24">
        <v>1.6</v>
      </c>
      <c r="AR27" s="24">
        <v>1.6</v>
      </c>
      <c r="AS27" s="24">
        <v>1.9</v>
      </c>
      <c r="AT27" s="24">
        <v>2.1</v>
      </c>
      <c r="AU27" s="24">
        <v>7.099999999999999</v>
      </c>
      <c r="AV27" s="24">
        <v>2.2</v>
      </c>
      <c r="AW27" s="24">
        <v>1.5</v>
      </c>
      <c r="AX27" s="24">
        <v>1.2</v>
      </c>
      <c r="AY27" s="24">
        <v>1.1</v>
      </c>
      <c r="AZ27" s="24">
        <v>2.2</v>
      </c>
      <c r="BA27" s="24">
        <v>0.9</v>
      </c>
      <c r="BB27" s="24">
        <v>1.2000000000000002</v>
      </c>
      <c r="BC27" s="24">
        <v>4.199999999999999</v>
      </c>
      <c r="BD27" s="24">
        <v>6.199999999999999</v>
      </c>
      <c r="BE27" s="24">
        <v>1.7000000000000002</v>
      </c>
      <c r="BF27" s="24">
        <v>4.7</v>
      </c>
      <c r="BG27" s="24">
        <v>2</v>
      </c>
      <c r="BH27" s="24">
        <v>1.6</v>
      </c>
      <c r="BI27" s="24">
        <v>1.1</v>
      </c>
      <c r="BJ27" s="24">
        <v>0.8</v>
      </c>
      <c r="BK27" s="24">
        <v>0.4</v>
      </c>
      <c r="BL27" s="24">
        <v>1</v>
      </c>
      <c r="BM27" s="24">
        <v>0</v>
      </c>
      <c r="BN27" s="24">
        <v>0</v>
      </c>
      <c r="BO27" s="24">
        <v>2</v>
      </c>
      <c r="BP27" s="24">
        <v>18.900000000000002</v>
      </c>
      <c r="BQ27" s="24">
        <v>0.4</v>
      </c>
      <c r="BR27" s="24">
        <v>10.600000000000001</v>
      </c>
      <c r="BS27" s="24">
        <v>-17.9</v>
      </c>
    </row>
    <row r="28" spans="1:71" x14ac:dyDescent="0.25">
      <c r="A28" s="30" t="s">
        <v>310</v>
      </c>
      <c r="B28" s="31" t="s">
        <v>311</v>
      </c>
      <c r="C28" s="24">
        <v>7.699999999999999</v>
      </c>
      <c r="D28" s="24">
        <v>0.6</v>
      </c>
      <c r="E28" s="24">
        <v>0.5</v>
      </c>
      <c r="F28" s="24">
        <v>2.7000000000000006</v>
      </c>
      <c r="G28" s="24">
        <v>51.400000000000006</v>
      </c>
      <c r="H28" s="24">
        <v>11.499999999999996</v>
      </c>
      <c r="I28" s="24">
        <v>7.199999999999999</v>
      </c>
      <c r="J28" s="24">
        <v>98.90000000000002</v>
      </c>
      <c r="K28" s="24">
        <v>3.9000000000000004</v>
      </c>
      <c r="L28" s="24">
        <v>42.10000000000001</v>
      </c>
      <c r="M28" s="24">
        <v>65.80000000000001</v>
      </c>
      <c r="N28" s="24">
        <v>29</v>
      </c>
      <c r="O28" s="24">
        <v>247</v>
      </c>
      <c r="P28" s="24">
        <v>29.099999999999998</v>
      </c>
      <c r="Q28" s="24">
        <v>1368.0000000000002</v>
      </c>
      <c r="R28" s="24">
        <v>351.00000000000006</v>
      </c>
      <c r="S28" s="24">
        <v>11.799999999999999</v>
      </c>
      <c r="T28" s="24">
        <v>138.7</v>
      </c>
      <c r="U28" s="24">
        <v>23.2</v>
      </c>
      <c r="V28" s="24">
        <v>17.5</v>
      </c>
      <c r="W28" s="24">
        <v>6.8</v>
      </c>
      <c r="X28" s="24">
        <v>19.500000000000004</v>
      </c>
      <c r="Y28" s="24">
        <v>6.3999999999999995</v>
      </c>
      <c r="Z28" s="24">
        <v>137.99999999999997</v>
      </c>
      <c r="AA28" s="24">
        <v>10.799999999999997</v>
      </c>
      <c r="AB28" s="24">
        <v>1280.4</v>
      </c>
      <c r="AC28" s="24">
        <v>90.69999999999999</v>
      </c>
      <c r="AD28" s="24">
        <v>10</v>
      </c>
      <c r="AE28" s="24">
        <v>67.99999999999999</v>
      </c>
      <c r="AF28" s="24">
        <v>38.4</v>
      </c>
      <c r="AG28" s="24">
        <v>13</v>
      </c>
      <c r="AH28" s="24">
        <v>3.6000000000000005</v>
      </c>
      <c r="AI28" s="24">
        <v>8.700000000000001</v>
      </c>
      <c r="AJ28" s="24">
        <v>13.600000000000001</v>
      </c>
      <c r="AK28" s="24">
        <v>1.5000000000000004</v>
      </c>
      <c r="AL28" s="24">
        <v>24</v>
      </c>
      <c r="AM28" s="24">
        <v>9.799999999999997</v>
      </c>
      <c r="AN28" s="24">
        <v>4.799999999999999</v>
      </c>
      <c r="AO28" s="24">
        <v>12.399999999999999</v>
      </c>
      <c r="AP28" s="24">
        <v>52.600000000000016</v>
      </c>
      <c r="AQ28" s="24">
        <v>3.2</v>
      </c>
      <c r="AR28" s="24">
        <v>1.8</v>
      </c>
      <c r="AS28" s="24">
        <v>4.2</v>
      </c>
      <c r="AT28" s="24">
        <v>23.699999999999996</v>
      </c>
      <c r="AU28" s="24">
        <v>29.300000000000004</v>
      </c>
      <c r="AV28" s="24">
        <v>9.500000000000002</v>
      </c>
      <c r="AW28" s="24">
        <v>4.2</v>
      </c>
      <c r="AX28" s="24">
        <v>5.9</v>
      </c>
      <c r="AY28" s="24">
        <v>6.499999999999999</v>
      </c>
      <c r="AZ28" s="24">
        <v>7.099999999999999</v>
      </c>
      <c r="BA28" s="24">
        <v>1.4000000000000004</v>
      </c>
      <c r="BB28" s="24">
        <v>2.5000000000000004</v>
      </c>
      <c r="BC28" s="24">
        <v>29.700000000000003</v>
      </c>
      <c r="BD28" s="24">
        <v>32.900000000000006</v>
      </c>
      <c r="BE28" s="24">
        <v>5.1</v>
      </c>
      <c r="BF28" s="24">
        <v>42.4</v>
      </c>
      <c r="BG28" s="24">
        <v>20.199999999999996</v>
      </c>
      <c r="BH28" s="24">
        <v>11.7</v>
      </c>
      <c r="BI28" s="24">
        <v>8.399999999999999</v>
      </c>
      <c r="BJ28" s="24">
        <v>7.9</v>
      </c>
      <c r="BK28" s="24">
        <v>0.3</v>
      </c>
      <c r="BL28" s="24">
        <v>4.300000000000001</v>
      </c>
      <c r="BM28" s="24">
        <v>0</v>
      </c>
      <c r="BN28" s="24">
        <v>0</v>
      </c>
      <c r="BO28" s="24">
        <v>20.799999999999997</v>
      </c>
      <c r="BP28" s="24">
        <v>203.99999999999994</v>
      </c>
      <c r="BQ28" s="24">
        <v>0</v>
      </c>
      <c r="BR28" s="24">
        <v>15.699999999999998</v>
      </c>
      <c r="BS28" s="24">
        <v>-31.599999999999998</v>
      </c>
    </row>
    <row r="29" spans="1:71" x14ac:dyDescent="0.25">
      <c r="A29" s="30" t="s">
        <v>312</v>
      </c>
      <c r="B29" s="31" t="s">
        <v>313</v>
      </c>
      <c r="C29" s="24">
        <v>24.199999999999996</v>
      </c>
      <c r="D29" s="24">
        <v>2.7</v>
      </c>
      <c r="E29" s="24">
        <v>1.0999999999999999</v>
      </c>
      <c r="F29" s="24">
        <v>6.799999999999999</v>
      </c>
      <c r="G29" s="24">
        <v>72.30000000000001</v>
      </c>
      <c r="H29" s="24">
        <v>12.100000000000001</v>
      </c>
      <c r="I29" s="24">
        <v>10.799999999999999</v>
      </c>
      <c r="J29" s="24">
        <v>11.799999999999997</v>
      </c>
      <c r="K29" s="24">
        <v>3.1999999999999997</v>
      </c>
      <c r="L29" s="24">
        <v>107.89999999999999</v>
      </c>
      <c r="M29" s="24">
        <v>41.7</v>
      </c>
      <c r="N29" s="24">
        <v>59.70000000000002</v>
      </c>
      <c r="O29" s="24">
        <v>28.400000000000002</v>
      </c>
      <c r="P29" s="24">
        <v>26.500000000000004</v>
      </c>
      <c r="Q29" s="24">
        <v>58</v>
      </c>
      <c r="R29" s="24">
        <v>56.39999999999999</v>
      </c>
      <c r="S29" s="24">
        <v>37.10000000000001</v>
      </c>
      <c r="T29" s="24">
        <v>29.000000000000004</v>
      </c>
      <c r="U29" s="24">
        <v>81.1</v>
      </c>
      <c r="V29" s="24">
        <v>57.4</v>
      </c>
      <c r="W29" s="24">
        <v>19.099999999999998</v>
      </c>
      <c r="X29" s="24">
        <v>22</v>
      </c>
      <c r="Y29" s="24">
        <v>26.400000000000002</v>
      </c>
      <c r="Z29" s="24">
        <v>106.30000000000001</v>
      </c>
      <c r="AA29" s="24">
        <v>3.9</v>
      </c>
      <c r="AB29" s="24">
        <v>23.999999999999993</v>
      </c>
      <c r="AC29" s="24">
        <v>890.3999999999999</v>
      </c>
      <c r="AD29" s="24">
        <v>14.099999999999998</v>
      </c>
      <c r="AE29" s="24">
        <v>73.10000000000001</v>
      </c>
      <c r="AF29" s="24">
        <v>31.900000000000006</v>
      </c>
      <c r="AG29" s="24">
        <v>30.6</v>
      </c>
      <c r="AH29" s="24">
        <v>41.199999999999996</v>
      </c>
      <c r="AI29" s="24">
        <v>35.6</v>
      </c>
      <c r="AJ29" s="24">
        <v>50.6</v>
      </c>
      <c r="AK29" s="24">
        <v>4</v>
      </c>
      <c r="AL29" s="24">
        <v>23.900000000000002</v>
      </c>
      <c r="AM29" s="24">
        <v>18</v>
      </c>
      <c r="AN29" s="24">
        <v>9.599999999999998</v>
      </c>
      <c r="AO29" s="24">
        <v>16.299999999999997</v>
      </c>
      <c r="AP29" s="24">
        <v>89.50000000000001</v>
      </c>
      <c r="AQ29" s="24">
        <v>9.999999999999998</v>
      </c>
      <c r="AR29" s="24">
        <v>9.399999999999999</v>
      </c>
      <c r="AS29" s="24">
        <v>9.499999999999998</v>
      </c>
      <c r="AT29" s="24">
        <v>65.7</v>
      </c>
      <c r="AU29" s="24">
        <v>42.90000000000002</v>
      </c>
      <c r="AV29" s="24">
        <v>37.900000000000006</v>
      </c>
      <c r="AW29" s="24">
        <v>16.299999999999997</v>
      </c>
      <c r="AX29" s="24">
        <v>7.9</v>
      </c>
      <c r="AY29" s="24">
        <v>6.400000000000001</v>
      </c>
      <c r="AZ29" s="24">
        <v>18.7</v>
      </c>
      <c r="BA29" s="24">
        <v>4.5</v>
      </c>
      <c r="BB29" s="24">
        <v>6.799999999999999</v>
      </c>
      <c r="BC29" s="24">
        <v>27</v>
      </c>
      <c r="BD29" s="24">
        <v>91.09999999999998</v>
      </c>
      <c r="BE29" s="24">
        <v>16.099999999999998</v>
      </c>
      <c r="BF29" s="24">
        <v>27.799999999999997</v>
      </c>
      <c r="BG29" s="24">
        <v>12.200000000000001</v>
      </c>
      <c r="BH29" s="24">
        <v>9.399999999999999</v>
      </c>
      <c r="BI29" s="24">
        <v>6.999999999999999</v>
      </c>
      <c r="BJ29" s="24">
        <v>5.399999999999999</v>
      </c>
      <c r="BK29" s="24">
        <v>2.0000000000000004</v>
      </c>
      <c r="BL29" s="24">
        <v>4.9</v>
      </c>
      <c r="BM29" s="24">
        <v>0</v>
      </c>
      <c r="BN29" s="24">
        <v>0</v>
      </c>
      <c r="BO29" s="24">
        <v>7.999999999999998</v>
      </c>
      <c r="BP29" s="24">
        <v>137.29999999999998</v>
      </c>
      <c r="BQ29" s="24">
        <v>0.1</v>
      </c>
      <c r="BR29" s="24">
        <v>1561.8999999999999</v>
      </c>
      <c r="BS29" s="24">
        <v>-67.10000000000001</v>
      </c>
    </row>
    <row r="30" spans="1:71" x14ac:dyDescent="0.25">
      <c r="A30" s="30" t="s">
        <v>314</v>
      </c>
      <c r="B30" s="31" t="s">
        <v>315</v>
      </c>
      <c r="C30" s="24">
        <v>223.89999999999998</v>
      </c>
      <c r="D30" s="24">
        <v>36.9</v>
      </c>
      <c r="E30" s="24">
        <v>42.4</v>
      </c>
      <c r="F30" s="24">
        <v>77</v>
      </c>
      <c r="G30" s="24">
        <v>216.10000000000002</v>
      </c>
      <c r="H30" s="24">
        <v>101.4</v>
      </c>
      <c r="I30" s="24">
        <v>112.90000000000003</v>
      </c>
      <c r="J30" s="24">
        <v>111.6</v>
      </c>
      <c r="K30" s="24">
        <v>75.6</v>
      </c>
      <c r="L30" s="24">
        <v>131</v>
      </c>
      <c r="M30" s="24">
        <v>231</v>
      </c>
      <c r="N30" s="24">
        <v>198.3</v>
      </c>
      <c r="O30" s="24">
        <v>162.70000000000002</v>
      </c>
      <c r="P30" s="24">
        <v>150.9</v>
      </c>
      <c r="Q30" s="24">
        <v>165.89999999999998</v>
      </c>
      <c r="R30" s="24">
        <v>192.5</v>
      </c>
      <c r="S30" s="24">
        <v>152.5</v>
      </c>
      <c r="T30" s="24">
        <v>140.29999999999998</v>
      </c>
      <c r="U30" s="24">
        <v>193.40000000000003</v>
      </c>
      <c r="V30" s="24">
        <v>537.3000000000001</v>
      </c>
      <c r="W30" s="24">
        <v>119.30000000000001</v>
      </c>
      <c r="X30" s="24">
        <v>142.8</v>
      </c>
      <c r="Y30" s="24">
        <v>124.5</v>
      </c>
      <c r="Z30" s="24">
        <v>151.2</v>
      </c>
      <c r="AA30" s="24">
        <v>76.2</v>
      </c>
      <c r="AB30" s="24">
        <v>197.9</v>
      </c>
      <c r="AC30" s="24">
        <v>429.9</v>
      </c>
      <c r="AD30" s="24">
        <v>752.9000000000001</v>
      </c>
      <c r="AE30" s="24">
        <v>278.7</v>
      </c>
      <c r="AF30" s="24">
        <v>235.79999999999998</v>
      </c>
      <c r="AG30" s="24">
        <v>661.6</v>
      </c>
      <c r="AH30" s="24">
        <v>115.00000000000003</v>
      </c>
      <c r="AI30" s="24">
        <v>219.10000000000002</v>
      </c>
      <c r="AJ30" s="24">
        <v>485.79999999999995</v>
      </c>
      <c r="AK30" s="24">
        <v>317.8</v>
      </c>
      <c r="AL30" s="24">
        <v>133.20000000000002</v>
      </c>
      <c r="AM30" s="24">
        <v>99.80000000000001</v>
      </c>
      <c r="AN30" s="24">
        <v>107</v>
      </c>
      <c r="AO30" s="24">
        <v>177.99999999999997</v>
      </c>
      <c r="AP30" s="24">
        <v>285.6</v>
      </c>
      <c r="AQ30" s="24">
        <v>139.7</v>
      </c>
      <c r="AR30" s="24">
        <v>142.39999999999998</v>
      </c>
      <c r="AS30" s="24">
        <v>135.4</v>
      </c>
      <c r="AT30" s="24">
        <v>88.10000000000001</v>
      </c>
      <c r="AU30" s="24">
        <v>203.49999999999997</v>
      </c>
      <c r="AV30" s="24">
        <v>126.10000000000001</v>
      </c>
      <c r="AW30" s="24">
        <v>91.7</v>
      </c>
      <c r="AX30" s="24">
        <v>86.4</v>
      </c>
      <c r="AY30" s="24">
        <v>91.50000000000001</v>
      </c>
      <c r="AZ30" s="24">
        <v>318.29999999999995</v>
      </c>
      <c r="BA30" s="24">
        <v>100.49999999999999</v>
      </c>
      <c r="BB30" s="24">
        <v>113.99999999999999</v>
      </c>
      <c r="BC30" s="24">
        <v>188.3</v>
      </c>
      <c r="BD30" s="24">
        <v>204.29999999999995</v>
      </c>
      <c r="BE30" s="24">
        <v>103.60000000000001</v>
      </c>
      <c r="BF30" s="24">
        <v>209.5</v>
      </c>
      <c r="BG30" s="24">
        <v>126.20000000000002</v>
      </c>
      <c r="BH30" s="24">
        <v>77.4</v>
      </c>
      <c r="BI30" s="24">
        <v>75.9</v>
      </c>
      <c r="BJ30" s="24">
        <v>75.6</v>
      </c>
      <c r="BK30" s="24">
        <v>49.60000000000001</v>
      </c>
      <c r="BL30" s="24">
        <v>102.29999999999998</v>
      </c>
      <c r="BM30" s="24">
        <v>0</v>
      </c>
      <c r="BN30" s="24">
        <v>0</v>
      </c>
      <c r="BO30" s="24">
        <v>190.70000000000002</v>
      </c>
      <c r="BP30" s="24">
        <v>2442.5999999999995</v>
      </c>
      <c r="BQ30" s="24">
        <v>48.400000000000006</v>
      </c>
      <c r="BR30" s="24">
        <v>293.7</v>
      </c>
      <c r="BS30" s="24">
        <v>166</v>
      </c>
    </row>
    <row r="31" spans="1:71" x14ac:dyDescent="0.25">
      <c r="A31" s="30" t="s">
        <v>317</v>
      </c>
      <c r="B31" s="31" t="s">
        <v>318</v>
      </c>
      <c r="C31" s="24">
        <v>3803.0999999999995</v>
      </c>
      <c r="D31" s="24">
        <v>175.2</v>
      </c>
      <c r="E31" s="24">
        <v>148.39999999999998</v>
      </c>
      <c r="F31" s="24">
        <v>302</v>
      </c>
      <c r="G31" s="24">
        <v>23192.6</v>
      </c>
      <c r="H31" s="24">
        <v>4229.8</v>
      </c>
      <c r="I31" s="24">
        <v>1894.3999999999996</v>
      </c>
      <c r="J31" s="24">
        <v>2228.3999999999996</v>
      </c>
      <c r="K31" s="24">
        <v>435.8</v>
      </c>
      <c r="L31" s="24">
        <v>3091.1000000000004</v>
      </c>
      <c r="M31" s="24">
        <v>8962.4</v>
      </c>
      <c r="N31" s="24">
        <v>9593.399999999998</v>
      </c>
      <c r="O31" s="24">
        <v>4869</v>
      </c>
      <c r="P31" s="24">
        <v>2588.1000000000004</v>
      </c>
      <c r="Q31" s="24">
        <v>3663.2</v>
      </c>
      <c r="R31" s="24">
        <v>5162.2</v>
      </c>
      <c r="S31" s="24">
        <v>11322.1</v>
      </c>
      <c r="T31" s="24">
        <v>5038</v>
      </c>
      <c r="U31" s="24">
        <v>9237.099999999999</v>
      </c>
      <c r="V31" s="24">
        <v>9735</v>
      </c>
      <c r="W31" s="24">
        <v>1993.2999999999997</v>
      </c>
      <c r="X31" s="24">
        <v>6473.8</v>
      </c>
      <c r="Y31" s="24">
        <v>2264.2</v>
      </c>
      <c r="Z31" s="24">
        <v>5356.4</v>
      </c>
      <c r="AA31" s="24">
        <v>168.79999999999998</v>
      </c>
      <c r="AB31" s="24">
        <v>1802.7000000000003</v>
      </c>
      <c r="AC31" s="24">
        <v>10007.5</v>
      </c>
      <c r="AD31" s="24">
        <v>2341.2999999999997</v>
      </c>
      <c r="AE31" s="24">
        <v>44408.399999999994</v>
      </c>
      <c r="AF31" s="24">
        <v>10137</v>
      </c>
      <c r="AG31" s="24">
        <v>1797.7</v>
      </c>
      <c r="AH31" s="24">
        <v>1682.3999999999999</v>
      </c>
      <c r="AI31" s="24">
        <v>2382.1000000000004</v>
      </c>
      <c r="AJ31" s="24">
        <v>2936.6000000000004</v>
      </c>
      <c r="AK31" s="24">
        <v>177.39999999999998</v>
      </c>
      <c r="AL31" s="24">
        <v>4349.2</v>
      </c>
      <c r="AM31" s="24">
        <v>13155.999999999996</v>
      </c>
      <c r="AN31" s="24">
        <v>941.4000000000001</v>
      </c>
      <c r="AO31" s="24">
        <v>1770.2000000000003</v>
      </c>
      <c r="AP31" s="24">
        <v>39674.3</v>
      </c>
      <c r="AQ31" s="24">
        <v>265.5</v>
      </c>
      <c r="AR31" s="24">
        <v>198.8</v>
      </c>
      <c r="AS31" s="24">
        <v>1194.8</v>
      </c>
      <c r="AT31" s="24">
        <v>692.0999999999999</v>
      </c>
      <c r="AU31" s="24">
        <v>3557.3</v>
      </c>
      <c r="AV31" s="24">
        <v>1142.9</v>
      </c>
      <c r="AW31" s="24">
        <v>755.8000000000001</v>
      </c>
      <c r="AX31" s="24">
        <v>1100.6000000000001</v>
      </c>
      <c r="AY31" s="24">
        <v>465.29999999999995</v>
      </c>
      <c r="AZ31" s="24">
        <v>1574.3999999999999</v>
      </c>
      <c r="BA31" s="24">
        <v>195.7</v>
      </c>
      <c r="BB31" s="24">
        <v>802.8000000000001</v>
      </c>
      <c r="BC31" s="24">
        <v>2017.9</v>
      </c>
      <c r="BD31" s="24">
        <v>1020.9999999999999</v>
      </c>
      <c r="BE31" s="24">
        <v>694.0999999999999</v>
      </c>
      <c r="BF31" s="24">
        <v>3387.4000000000005</v>
      </c>
      <c r="BG31" s="24">
        <v>686.5</v>
      </c>
      <c r="BH31" s="24">
        <v>745.8</v>
      </c>
      <c r="BI31" s="24">
        <v>534.9000000000001</v>
      </c>
      <c r="BJ31" s="24">
        <v>308</v>
      </c>
      <c r="BK31" s="24">
        <v>200.5</v>
      </c>
      <c r="BL31" s="24">
        <v>332.7</v>
      </c>
      <c r="BM31" s="24">
        <v>0</v>
      </c>
      <c r="BN31" s="24">
        <v>0</v>
      </c>
      <c r="BO31" s="24">
        <v>1352.6999999999998</v>
      </c>
      <c r="BP31" s="24">
        <v>5527.999999999999</v>
      </c>
      <c r="BQ31" s="24">
        <v>87</v>
      </c>
      <c r="BR31" s="24">
        <v>7166.500000000002</v>
      </c>
      <c r="BS31" s="24">
        <v>2996.9</v>
      </c>
    </row>
    <row r="32" spans="1:71" x14ac:dyDescent="0.25">
      <c r="A32" s="30" t="s">
        <v>319</v>
      </c>
      <c r="B32" s="31" t="s">
        <v>320</v>
      </c>
      <c r="C32" s="24">
        <v>1246.1</v>
      </c>
      <c r="D32" s="24">
        <v>423.90000000000003</v>
      </c>
      <c r="E32" s="24">
        <v>436.5</v>
      </c>
      <c r="F32" s="24">
        <v>806.8</v>
      </c>
      <c r="G32" s="24">
        <v>1569.6</v>
      </c>
      <c r="H32" s="24">
        <v>1012.3</v>
      </c>
      <c r="I32" s="24">
        <v>940.5999999999999</v>
      </c>
      <c r="J32" s="24">
        <v>1116.4</v>
      </c>
      <c r="K32" s="24">
        <v>888.7</v>
      </c>
      <c r="L32" s="24">
        <v>1377</v>
      </c>
      <c r="M32" s="24">
        <v>1483.4</v>
      </c>
      <c r="N32" s="24">
        <v>1345.8</v>
      </c>
      <c r="O32" s="24">
        <v>1365.5</v>
      </c>
      <c r="P32" s="24">
        <v>1113.8000000000002</v>
      </c>
      <c r="Q32" s="24">
        <v>1515.1</v>
      </c>
      <c r="R32" s="24">
        <v>1388.8</v>
      </c>
      <c r="S32" s="24">
        <v>1236.4999999999998</v>
      </c>
      <c r="T32" s="24">
        <v>1183.8000000000002</v>
      </c>
      <c r="U32" s="24">
        <v>1214.3</v>
      </c>
      <c r="V32" s="24">
        <v>1276.8000000000002</v>
      </c>
      <c r="W32" s="24">
        <v>1087.5</v>
      </c>
      <c r="X32" s="24">
        <v>1065.4</v>
      </c>
      <c r="Y32" s="24">
        <v>1110.3000000000002</v>
      </c>
      <c r="Z32" s="24">
        <v>1334.2</v>
      </c>
      <c r="AA32" s="24">
        <v>551.9000000000001</v>
      </c>
      <c r="AB32" s="24">
        <v>1280.7</v>
      </c>
      <c r="AC32" s="24">
        <v>1316.8999999999999</v>
      </c>
      <c r="AD32" s="24">
        <v>1088.8000000000002</v>
      </c>
      <c r="AE32" s="24">
        <v>951.9</v>
      </c>
      <c r="AF32" s="24">
        <v>2225.6</v>
      </c>
      <c r="AG32" s="24">
        <v>1232.1999999999998</v>
      </c>
      <c r="AH32" s="24">
        <v>1426</v>
      </c>
      <c r="AI32" s="24">
        <v>1167.7</v>
      </c>
      <c r="AJ32" s="24">
        <v>1268.4</v>
      </c>
      <c r="AK32" s="24">
        <v>870.5</v>
      </c>
      <c r="AL32" s="24">
        <v>1200</v>
      </c>
      <c r="AM32" s="24">
        <v>938.4</v>
      </c>
      <c r="AN32" s="24">
        <v>1321.9</v>
      </c>
      <c r="AO32" s="24">
        <v>1139.1000000000001</v>
      </c>
      <c r="AP32" s="24">
        <v>1308.1</v>
      </c>
      <c r="AQ32" s="24">
        <v>690.5999999999999</v>
      </c>
      <c r="AR32" s="24">
        <v>974.9999999999999</v>
      </c>
      <c r="AS32" s="24">
        <v>1012.7</v>
      </c>
      <c r="AT32" s="24">
        <v>773.1</v>
      </c>
      <c r="AU32" s="24">
        <v>1094.9</v>
      </c>
      <c r="AV32" s="24">
        <v>1033.4</v>
      </c>
      <c r="AW32" s="24">
        <v>1120.4</v>
      </c>
      <c r="AX32" s="24">
        <v>973.6</v>
      </c>
      <c r="AY32" s="24">
        <v>887.3</v>
      </c>
      <c r="AZ32" s="24">
        <v>1114.1000000000001</v>
      </c>
      <c r="BA32" s="24">
        <v>711.6</v>
      </c>
      <c r="BB32" s="24">
        <v>1144.2</v>
      </c>
      <c r="BC32" s="24">
        <v>974.9000000000001</v>
      </c>
      <c r="BD32" s="24">
        <v>998.5</v>
      </c>
      <c r="BE32" s="24">
        <v>995.8</v>
      </c>
      <c r="BF32" s="24">
        <v>1393.6</v>
      </c>
      <c r="BG32" s="24">
        <v>1006.1999999999999</v>
      </c>
      <c r="BH32" s="24">
        <v>985.0999999999998</v>
      </c>
      <c r="BI32" s="24">
        <v>845.5</v>
      </c>
      <c r="BJ32" s="24">
        <v>807.2</v>
      </c>
      <c r="BK32" s="24">
        <v>625.8000000000001</v>
      </c>
      <c r="BL32" s="24">
        <v>875.7</v>
      </c>
      <c r="BM32" s="24">
        <v>0</v>
      </c>
      <c r="BN32" s="24">
        <v>0</v>
      </c>
      <c r="BO32" s="24">
        <v>1468</v>
      </c>
      <c r="BP32" s="24">
        <v>8251.7</v>
      </c>
      <c r="BQ32" s="24">
        <v>59.599999999999994</v>
      </c>
      <c r="BR32" s="24">
        <v>1571.4</v>
      </c>
      <c r="BS32" s="24">
        <v>3021.7000000000007</v>
      </c>
    </row>
    <row r="33" spans="1:71" x14ac:dyDescent="0.25">
      <c r="A33" s="30" t="s">
        <v>321</v>
      </c>
      <c r="B33" s="31" t="s">
        <v>322</v>
      </c>
      <c r="C33" s="24">
        <v>680.7</v>
      </c>
      <c r="D33" s="24">
        <v>40.7</v>
      </c>
      <c r="E33" s="24">
        <v>13.9</v>
      </c>
      <c r="F33" s="24">
        <v>182.89999999999998</v>
      </c>
      <c r="G33" s="24">
        <v>5108.4</v>
      </c>
      <c r="H33" s="24">
        <v>1052.2</v>
      </c>
      <c r="I33" s="24">
        <v>569.5</v>
      </c>
      <c r="J33" s="24">
        <v>1074.9</v>
      </c>
      <c r="K33" s="24">
        <v>142.9</v>
      </c>
      <c r="L33" s="24">
        <v>12504</v>
      </c>
      <c r="M33" s="24">
        <v>4214.5</v>
      </c>
      <c r="N33" s="24">
        <v>823.6</v>
      </c>
      <c r="O33" s="24">
        <v>2030.5</v>
      </c>
      <c r="P33" s="24">
        <v>1334.3000000000002</v>
      </c>
      <c r="Q33" s="24">
        <v>4957.8</v>
      </c>
      <c r="R33" s="24">
        <v>1622.9</v>
      </c>
      <c r="S33" s="24">
        <v>1323.2</v>
      </c>
      <c r="T33" s="24">
        <v>1765.5</v>
      </c>
      <c r="U33" s="24">
        <v>1924.5</v>
      </c>
      <c r="V33" s="24">
        <v>4370</v>
      </c>
      <c r="W33" s="24">
        <v>853.1</v>
      </c>
      <c r="X33" s="24">
        <v>1009.7</v>
      </c>
      <c r="Y33" s="24">
        <v>436.7</v>
      </c>
      <c r="Z33" s="24">
        <v>4285.2</v>
      </c>
      <c r="AA33" s="24">
        <v>20.4</v>
      </c>
      <c r="AB33" s="24">
        <v>373.1</v>
      </c>
      <c r="AC33" s="24">
        <v>3935.7000000000003</v>
      </c>
      <c r="AD33" s="24">
        <v>614.3</v>
      </c>
      <c r="AE33" s="24">
        <v>3103.7</v>
      </c>
      <c r="AF33" s="24">
        <v>1078.3</v>
      </c>
      <c r="AG33" s="24">
        <v>4228.9</v>
      </c>
      <c r="AH33" s="24">
        <v>311.19999999999993</v>
      </c>
      <c r="AI33" s="24">
        <v>208.70000000000005</v>
      </c>
      <c r="AJ33" s="24">
        <v>3839.6999999999994</v>
      </c>
      <c r="AK33" s="24">
        <v>148.89999999999998</v>
      </c>
      <c r="AL33" s="24">
        <v>454.1</v>
      </c>
      <c r="AM33" s="24">
        <v>548.9999999999999</v>
      </c>
      <c r="AN33" s="24">
        <v>193.3</v>
      </c>
      <c r="AO33" s="24">
        <v>225.00000000000003</v>
      </c>
      <c r="AP33" s="24">
        <v>496.7000000000001</v>
      </c>
      <c r="AQ33" s="24">
        <v>55.8</v>
      </c>
      <c r="AR33" s="24">
        <v>26.099999999999998</v>
      </c>
      <c r="AS33" s="24">
        <v>41.300000000000004</v>
      </c>
      <c r="AT33" s="24">
        <v>89.39999999999999</v>
      </c>
      <c r="AU33" s="24">
        <v>301.2</v>
      </c>
      <c r="AV33" s="24">
        <v>237.3</v>
      </c>
      <c r="AW33" s="24">
        <v>153.5</v>
      </c>
      <c r="AX33" s="24">
        <v>168.8</v>
      </c>
      <c r="AY33" s="24">
        <v>87.8</v>
      </c>
      <c r="AZ33" s="24">
        <v>124.69999999999999</v>
      </c>
      <c r="BA33" s="24">
        <v>31.200000000000003</v>
      </c>
      <c r="BB33" s="24">
        <v>115.29999999999998</v>
      </c>
      <c r="BC33" s="24">
        <v>218.2</v>
      </c>
      <c r="BD33" s="24">
        <v>658.1</v>
      </c>
      <c r="BE33" s="24">
        <v>224.40000000000003</v>
      </c>
      <c r="BF33" s="24">
        <v>1053.6000000000001</v>
      </c>
      <c r="BG33" s="24">
        <v>145.5</v>
      </c>
      <c r="BH33" s="24">
        <v>77.5</v>
      </c>
      <c r="BI33" s="24">
        <v>74.60000000000001</v>
      </c>
      <c r="BJ33" s="24">
        <v>118.79999999999998</v>
      </c>
      <c r="BK33" s="24">
        <v>38.7</v>
      </c>
      <c r="BL33" s="24">
        <v>69.6</v>
      </c>
      <c r="BM33" s="24">
        <v>0</v>
      </c>
      <c r="BN33" s="24">
        <v>0</v>
      </c>
      <c r="BO33" s="24">
        <v>1854.0000000000002</v>
      </c>
      <c r="BP33" s="24">
        <v>6246.2</v>
      </c>
      <c r="BQ33" s="24">
        <v>24.800000000000004</v>
      </c>
      <c r="BR33" s="24">
        <v>7228.900000000001</v>
      </c>
      <c r="BS33" s="24">
        <v>209.09999999999997</v>
      </c>
    </row>
    <row r="34" spans="1:71" x14ac:dyDescent="0.25">
      <c r="A34" s="30" t="s">
        <v>134</v>
      </c>
      <c r="B34" s="31" t="s">
        <v>324</v>
      </c>
      <c r="C34" s="24">
        <v>46.900000000000006</v>
      </c>
      <c r="D34" s="24">
        <v>23.700000000000003</v>
      </c>
      <c r="E34" s="24">
        <v>13.1</v>
      </c>
      <c r="F34" s="24">
        <v>61.400000000000006</v>
      </c>
      <c r="G34" s="24">
        <v>737</v>
      </c>
      <c r="H34" s="24">
        <v>85.5</v>
      </c>
      <c r="I34" s="24">
        <v>73.9</v>
      </c>
      <c r="J34" s="24">
        <v>122.19999999999999</v>
      </c>
      <c r="K34" s="24">
        <v>15.3</v>
      </c>
      <c r="L34" s="24">
        <v>3769.8999999999996</v>
      </c>
      <c r="M34" s="24">
        <v>632.4000000000001</v>
      </c>
      <c r="N34" s="24">
        <v>262.2</v>
      </c>
      <c r="O34" s="24">
        <v>131.10000000000002</v>
      </c>
      <c r="P34" s="24">
        <v>201.2</v>
      </c>
      <c r="Q34" s="24">
        <v>667.8999999999999</v>
      </c>
      <c r="R34" s="24">
        <v>215.6</v>
      </c>
      <c r="S34" s="24">
        <v>349.79999999999995</v>
      </c>
      <c r="T34" s="24">
        <v>219.39999999999998</v>
      </c>
      <c r="U34" s="24">
        <v>332.09999999999997</v>
      </c>
      <c r="V34" s="24">
        <v>407.4</v>
      </c>
      <c r="W34" s="24">
        <v>184.4</v>
      </c>
      <c r="X34" s="24">
        <v>90.7</v>
      </c>
      <c r="Y34" s="24">
        <v>58.900000000000006</v>
      </c>
      <c r="Z34" s="24">
        <v>475.2</v>
      </c>
      <c r="AA34" s="24">
        <v>2.9000000000000004</v>
      </c>
      <c r="AB34" s="24">
        <v>81.30000000000001</v>
      </c>
      <c r="AC34" s="24">
        <v>336.9</v>
      </c>
      <c r="AD34" s="24">
        <v>99</v>
      </c>
      <c r="AE34" s="24">
        <v>645.4000000000001</v>
      </c>
      <c r="AF34" s="24">
        <v>61.900000000000006</v>
      </c>
      <c r="AG34" s="24">
        <v>495.9</v>
      </c>
      <c r="AH34" s="24">
        <v>9887.400000000001</v>
      </c>
      <c r="AI34" s="24">
        <v>68.6</v>
      </c>
      <c r="AJ34" s="24">
        <v>1321.6999999999998</v>
      </c>
      <c r="AK34" s="24">
        <v>21.7</v>
      </c>
      <c r="AL34" s="24">
        <v>66.6</v>
      </c>
      <c r="AM34" s="24">
        <v>146.8</v>
      </c>
      <c r="AN34" s="24">
        <v>20.4</v>
      </c>
      <c r="AO34" s="24">
        <v>38.599999999999994</v>
      </c>
      <c r="AP34" s="24">
        <v>38.4</v>
      </c>
      <c r="AQ34" s="24">
        <v>7.399999999999999</v>
      </c>
      <c r="AR34" s="24">
        <v>1.9000000000000001</v>
      </c>
      <c r="AS34" s="24">
        <v>10.2</v>
      </c>
      <c r="AT34" s="24">
        <v>5</v>
      </c>
      <c r="AU34" s="24">
        <v>29.2</v>
      </c>
      <c r="AV34" s="24">
        <v>19</v>
      </c>
      <c r="AW34" s="24">
        <v>10.500000000000002</v>
      </c>
      <c r="AX34" s="24">
        <v>11.899999999999999</v>
      </c>
      <c r="AY34" s="24">
        <v>8.1</v>
      </c>
      <c r="AZ34" s="24">
        <v>50.50000000000001</v>
      </c>
      <c r="BA34" s="24">
        <v>3.7</v>
      </c>
      <c r="BB34" s="24">
        <v>108.9</v>
      </c>
      <c r="BC34" s="24">
        <v>29.900000000000006</v>
      </c>
      <c r="BD34" s="24">
        <v>95.80000000000001</v>
      </c>
      <c r="BE34" s="24">
        <v>30.6</v>
      </c>
      <c r="BF34" s="24">
        <v>112.50000000000001</v>
      </c>
      <c r="BG34" s="24">
        <v>25.9</v>
      </c>
      <c r="BH34" s="24">
        <v>11.4</v>
      </c>
      <c r="BI34" s="24">
        <v>8.5</v>
      </c>
      <c r="BJ34" s="24">
        <v>6</v>
      </c>
      <c r="BK34" s="24">
        <v>2.8000000000000003</v>
      </c>
      <c r="BL34" s="24">
        <v>4.800000000000001</v>
      </c>
      <c r="BM34" s="24">
        <v>0</v>
      </c>
      <c r="BN34" s="24">
        <v>0</v>
      </c>
      <c r="BO34" s="24">
        <v>48.5</v>
      </c>
      <c r="BP34" s="24">
        <v>3661.5999999999995</v>
      </c>
      <c r="BQ34" s="24">
        <v>0</v>
      </c>
      <c r="BR34" s="24">
        <v>1040.1999999999998</v>
      </c>
      <c r="BS34" s="24">
        <v>745</v>
      </c>
    </row>
    <row r="35" spans="1:71" x14ac:dyDescent="0.25">
      <c r="A35" s="30" t="s">
        <v>137</v>
      </c>
      <c r="B35" s="31" t="s">
        <v>325</v>
      </c>
      <c r="C35" s="24">
        <v>32.8</v>
      </c>
      <c r="D35" s="24">
        <v>2.8000000000000003</v>
      </c>
      <c r="E35" s="24">
        <v>1.4</v>
      </c>
      <c r="F35" s="24">
        <v>5.2</v>
      </c>
      <c r="G35" s="24">
        <v>143.20000000000002</v>
      </c>
      <c r="H35" s="24">
        <v>38.2</v>
      </c>
      <c r="I35" s="24">
        <v>11.899999999999999</v>
      </c>
      <c r="J35" s="24">
        <v>16.7</v>
      </c>
      <c r="K35" s="24">
        <v>9.3</v>
      </c>
      <c r="L35" s="24">
        <v>363.40000000000003</v>
      </c>
      <c r="M35" s="24">
        <v>156.3</v>
      </c>
      <c r="N35" s="24">
        <v>86.4</v>
      </c>
      <c r="O35" s="24">
        <v>57.8</v>
      </c>
      <c r="P35" s="24">
        <v>34.199999999999996</v>
      </c>
      <c r="Q35" s="24">
        <v>84.30000000000001</v>
      </c>
      <c r="R35" s="24">
        <v>106.89999999999999</v>
      </c>
      <c r="S35" s="24">
        <v>184.1</v>
      </c>
      <c r="T35" s="24">
        <v>171.1</v>
      </c>
      <c r="U35" s="24">
        <v>240.60000000000002</v>
      </c>
      <c r="V35" s="24">
        <v>191</v>
      </c>
      <c r="W35" s="24">
        <v>218.10000000000002</v>
      </c>
      <c r="X35" s="24">
        <v>48.1</v>
      </c>
      <c r="Y35" s="24">
        <v>68.19999999999999</v>
      </c>
      <c r="Z35" s="24">
        <v>298</v>
      </c>
      <c r="AA35" s="24">
        <v>1.8</v>
      </c>
      <c r="AB35" s="24">
        <v>19.799999999999997</v>
      </c>
      <c r="AC35" s="24">
        <v>146.7</v>
      </c>
      <c r="AD35" s="24">
        <v>26.599999999999994</v>
      </c>
      <c r="AE35" s="24">
        <v>115.19999999999999</v>
      </c>
      <c r="AF35" s="24">
        <v>57.8</v>
      </c>
      <c r="AG35" s="24">
        <v>36.5</v>
      </c>
      <c r="AH35" s="24">
        <v>74.19999999999999</v>
      </c>
      <c r="AI35" s="24">
        <v>1011.5</v>
      </c>
      <c r="AJ35" s="24">
        <v>251.89999999999992</v>
      </c>
      <c r="AK35" s="24">
        <v>107.6</v>
      </c>
      <c r="AL35" s="24">
        <v>56</v>
      </c>
      <c r="AM35" s="24">
        <v>29.300000000000004</v>
      </c>
      <c r="AN35" s="24">
        <v>76.60000000000001</v>
      </c>
      <c r="AO35" s="24">
        <v>40.300000000000004</v>
      </c>
      <c r="AP35" s="24">
        <v>119.50000000000003</v>
      </c>
      <c r="AQ35" s="24">
        <v>49</v>
      </c>
      <c r="AR35" s="24">
        <v>30.400000000000006</v>
      </c>
      <c r="AS35" s="24">
        <v>71.9</v>
      </c>
      <c r="AT35" s="24">
        <v>9.4</v>
      </c>
      <c r="AU35" s="24">
        <v>172.3</v>
      </c>
      <c r="AV35" s="24">
        <v>65.3</v>
      </c>
      <c r="AW35" s="24">
        <v>47.599999999999994</v>
      </c>
      <c r="AX35" s="24">
        <v>32.10000000000001</v>
      </c>
      <c r="AY35" s="24">
        <v>21.5</v>
      </c>
      <c r="AZ35" s="24">
        <v>35.800000000000004</v>
      </c>
      <c r="BA35" s="24">
        <v>8.7</v>
      </c>
      <c r="BB35" s="24">
        <v>1038</v>
      </c>
      <c r="BC35" s="24">
        <v>59.300000000000004</v>
      </c>
      <c r="BD35" s="24">
        <v>180.10000000000002</v>
      </c>
      <c r="BE35" s="24">
        <v>38</v>
      </c>
      <c r="BF35" s="24">
        <v>122.9</v>
      </c>
      <c r="BG35" s="24">
        <v>39.5</v>
      </c>
      <c r="BH35" s="24">
        <v>48.099999999999994</v>
      </c>
      <c r="BI35" s="24">
        <v>19.599999999999998</v>
      </c>
      <c r="BJ35" s="24">
        <v>51.2</v>
      </c>
      <c r="BK35" s="24">
        <v>3.2</v>
      </c>
      <c r="BL35" s="24">
        <v>17.7</v>
      </c>
      <c r="BM35" s="24">
        <v>0</v>
      </c>
      <c r="BN35" s="24">
        <v>0</v>
      </c>
      <c r="BO35" s="24">
        <v>51.10000000000001</v>
      </c>
      <c r="BP35" s="24">
        <v>6380.800000000001</v>
      </c>
      <c r="BQ35" s="24">
        <v>0.1</v>
      </c>
      <c r="BR35" s="24">
        <v>804</v>
      </c>
      <c r="BS35" s="24">
        <v>-183.9</v>
      </c>
    </row>
    <row r="36" spans="1:71" x14ac:dyDescent="0.25">
      <c r="A36" s="30" t="s">
        <v>326</v>
      </c>
      <c r="B36" s="31" t="s">
        <v>327</v>
      </c>
      <c r="C36" s="24">
        <v>60.900000000000006</v>
      </c>
      <c r="D36" s="24">
        <v>7.599999999999999</v>
      </c>
      <c r="E36" s="24">
        <v>11.399999999999999</v>
      </c>
      <c r="F36" s="24">
        <v>40.2</v>
      </c>
      <c r="G36" s="24">
        <v>493.4</v>
      </c>
      <c r="H36" s="24">
        <v>75.7</v>
      </c>
      <c r="I36" s="24">
        <v>62.99999999999999</v>
      </c>
      <c r="J36" s="24">
        <v>100.80000000000001</v>
      </c>
      <c r="K36" s="24">
        <v>14.899999999999999</v>
      </c>
      <c r="L36" s="24">
        <v>277.79999999999995</v>
      </c>
      <c r="M36" s="24">
        <v>318</v>
      </c>
      <c r="N36" s="24">
        <v>135.2</v>
      </c>
      <c r="O36" s="24">
        <v>111.1</v>
      </c>
      <c r="P36" s="24">
        <v>122.4</v>
      </c>
      <c r="Q36" s="24">
        <v>212.7</v>
      </c>
      <c r="R36" s="24">
        <v>141.6</v>
      </c>
      <c r="S36" s="24">
        <v>79.4</v>
      </c>
      <c r="T36" s="24">
        <v>81.89999999999999</v>
      </c>
      <c r="U36" s="24">
        <v>145.7</v>
      </c>
      <c r="V36" s="24">
        <v>235.60000000000002</v>
      </c>
      <c r="W36" s="24">
        <v>149</v>
      </c>
      <c r="X36" s="24">
        <v>54.800000000000004</v>
      </c>
      <c r="Y36" s="24">
        <v>57.60000000000001</v>
      </c>
      <c r="Z36" s="24">
        <v>190.9</v>
      </c>
      <c r="AA36" s="24">
        <v>5.8999999999999995</v>
      </c>
      <c r="AB36" s="24">
        <v>69.5</v>
      </c>
      <c r="AC36" s="24">
        <v>375.4</v>
      </c>
      <c r="AD36" s="24">
        <v>237.4</v>
      </c>
      <c r="AE36" s="24">
        <v>2082.8</v>
      </c>
      <c r="AF36" s="24">
        <v>545</v>
      </c>
      <c r="AG36" s="24">
        <v>1751.1999999999998</v>
      </c>
      <c r="AH36" s="24">
        <v>14045.5</v>
      </c>
      <c r="AI36" s="24">
        <v>2134</v>
      </c>
      <c r="AJ36" s="24">
        <v>7114.7</v>
      </c>
      <c r="AK36" s="24">
        <v>326.09999999999997</v>
      </c>
      <c r="AL36" s="24">
        <v>57.1</v>
      </c>
      <c r="AM36" s="24">
        <v>60.7</v>
      </c>
      <c r="AN36" s="24">
        <v>19.699999999999996</v>
      </c>
      <c r="AO36" s="24">
        <v>167.5</v>
      </c>
      <c r="AP36" s="24">
        <v>417.5999999999999</v>
      </c>
      <c r="AQ36" s="24">
        <v>27.70000000000001</v>
      </c>
      <c r="AR36" s="24">
        <v>18.699999999999996</v>
      </c>
      <c r="AS36" s="24">
        <v>25.400000000000006</v>
      </c>
      <c r="AT36" s="24">
        <v>19.499999999999996</v>
      </c>
      <c r="AU36" s="24">
        <v>162.39999999999998</v>
      </c>
      <c r="AV36" s="24">
        <v>40.400000000000006</v>
      </c>
      <c r="AW36" s="24">
        <v>17.099999999999998</v>
      </c>
      <c r="AX36" s="24">
        <v>23.899999999999995</v>
      </c>
      <c r="AY36" s="24">
        <v>22.499999999999996</v>
      </c>
      <c r="AZ36" s="24">
        <v>102.40000000000002</v>
      </c>
      <c r="BA36" s="24">
        <v>12.2</v>
      </c>
      <c r="BB36" s="24">
        <v>51.40000000000002</v>
      </c>
      <c r="BC36" s="24">
        <v>89.19999999999999</v>
      </c>
      <c r="BD36" s="24">
        <v>143.1</v>
      </c>
      <c r="BE36" s="24">
        <v>20.599999999999998</v>
      </c>
      <c r="BF36" s="24">
        <v>54.10000000000001</v>
      </c>
      <c r="BG36" s="24">
        <v>15.699999999999996</v>
      </c>
      <c r="BH36" s="24">
        <v>19.799999999999997</v>
      </c>
      <c r="BI36" s="24">
        <v>15.399999999999997</v>
      </c>
      <c r="BJ36" s="24">
        <v>9.099999999999998</v>
      </c>
      <c r="BK36" s="24">
        <v>9.099999999999998</v>
      </c>
      <c r="BL36" s="24">
        <v>17.9</v>
      </c>
      <c r="BM36" s="24">
        <v>0</v>
      </c>
      <c r="BN36" s="24">
        <v>0</v>
      </c>
      <c r="BO36" s="24">
        <v>23.800000000000008</v>
      </c>
      <c r="BP36" s="24">
        <v>694.1999999999999</v>
      </c>
      <c r="BQ36" s="24">
        <v>0.6</v>
      </c>
      <c r="BR36" s="24">
        <v>297.29999999999995</v>
      </c>
      <c r="BS36" s="24">
        <v>41.90000000000001</v>
      </c>
    </row>
    <row r="37" spans="1:71" x14ac:dyDescent="0.25">
      <c r="A37" s="30" t="s">
        <v>328</v>
      </c>
      <c r="B37" s="31" t="s">
        <v>329</v>
      </c>
      <c r="C37" s="24">
        <v>45.00000000000001</v>
      </c>
      <c r="D37" s="24">
        <v>3.5000000000000004</v>
      </c>
      <c r="E37" s="24">
        <v>0.8</v>
      </c>
      <c r="F37" s="24">
        <v>6.8</v>
      </c>
      <c r="G37" s="24">
        <v>213.8</v>
      </c>
      <c r="H37" s="24">
        <v>83.10000000000001</v>
      </c>
      <c r="I37" s="24">
        <v>15</v>
      </c>
      <c r="J37" s="24">
        <v>29.3</v>
      </c>
      <c r="K37" s="24">
        <v>27.799999999999997</v>
      </c>
      <c r="L37" s="24">
        <v>68.30000000000001</v>
      </c>
      <c r="M37" s="24">
        <v>361.49999999999994</v>
      </c>
      <c r="N37" s="24">
        <v>213.5</v>
      </c>
      <c r="O37" s="24">
        <v>77.70000000000002</v>
      </c>
      <c r="P37" s="24">
        <v>40.800000000000004</v>
      </c>
      <c r="Q37" s="24">
        <v>40.10000000000001</v>
      </c>
      <c r="R37" s="24">
        <v>119.6</v>
      </c>
      <c r="S37" s="24">
        <v>168.5</v>
      </c>
      <c r="T37" s="24">
        <v>205.89999999999998</v>
      </c>
      <c r="U37" s="24">
        <v>272.1</v>
      </c>
      <c r="V37" s="24">
        <v>193.09999999999997</v>
      </c>
      <c r="W37" s="24">
        <v>21.5</v>
      </c>
      <c r="X37" s="24">
        <v>144.39999999999998</v>
      </c>
      <c r="Y37" s="24">
        <v>43.199999999999996</v>
      </c>
      <c r="Z37" s="24">
        <v>243.89999999999995</v>
      </c>
      <c r="AA37" s="24">
        <v>23.699999999999996</v>
      </c>
      <c r="AB37" s="24">
        <v>104.69999999999999</v>
      </c>
      <c r="AC37" s="24">
        <v>174.7</v>
      </c>
      <c r="AD37" s="24">
        <v>179.6</v>
      </c>
      <c r="AE37" s="24">
        <v>1022.3000000000001</v>
      </c>
      <c r="AF37" s="24">
        <v>1111.3</v>
      </c>
      <c r="AG37" s="24">
        <v>280.7</v>
      </c>
      <c r="AH37" s="24">
        <v>198.70000000000002</v>
      </c>
      <c r="AI37" s="24">
        <v>108.29999999999998</v>
      </c>
      <c r="AJ37" s="24">
        <v>485.80000000000007</v>
      </c>
      <c r="AK37" s="24">
        <v>2142.3999999999996</v>
      </c>
      <c r="AL37" s="24">
        <v>394.49999999999994</v>
      </c>
      <c r="AM37" s="24">
        <v>247.4</v>
      </c>
      <c r="AN37" s="24">
        <v>110.8</v>
      </c>
      <c r="AO37" s="24">
        <v>542.0999999999999</v>
      </c>
      <c r="AP37" s="24">
        <v>750.8</v>
      </c>
      <c r="AQ37" s="24">
        <v>414.6</v>
      </c>
      <c r="AR37" s="24">
        <v>183.2</v>
      </c>
      <c r="AS37" s="24">
        <v>329.09999999999997</v>
      </c>
      <c r="AT37" s="24">
        <v>58.10000000000001</v>
      </c>
      <c r="AU37" s="24">
        <v>2968.6000000000004</v>
      </c>
      <c r="AV37" s="24">
        <v>98.8</v>
      </c>
      <c r="AW37" s="24">
        <v>96.50000000000001</v>
      </c>
      <c r="AX37" s="24">
        <v>92.7</v>
      </c>
      <c r="AY37" s="24">
        <v>75.9</v>
      </c>
      <c r="AZ37" s="24">
        <v>132.7</v>
      </c>
      <c r="BA37" s="24">
        <v>98.1</v>
      </c>
      <c r="BB37" s="24">
        <v>47.400000000000006</v>
      </c>
      <c r="BC37" s="24">
        <v>270.6</v>
      </c>
      <c r="BD37" s="24">
        <v>977.1000000000001</v>
      </c>
      <c r="BE37" s="24">
        <v>146.5</v>
      </c>
      <c r="BF37" s="24">
        <v>223.3</v>
      </c>
      <c r="BG37" s="24">
        <v>200.10000000000002</v>
      </c>
      <c r="BH37" s="24">
        <v>104.89999999999998</v>
      </c>
      <c r="BI37" s="24">
        <v>57.40000000000002</v>
      </c>
      <c r="BJ37" s="24">
        <v>92.30000000000001</v>
      </c>
      <c r="BK37" s="24">
        <v>7.3</v>
      </c>
      <c r="BL37" s="24">
        <v>66.3</v>
      </c>
      <c r="BM37" s="24">
        <v>0</v>
      </c>
      <c r="BN37" s="24">
        <v>0</v>
      </c>
      <c r="BO37" s="24">
        <v>5.200000000000001</v>
      </c>
      <c r="BP37" s="24">
        <v>1539.3999999999999</v>
      </c>
      <c r="BQ37" s="24">
        <v>0</v>
      </c>
      <c r="BR37" s="24">
        <v>20.599999999999998</v>
      </c>
      <c r="BS37" s="24">
        <v>1.2000000000000002</v>
      </c>
    </row>
    <row r="38" spans="1:71" x14ac:dyDescent="0.25">
      <c r="A38" s="30" t="s">
        <v>330</v>
      </c>
      <c r="B38" s="31" t="s">
        <v>331</v>
      </c>
      <c r="C38" s="24">
        <v>16.999999999999996</v>
      </c>
      <c r="D38" s="24">
        <v>3.3000000000000007</v>
      </c>
      <c r="E38" s="24">
        <v>6.9</v>
      </c>
      <c r="F38" s="24">
        <v>8.7</v>
      </c>
      <c r="G38" s="24">
        <v>52.699999999999996</v>
      </c>
      <c r="H38" s="24">
        <v>20.699999999999996</v>
      </c>
      <c r="I38" s="24">
        <v>11.2</v>
      </c>
      <c r="J38" s="24">
        <v>13.899999999999999</v>
      </c>
      <c r="K38" s="24">
        <v>10.1</v>
      </c>
      <c r="L38" s="24">
        <v>16.199999999999996</v>
      </c>
      <c r="M38" s="24">
        <v>41.900000000000006</v>
      </c>
      <c r="N38" s="24">
        <v>26.799999999999997</v>
      </c>
      <c r="O38" s="24">
        <v>28.499999999999996</v>
      </c>
      <c r="P38" s="24">
        <v>21</v>
      </c>
      <c r="Q38" s="24">
        <v>28</v>
      </c>
      <c r="R38" s="24">
        <v>36.3</v>
      </c>
      <c r="S38" s="24">
        <v>36.3</v>
      </c>
      <c r="T38" s="24">
        <v>31</v>
      </c>
      <c r="U38" s="24">
        <v>62.599999999999994</v>
      </c>
      <c r="V38" s="24">
        <v>51.900000000000006</v>
      </c>
      <c r="W38" s="24">
        <v>25.7</v>
      </c>
      <c r="X38" s="24">
        <v>23.799999999999997</v>
      </c>
      <c r="Y38" s="24">
        <v>23.799999999999997</v>
      </c>
      <c r="Z38" s="24">
        <v>36.2</v>
      </c>
      <c r="AA38" s="24">
        <v>6.100000000000001</v>
      </c>
      <c r="AB38" s="24">
        <v>19.9</v>
      </c>
      <c r="AC38" s="24">
        <v>90.5</v>
      </c>
      <c r="AD38" s="24">
        <v>25</v>
      </c>
      <c r="AE38" s="24">
        <v>65.60000000000001</v>
      </c>
      <c r="AF38" s="24">
        <v>38.599999999999994</v>
      </c>
      <c r="AG38" s="24">
        <v>81.1</v>
      </c>
      <c r="AH38" s="24">
        <v>24.499999999999993</v>
      </c>
      <c r="AI38" s="24">
        <v>37</v>
      </c>
      <c r="AJ38" s="24">
        <v>69.3</v>
      </c>
      <c r="AK38" s="24">
        <v>8.399999999999999</v>
      </c>
      <c r="AL38" s="24">
        <v>51.7</v>
      </c>
      <c r="AM38" s="24">
        <v>17.399999999999995</v>
      </c>
      <c r="AN38" s="24">
        <v>28.699999999999996</v>
      </c>
      <c r="AO38" s="24">
        <v>43.10000000000001</v>
      </c>
      <c r="AP38" s="24">
        <v>78</v>
      </c>
      <c r="AQ38" s="24">
        <v>21</v>
      </c>
      <c r="AR38" s="24">
        <v>23</v>
      </c>
      <c r="AS38" s="24">
        <v>30.099999999999998</v>
      </c>
      <c r="AT38" s="24">
        <v>16.299999999999997</v>
      </c>
      <c r="AU38" s="24">
        <v>78.7</v>
      </c>
      <c r="AV38" s="24">
        <v>27.4</v>
      </c>
      <c r="AW38" s="24">
        <v>20.9</v>
      </c>
      <c r="AX38" s="24">
        <v>19</v>
      </c>
      <c r="AY38" s="24">
        <v>19</v>
      </c>
      <c r="AZ38" s="24">
        <v>22</v>
      </c>
      <c r="BA38" s="24">
        <v>17.299999999999997</v>
      </c>
      <c r="BB38" s="24">
        <v>773.3</v>
      </c>
      <c r="BC38" s="24">
        <v>45.3</v>
      </c>
      <c r="BD38" s="24">
        <v>48.9</v>
      </c>
      <c r="BE38" s="24">
        <v>47.2</v>
      </c>
      <c r="BF38" s="24">
        <v>53.2</v>
      </c>
      <c r="BG38" s="24">
        <v>38.400000000000006</v>
      </c>
      <c r="BH38" s="24">
        <v>27.699999999999996</v>
      </c>
      <c r="BI38" s="24">
        <v>17</v>
      </c>
      <c r="BJ38" s="24">
        <v>24.299999999999997</v>
      </c>
      <c r="BK38" s="24">
        <v>10.3</v>
      </c>
      <c r="BL38" s="24">
        <v>19.9</v>
      </c>
      <c r="BM38" s="24">
        <v>0</v>
      </c>
      <c r="BN38" s="24">
        <v>0</v>
      </c>
      <c r="BO38" s="24">
        <v>27.700000000000003</v>
      </c>
      <c r="BP38" s="24">
        <v>640.3</v>
      </c>
      <c r="BQ38" s="24">
        <v>0.1</v>
      </c>
      <c r="BR38" s="24">
        <v>36.400000000000006</v>
      </c>
      <c r="BS38" s="24">
        <v>199.10000000000002</v>
      </c>
    </row>
    <row r="39" spans="1:71" x14ac:dyDescent="0.25">
      <c r="A39" s="30" t="s">
        <v>332</v>
      </c>
      <c r="B39" s="31" t="s">
        <v>333</v>
      </c>
      <c r="C39" s="24">
        <v>40.10000000000001</v>
      </c>
      <c r="D39" s="24">
        <v>2.7</v>
      </c>
      <c r="E39" s="24">
        <v>0.6000000000000001</v>
      </c>
      <c r="F39" s="24">
        <v>19.700000000000003</v>
      </c>
      <c r="G39" s="24">
        <v>629.9000000000001</v>
      </c>
      <c r="H39" s="24">
        <v>49.000000000000014</v>
      </c>
      <c r="I39" s="24">
        <v>27.400000000000002</v>
      </c>
      <c r="J39" s="24">
        <v>135.8</v>
      </c>
      <c r="K39" s="24">
        <v>158.2</v>
      </c>
      <c r="L39" s="24">
        <v>107.59999999999997</v>
      </c>
      <c r="M39" s="24">
        <v>491.50000000000006</v>
      </c>
      <c r="N39" s="24">
        <v>1711.8999999999999</v>
      </c>
      <c r="O39" s="24">
        <v>125.99999999999999</v>
      </c>
      <c r="P39" s="24">
        <v>66.10000000000001</v>
      </c>
      <c r="Q39" s="24">
        <v>78.19999999999999</v>
      </c>
      <c r="R39" s="24">
        <v>207.89999999999998</v>
      </c>
      <c r="S39" s="24">
        <v>235.29999999999995</v>
      </c>
      <c r="T39" s="24">
        <v>102.99999999999997</v>
      </c>
      <c r="U39" s="24">
        <v>226.00000000000003</v>
      </c>
      <c r="V39" s="24">
        <v>177</v>
      </c>
      <c r="W39" s="24">
        <v>52.40000000000001</v>
      </c>
      <c r="X39" s="24">
        <v>241.99999999999991</v>
      </c>
      <c r="Y39" s="24">
        <v>56.80000000000001</v>
      </c>
      <c r="Z39" s="24">
        <v>677.9999999999999</v>
      </c>
      <c r="AA39" s="24">
        <v>29.60000000000001</v>
      </c>
      <c r="AB39" s="24">
        <v>153.3</v>
      </c>
      <c r="AC39" s="24">
        <v>220.00000000000006</v>
      </c>
      <c r="AD39" s="24">
        <v>123.89999999999999</v>
      </c>
      <c r="AE39" s="24">
        <v>664.4</v>
      </c>
      <c r="AF39" s="24">
        <v>407.70000000000005</v>
      </c>
      <c r="AG39" s="24">
        <v>121.30000000000001</v>
      </c>
      <c r="AH39" s="24">
        <v>39.300000000000004</v>
      </c>
      <c r="AI39" s="24">
        <v>183.4</v>
      </c>
      <c r="AJ39" s="24">
        <v>140.9</v>
      </c>
      <c r="AK39" s="24">
        <v>37.2</v>
      </c>
      <c r="AL39" s="24">
        <v>154.20000000000005</v>
      </c>
      <c r="AM39" s="24">
        <v>7912.4000000000015</v>
      </c>
      <c r="AN39" s="24">
        <v>236.9</v>
      </c>
      <c r="AO39" s="24">
        <v>213</v>
      </c>
      <c r="AP39" s="24">
        <v>1906.8999999999999</v>
      </c>
      <c r="AQ39" s="24">
        <v>414.29999999999995</v>
      </c>
      <c r="AR39" s="24">
        <v>184.6</v>
      </c>
      <c r="AS39" s="24">
        <v>384.70000000000005</v>
      </c>
      <c r="AT39" s="24">
        <v>52.60000000000001</v>
      </c>
      <c r="AU39" s="24">
        <v>1389</v>
      </c>
      <c r="AV39" s="24">
        <v>243.80000000000004</v>
      </c>
      <c r="AW39" s="24">
        <v>238.80000000000004</v>
      </c>
      <c r="AX39" s="24">
        <v>376.59999999999997</v>
      </c>
      <c r="AY39" s="24">
        <v>102.60000000000001</v>
      </c>
      <c r="AZ39" s="24">
        <v>112.19999999999999</v>
      </c>
      <c r="BA39" s="24">
        <v>58.500000000000014</v>
      </c>
      <c r="BB39" s="24">
        <v>177.3</v>
      </c>
      <c r="BC39" s="24">
        <v>306.7</v>
      </c>
      <c r="BD39" s="24">
        <v>719.3999999999999</v>
      </c>
      <c r="BE39" s="24">
        <v>1084.6</v>
      </c>
      <c r="BF39" s="24">
        <v>456.19999999999993</v>
      </c>
      <c r="BG39" s="24">
        <v>294.6</v>
      </c>
      <c r="BH39" s="24">
        <v>525.9</v>
      </c>
      <c r="BI39" s="24">
        <v>93.79999999999998</v>
      </c>
      <c r="BJ39" s="24">
        <v>311.29999999999995</v>
      </c>
      <c r="BK39" s="24">
        <v>3.0000000000000004</v>
      </c>
      <c r="BL39" s="24">
        <v>46.80000000000001</v>
      </c>
      <c r="BM39" s="24">
        <v>0</v>
      </c>
      <c r="BN39" s="24">
        <v>0</v>
      </c>
      <c r="BO39" s="24">
        <v>18.6</v>
      </c>
      <c r="BP39" s="24">
        <v>8481.5</v>
      </c>
      <c r="BQ39" s="24">
        <v>0.5</v>
      </c>
      <c r="BR39" s="24">
        <v>3960.800000000001</v>
      </c>
      <c r="BS39" s="24">
        <v>-235.09999999999994</v>
      </c>
    </row>
    <row r="40" spans="1:71" x14ac:dyDescent="0.25">
      <c r="A40" s="30" t="s">
        <v>335</v>
      </c>
      <c r="B40" s="31" t="s">
        <v>336</v>
      </c>
      <c r="C40" s="24">
        <v>2.5</v>
      </c>
      <c r="D40" s="24">
        <v>0.30000000000000004</v>
      </c>
      <c r="E40" s="24">
        <v>0.7</v>
      </c>
      <c r="F40" s="24">
        <v>1.6</v>
      </c>
      <c r="G40" s="24">
        <v>180.8</v>
      </c>
      <c r="H40" s="24">
        <v>8.6</v>
      </c>
      <c r="I40" s="24">
        <v>10.2</v>
      </c>
      <c r="J40" s="24">
        <v>8.7</v>
      </c>
      <c r="K40" s="24">
        <v>12.299999999999999</v>
      </c>
      <c r="L40" s="24">
        <v>10.5</v>
      </c>
      <c r="M40" s="24">
        <v>204.59999999999997</v>
      </c>
      <c r="N40" s="24">
        <v>424.80000000000007</v>
      </c>
      <c r="O40" s="24">
        <v>14.599999999999998</v>
      </c>
      <c r="P40" s="24">
        <v>10.2</v>
      </c>
      <c r="Q40" s="24">
        <v>6.499999999999999</v>
      </c>
      <c r="R40" s="24">
        <v>16.299999999999997</v>
      </c>
      <c r="S40" s="24">
        <v>78.89999999999998</v>
      </c>
      <c r="T40" s="24">
        <v>15.599999999999998</v>
      </c>
      <c r="U40" s="24">
        <v>16.3</v>
      </c>
      <c r="V40" s="24">
        <v>37.50000000000001</v>
      </c>
      <c r="W40" s="24">
        <v>8.399999999999999</v>
      </c>
      <c r="X40" s="24">
        <v>138.1</v>
      </c>
      <c r="Y40" s="24">
        <v>6.5</v>
      </c>
      <c r="Z40" s="24">
        <v>30</v>
      </c>
      <c r="AA40" s="24">
        <v>1.3</v>
      </c>
      <c r="AB40" s="24">
        <v>8.899999999999999</v>
      </c>
      <c r="AC40" s="24">
        <v>47.800000000000004</v>
      </c>
      <c r="AD40" s="24">
        <v>99.6</v>
      </c>
      <c r="AE40" s="24">
        <v>278.0999999999999</v>
      </c>
      <c r="AF40" s="24">
        <v>410.40000000000003</v>
      </c>
      <c r="AG40" s="24">
        <v>16.299999999999997</v>
      </c>
      <c r="AH40" s="24">
        <v>9.499999999999998</v>
      </c>
      <c r="AI40" s="24">
        <v>9.9</v>
      </c>
      <c r="AJ40" s="24">
        <v>33.2</v>
      </c>
      <c r="AK40" s="24">
        <v>5.7</v>
      </c>
      <c r="AL40" s="24">
        <v>195.8</v>
      </c>
      <c r="AM40" s="24">
        <v>201.19999999999996</v>
      </c>
      <c r="AN40" s="24">
        <v>5239.2</v>
      </c>
      <c r="AO40" s="24">
        <v>764.2999999999998</v>
      </c>
      <c r="AP40" s="24">
        <v>3463.5</v>
      </c>
      <c r="AQ40" s="24">
        <v>26.5</v>
      </c>
      <c r="AR40" s="24">
        <v>60.3</v>
      </c>
      <c r="AS40" s="24">
        <v>35.50000000000001</v>
      </c>
      <c r="AT40" s="24">
        <v>23.900000000000002</v>
      </c>
      <c r="AU40" s="24">
        <v>444.5</v>
      </c>
      <c r="AV40" s="24">
        <v>100.89999999999998</v>
      </c>
      <c r="AW40" s="24">
        <v>68.70000000000002</v>
      </c>
      <c r="AX40" s="24">
        <v>1925.1</v>
      </c>
      <c r="AY40" s="24">
        <v>45.300000000000004</v>
      </c>
      <c r="AZ40" s="24">
        <v>745.2</v>
      </c>
      <c r="BA40" s="24">
        <v>11.799999999999999</v>
      </c>
      <c r="BB40" s="24">
        <v>70.49999999999997</v>
      </c>
      <c r="BC40" s="24">
        <v>135.99999999999997</v>
      </c>
      <c r="BD40" s="24">
        <v>1622.1</v>
      </c>
      <c r="BE40" s="24">
        <v>78.39999999999999</v>
      </c>
      <c r="BF40" s="24">
        <v>66.4</v>
      </c>
      <c r="BG40" s="24">
        <v>209.1</v>
      </c>
      <c r="BH40" s="24">
        <v>346.3</v>
      </c>
      <c r="BI40" s="24">
        <v>131.29999999999998</v>
      </c>
      <c r="BJ40" s="24">
        <v>401</v>
      </c>
      <c r="BK40" s="24">
        <v>1.5999999999999999</v>
      </c>
      <c r="BL40" s="24">
        <v>33.400000000000006</v>
      </c>
      <c r="BM40" s="24">
        <v>0</v>
      </c>
      <c r="BN40" s="24">
        <v>0</v>
      </c>
      <c r="BO40" s="24">
        <v>41.90000000000001</v>
      </c>
      <c r="BP40" s="24">
        <v>6549.5</v>
      </c>
      <c r="BQ40" s="24">
        <v>0.4</v>
      </c>
      <c r="BR40" s="24">
        <v>652.1000000000003</v>
      </c>
      <c r="BS40" s="24">
        <v>65.4</v>
      </c>
    </row>
    <row r="41" spans="1:71" x14ac:dyDescent="0.25">
      <c r="A41" s="30" t="s">
        <v>337</v>
      </c>
      <c r="B41" s="31" t="s">
        <v>338</v>
      </c>
      <c r="C41" s="24">
        <v>36.7</v>
      </c>
      <c r="D41" s="24">
        <v>2.5</v>
      </c>
      <c r="E41" s="24">
        <v>0.8</v>
      </c>
      <c r="F41" s="24">
        <v>7.4</v>
      </c>
      <c r="G41" s="24">
        <v>132.5</v>
      </c>
      <c r="H41" s="24">
        <v>17.099999999999994</v>
      </c>
      <c r="I41" s="24">
        <v>10.7</v>
      </c>
      <c r="J41" s="24">
        <v>21.599999999999994</v>
      </c>
      <c r="K41" s="24">
        <v>7.199999999999999</v>
      </c>
      <c r="L41" s="24">
        <v>26.1</v>
      </c>
      <c r="M41" s="24">
        <v>82.8</v>
      </c>
      <c r="N41" s="24">
        <v>83.20000000000002</v>
      </c>
      <c r="O41" s="24">
        <v>37.400000000000006</v>
      </c>
      <c r="P41" s="24">
        <v>24.399999999999995</v>
      </c>
      <c r="Q41" s="24">
        <v>31.9</v>
      </c>
      <c r="R41" s="24">
        <v>63.5</v>
      </c>
      <c r="S41" s="24">
        <v>94.7</v>
      </c>
      <c r="T41" s="24">
        <v>44.6</v>
      </c>
      <c r="U41" s="24">
        <v>85.9</v>
      </c>
      <c r="V41" s="24">
        <v>85.8</v>
      </c>
      <c r="W41" s="24">
        <v>22.199999999999996</v>
      </c>
      <c r="X41" s="24">
        <v>40.9</v>
      </c>
      <c r="Y41" s="24">
        <v>28.6</v>
      </c>
      <c r="Z41" s="24">
        <v>98.30000000000001</v>
      </c>
      <c r="AA41" s="24">
        <v>5</v>
      </c>
      <c r="AB41" s="24">
        <v>35.7</v>
      </c>
      <c r="AC41" s="24">
        <v>189.5</v>
      </c>
      <c r="AD41" s="24">
        <v>74.8</v>
      </c>
      <c r="AE41" s="24">
        <v>359.7</v>
      </c>
      <c r="AF41" s="24">
        <v>283.8</v>
      </c>
      <c r="AG41" s="24">
        <v>93.19999999999999</v>
      </c>
      <c r="AH41" s="24">
        <v>35.2</v>
      </c>
      <c r="AI41" s="24">
        <v>39.60000000000001</v>
      </c>
      <c r="AJ41" s="24">
        <v>104.1</v>
      </c>
      <c r="AK41" s="24">
        <v>137.8</v>
      </c>
      <c r="AL41" s="24">
        <v>156.10000000000002</v>
      </c>
      <c r="AM41" s="24">
        <v>236.00000000000003</v>
      </c>
      <c r="AN41" s="24">
        <v>104.9</v>
      </c>
      <c r="AO41" s="24">
        <v>3692.2999999999997</v>
      </c>
      <c r="AP41" s="24">
        <v>833.7</v>
      </c>
      <c r="AQ41" s="24">
        <v>197.39999999999998</v>
      </c>
      <c r="AR41" s="24">
        <v>116.6</v>
      </c>
      <c r="AS41" s="24">
        <v>284.7</v>
      </c>
      <c r="AT41" s="24">
        <v>81.6</v>
      </c>
      <c r="AU41" s="24">
        <v>799.5</v>
      </c>
      <c r="AV41" s="24">
        <v>98.69999999999999</v>
      </c>
      <c r="AW41" s="24">
        <v>60.80000000000001</v>
      </c>
      <c r="AX41" s="24">
        <v>97.49999999999999</v>
      </c>
      <c r="AY41" s="24">
        <v>49.7</v>
      </c>
      <c r="AZ41" s="24">
        <v>87</v>
      </c>
      <c r="BA41" s="24">
        <v>77.1</v>
      </c>
      <c r="BB41" s="24">
        <v>142.79999999999995</v>
      </c>
      <c r="BC41" s="24">
        <v>152.7</v>
      </c>
      <c r="BD41" s="24">
        <v>325.1</v>
      </c>
      <c r="BE41" s="24">
        <v>84</v>
      </c>
      <c r="BF41" s="24">
        <v>158.6</v>
      </c>
      <c r="BG41" s="24">
        <v>81.00000000000001</v>
      </c>
      <c r="BH41" s="24">
        <v>136.60000000000002</v>
      </c>
      <c r="BI41" s="24">
        <v>38.099999999999994</v>
      </c>
      <c r="BJ41" s="24">
        <v>38.8</v>
      </c>
      <c r="BK41" s="24">
        <v>5.1</v>
      </c>
      <c r="BL41" s="24">
        <v>39.3</v>
      </c>
      <c r="BM41" s="24">
        <v>0</v>
      </c>
      <c r="BN41" s="24">
        <v>0</v>
      </c>
      <c r="BO41" s="24">
        <v>10.6</v>
      </c>
      <c r="BP41" s="24">
        <v>6034.4</v>
      </c>
      <c r="BQ41" s="24">
        <v>0.6000000000000001</v>
      </c>
      <c r="BR41" s="24">
        <v>183.7</v>
      </c>
      <c r="BS41" s="24">
        <v>2.1999999999999997</v>
      </c>
    </row>
    <row r="42" spans="1:71" x14ac:dyDescent="0.25">
      <c r="A42" s="30" t="s">
        <v>339</v>
      </c>
      <c r="B42" s="31" t="s">
        <v>340</v>
      </c>
      <c r="C42" s="24">
        <v>50.300000000000004</v>
      </c>
      <c r="D42" s="24">
        <v>7.299999999999999</v>
      </c>
      <c r="E42" s="24">
        <v>2.6999999999999997</v>
      </c>
      <c r="F42" s="24">
        <v>30.7</v>
      </c>
      <c r="G42" s="24">
        <v>621.0000000000002</v>
      </c>
      <c r="H42" s="24">
        <v>144.2</v>
      </c>
      <c r="I42" s="24">
        <v>46.00000000000001</v>
      </c>
      <c r="J42" s="24">
        <v>156.1</v>
      </c>
      <c r="K42" s="24">
        <v>60.400000000000006</v>
      </c>
      <c r="L42" s="24">
        <v>181.4</v>
      </c>
      <c r="M42" s="24">
        <v>658.6000000000001</v>
      </c>
      <c r="N42" s="24">
        <v>708.2999999999998</v>
      </c>
      <c r="O42" s="24">
        <v>182.99999999999994</v>
      </c>
      <c r="P42" s="24">
        <v>120.60000000000001</v>
      </c>
      <c r="Q42" s="24">
        <v>249.7</v>
      </c>
      <c r="R42" s="24">
        <v>378.19999999999993</v>
      </c>
      <c r="S42" s="24">
        <v>567.8999999999999</v>
      </c>
      <c r="T42" s="24">
        <v>344.3</v>
      </c>
      <c r="U42" s="24">
        <v>520.9</v>
      </c>
      <c r="V42" s="24">
        <v>645.9000000000002</v>
      </c>
      <c r="W42" s="24">
        <v>228.40000000000006</v>
      </c>
      <c r="X42" s="24">
        <v>178.79999999999995</v>
      </c>
      <c r="Y42" s="24">
        <v>155.39999999999998</v>
      </c>
      <c r="Z42" s="24">
        <v>674</v>
      </c>
      <c r="AA42" s="24">
        <v>20.400000000000002</v>
      </c>
      <c r="AB42" s="24">
        <v>342</v>
      </c>
      <c r="AC42" s="24">
        <v>617.4</v>
      </c>
      <c r="AD42" s="24">
        <v>304.29999999999995</v>
      </c>
      <c r="AE42" s="24">
        <v>1589.9999999999998</v>
      </c>
      <c r="AF42" s="24">
        <v>883</v>
      </c>
      <c r="AG42" s="24">
        <v>408.70000000000005</v>
      </c>
      <c r="AH42" s="24">
        <v>294.70000000000005</v>
      </c>
      <c r="AI42" s="24">
        <v>224.8</v>
      </c>
      <c r="AJ42" s="24">
        <v>514.8000000000001</v>
      </c>
      <c r="AK42" s="24">
        <v>273.30000000000007</v>
      </c>
      <c r="AL42" s="24">
        <v>280</v>
      </c>
      <c r="AM42" s="24">
        <v>1509.0000000000002</v>
      </c>
      <c r="AN42" s="24">
        <v>328.4</v>
      </c>
      <c r="AO42" s="24">
        <v>924.1999999999998</v>
      </c>
      <c r="AP42" s="24">
        <v>19322.7</v>
      </c>
      <c r="AQ42" s="24">
        <v>891.1999999999998</v>
      </c>
      <c r="AR42" s="24">
        <v>505.1000000000001</v>
      </c>
      <c r="AS42" s="24">
        <v>857.9</v>
      </c>
      <c r="AT42" s="24">
        <v>204.99999999999997</v>
      </c>
      <c r="AU42" s="24">
        <v>4452.1</v>
      </c>
      <c r="AV42" s="24">
        <v>544.9000000000001</v>
      </c>
      <c r="AW42" s="24">
        <v>386.19999999999993</v>
      </c>
      <c r="AX42" s="24">
        <v>453.09999999999997</v>
      </c>
      <c r="AY42" s="24">
        <v>199.59999999999997</v>
      </c>
      <c r="AZ42" s="24">
        <v>375.19999999999993</v>
      </c>
      <c r="BA42" s="24">
        <v>192.2</v>
      </c>
      <c r="BB42" s="24">
        <v>271.40000000000003</v>
      </c>
      <c r="BC42" s="24">
        <v>774.9</v>
      </c>
      <c r="BD42" s="24">
        <v>1053.4999999999998</v>
      </c>
      <c r="BE42" s="24">
        <v>555.5</v>
      </c>
      <c r="BF42" s="24">
        <v>780.3000000000001</v>
      </c>
      <c r="BG42" s="24">
        <v>387.70000000000005</v>
      </c>
      <c r="BH42" s="24">
        <v>1169.7</v>
      </c>
      <c r="BI42" s="24">
        <v>83.59999999999998</v>
      </c>
      <c r="BJ42" s="24">
        <v>131.39999999999998</v>
      </c>
      <c r="BK42" s="24">
        <v>24.3</v>
      </c>
      <c r="BL42" s="24">
        <v>74.89999999999999</v>
      </c>
      <c r="BM42" s="24">
        <v>0</v>
      </c>
      <c r="BN42" s="24">
        <v>0</v>
      </c>
      <c r="BO42" s="24">
        <v>37.30000000000001</v>
      </c>
      <c r="BP42" s="24">
        <v>1663.6999999999998</v>
      </c>
      <c r="BQ42" s="24">
        <v>0.7</v>
      </c>
      <c r="BR42" s="24">
        <v>16362.100000000002</v>
      </c>
      <c r="BS42" s="24">
        <v>116.2</v>
      </c>
    </row>
    <row r="43" spans="1:71" x14ac:dyDescent="0.25">
      <c r="A43" s="30" t="s">
        <v>341</v>
      </c>
      <c r="B43" s="31" t="s">
        <v>342</v>
      </c>
      <c r="C43" s="24">
        <v>1589.7000000000003</v>
      </c>
      <c r="D43" s="24">
        <v>76.19999999999999</v>
      </c>
      <c r="E43" s="24">
        <v>37.50000000000001</v>
      </c>
      <c r="F43" s="24">
        <v>182.1</v>
      </c>
      <c r="G43" s="24">
        <v>3073.2</v>
      </c>
      <c r="H43" s="24">
        <v>620.9</v>
      </c>
      <c r="I43" s="24">
        <v>217.19999999999996</v>
      </c>
      <c r="J43" s="24">
        <v>355.59999999999997</v>
      </c>
      <c r="K43" s="24">
        <v>122.49999999999997</v>
      </c>
      <c r="L43" s="24">
        <v>1122.7</v>
      </c>
      <c r="M43" s="24">
        <v>1840.8000000000002</v>
      </c>
      <c r="N43" s="24">
        <v>1279.6999999999998</v>
      </c>
      <c r="O43" s="24">
        <v>1180.6000000000001</v>
      </c>
      <c r="P43" s="24">
        <v>544.8000000000001</v>
      </c>
      <c r="Q43" s="24">
        <v>1416.9999999999998</v>
      </c>
      <c r="R43" s="24">
        <v>1293.6000000000001</v>
      </c>
      <c r="S43" s="24">
        <v>834.4000000000001</v>
      </c>
      <c r="T43" s="24">
        <v>612.4000000000001</v>
      </c>
      <c r="U43" s="24">
        <v>1813.1</v>
      </c>
      <c r="V43" s="24">
        <v>2027.3</v>
      </c>
      <c r="W43" s="24">
        <v>289.2</v>
      </c>
      <c r="X43" s="24">
        <v>483.9999999999999</v>
      </c>
      <c r="Y43" s="24">
        <v>380.99999999999994</v>
      </c>
      <c r="Z43" s="24">
        <v>2777</v>
      </c>
      <c r="AA43" s="24">
        <v>93.3</v>
      </c>
      <c r="AB43" s="24">
        <v>536.8000000000001</v>
      </c>
      <c r="AC43" s="24">
        <v>7680.899999999999</v>
      </c>
      <c r="AD43" s="24">
        <v>1526.3999999999999</v>
      </c>
      <c r="AE43" s="24">
        <v>4400</v>
      </c>
      <c r="AF43" s="24">
        <v>4033.6</v>
      </c>
      <c r="AG43" s="24">
        <v>1556.1000000000006</v>
      </c>
      <c r="AH43" s="24">
        <v>4577.9</v>
      </c>
      <c r="AI43" s="24">
        <v>1535.5000000000005</v>
      </c>
      <c r="AJ43" s="24">
        <v>2557.400000000001</v>
      </c>
      <c r="AK43" s="24">
        <v>318.7</v>
      </c>
      <c r="AL43" s="24">
        <v>2482.1000000000004</v>
      </c>
      <c r="AM43" s="24">
        <v>547.4999999999999</v>
      </c>
      <c r="AN43" s="24">
        <v>442.9000000000001</v>
      </c>
      <c r="AO43" s="24">
        <v>1051.3</v>
      </c>
      <c r="AP43" s="24">
        <v>13585.300000000003</v>
      </c>
      <c r="AQ43" s="24">
        <v>40207.799999999996</v>
      </c>
      <c r="AR43" s="24">
        <v>12396.399999999996</v>
      </c>
      <c r="AS43" s="24">
        <v>6636.599999999999</v>
      </c>
      <c r="AT43" s="24">
        <v>4910.800000000001</v>
      </c>
      <c r="AU43" s="24">
        <v>6812.899999999999</v>
      </c>
      <c r="AV43" s="24">
        <v>986.0999999999998</v>
      </c>
      <c r="AW43" s="24">
        <v>258.0999999999999</v>
      </c>
      <c r="AX43" s="24">
        <v>419.79999999999995</v>
      </c>
      <c r="AY43" s="24">
        <v>397</v>
      </c>
      <c r="AZ43" s="24">
        <v>2505.7</v>
      </c>
      <c r="BA43" s="24">
        <v>446.6</v>
      </c>
      <c r="BB43" s="24">
        <v>446.09999999999997</v>
      </c>
      <c r="BC43" s="24">
        <v>1421.6</v>
      </c>
      <c r="BD43" s="24">
        <v>4730.599999999999</v>
      </c>
      <c r="BE43" s="24">
        <v>600.9</v>
      </c>
      <c r="BF43" s="24">
        <v>2381.2</v>
      </c>
      <c r="BG43" s="24">
        <v>1128.5000000000002</v>
      </c>
      <c r="BH43" s="24">
        <v>440.5</v>
      </c>
      <c r="BI43" s="24">
        <v>243.89999999999998</v>
      </c>
      <c r="BJ43" s="24">
        <v>587.2999999999998</v>
      </c>
      <c r="BK43" s="24">
        <v>51.300000000000004</v>
      </c>
      <c r="BL43" s="24">
        <v>470.7</v>
      </c>
      <c r="BM43" s="24">
        <v>0</v>
      </c>
      <c r="BN43" s="24">
        <v>0</v>
      </c>
      <c r="BO43" s="24">
        <v>665.3</v>
      </c>
      <c r="BP43" s="24">
        <v>36069.90000000001</v>
      </c>
      <c r="BQ43" s="24">
        <v>0</v>
      </c>
      <c r="BR43" s="24">
        <v>192.6</v>
      </c>
      <c r="BS43" s="24">
        <v>1.8</v>
      </c>
    </row>
    <row r="44" spans="1:71" x14ac:dyDescent="0.25">
      <c r="A44" s="30" t="s">
        <v>344</v>
      </c>
      <c r="B44" s="31" t="s">
        <v>345</v>
      </c>
      <c r="C44" s="24">
        <v>342.8</v>
      </c>
      <c r="D44" s="24">
        <v>2</v>
      </c>
      <c r="E44" s="24">
        <v>3.8999999999999995</v>
      </c>
      <c r="F44" s="24">
        <v>23.100000000000005</v>
      </c>
      <c r="G44" s="24">
        <v>221.39999999999998</v>
      </c>
      <c r="H44" s="24">
        <v>54.7</v>
      </c>
      <c r="I44" s="24">
        <v>19.400000000000002</v>
      </c>
      <c r="J44" s="24">
        <v>59.30000000000001</v>
      </c>
      <c r="K44" s="24">
        <v>36.300000000000004</v>
      </c>
      <c r="L44" s="24">
        <v>512.9</v>
      </c>
      <c r="M44" s="24">
        <v>457.1999999999998</v>
      </c>
      <c r="N44" s="24">
        <v>217.39999999999998</v>
      </c>
      <c r="O44" s="24">
        <v>94</v>
      </c>
      <c r="P44" s="24">
        <v>51.2</v>
      </c>
      <c r="Q44" s="24">
        <v>152</v>
      </c>
      <c r="R44" s="24">
        <v>163.2</v>
      </c>
      <c r="S44" s="24">
        <v>87.30000000000001</v>
      </c>
      <c r="T44" s="24">
        <v>98.79999999999998</v>
      </c>
      <c r="U44" s="24">
        <v>224.50000000000003</v>
      </c>
      <c r="V44" s="24">
        <v>152.20000000000002</v>
      </c>
      <c r="W44" s="24">
        <v>237.90000000000003</v>
      </c>
      <c r="X44" s="24">
        <v>95.39999999999999</v>
      </c>
      <c r="Y44" s="24">
        <v>88.89999999999999</v>
      </c>
      <c r="Z44" s="24">
        <v>777.8</v>
      </c>
      <c r="AA44" s="24">
        <v>10.6</v>
      </c>
      <c r="AB44" s="24">
        <v>95.00000000000001</v>
      </c>
      <c r="AC44" s="24">
        <v>602.8000000000002</v>
      </c>
      <c r="AD44" s="24">
        <v>117.5</v>
      </c>
      <c r="AE44" s="24">
        <v>267.8</v>
      </c>
      <c r="AF44" s="24">
        <v>179.19999999999996</v>
      </c>
      <c r="AG44" s="24">
        <v>279.9</v>
      </c>
      <c r="AH44" s="24">
        <v>156</v>
      </c>
      <c r="AI44" s="24">
        <v>71.9</v>
      </c>
      <c r="AJ44" s="24">
        <v>109.19999999999999</v>
      </c>
      <c r="AK44" s="24">
        <v>17.5</v>
      </c>
      <c r="AL44" s="24">
        <v>207.1</v>
      </c>
      <c r="AM44" s="24">
        <v>62.100000000000016</v>
      </c>
      <c r="AN44" s="24">
        <v>49.400000000000006</v>
      </c>
      <c r="AO44" s="24">
        <v>116</v>
      </c>
      <c r="AP44" s="24">
        <v>356.90000000000003</v>
      </c>
      <c r="AQ44" s="24">
        <v>112.89999999999999</v>
      </c>
      <c r="AR44" s="24">
        <v>5295.200000000001</v>
      </c>
      <c r="AS44" s="24">
        <v>203.90000000000003</v>
      </c>
      <c r="AT44" s="24">
        <v>169.89999999999998</v>
      </c>
      <c r="AU44" s="24">
        <v>418.09999999999997</v>
      </c>
      <c r="AV44" s="24">
        <v>78.59999999999997</v>
      </c>
      <c r="AW44" s="24">
        <v>19.900000000000002</v>
      </c>
      <c r="AX44" s="24">
        <v>20.900000000000002</v>
      </c>
      <c r="AY44" s="24">
        <v>27.600000000000005</v>
      </c>
      <c r="AZ44" s="24">
        <v>216.50000000000003</v>
      </c>
      <c r="BA44" s="24">
        <v>11.499999999999998</v>
      </c>
      <c r="BB44" s="24">
        <v>10.099999999999998</v>
      </c>
      <c r="BC44" s="24">
        <v>133.9</v>
      </c>
      <c r="BD44" s="24">
        <v>231.3</v>
      </c>
      <c r="BE44" s="24">
        <v>96.4</v>
      </c>
      <c r="BF44" s="24">
        <v>335.49999999999994</v>
      </c>
      <c r="BG44" s="24">
        <v>70.6</v>
      </c>
      <c r="BH44" s="24">
        <v>42.300000000000004</v>
      </c>
      <c r="BI44" s="24">
        <v>22.1</v>
      </c>
      <c r="BJ44" s="24">
        <v>25.100000000000005</v>
      </c>
      <c r="BK44" s="24">
        <v>9.2</v>
      </c>
      <c r="BL44" s="24">
        <v>19.200000000000006</v>
      </c>
      <c r="BM44" s="24">
        <v>0</v>
      </c>
      <c r="BN44" s="24">
        <v>0</v>
      </c>
      <c r="BO44" s="24">
        <v>355.5</v>
      </c>
      <c r="BP44" s="24">
        <v>5085.8</v>
      </c>
      <c r="BQ44" s="24">
        <v>0.1</v>
      </c>
      <c r="BR44" s="24">
        <v>890.1</v>
      </c>
      <c r="BS44" s="24">
        <v>-91.30000000000001</v>
      </c>
    </row>
    <row r="45" spans="1:71" x14ac:dyDescent="0.25">
      <c r="A45" s="30" t="s">
        <v>346</v>
      </c>
      <c r="B45" s="31" t="s">
        <v>347</v>
      </c>
      <c r="C45" s="24">
        <v>27.500000000000007</v>
      </c>
      <c r="D45" s="24">
        <v>5.200000000000001</v>
      </c>
      <c r="E45" s="24">
        <v>2.0999999999999996</v>
      </c>
      <c r="F45" s="24">
        <v>7.399999999999999</v>
      </c>
      <c r="G45" s="24">
        <v>92.1</v>
      </c>
      <c r="H45" s="24">
        <v>28.900000000000006</v>
      </c>
      <c r="I45" s="24">
        <v>21.899999999999995</v>
      </c>
      <c r="J45" s="24">
        <v>31.20000000000001</v>
      </c>
      <c r="K45" s="24">
        <v>8.6</v>
      </c>
      <c r="L45" s="24">
        <v>30.300000000000004</v>
      </c>
      <c r="M45" s="24">
        <v>74.10000000000002</v>
      </c>
      <c r="N45" s="24">
        <v>73.70000000000002</v>
      </c>
      <c r="O45" s="24">
        <v>18.5</v>
      </c>
      <c r="P45" s="24">
        <v>40.00000000000001</v>
      </c>
      <c r="Q45" s="24">
        <v>24.000000000000007</v>
      </c>
      <c r="R45" s="24">
        <v>51.500000000000014</v>
      </c>
      <c r="S45" s="24">
        <v>32.00000000000001</v>
      </c>
      <c r="T45" s="24">
        <v>27.60000000000001</v>
      </c>
      <c r="U45" s="24">
        <v>155.5</v>
      </c>
      <c r="V45" s="24">
        <v>108.19999999999999</v>
      </c>
      <c r="W45" s="24">
        <v>131</v>
      </c>
      <c r="X45" s="24">
        <v>45.000000000000014</v>
      </c>
      <c r="Y45" s="24">
        <v>28.500000000000007</v>
      </c>
      <c r="Z45" s="24">
        <v>77.30000000000001</v>
      </c>
      <c r="AA45" s="24">
        <v>6.299999999999999</v>
      </c>
      <c r="AB45" s="24">
        <v>20.200000000000003</v>
      </c>
      <c r="AC45" s="24">
        <v>173.7</v>
      </c>
      <c r="AD45" s="24">
        <v>36.900000000000006</v>
      </c>
      <c r="AE45" s="24">
        <v>171.79999999999998</v>
      </c>
      <c r="AF45" s="24">
        <v>87.30000000000001</v>
      </c>
      <c r="AG45" s="24">
        <v>109.19999999999997</v>
      </c>
      <c r="AH45" s="24">
        <v>67.4</v>
      </c>
      <c r="AI45" s="24">
        <v>59.30000000000002</v>
      </c>
      <c r="AJ45" s="24">
        <v>58.20000000000002</v>
      </c>
      <c r="AK45" s="24">
        <v>12.799999999999997</v>
      </c>
      <c r="AL45" s="24">
        <v>59.40000000000001</v>
      </c>
      <c r="AM45" s="24">
        <v>29.000000000000007</v>
      </c>
      <c r="AN45" s="24">
        <v>17.599999999999998</v>
      </c>
      <c r="AO45" s="24">
        <v>118.69999999999999</v>
      </c>
      <c r="AP45" s="24">
        <v>277.9</v>
      </c>
      <c r="AQ45" s="24">
        <v>2506.5</v>
      </c>
      <c r="AR45" s="24">
        <v>4690.400000000001</v>
      </c>
      <c r="AS45" s="24">
        <v>5982.299999999999</v>
      </c>
      <c r="AT45" s="24">
        <v>44.5</v>
      </c>
      <c r="AU45" s="24">
        <v>235.89999999999998</v>
      </c>
      <c r="AV45" s="24">
        <v>61.30000000000001</v>
      </c>
      <c r="AW45" s="24">
        <v>21.199999999999996</v>
      </c>
      <c r="AX45" s="24">
        <v>18.699999999999996</v>
      </c>
      <c r="AY45" s="24">
        <v>19.999999999999996</v>
      </c>
      <c r="AZ45" s="24">
        <v>108.29999999999998</v>
      </c>
      <c r="BA45" s="24">
        <v>16.999999999999996</v>
      </c>
      <c r="BB45" s="24">
        <v>17.5</v>
      </c>
      <c r="BC45" s="24">
        <v>113.69999999999999</v>
      </c>
      <c r="BD45" s="24">
        <v>51.400000000000006</v>
      </c>
      <c r="BE45" s="24">
        <v>26.4</v>
      </c>
      <c r="BF45" s="24">
        <v>33.6</v>
      </c>
      <c r="BG45" s="24">
        <v>21.299999999999997</v>
      </c>
      <c r="BH45" s="24">
        <v>19.2</v>
      </c>
      <c r="BI45" s="24">
        <v>19.7</v>
      </c>
      <c r="BJ45" s="24">
        <v>19.4</v>
      </c>
      <c r="BK45" s="24">
        <v>8.899999999999999</v>
      </c>
      <c r="BL45" s="24">
        <v>13.099999999999998</v>
      </c>
      <c r="BM45" s="24">
        <v>0</v>
      </c>
      <c r="BN45" s="24">
        <v>0</v>
      </c>
      <c r="BO45" s="24">
        <v>8.899999999999999</v>
      </c>
      <c r="BP45" s="24">
        <v>899.4000000000001</v>
      </c>
      <c r="BQ45" s="24">
        <v>0.2</v>
      </c>
      <c r="BR45" s="24">
        <v>75.39999999999999</v>
      </c>
      <c r="BS45" s="24">
        <v>5.500000000000001</v>
      </c>
    </row>
    <row r="46" spans="1:71" x14ac:dyDescent="0.25">
      <c r="A46" s="30" t="s">
        <v>348</v>
      </c>
      <c r="B46" s="31" t="s">
        <v>349</v>
      </c>
      <c r="C46" s="24">
        <v>53.599999999999994</v>
      </c>
      <c r="D46" s="24">
        <v>13</v>
      </c>
      <c r="E46" s="24">
        <v>15.600000000000001</v>
      </c>
      <c r="F46" s="24">
        <v>23</v>
      </c>
      <c r="G46" s="24">
        <v>107.2</v>
      </c>
      <c r="H46" s="24">
        <v>34.6</v>
      </c>
      <c r="I46" s="24">
        <v>37.2</v>
      </c>
      <c r="J46" s="24">
        <v>39</v>
      </c>
      <c r="K46" s="24">
        <v>26</v>
      </c>
      <c r="L46" s="24">
        <v>52</v>
      </c>
      <c r="M46" s="24">
        <v>93.4</v>
      </c>
      <c r="N46" s="24">
        <v>76.30000000000001</v>
      </c>
      <c r="O46" s="24">
        <v>68.4</v>
      </c>
      <c r="P46" s="24">
        <v>46.2</v>
      </c>
      <c r="Q46" s="24">
        <v>62.8</v>
      </c>
      <c r="R46" s="24">
        <v>76.80000000000001</v>
      </c>
      <c r="S46" s="24">
        <v>69.2</v>
      </c>
      <c r="T46" s="24">
        <v>59.7</v>
      </c>
      <c r="U46" s="24">
        <v>72.2</v>
      </c>
      <c r="V46" s="24">
        <v>88.4</v>
      </c>
      <c r="W46" s="24">
        <v>42</v>
      </c>
      <c r="X46" s="24">
        <v>51.8</v>
      </c>
      <c r="Y46" s="24">
        <v>42</v>
      </c>
      <c r="Z46" s="24">
        <v>118.6</v>
      </c>
      <c r="AA46" s="24">
        <v>27.3</v>
      </c>
      <c r="AB46" s="24">
        <v>49.3</v>
      </c>
      <c r="AC46" s="24">
        <v>204</v>
      </c>
      <c r="AD46" s="24">
        <v>97.6</v>
      </c>
      <c r="AE46" s="24">
        <v>126.50000000000001</v>
      </c>
      <c r="AF46" s="24">
        <v>173.7</v>
      </c>
      <c r="AG46" s="24">
        <v>65.6</v>
      </c>
      <c r="AH46" s="24">
        <v>47.699999999999996</v>
      </c>
      <c r="AI46" s="24">
        <v>49.099999999999994</v>
      </c>
      <c r="AJ46" s="24">
        <v>102.89999999999998</v>
      </c>
      <c r="AK46" s="24">
        <v>24</v>
      </c>
      <c r="AL46" s="24">
        <v>164.1</v>
      </c>
      <c r="AM46" s="24">
        <v>36</v>
      </c>
      <c r="AN46" s="24">
        <v>34.2</v>
      </c>
      <c r="AO46" s="24">
        <v>95</v>
      </c>
      <c r="AP46" s="24">
        <v>107.10000000000001</v>
      </c>
      <c r="AQ46" s="24">
        <v>53.9</v>
      </c>
      <c r="AR46" s="24">
        <v>77.79999999999998</v>
      </c>
      <c r="AS46" s="24">
        <v>103.6</v>
      </c>
      <c r="AT46" s="24">
        <v>119</v>
      </c>
      <c r="AU46" s="24">
        <v>1355.6</v>
      </c>
      <c r="AV46" s="24">
        <v>82.4</v>
      </c>
      <c r="AW46" s="24">
        <v>37.2</v>
      </c>
      <c r="AX46" s="24">
        <v>40</v>
      </c>
      <c r="AY46" s="24">
        <v>38</v>
      </c>
      <c r="AZ46" s="24">
        <v>49.099999999999994</v>
      </c>
      <c r="BA46" s="24">
        <v>44</v>
      </c>
      <c r="BB46" s="24">
        <v>32.2</v>
      </c>
      <c r="BC46" s="24">
        <v>98.4</v>
      </c>
      <c r="BD46" s="24">
        <v>164.79999999999998</v>
      </c>
      <c r="BE46" s="24">
        <v>40.1</v>
      </c>
      <c r="BF46" s="24">
        <v>106.30000000000001</v>
      </c>
      <c r="BG46" s="24">
        <v>64.80000000000001</v>
      </c>
      <c r="BH46" s="24">
        <v>29.5</v>
      </c>
      <c r="BI46" s="24">
        <v>33.3</v>
      </c>
      <c r="BJ46" s="24">
        <v>26.3</v>
      </c>
      <c r="BK46" s="24">
        <v>18.7</v>
      </c>
      <c r="BL46" s="24">
        <v>47.7</v>
      </c>
      <c r="BM46" s="24">
        <v>0</v>
      </c>
      <c r="BN46" s="24">
        <v>0</v>
      </c>
      <c r="BO46" s="24">
        <v>87.20000000000002</v>
      </c>
      <c r="BP46" s="24">
        <v>400.80000000000007</v>
      </c>
      <c r="BQ46" s="24">
        <v>17.5</v>
      </c>
      <c r="BR46" s="24">
        <v>96.6</v>
      </c>
      <c r="BS46" s="24">
        <v>93.39999999999999</v>
      </c>
    </row>
    <row r="47" spans="1:71" x14ac:dyDescent="0.25">
      <c r="A47" s="30" t="s">
        <v>350</v>
      </c>
      <c r="B47" s="31" t="s">
        <v>351</v>
      </c>
      <c r="C47" s="24">
        <v>130.29999999999998</v>
      </c>
      <c r="D47" s="24">
        <v>12.9</v>
      </c>
      <c r="E47" s="24">
        <v>4.800000000000001</v>
      </c>
      <c r="F47" s="24">
        <v>73.5</v>
      </c>
      <c r="G47" s="24">
        <v>1585.5</v>
      </c>
      <c r="H47" s="24">
        <v>156</v>
      </c>
      <c r="I47" s="24">
        <v>93.20000000000002</v>
      </c>
      <c r="J47" s="24">
        <v>201.30000000000007</v>
      </c>
      <c r="K47" s="24">
        <v>51.6</v>
      </c>
      <c r="L47" s="24">
        <v>481.70000000000005</v>
      </c>
      <c r="M47" s="24">
        <v>1231.8000000000002</v>
      </c>
      <c r="N47" s="24">
        <v>4370.400000000001</v>
      </c>
      <c r="O47" s="24">
        <v>333.3999999999999</v>
      </c>
      <c r="P47" s="24">
        <v>303.79999999999995</v>
      </c>
      <c r="Q47" s="24">
        <v>474.4000000000001</v>
      </c>
      <c r="R47" s="24">
        <v>466.4</v>
      </c>
      <c r="S47" s="24">
        <v>4139.8</v>
      </c>
      <c r="T47" s="24">
        <v>519.7</v>
      </c>
      <c r="U47" s="24">
        <v>970.1999999999998</v>
      </c>
      <c r="V47" s="24">
        <v>1284</v>
      </c>
      <c r="W47" s="24">
        <v>280.8</v>
      </c>
      <c r="X47" s="24">
        <v>408.90000000000003</v>
      </c>
      <c r="Y47" s="24">
        <v>204.40000000000003</v>
      </c>
      <c r="Z47" s="24">
        <v>754.3</v>
      </c>
      <c r="AA47" s="24">
        <v>26.699999999999996</v>
      </c>
      <c r="AB47" s="24">
        <v>274.1</v>
      </c>
      <c r="AC47" s="24">
        <v>1457.7000000000003</v>
      </c>
      <c r="AD47" s="24">
        <v>522.8000000000001</v>
      </c>
      <c r="AE47" s="24">
        <v>3103.7000000000003</v>
      </c>
      <c r="AF47" s="24">
        <v>1160.3999999999999</v>
      </c>
      <c r="AG47" s="24">
        <v>429.59999999999997</v>
      </c>
      <c r="AH47" s="24">
        <v>386.29999999999995</v>
      </c>
      <c r="AI47" s="24">
        <v>212.3</v>
      </c>
      <c r="AJ47" s="24">
        <v>906.9999999999999</v>
      </c>
      <c r="AK47" s="24">
        <v>222.3</v>
      </c>
      <c r="AL47" s="24">
        <v>674.5999999999999</v>
      </c>
      <c r="AM47" s="24">
        <v>2839.399999999999</v>
      </c>
      <c r="AN47" s="24">
        <v>329.69999999999993</v>
      </c>
      <c r="AO47" s="24">
        <v>727.0999999999999</v>
      </c>
      <c r="AP47" s="24">
        <v>9431.7</v>
      </c>
      <c r="AQ47" s="24">
        <v>1848</v>
      </c>
      <c r="AR47" s="24">
        <v>1742.1999999999998</v>
      </c>
      <c r="AS47" s="24">
        <v>1378.7000000000003</v>
      </c>
      <c r="AT47" s="24">
        <v>1124.3999999999999</v>
      </c>
      <c r="AU47" s="24">
        <v>12089.099999999999</v>
      </c>
      <c r="AV47" s="24">
        <v>1679.8</v>
      </c>
      <c r="AW47" s="24">
        <v>397.6999999999999</v>
      </c>
      <c r="AX47" s="24">
        <v>310.40000000000003</v>
      </c>
      <c r="AY47" s="24">
        <v>333.59999999999997</v>
      </c>
      <c r="AZ47" s="24">
        <v>676.3999999999999</v>
      </c>
      <c r="BA47" s="24">
        <v>490.6</v>
      </c>
      <c r="BB47" s="24">
        <v>1300.8</v>
      </c>
      <c r="BC47" s="24">
        <v>1935.6999999999998</v>
      </c>
      <c r="BD47" s="24">
        <v>597.8</v>
      </c>
      <c r="BE47" s="24">
        <v>294</v>
      </c>
      <c r="BF47" s="24">
        <v>718.9000000000001</v>
      </c>
      <c r="BG47" s="24">
        <v>275.09999999999997</v>
      </c>
      <c r="BH47" s="24">
        <v>757.8999999999999</v>
      </c>
      <c r="BI47" s="24">
        <v>144.6</v>
      </c>
      <c r="BJ47" s="24">
        <v>214.09999999999997</v>
      </c>
      <c r="BK47" s="24">
        <v>20.900000000000002</v>
      </c>
      <c r="BL47" s="24">
        <v>121.70000000000002</v>
      </c>
      <c r="BM47" s="24">
        <v>0</v>
      </c>
      <c r="BN47" s="24">
        <v>0</v>
      </c>
      <c r="BO47" s="24">
        <v>8.5</v>
      </c>
      <c r="BP47" s="24">
        <v>1001.8</v>
      </c>
      <c r="BQ47" s="24">
        <v>0.30000000000000004</v>
      </c>
      <c r="BR47" s="24">
        <v>1820.3999999999999</v>
      </c>
      <c r="BS47" s="24">
        <v>24.2</v>
      </c>
    </row>
    <row r="48" spans="1:71" x14ac:dyDescent="0.25">
      <c r="A48" s="30" t="s">
        <v>353</v>
      </c>
      <c r="B48" s="31" t="s">
        <v>354</v>
      </c>
      <c r="C48" s="24">
        <v>19.400000000000002</v>
      </c>
      <c r="D48" s="24">
        <v>1.2</v>
      </c>
      <c r="E48" s="24">
        <v>0.4</v>
      </c>
      <c r="F48" s="24">
        <v>17.9</v>
      </c>
      <c r="G48" s="24">
        <v>109.5</v>
      </c>
      <c r="H48" s="24">
        <v>10.2</v>
      </c>
      <c r="I48" s="24">
        <v>12.6</v>
      </c>
      <c r="J48" s="24">
        <v>17.4</v>
      </c>
      <c r="K48" s="24">
        <v>3.8000000000000003</v>
      </c>
      <c r="L48" s="24">
        <v>134.8</v>
      </c>
      <c r="M48" s="24">
        <v>135.1</v>
      </c>
      <c r="N48" s="24">
        <v>154.49999999999997</v>
      </c>
      <c r="O48" s="24">
        <v>54.30000000000002</v>
      </c>
      <c r="P48" s="24">
        <v>44.9</v>
      </c>
      <c r="Q48" s="24">
        <v>56.80000000000001</v>
      </c>
      <c r="R48" s="24">
        <v>128.6</v>
      </c>
      <c r="S48" s="24">
        <v>135.29999999999998</v>
      </c>
      <c r="T48" s="24">
        <v>88.29999999999998</v>
      </c>
      <c r="U48" s="24">
        <v>163.50000000000003</v>
      </c>
      <c r="V48" s="24">
        <v>167.7</v>
      </c>
      <c r="W48" s="24">
        <v>96.79999999999997</v>
      </c>
      <c r="X48" s="24">
        <v>29.099999999999998</v>
      </c>
      <c r="Y48" s="24">
        <v>59.7</v>
      </c>
      <c r="Z48" s="24">
        <v>179.8</v>
      </c>
      <c r="AA48" s="24">
        <v>11.1</v>
      </c>
      <c r="AB48" s="24">
        <v>101.69999999999999</v>
      </c>
      <c r="AC48" s="24">
        <v>1418.7</v>
      </c>
      <c r="AD48" s="24">
        <v>22.2</v>
      </c>
      <c r="AE48" s="24">
        <v>124.69999999999997</v>
      </c>
      <c r="AF48" s="24">
        <v>45.8</v>
      </c>
      <c r="AG48" s="24">
        <v>66.1</v>
      </c>
      <c r="AH48" s="24">
        <v>45.2</v>
      </c>
      <c r="AI48" s="24">
        <v>21.9</v>
      </c>
      <c r="AJ48" s="24">
        <v>95.10000000000004</v>
      </c>
      <c r="AK48" s="24">
        <v>6.999999999999999</v>
      </c>
      <c r="AL48" s="24">
        <v>47.2</v>
      </c>
      <c r="AM48" s="24">
        <v>31.800000000000004</v>
      </c>
      <c r="AN48" s="24">
        <v>12.899999999999997</v>
      </c>
      <c r="AO48" s="24">
        <v>55.70000000000002</v>
      </c>
      <c r="AP48" s="24">
        <v>461.50000000000006</v>
      </c>
      <c r="AQ48" s="24">
        <v>33.900000000000006</v>
      </c>
      <c r="AR48" s="24">
        <v>26.000000000000004</v>
      </c>
      <c r="AS48" s="24">
        <v>44.50000000000001</v>
      </c>
      <c r="AT48" s="24">
        <v>86.90000000000002</v>
      </c>
      <c r="AU48" s="24">
        <v>249.70000000000002</v>
      </c>
      <c r="AV48" s="24">
        <v>754.6999999999998</v>
      </c>
      <c r="AW48" s="24">
        <v>70.50000000000003</v>
      </c>
      <c r="AX48" s="24">
        <v>29.700000000000003</v>
      </c>
      <c r="AY48" s="24">
        <v>52.8</v>
      </c>
      <c r="AZ48" s="24">
        <v>77.2</v>
      </c>
      <c r="BA48" s="24">
        <v>29.299999999999997</v>
      </c>
      <c r="BB48" s="24">
        <v>11.399999999999997</v>
      </c>
      <c r="BC48" s="24">
        <v>111.3</v>
      </c>
      <c r="BD48" s="24">
        <v>177.49999999999997</v>
      </c>
      <c r="BE48" s="24">
        <v>27.900000000000002</v>
      </c>
      <c r="BF48" s="24">
        <v>45.2</v>
      </c>
      <c r="BG48" s="24">
        <v>10.7</v>
      </c>
      <c r="BH48" s="24">
        <v>22.500000000000004</v>
      </c>
      <c r="BI48" s="24">
        <v>8.399999999999999</v>
      </c>
      <c r="BJ48" s="24">
        <v>12.199999999999998</v>
      </c>
      <c r="BK48" s="24">
        <v>1.5999999999999999</v>
      </c>
      <c r="BL48" s="24">
        <v>9.1</v>
      </c>
      <c r="BM48" s="24">
        <v>0</v>
      </c>
      <c r="BN48" s="24">
        <v>0</v>
      </c>
      <c r="BO48" s="24">
        <v>9.6</v>
      </c>
      <c r="BP48" s="24">
        <v>104.59999999999998</v>
      </c>
      <c r="BQ48" s="24">
        <v>0.1</v>
      </c>
      <c r="BR48" s="24">
        <v>1456.2000000000005</v>
      </c>
      <c r="BS48" s="24">
        <v>13.399999999999997</v>
      </c>
    </row>
    <row r="49" spans="1:71" x14ac:dyDescent="0.25">
      <c r="A49" s="30" t="s">
        <v>355</v>
      </c>
      <c r="B49" s="31" t="s">
        <v>356</v>
      </c>
      <c r="C49" s="24">
        <v>11.499999999999996</v>
      </c>
      <c r="D49" s="24">
        <v>0.5</v>
      </c>
      <c r="E49" s="24">
        <v>0.4</v>
      </c>
      <c r="F49" s="24">
        <v>1.4000000000000001</v>
      </c>
      <c r="G49" s="24">
        <v>83.40000000000002</v>
      </c>
      <c r="H49" s="24">
        <v>10.799999999999997</v>
      </c>
      <c r="I49" s="24">
        <v>4.2</v>
      </c>
      <c r="J49" s="24">
        <v>8.1</v>
      </c>
      <c r="K49" s="24">
        <v>1.9000000000000001</v>
      </c>
      <c r="L49" s="24">
        <v>22.700000000000003</v>
      </c>
      <c r="M49" s="24">
        <v>64.4</v>
      </c>
      <c r="N49" s="24">
        <v>461.79999999999995</v>
      </c>
      <c r="O49" s="24">
        <v>24.10000000000001</v>
      </c>
      <c r="P49" s="24">
        <v>12.4</v>
      </c>
      <c r="Q49" s="24">
        <v>12.499999999999998</v>
      </c>
      <c r="R49" s="24">
        <v>18.8</v>
      </c>
      <c r="S49" s="24">
        <v>202.60000000000002</v>
      </c>
      <c r="T49" s="24">
        <v>31.90000000000001</v>
      </c>
      <c r="U49" s="24">
        <v>42.30000000000001</v>
      </c>
      <c r="V49" s="24">
        <v>268.50000000000006</v>
      </c>
      <c r="W49" s="24">
        <v>17.099999999999998</v>
      </c>
      <c r="X49" s="24">
        <v>18.3</v>
      </c>
      <c r="Y49" s="24">
        <v>10.799999999999999</v>
      </c>
      <c r="Z49" s="24">
        <v>29.800000000000004</v>
      </c>
      <c r="AA49" s="24">
        <v>1.6</v>
      </c>
      <c r="AB49" s="24">
        <v>8.6</v>
      </c>
      <c r="AC49" s="24">
        <v>54.6</v>
      </c>
      <c r="AD49" s="24">
        <v>10.2</v>
      </c>
      <c r="AE49" s="24">
        <v>123.5</v>
      </c>
      <c r="AF49" s="24">
        <v>29.4</v>
      </c>
      <c r="AG49" s="24">
        <v>11.3</v>
      </c>
      <c r="AH49" s="24">
        <v>8.2</v>
      </c>
      <c r="AI49" s="24">
        <v>12.299999999999999</v>
      </c>
      <c r="AJ49" s="24">
        <v>14.3</v>
      </c>
      <c r="AK49" s="24">
        <v>2.8000000000000003</v>
      </c>
      <c r="AL49" s="24">
        <v>16.4</v>
      </c>
      <c r="AM49" s="24">
        <v>62.100000000000016</v>
      </c>
      <c r="AN49" s="24">
        <v>8.599999999999998</v>
      </c>
      <c r="AO49" s="24">
        <v>14.399999999999999</v>
      </c>
      <c r="AP49" s="24">
        <v>214.00000000000003</v>
      </c>
      <c r="AQ49" s="24">
        <v>29.400000000000002</v>
      </c>
      <c r="AR49" s="24">
        <v>9.499999999999998</v>
      </c>
      <c r="AS49" s="24">
        <v>16</v>
      </c>
      <c r="AT49" s="24">
        <v>9.4</v>
      </c>
      <c r="AU49" s="24">
        <v>354.4</v>
      </c>
      <c r="AV49" s="24">
        <v>31.2</v>
      </c>
      <c r="AW49" s="24">
        <v>1000</v>
      </c>
      <c r="AX49" s="24">
        <v>13</v>
      </c>
      <c r="AY49" s="24">
        <v>8.799999999999999</v>
      </c>
      <c r="AZ49" s="24">
        <v>15.899999999999999</v>
      </c>
      <c r="BA49" s="24">
        <v>4.300000000000001</v>
      </c>
      <c r="BB49" s="24">
        <v>8.899999999999999</v>
      </c>
      <c r="BC49" s="24">
        <v>25.8</v>
      </c>
      <c r="BD49" s="24">
        <v>34.9</v>
      </c>
      <c r="BE49" s="24">
        <v>26.1</v>
      </c>
      <c r="BF49" s="24">
        <v>61.6</v>
      </c>
      <c r="BG49" s="24">
        <v>8.1</v>
      </c>
      <c r="BH49" s="24">
        <v>16.2</v>
      </c>
      <c r="BI49" s="24">
        <v>2.9000000000000004</v>
      </c>
      <c r="BJ49" s="24">
        <v>6.199999999999999</v>
      </c>
      <c r="BK49" s="24">
        <v>0.7999999999999999</v>
      </c>
      <c r="BL49" s="24">
        <v>2.6000000000000005</v>
      </c>
      <c r="BM49" s="24">
        <v>0</v>
      </c>
      <c r="BN49" s="24">
        <v>0</v>
      </c>
      <c r="BO49" s="24">
        <v>70</v>
      </c>
      <c r="BP49" s="24">
        <v>101.60000000000002</v>
      </c>
      <c r="BQ49" s="24">
        <v>0.4</v>
      </c>
      <c r="BR49" s="24">
        <v>11496</v>
      </c>
      <c r="BS49" s="24">
        <v>116.20000000000002</v>
      </c>
    </row>
    <row r="50" spans="1:71" x14ac:dyDescent="0.25">
      <c r="A50" s="30" t="s">
        <v>357</v>
      </c>
      <c r="B50" s="31" t="s">
        <v>358</v>
      </c>
      <c r="C50" s="24">
        <v>6.9</v>
      </c>
      <c r="D50" s="24">
        <v>0.7</v>
      </c>
      <c r="E50" s="24">
        <v>0.2</v>
      </c>
      <c r="F50" s="24">
        <v>3.1000000000000005</v>
      </c>
      <c r="G50" s="24">
        <v>588.3</v>
      </c>
      <c r="H50" s="24">
        <v>24.299999999999997</v>
      </c>
      <c r="I50" s="24">
        <v>5.7</v>
      </c>
      <c r="J50" s="24">
        <v>19.4</v>
      </c>
      <c r="K50" s="24">
        <v>3.800000000000001</v>
      </c>
      <c r="L50" s="24">
        <v>53.39999999999999</v>
      </c>
      <c r="M50" s="24">
        <v>161.5</v>
      </c>
      <c r="N50" s="24">
        <v>679.7</v>
      </c>
      <c r="O50" s="24">
        <v>34.3</v>
      </c>
      <c r="P50" s="24">
        <v>27.300000000000004</v>
      </c>
      <c r="Q50" s="24">
        <v>13.599999999999998</v>
      </c>
      <c r="R50" s="24">
        <v>33.3</v>
      </c>
      <c r="S50" s="24">
        <v>87.69999999999999</v>
      </c>
      <c r="T50" s="24">
        <v>32.4</v>
      </c>
      <c r="U50" s="24">
        <v>40.099999999999994</v>
      </c>
      <c r="V50" s="24">
        <v>116.5</v>
      </c>
      <c r="W50" s="24">
        <v>10.399999999999999</v>
      </c>
      <c r="X50" s="24">
        <v>75</v>
      </c>
      <c r="Y50" s="24">
        <v>9.999999999999998</v>
      </c>
      <c r="Z50" s="24">
        <v>40.8</v>
      </c>
      <c r="AA50" s="24">
        <v>2.3000000000000003</v>
      </c>
      <c r="AB50" s="24">
        <v>11.399999999999999</v>
      </c>
      <c r="AC50" s="24">
        <v>68.4</v>
      </c>
      <c r="AD50" s="24">
        <v>116.99999999999997</v>
      </c>
      <c r="AE50" s="24">
        <v>342.29999999999995</v>
      </c>
      <c r="AF50" s="24">
        <v>323.29999999999995</v>
      </c>
      <c r="AG50" s="24">
        <v>22.900000000000002</v>
      </c>
      <c r="AH50" s="24">
        <v>7.699999999999999</v>
      </c>
      <c r="AI50" s="24">
        <v>19.2</v>
      </c>
      <c r="AJ50" s="24">
        <v>28.900000000000002</v>
      </c>
      <c r="AK50" s="24">
        <v>12.299999999999999</v>
      </c>
      <c r="AL50" s="24">
        <v>61.099999999999994</v>
      </c>
      <c r="AM50" s="24">
        <v>86.9</v>
      </c>
      <c r="AN50" s="24">
        <v>53.900000000000006</v>
      </c>
      <c r="AO50" s="24">
        <v>64.39999999999999</v>
      </c>
      <c r="AP50" s="24">
        <v>735.4999999999998</v>
      </c>
      <c r="AQ50" s="24">
        <v>49.5</v>
      </c>
      <c r="AR50" s="24">
        <v>80.69999999999999</v>
      </c>
      <c r="AS50" s="24">
        <v>62.900000000000006</v>
      </c>
      <c r="AT50" s="24">
        <v>19.6</v>
      </c>
      <c r="AU50" s="24">
        <v>361.9</v>
      </c>
      <c r="AV50" s="24">
        <v>22.3</v>
      </c>
      <c r="AW50" s="24">
        <v>10.999999999999998</v>
      </c>
      <c r="AX50" s="24">
        <v>427.4</v>
      </c>
      <c r="AY50" s="24">
        <v>17.5</v>
      </c>
      <c r="AZ50" s="24">
        <v>46.8</v>
      </c>
      <c r="BA50" s="24">
        <v>23.1</v>
      </c>
      <c r="BB50" s="24">
        <v>354.29999999999995</v>
      </c>
      <c r="BC50" s="24">
        <v>44.60000000000001</v>
      </c>
      <c r="BD50" s="24">
        <v>52.50000000000001</v>
      </c>
      <c r="BE50" s="24">
        <v>15.8</v>
      </c>
      <c r="BF50" s="24">
        <v>47.2</v>
      </c>
      <c r="BG50" s="24">
        <v>12.299999999999997</v>
      </c>
      <c r="BH50" s="24">
        <v>72</v>
      </c>
      <c r="BI50" s="24">
        <v>22.4</v>
      </c>
      <c r="BJ50" s="24">
        <v>15.2</v>
      </c>
      <c r="BK50" s="24">
        <v>1.8000000000000003</v>
      </c>
      <c r="BL50" s="24">
        <v>7.1000000000000005</v>
      </c>
      <c r="BM50" s="24">
        <v>0</v>
      </c>
      <c r="BN50" s="24">
        <v>0</v>
      </c>
      <c r="BO50" s="24">
        <v>1.6</v>
      </c>
      <c r="BP50" s="24">
        <v>20.699999999999996</v>
      </c>
      <c r="BQ50" s="24">
        <v>0</v>
      </c>
      <c r="BR50" s="24">
        <v>41.3</v>
      </c>
      <c r="BS50" s="24">
        <v>1.4000000000000001</v>
      </c>
    </row>
    <row r="51" spans="1:71" x14ac:dyDescent="0.25">
      <c r="A51" s="30" t="s">
        <v>359</v>
      </c>
      <c r="B51" s="31" t="s">
        <v>360</v>
      </c>
      <c r="C51" s="24">
        <v>141.1</v>
      </c>
      <c r="D51" s="24">
        <v>1.9000000000000001</v>
      </c>
      <c r="E51" s="24">
        <v>0.8</v>
      </c>
      <c r="F51" s="24">
        <v>19.2</v>
      </c>
      <c r="G51" s="24">
        <v>387.90000000000003</v>
      </c>
      <c r="H51" s="24">
        <v>65.9</v>
      </c>
      <c r="I51" s="24">
        <v>17.1</v>
      </c>
      <c r="J51" s="24">
        <v>59.099999999999994</v>
      </c>
      <c r="K51" s="24">
        <v>38.1</v>
      </c>
      <c r="L51" s="24">
        <v>101.4</v>
      </c>
      <c r="M51" s="24">
        <v>315.1</v>
      </c>
      <c r="N51" s="24">
        <v>523.2</v>
      </c>
      <c r="O51" s="24">
        <v>99.1</v>
      </c>
      <c r="P51" s="24">
        <v>58.7</v>
      </c>
      <c r="Q51" s="24">
        <v>105.69999999999999</v>
      </c>
      <c r="R51" s="24">
        <v>129.6</v>
      </c>
      <c r="S51" s="24">
        <v>148.70000000000002</v>
      </c>
      <c r="T51" s="24">
        <v>205.60000000000002</v>
      </c>
      <c r="U51" s="24">
        <v>259.1</v>
      </c>
      <c r="V51" s="24">
        <v>442.8</v>
      </c>
      <c r="W51" s="24">
        <v>50.800000000000004</v>
      </c>
      <c r="X51" s="24">
        <v>89.8</v>
      </c>
      <c r="Y51" s="24">
        <v>74.89999999999999</v>
      </c>
      <c r="Z51" s="24">
        <v>235.90000000000003</v>
      </c>
      <c r="AA51" s="24">
        <v>11.399999999999999</v>
      </c>
      <c r="AB51" s="24">
        <v>141.00000000000003</v>
      </c>
      <c r="AC51" s="24">
        <v>493.79999999999995</v>
      </c>
      <c r="AD51" s="24">
        <v>192.3</v>
      </c>
      <c r="AE51" s="24">
        <v>1047</v>
      </c>
      <c r="AF51" s="24">
        <v>374.1</v>
      </c>
      <c r="AG51" s="24">
        <v>192.60000000000002</v>
      </c>
      <c r="AH51" s="24">
        <v>48.800000000000004</v>
      </c>
      <c r="AI51" s="24">
        <v>626.1000000000001</v>
      </c>
      <c r="AJ51" s="24">
        <v>154.4</v>
      </c>
      <c r="AK51" s="24">
        <v>61.099999999999994</v>
      </c>
      <c r="AL51" s="24">
        <v>269</v>
      </c>
      <c r="AM51" s="24">
        <v>372.4</v>
      </c>
      <c r="AN51" s="24">
        <v>191.8</v>
      </c>
      <c r="AO51" s="24">
        <v>376.09999999999997</v>
      </c>
      <c r="AP51" s="24">
        <v>1529.1</v>
      </c>
      <c r="AQ51" s="24">
        <v>340.6</v>
      </c>
      <c r="AR51" s="24">
        <v>435.90000000000003</v>
      </c>
      <c r="AS51" s="24">
        <v>418.8</v>
      </c>
      <c r="AT51" s="24">
        <v>237.4</v>
      </c>
      <c r="AU51" s="24">
        <v>1722.3000000000002</v>
      </c>
      <c r="AV51" s="24">
        <v>355.90000000000003</v>
      </c>
      <c r="AW51" s="24">
        <v>181.4</v>
      </c>
      <c r="AX51" s="24">
        <v>503.70000000000005</v>
      </c>
      <c r="AY51" s="24">
        <v>789</v>
      </c>
      <c r="AZ51" s="24">
        <v>228.10000000000002</v>
      </c>
      <c r="BA51" s="24">
        <v>112.2</v>
      </c>
      <c r="BB51" s="24">
        <v>95.69999999999997</v>
      </c>
      <c r="BC51" s="24">
        <v>860.3000000000001</v>
      </c>
      <c r="BD51" s="24">
        <v>596.2</v>
      </c>
      <c r="BE51" s="24">
        <v>206.70000000000002</v>
      </c>
      <c r="BF51" s="24">
        <v>327.40000000000003</v>
      </c>
      <c r="BG51" s="24">
        <v>145.20000000000002</v>
      </c>
      <c r="BH51" s="24">
        <v>124</v>
      </c>
      <c r="BI51" s="24">
        <v>84.8</v>
      </c>
      <c r="BJ51" s="24">
        <v>181.30000000000004</v>
      </c>
      <c r="BK51" s="24">
        <v>10.600000000000001</v>
      </c>
      <c r="BL51" s="24">
        <v>92.49999999999999</v>
      </c>
      <c r="BM51" s="24">
        <v>0</v>
      </c>
      <c r="BN51" s="24">
        <v>0</v>
      </c>
      <c r="BO51" s="24">
        <v>16.4</v>
      </c>
      <c r="BP51" s="24">
        <v>4051.8</v>
      </c>
      <c r="BQ51" s="24">
        <v>0</v>
      </c>
      <c r="BR51" s="24">
        <v>41.900000000000006</v>
      </c>
      <c r="BS51" s="24">
        <v>37.8</v>
      </c>
    </row>
    <row r="52" spans="1:71" x14ac:dyDescent="0.25">
      <c r="A52" s="30" t="s">
        <v>361</v>
      </c>
      <c r="B52" s="31" t="s">
        <v>362</v>
      </c>
      <c r="C52" s="24">
        <v>44.800000000000004</v>
      </c>
      <c r="D52" s="24">
        <v>1.5</v>
      </c>
      <c r="E52" s="24">
        <v>1.8</v>
      </c>
      <c r="F52" s="24">
        <v>10.7</v>
      </c>
      <c r="G52" s="24">
        <v>197.70000000000002</v>
      </c>
      <c r="H52" s="24">
        <v>59.2</v>
      </c>
      <c r="I52" s="24">
        <v>10.799999999999997</v>
      </c>
      <c r="J52" s="24">
        <v>17.7</v>
      </c>
      <c r="K52" s="24">
        <v>9.7</v>
      </c>
      <c r="L52" s="24">
        <v>47.3</v>
      </c>
      <c r="M52" s="24">
        <v>378.8</v>
      </c>
      <c r="N52" s="24">
        <v>606.2</v>
      </c>
      <c r="O52" s="24">
        <v>64.5</v>
      </c>
      <c r="P52" s="24">
        <v>50.5</v>
      </c>
      <c r="Q52" s="24">
        <v>47.300000000000004</v>
      </c>
      <c r="R52" s="24">
        <v>76.2</v>
      </c>
      <c r="S52" s="24">
        <v>200.3</v>
      </c>
      <c r="T52" s="24">
        <v>110.10000000000002</v>
      </c>
      <c r="U52" s="24">
        <v>185.2</v>
      </c>
      <c r="V52" s="24">
        <v>242.1</v>
      </c>
      <c r="W52" s="24">
        <v>60.2</v>
      </c>
      <c r="X52" s="24">
        <v>68.89999999999999</v>
      </c>
      <c r="Y52" s="24">
        <v>27.999999999999996</v>
      </c>
      <c r="Z52" s="24">
        <v>95.80000000000001</v>
      </c>
      <c r="AA52" s="24">
        <v>13.299999999999997</v>
      </c>
      <c r="AB52" s="24">
        <v>81.69999999999999</v>
      </c>
      <c r="AC52" s="24">
        <v>396.4</v>
      </c>
      <c r="AD52" s="24">
        <v>72.5</v>
      </c>
      <c r="AE52" s="24">
        <v>399.9</v>
      </c>
      <c r="AF52" s="24">
        <v>213.39999999999998</v>
      </c>
      <c r="AG52" s="24">
        <v>218.1</v>
      </c>
      <c r="AH52" s="24">
        <v>135.39999999999998</v>
      </c>
      <c r="AI52" s="24">
        <v>189.60000000000002</v>
      </c>
      <c r="AJ52" s="24">
        <v>221.8</v>
      </c>
      <c r="AK52" s="24">
        <v>11.899999999999999</v>
      </c>
      <c r="AL52" s="24">
        <v>138.4</v>
      </c>
      <c r="AM52" s="24">
        <v>54.19999999999999</v>
      </c>
      <c r="AN52" s="24">
        <v>421.70000000000005</v>
      </c>
      <c r="AO52" s="24">
        <v>127.5</v>
      </c>
      <c r="AP52" s="24">
        <v>2332.1000000000004</v>
      </c>
      <c r="AQ52" s="24">
        <v>44.3</v>
      </c>
      <c r="AR52" s="24">
        <v>42.50000000000001</v>
      </c>
      <c r="AS52" s="24">
        <v>45.599999999999994</v>
      </c>
      <c r="AT52" s="24">
        <v>22.4</v>
      </c>
      <c r="AU52" s="24">
        <v>393.29999999999995</v>
      </c>
      <c r="AV52" s="24">
        <v>93.6</v>
      </c>
      <c r="AW52" s="24">
        <v>64.89999999999999</v>
      </c>
      <c r="AX52" s="24">
        <v>49.2</v>
      </c>
      <c r="AY52" s="24">
        <v>43.8</v>
      </c>
      <c r="AZ52" s="24">
        <v>648</v>
      </c>
      <c r="BA52" s="24">
        <v>9.200000000000001</v>
      </c>
      <c r="BB52" s="24">
        <v>20.4</v>
      </c>
      <c r="BC52" s="24">
        <v>204.89999999999998</v>
      </c>
      <c r="BD52" s="24">
        <v>105</v>
      </c>
      <c r="BE52" s="24">
        <v>56.9</v>
      </c>
      <c r="BF52" s="24">
        <v>92.10000000000001</v>
      </c>
      <c r="BG52" s="24">
        <v>37.2</v>
      </c>
      <c r="BH52" s="24">
        <v>57.4</v>
      </c>
      <c r="BI52" s="24">
        <v>31.5</v>
      </c>
      <c r="BJ52" s="24">
        <v>12.499999999999996</v>
      </c>
      <c r="BK52" s="24">
        <v>3.5</v>
      </c>
      <c r="BL52" s="24">
        <v>39.8</v>
      </c>
      <c r="BM52" s="24">
        <v>0</v>
      </c>
      <c r="BN52" s="24">
        <v>0</v>
      </c>
      <c r="BO52" s="24">
        <v>3.1</v>
      </c>
      <c r="BP52" s="24">
        <v>215.90000000000003</v>
      </c>
      <c r="BQ52" s="24">
        <v>0.1</v>
      </c>
      <c r="BR52" s="24">
        <v>108.5</v>
      </c>
      <c r="BS52" s="24">
        <v>1.8000000000000003</v>
      </c>
    </row>
    <row r="53" spans="1:71" x14ac:dyDescent="0.25">
      <c r="A53" s="30" t="s">
        <v>364</v>
      </c>
      <c r="B53" s="31" t="s">
        <v>365</v>
      </c>
      <c r="C53" s="24">
        <v>493.30000000000007</v>
      </c>
      <c r="D53" s="24">
        <v>33.1</v>
      </c>
      <c r="E53" s="24">
        <v>34.4</v>
      </c>
      <c r="F53" s="24">
        <v>60.900000000000006</v>
      </c>
      <c r="G53" s="24">
        <v>643.1</v>
      </c>
      <c r="H53" s="24">
        <v>150.90000000000003</v>
      </c>
      <c r="I53" s="24">
        <v>103.5</v>
      </c>
      <c r="J53" s="24">
        <v>134.8</v>
      </c>
      <c r="K53" s="24">
        <v>86.1</v>
      </c>
      <c r="L53" s="24">
        <v>111.4</v>
      </c>
      <c r="M53" s="24">
        <v>290.5</v>
      </c>
      <c r="N53" s="24">
        <v>206.8</v>
      </c>
      <c r="O53" s="24">
        <v>254.6</v>
      </c>
      <c r="P53" s="24">
        <v>156.3</v>
      </c>
      <c r="Q53" s="24">
        <v>204.20000000000002</v>
      </c>
      <c r="R53" s="24">
        <v>420.00000000000006</v>
      </c>
      <c r="S53" s="24">
        <v>202.2</v>
      </c>
      <c r="T53" s="24">
        <v>227.49999999999997</v>
      </c>
      <c r="U53" s="24">
        <v>429.8</v>
      </c>
      <c r="V53" s="24">
        <v>385.20000000000005</v>
      </c>
      <c r="W53" s="24">
        <v>195</v>
      </c>
      <c r="X53" s="24">
        <v>166.90000000000003</v>
      </c>
      <c r="Y53" s="24">
        <v>169</v>
      </c>
      <c r="Z53" s="24">
        <v>170.89999999999998</v>
      </c>
      <c r="AA53" s="24">
        <v>44.900000000000006</v>
      </c>
      <c r="AB53" s="24">
        <v>155.29999999999998</v>
      </c>
      <c r="AC53" s="24">
        <v>400.29999999999995</v>
      </c>
      <c r="AD53" s="24">
        <v>133.5</v>
      </c>
      <c r="AE53" s="24">
        <v>420.79999999999995</v>
      </c>
      <c r="AF53" s="24">
        <v>207.3</v>
      </c>
      <c r="AG53" s="24">
        <v>189.4</v>
      </c>
      <c r="AH53" s="24">
        <v>101.3</v>
      </c>
      <c r="AI53" s="24">
        <v>130.6</v>
      </c>
      <c r="AJ53" s="24">
        <v>543.9</v>
      </c>
      <c r="AK53" s="24">
        <v>148.7</v>
      </c>
      <c r="AL53" s="24">
        <v>250</v>
      </c>
      <c r="AM53" s="24">
        <v>71</v>
      </c>
      <c r="AN53" s="24">
        <v>79.79999999999998</v>
      </c>
      <c r="AO53" s="24">
        <v>111.4</v>
      </c>
      <c r="AP53" s="24">
        <v>388</v>
      </c>
      <c r="AQ53" s="24">
        <v>142.09999999999997</v>
      </c>
      <c r="AR53" s="24">
        <v>75.7</v>
      </c>
      <c r="AS53" s="24">
        <v>93.2</v>
      </c>
      <c r="AT53" s="24">
        <v>102.4</v>
      </c>
      <c r="AU53" s="24">
        <v>356.8</v>
      </c>
      <c r="AV53" s="24">
        <v>278.70000000000005</v>
      </c>
      <c r="AW53" s="24">
        <v>90.79999999999998</v>
      </c>
      <c r="AX53" s="24">
        <v>94.10000000000001</v>
      </c>
      <c r="AY53" s="24">
        <v>87</v>
      </c>
      <c r="AZ53" s="24">
        <v>109.70000000000002</v>
      </c>
      <c r="BA53" s="24">
        <v>332.30000000000007</v>
      </c>
      <c r="BB53" s="24">
        <v>50.800000000000004</v>
      </c>
      <c r="BC53" s="24">
        <v>371.5</v>
      </c>
      <c r="BD53" s="24">
        <v>119.10000000000001</v>
      </c>
      <c r="BE53" s="24">
        <v>100.4</v>
      </c>
      <c r="BF53" s="24">
        <v>425.8</v>
      </c>
      <c r="BG53" s="24">
        <v>184.2</v>
      </c>
      <c r="BH53" s="24">
        <v>63.99999999999999</v>
      </c>
      <c r="BI53" s="24">
        <v>74.80000000000001</v>
      </c>
      <c r="BJ53" s="24">
        <v>66.80000000000001</v>
      </c>
      <c r="BK53" s="24">
        <v>51.8</v>
      </c>
      <c r="BL53" s="24">
        <v>84.80000000000001</v>
      </c>
      <c r="BM53" s="24">
        <v>0</v>
      </c>
      <c r="BN53" s="24">
        <v>0</v>
      </c>
      <c r="BO53" s="24">
        <v>124.1</v>
      </c>
      <c r="BP53" s="24">
        <v>113.10000000000001</v>
      </c>
      <c r="BQ53" s="24">
        <v>18</v>
      </c>
      <c r="BR53" s="24">
        <v>133.6</v>
      </c>
      <c r="BS53" s="24">
        <v>99.6</v>
      </c>
    </row>
    <row r="54" spans="1:71" x14ac:dyDescent="0.25">
      <c r="A54" s="30" t="s">
        <v>366</v>
      </c>
      <c r="B54" s="31" t="s">
        <v>367</v>
      </c>
      <c r="C54" s="24">
        <v>148.70000000000002</v>
      </c>
      <c r="D54" s="24">
        <v>38.9</v>
      </c>
      <c r="E54" s="24">
        <v>59.5</v>
      </c>
      <c r="F54" s="24">
        <v>79.4</v>
      </c>
      <c r="G54" s="24">
        <v>243.2</v>
      </c>
      <c r="H54" s="24">
        <v>131.8</v>
      </c>
      <c r="I54" s="24">
        <v>95.4</v>
      </c>
      <c r="J54" s="24">
        <v>133.7</v>
      </c>
      <c r="K54" s="24">
        <v>85.19999999999999</v>
      </c>
      <c r="L54" s="24">
        <v>155.89999999999998</v>
      </c>
      <c r="M54" s="24">
        <v>220.5</v>
      </c>
      <c r="N54" s="24">
        <v>164.89999999999998</v>
      </c>
      <c r="O54" s="24">
        <v>184.89999999999998</v>
      </c>
      <c r="P54" s="24">
        <v>156.4</v>
      </c>
      <c r="Q54" s="24">
        <v>204.9</v>
      </c>
      <c r="R54" s="24">
        <v>196.90000000000003</v>
      </c>
      <c r="S54" s="24">
        <v>146.9</v>
      </c>
      <c r="T54" s="24">
        <v>177.3</v>
      </c>
      <c r="U54" s="24">
        <v>192.5</v>
      </c>
      <c r="V54" s="24">
        <v>245.40000000000003</v>
      </c>
      <c r="W54" s="24">
        <v>176.5</v>
      </c>
      <c r="X54" s="24">
        <v>132.7</v>
      </c>
      <c r="Y54" s="24">
        <v>126.9</v>
      </c>
      <c r="Z54" s="24">
        <v>170.7</v>
      </c>
      <c r="AA54" s="24">
        <v>62.599999999999994</v>
      </c>
      <c r="AB54" s="24">
        <v>217.9</v>
      </c>
      <c r="AC54" s="24">
        <v>462</v>
      </c>
      <c r="AD54" s="24">
        <v>182.9</v>
      </c>
      <c r="AE54" s="24">
        <v>378.70000000000005</v>
      </c>
      <c r="AF54" s="24">
        <v>237.5</v>
      </c>
      <c r="AG54" s="24">
        <v>444.1</v>
      </c>
      <c r="AH54" s="24">
        <v>244.20000000000002</v>
      </c>
      <c r="AI54" s="24">
        <v>1233</v>
      </c>
      <c r="AJ54" s="24">
        <v>716.5</v>
      </c>
      <c r="AK54" s="24">
        <v>60.1</v>
      </c>
      <c r="AL54" s="24">
        <v>427.8</v>
      </c>
      <c r="AM54" s="24">
        <v>94.1</v>
      </c>
      <c r="AN54" s="24">
        <v>133.6</v>
      </c>
      <c r="AO54" s="24">
        <v>153.39999999999998</v>
      </c>
      <c r="AP54" s="24">
        <v>244.5</v>
      </c>
      <c r="AQ54" s="24">
        <v>95.19999999999999</v>
      </c>
      <c r="AR54" s="24">
        <v>100.8</v>
      </c>
      <c r="AS54" s="24">
        <v>83.69999999999999</v>
      </c>
      <c r="AT54" s="24">
        <v>101.69999999999999</v>
      </c>
      <c r="AU54" s="24">
        <v>367.7</v>
      </c>
      <c r="AV54" s="24">
        <v>143.3</v>
      </c>
      <c r="AW54" s="24">
        <v>125.5</v>
      </c>
      <c r="AX54" s="24">
        <v>115.6</v>
      </c>
      <c r="AY54" s="24">
        <v>102.6</v>
      </c>
      <c r="AZ54" s="24">
        <v>224</v>
      </c>
      <c r="BA54" s="24">
        <v>73</v>
      </c>
      <c r="BB54" s="24">
        <v>1612.9999999999998</v>
      </c>
      <c r="BC54" s="24">
        <v>148.89999999999998</v>
      </c>
      <c r="BD54" s="24">
        <v>242.39999999999998</v>
      </c>
      <c r="BE54" s="24">
        <v>149.10000000000002</v>
      </c>
      <c r="BF54" s="24">
        <v>222.60000000000002</v>
      </c>
      <c r="BG54" s="24">
        <v>111.6</v>
      </c>
      <c r="BH54" s="24">
        <v>128.3</v>
      </c>
      <c r="BI54" s="24">
        <v>139.8</v>
      </c>
      <c r="BJ54" s="24">
        <v>94.10000000000001</v>
      </c>
      <c r="BK54" s="24">
        <v>83.1</v>
      </c>
      <c r="BL54" s="24">
        <v>99.89999999999999</v>
      </c>
      <c r="BM54" s="24">
        <v>0</v>
      </c>
      <c r="BN54" s="24">
        <v>0</v>
      </c>
      <c r="BO54" s="24">
        <v>209.60000000000002</v>
      </c>
      <c r="BP54" s="24">
        <v>10845.7</v>
      </c>
      <c r="BQ54" s="24">
        <v>8.5</v>
      </c>
      <c r="BR54" s="24">
        <v>176.10000000000002</v>
      </c>
      <c r="BS54" s="24">
        <v>180.9</v>
      </c>
    </row>
    <row r="55" spans="1:71" x14ac:dyDescent="0.25">
      <c r="A55" s="30" t="s">
        <v>368</v>
      </c>
      <c r="B55" s="31" t="s">
        <v>369</v>
      </c>
      <c r="C55" s="24">
        <v>445.5</v>
      </c>
      <c r="D55" s="24">
        <v>62.7</v>
      </c>
      <c r="E55" s="24">
        <v>16.799999999999997</v>
      </c>
      <c r="F55" s="24">
        <v>152.89999999999995</v>
      </c>
      <c r="G55" s="24">
        <v>2122.5</v>
      </c>
      <c r="H55" s="24">
        <v>401.29999999999995</v>
      </c>
      <c r="I55" s="24">
        <v>245.4</v>
      </c>
      <c r="J55" s="24">
        <v>380.09999999999997</v>
      </c>
      <c r="K55" s="24">
        <v>175.6</v>
      </c>
      <c r="L55" s="24">
        <v>468.1000000000001</v>
      </c>
      <c r="M55" s="24">
        <v>1779.4999999999998</v>
      </c>
      <c r="N55" s="24">
        <v>1570.4999999999998</v>
      </c>
      <c r="O55" s="24">
        <v>619.3</v>
      </c>
      <c r="P55" s="24">
        <v>475</v>
      </c>
      <c r="Q55" s="24">
        <v>821.9999999999999</v>
      </c>
      <c r="R55" s="24">
        <v>963.9999999999998</v>
      </c>
      <c r="S55" s="24">
        <v>566.8</v>
      </c>
      <c r="T55" s="24">
        <v>778.9</v>
      </c>
      <c r="U55" s="24">
        <v>1436.1</v>
      </c>
      <c r="V55" s="24">
        <v>1737.5</v>
      </c>
      <c r="W55" s="24">
        <v>499.8</v>
      </c>
      <c r="X55" s="24">
        <v>720.4000000000001</v>
      </c>
      <c r="Y55" s="24">
        <v>451.4</v>
      </c>
      <c r="Z55" s="24">
        <v>1970.5</v>
      </c>
      <c r="AA55" s="24">
        <v>120.60000000000002</v>
      </c>
      <c r="AB55" s="24">
        <v>729.5999999999999</v>
      </c>
      <c r="AC55" s="24">
        <v>2264.6000000000004</v>
      </c>
      <c r="AD55" s="24">
        <v>843.7</v>
      </c>
      <c r="AE55" s="24">
        <v>3348.7</v>
      </c>
      <c r="AF55" s="24">
        <v>1749.5999999999995</v>
      </c>
      <c r="AG55" s="24">
        <v>1083</v>
      </c>
      <c r="AH55" s="24">
        <v>745.9000000000001</v>
      </c>
      <c r="AI55" s="24">
        <v>588.8999999999999</v>
      </c>
      <c r="AJ55" s="24">
        <v>1676.9999999999998</v>
      </c>
      <c r="AK55" s="24">
        <v>381.19999999999993</v>
      </c>
      <c r="AL55" s="24">
        <v>1697.1999999999998</v>
      </c>
      <c r="AM55" s="24">
        <v>789.3000000000002</v>
      </c>
      <c r="AN55" s="24">
        <v>808.1</v>
      </c>
      <c r="AO55" s="24">
        <v>1107.6999999999998</v>
      </c>
      <c r="AP55" s="24">
        <v>5327.600000000001</v>
      </c>
      <c r="AQ55" s="24">
        <v>1488.4</v>
      </c>
      <c r="AR55" s="24">
        <v>996.7</v>
      </c>
      <c r="AS55" s="24">
        <v>974.1999999999999</v>
      </c>
      <c r="AT55" s="24">
        <v>827.5999999999999</v>
      </c>
      <c r="AU55" s="24">
        <v>5538.3</v>
      </c>
      <c r="AV55" s="24">
        <v>1110.4</v>
      </c>
      <c r="AW55" s="24">
        <v>645.6999999999998</v>
      </c>
      <c r="AX55" s="24">
        <v>811.3000000000001</v>
      </c>
      <c r="AY55" s="24">
        <v>554.6000000000001</v>
      </c>
      <c r="AZ55" s="24">
        <v>2479.3999999999996</v>
      </c>
      <c r="BA55" s="24">
        <v>440.4</v>
      </c>
      <c r="BB55" s="24">
        <v>667.5</v>
      </c>
      <c r="BC55" s="24">
        <v>4910.9000000000015</v>
      </c>
      <c r="BD55" s="24">
        <v>2493.5</v>
      </c>
      <c r="BE55" s="24">
        <v>1090</v>
      </c>
      <c r="BF55" s="24">
        <v>1634.2</v>
      </c>
      <c r="BG55" s="24">
        <v>812.3000000000002</v>
      </c>
      <c r="BH55" s="24">
        <v>595.2</v>
      </c>
      <c r="BI55" s="24">
        <v>342.19999999999993</v>
      </c>
      <c r="BJ55" s="24">
        <v>364.5</v>
      </c>
      <c r="BK55" s="24">
        <v>108.9</v>
      </c>
      <c r="BL55" s="24">
        <v>318.0999999999999</v>
      </c>
      <c r="BM55" s="24">
        <v>0</v>
      </c>
      <c r="BN55" s="24">
        <v>0</v>
      </c>
      <c r="BO55" s="24">
        <v>99.8</v>
      </c>
      <c r="BP55" s="24">
        <v>3811.499999999999</v>
      </c>
      <c r="BQ55" s="24">
        <v>2</v>
      </c>
      <c r="BR55" s="24">
        <v>174.3</v>
      </c>
      <c r="BS55" s="24">
        <v>60.5</v>
      </c>
    </row>
    <row r="56" spans="1:71" x14ac:dyDescent="0.25">
      <c r="A56" s="30" t="s">
        <v>370</v>
      </c>
      <c r="B56" s="31" t="s">
        <v>371</v>
      </c>
      <c r="C56" s="24">
        <v>34.9</v>
      </c>
      <c r="D56" s="24">
        <v>4</v>
      </c>
      <c r="E56" s="24">
        <v>4.2</v>
      </c>
      <c r="F56" s="24">
        <v>9.899999999999999</v>
      </c>
      <c r="G56" s="24">
        <v>101.1</v>
      </c>
      <c r="H56" s="24">
        <v>17.9</v>
      </c>
      <c r="I56" s="24">
        <v>21.3</v>
      </c>
      <c r="J56" s="24">
        <v>25.900000000000002</v>
      </c>
      <c r="K56" s="24">
        <v>13.399999999999999</v>
      </c>
      <c r="L56" s="24">
        <v>198.3</v>
      </c>
      <c r="M56" s="24">
        <v>89.39999999999999</v>
      </c>
      <c r="N56" s="24">
        <v>86.39999999999999</v>
      </c>
      <c r="O56" s="24">
        <v>42</v>
      </c>
      <c r="P56" s="24">
        <v>25.999999999999996</v>
      </c>
      <c r="Q56" s="24">
        <v>89</v>
      </c>
      <c r="R56" s="24">
        <v>43.29999999999999</v>
      </c>
      <c r="S56" s="24">
        <v>42.4</v>
      </c>
      <c r="T56" s="24">
        <v>27.099999999999998</v>
      </c>
      <c r="U56" s="24">
        <v>39.199999999999996</v>
      </c>
      <c r="V56" s="24">
        <v>52.60000000000001</v>
      </c>
      <c r="W56" s="24">
        <v>21.999999999999996</v>
      </c>
      <c r="X56" s="24">
        <v>29.299999999999997</v>
      </c>
      <c r="Y56" s="24">
        <v>16.5</v>
      </c>
      <c r="Z56" s="24">
        <v>165.19999999999996</v>
      </c>
      <c r="AA56" s="24">
        <v>8.4</v>
      </c>
      <c r="AB56" s="24">
        <v>47.6</v>
      </c>
      <c r="AC56" s="24">
        <v>123.39999999999998</v>
      </c>
      <c r="AD56" s="24">
        <v>21.7</v>
      </c>
      <c r="AE56" s="24">
        <v>102.60000000000001</v>
      </c>
      <c r="AF56" s="24">
        <v>45.8</v>
      </c>
      <c r="AG56" s="24">
        <v>50.4</v>
      </c>
      <c r="AH56" s="24">
        <v>60.6</v>
      </c>
      <c r="AI56" s="24">
        <v>27.099999999999998</v>
      </c>
      <c r="AJ56" s="24">
        <v>65.4</v>
      </c>
      <c r="AK56" s="24">
        <v>10.899999999999999</v>
      </c>
      <c r="AL56" s="24">
        <v>39.599999999999994</v>
      </c>
      <c r="AM56" s="24">
        <v>65.9</v>
      </c>
      <c r="AN56" s="24">
        <v>24.499999999999996</v>
      </c>
      <c r="AO56" s="24">
        <v>41.800000000000004</v>
      </c>
      <c r="AP56" s="24">
        <v>257.1</v>
      </c>
      <c r="AQ56" s="24">
        <v>28.799999999999997</v>
      </c>
      <c r="AR56" s="24">
        <v>108.90000000000002</v>
      </c>
      <c r="AS56" s="24">
        <v>31.3</v>
      </c>
      <c r="AT56" s="24">
        <v>21.7</v>
      </c>
      <c r="AU56" s="24">
        <v>123.1</v>
      </c>
      <c r="AV56" s="24">
        <v>34.2</v>
      </c>
      <c r="AW56" s="24">
        <v>61.8</v>
      </c>
      <c r="AX56" s="24">
        <v>20.7</v>
      </c>
      <c r="AY56" s="24">
        <v>15.799999999999999</v>
      </c>
      <c r="AZ56" s="24">
        <v>33.2</v>
      </c>
      <c r="BA56" s="24">
        <v>10.1</v>
      </c>
      <c r="BB56" s="24">
        <v>15.4</v>
      </c>
      <c r="BC56" s="24">
        <v>56.800000000000004</v>
      </c>
      <c r="BD56" s="24">
        <v>164.2</v>
      </c>
      <c r="BE56" s="24">
        <v>28.700000000000003</v>
      </c>
      <c r="BF56" s="24">
        <v>112.6</v>
      </c>
      <c r="BG56" s="24">
        <v>25.799999999999997</v>
      </c>
      <c r="BH56" s="24">
        <v>27.100000000000005</v>
      </c>
      <c r="BI56" s="24">
        <v>12.899999999999999</v>
      </c>
      <c r="BJ56" s="24">
        <v>13.4</v>
      </c>
      <c r="BK56" s="24">
        <v>5.9</v>
      </c>
      <c r="BL56" s="24">
        <v>10.999999999999998</v>
      </c>
      <c r="BM56" s="24">
        <v>0</v>
      </c>
      <c r="BN56" s="24">
        <v>0</v>
      </c>
      <c r="BO56" s="24">
        <v>522.2</v>
      </c>
      <c r="BP56" s="24">
        <v>546.8</v>
      </c>
      <c r="BQ56" s="24">
        <v>3.1</v>
      </c>
      <c r="BR56" s="24">
        <v>870.5999999999999</v>
      </c>
      <c r="BS56" s="24">
        <v>30.4</v>
      </c>
    </row>
    <row r="57" spans="1:71" x14ac:dyDescent="0.25">
      <c r="A57" s="30" t="s">
        <v>373</v>
      </c>
      <c r="B57" s="31" t="s">
        <v>374</v>
      </c>
      <c r="C57" s="24">
        <v>17</v>
      </c>
      <c r="D57" s="24">
        <v>3.4000000000000004</v>
      </c>
      <c r="E57" s="24">
        <v>6.2</v>
      </c>
      <c r="F57" s="24">
        <v>8</v>
      </c>
      <c r="G57" s="24">
        <v>46.20000000000002</v>
      </c>
      <c r="H57" s="24">
        <v>14.600000000000003</v>
      </c>
      <c r="I57" s="24">
        <v>11.2</v>
      </c>
      <c r="J57" s="24">
        <v>21.400000000000002</v>
      </c>
      <c r="K57" s="24">
        <v>12.499999999999998</v>
      </c>
      <c r="L57" s="24">
        <v>15.199999999999998</v>
      </c>
      <c r="M57" s="24">
        <v>46.10000000000001</v>
      </c>
      <c r="N57" s="24">
        <v>103.39999999999998</v>
      </c>
      <c r="O57" s="24">
        <v>47.60000000000001</v>
      </c>
      <c r="P57" s="24">
        <v>20.3</v>
      </c>
      <c r="Q57" s="24">
        <v>19.1</v>
      </c>
      <c r="R57" s="24">
        <v>33.40000000000001</v>
      </c>
      <c r="S57" s="24">
        <v>49.70000000000001</v>
      </c>
      <c r="T57" s="24">
        <v>29.600000000000012</v>
      </c>
      <c r="U57" s="24">
        <v>43.90000000000001</v>
      </c>
      <c r="V57" s="24">
        <v>56.900000000000006</v>
      </c>
      <c r="W57" s="24">
        <v>22.300000000000004</v>
      </c>
      <c r="X57" s="24">
        <v>19.500000000000004</v>
      </c>
      <c r="Y57" s="24">
        <v>20.500000000000004</v>
      </c>
      <c r="Z57" s="24">
        <v>31.800000000000008</v>
      </c>
      <c r="AA57" s="24">
        <v>8.1</v>
      </c>
      <c r="AB57" s="24">
        <v>21.000000000000004</v>
      </c>
      <c r="AC57" s="24">
        <v>52.40000000000001</v>
      </c>
      <c r="AD57" s="24">
        <v>25.20000000000001</v>
      </c>
      <c r="AE57" s="24">
        <v>95.49999999999999</v>
      </c>
      <c r="AF57" s="24">
        <v>33.500000000000014</v>
      </c>
      <c r="AG57" s="24">
        <v>27.100000000000012</v>
      </c>
      <c r="AH57" s="24">
        <v>23.400000000000002</v>
      </c>
      <c r="AI57" s="24">
        <v>25.700000000000006</v>
      </c>
      <c r="AJ57" s="24">
        <v>40.300000000000004</v>
      </c>
      <c r="AK57" s="24">
        <v>10.8</v>
      </c>
      <c r="AL57" s="24">
        <v>24.600000000000012</v>
      </c>
      <c r="AM57" s="24">
        <v>34.60000000000001</v>
      </c>
      <c r="AN57" s="24">
        <v>14.7</v>
      </c>
      <c r="AO57" s="24">
        <v>32.60000000000001</v>
      </c>
      <c r="AP57" s="24">
        <v>188.29999999999995</v>
      </c>
      <c r="AQ57" s="24">
        <v>32.50000000000001</v>
      </c>
      <c r="AR57" s="24">
        <v>27.500000000000004</v>
      </c>
      <c r="AS57" s="24">
        <v>31.700000000000003</v>
      </c>
      <c r="AT57" s="24">
        <v>12.7</v>
      </c>
      <c r="AU57" s="24">
        <v>120.99999999999999</v>
      </c>
      <c r="AV57" s="24">
        <v>36.600000000000016</v>
      </c>
      <c r="AW57" s="24">
        <v>154.99999999999997</v>
      </c>
      <c r="AX57" s="24">
        <v>14.899999999999999</v>
      </c>
      <c r="AY57" s="24">
        <v>20.200000000000003</v>
      </c>
      <c r="AZ57" s="24">
        <v>17.7</v>
      </c>
      <c r="BA57" s="24">
        <v>13.9</v>
      </c>
      <c r="BB57" s="24">
        <v>12.000000000000002</v>
      </c>
      <c r="BC57" s="24">
        <v>32.20000000000001</v>
      </c>
      <c r="BD57" s="24">
        <v>144.29999999999998</v>
      </c>
      <c r="BE57" s="24">
        <v>279.59999999999997</v>
      </c>
      <c r="BF57" s="24">
        <v>90.39999999999996</v>
      </c>
      <c r="BG57" s="24">
        <v>57.60000000000002</v>
      </c>
      <c r="BH57" s="24">
        <v>22.20000000000001</v>
      </c>
      <c r="BI57" s="24">
        <v>12.8</v>
      </c>
      <c r="BJ57" s="24">
        <v>51.50000000000002</v>
      </c>
      <c r="BK57" s="24">
        <v>8</v>
      </c>
      <c r="BL57" s="24">
        <v>15.3</v>
      </c>
      <c r="BM57" s="24">
        <v>0</v>
      </c>
      <c r="BN57" s="24">
        <v>0</v>
      </c>
      <c r="BO57" s="24">
        <v>504.29999999999995</v>
      </c>
      <c r="BP57" s="24">
        <v>850.5999999999999</v>
      </c>
      <c r="BQ57" s="24">
        <v>4.5</v>
      </c>
      <c r="BR57" s="24">
        <v>1767.1999999999998</v>
      </c>
      <c r="BS57" s="24">
        <v>34.300000000000004</v>
      </c>
    </row>
    <row r="58" spans="1:71" x14ac:dyDescent="0.25">
      <c r="A58" s="30" t="s">
        <v>376</v>
      </c>
      <c r="B58" s="31" t="s">
        <v>377</v>
      </c>
      <c r="C58" s="24">
        <v>10.1</v>
      </c>
      <c r="D58" s="24">
        <v>1.5000000000000002</v>
      </c>
      <c r="E58" s="24">
        <v>1.4000000000000001</v>
      </c>
      <c r="F58" s="24">
        <v>11.9</v>
      </c>
      <c r="G58" s="24">
        <v>43.1</v>
      </c>
      <c r="H58" s="24">
        <v>9.599999999999998</v>
      </c>
      <c r="I58" s="24">
        <v>7.3</v>
      </c>
      <c r="J58" s="24">
        <v>8.700000000000001</v>
      </c>
      <c r="K58" s="24">
        <v>4.5</v>
      </c>
      <c r="L58" s="24">
        <v>23.2</v>
      </c>
      <c r="M58" s="24">
        <v>24.299999999999997</v>
      </c>
      <c r="N58" s="24">
        <v>47.70000000000001</v>
      </c>
      <c r="O58" s="24">
        <v>21.8</v>
      </c>
      <c r="P58" s="24">
        <v>11.299999999999999</v>
      </c>
      <c r="Q58" s="24">
        <v>12.200000000000001</v>
      </c>
      <c r="R58" s="24">
        <v>18.599999999999998</v>
      </c>
      <c r="S58" s="24">
        <v>22.400000000000002</v>
      </c>
      <c r="T58" s="24">
        <v>17.200000000000003</v>
      </c>
      <c r="U58" s="24">
        <v>32.800000000000004</v>
      </c>
      <c r="V58" s="24">
        <v>39.60000000000001</v>
      </c>
      <c r="W58" s="24">
        <v>10.299999999999999</v>
      </c>
      <c r="X58" s="24">
        <v>13.299999999999997</v>
      </c>
      <c r="Y58" s="24">
        <v>10.099999999999998</v>
      </c>
      <c r="Z58" s="24">
        <v>16.5</v>
      </c>
      <c r="AA58" s="24">
        <v>2.2</v>
      </c>
      <c r="AB58" s="24">
        <v>14.4</v>
      </c>
      <c r="AC58" s="24">
        <v>52.100000000000016</v>
      </c>
      <c r="AD58" s="24">
        <v>14.200000000000001</v>
      </c>
      <c r="AE58" s="24">
        <v>62.90000000000001</v>
      </c>
      <c r="AF58" s="24">
        <v>24.799999999999997</v>
      </c>
      <c r="AG58" s="24">
        <v>18.900000000000002</v>
      </c>
      <c r="AH58" s="24">
        <v>15.799999999999999</v>
      </c>
      <c r="AI58" s="24">
        <v>9.599999999999998</v>
      </c>
      <c r="AJ58" s="24">
        <v>20.499999999999996</v>
      </c>
      <c r="AK58" s="24">
        <v>9.2</v>
      </c>
      <c r="AL58" s="24">
        <v>15.7</v>
      </c>
      <c r="AM58" s="24">
        <v>13.899999999999997</v>
      </c>
      <c r="AN58" s="24">
        <v>12.600000000000001</v>
      </c>
      <c r="AO58" s="24">
        <v>12.6</v>
      </c>
      <c r="AP58" s="24">
        <v>99.4</v>
      </c>
      <c r="AQ58" s="24">
        <v>9.399999999999999</v>
      </c>
      <c r="AR58" s="24">
        <v>11.199999999999998</v>
      </c>
      <c r="AS58" s="24">
        <v>12.2</v>
      </c>
      <c r="AT58" s="24">
        <v>6.5</v>
      </c>
      <c r="AU58" s="24">
        <v>40.2</v>
      </c>
      <c r="AV58" s="24">
        <v>9.399999999999999</v>
      </c>
      <c r="AW58" s="24">
        <v>26</v>
      </c>
      <c r="AX58" s="24">
        <v>6.5</v>
      </c>
      <c r="AY58" s="24">
        <v>6.3</v>
      </c>
      <c r="AZ58" s="24">
        <v>20.500000000000004</v>
      </c>
      <c r="BA58" s="24">
        <v>6.1000000000000005</v>
      </c>
      <c r="BB58" s="24">
        <v>10</v>
      </c>
      <c r="BC58" s="24">
        <v>22.900000000000002</v>
      </c>
      <c r="BD58" s="24">
        <v>25.300000000000004</v>
      </c>
      <c r="BE58" s="24">
        <v>12.8</v>
      </c>
      <c r="BF58" s="24">
        <v>447.6</v>
      </c>
      <c r="BG58" s="24">
        <v>30.6</v>
      </c>
      <c r="BH58" s="24">
        <v>7.8999999999999995</v>
      </c>
      <c r="BI58" s="24">
        <v>12.899999999999999</v>
      </c>
      <c r="BJ58" s="24">
        <v>5.2</v>
      </c>
      <c r="BK58" s="24">
        <v>2.6999999999999997</v>
      </c>
      <c r="BL58" s="24">
        <v>6.2</v>
      </c>
      <c r="BM58" s="24">
        <v>0</v>
      </c>
      <c r="BN58" s="24">
        <v>0</v>
      </c>
      <c r="BO58" s="24">
        <v>1269.5</v>
      </c>
      <c r="BP58" s="24">
        <v>569.7</v>
      </c>
      <c r="BQ58" s="24">
        <v>2.2</v>
      </c>
      <c r="BR58" s="24">
        <v>246.49999999999994</v>
      </c>
      <c r="BS58" s="24">
        <v>18.2</v>
      </c>
    </row>
    <row r="59" spans="1:71" x14ac:dyDescent="0.25">
      <c r="A59" s="30" t="s">
        <v>379</v>
      </c>
      <c r="B59" s="31" t="s">
        <v>380</v>
      </c>
      <c r="C59" s="24">
        <v>5.799999999999999</v>
      </c>
      <c r="D59" s="24">
        <v>1.6</v>
      </c>
      <c r="E59" s="24">
        <v>1.2</v>
      </c>
      <c r="F59" s="24">
        <v>2.6</v>
      </c>
      <c r="G59" s="24">
        <v>17.900000000000002</v>
      </c>
      <c r="H59" s="24">
        <v>5.399999999999999</v>
      </c>
      <c r="I59" s="24">
        <v>5.6000000000000005</v>
      </c>
      <c r="J59" s="24">
        <v>5.1</v>
      </c>
      <c r="K59" s="24">
        <v>2.8</v>
      </c>
      <c r="L59" s="24">
        <v>5.299999999999999</v>
      </c>
      <c r="M59" s="24">
        <v>10.799999999999999</v>
      </c>
      <c r="N59" s="24">
        <v>8.399999999999999</v>
      </c>
      <c r="O59" s="24">
        <v>12.1</v>
      </c>
      <c r="P59" s="24">
        <v>5.299999999999999</v>
      </c>
      <c r="Q59" s="24">
        <v>7.2</v>
      </c>
      <c r="R59" s="24">
        <v>12.2</v>
      </c>
      <c r="S59" s="24">
        <v>10.499999999999998</v>
      </c>
      <c r="T59" s="24">
        <v>9.999999999999998</v>
      </c>
      <c r="U59" s="24">
        <v>17.000000000000007</v>
      </c>
      <c r="V59" s="24">
        <v>19.100000000000005</v>
      </c>
      <c r="W59" s="24">
        <v>7.1</v>
      </c>
      <c r="X59" s="24">
        <v>7.6</v>
      </c>
      <c r="Y59" s="24">
        <v>6</v>
      </c>
      <c r="Z59" s="24">
        <v>7.599999999999999</v>
      </c>
      <c r="AA59" s="24">
        <v>1.6</v>
      </c>
      <c r="AB59" s="24">
        <v>5.299999999999999</v>
      </c>
      <c r="AC59" s="24">
        <v>25.100000000000005</v>
      </c>
      <c r="AD59" s="24">
        <v>6.3999999999999995</v>
      </c>
      <c r="AE59" s="24">
        <v>19.9</v>
      </c>
      <c r="AF59" s="24">
        <v>9.4</v>
      </c>
      <c r="AG59" s="24">
        <v>6.699999999999999</v>
      </c>
      <c r="AH59" s="24">
        <v>6.399999999999999</v>
      </c>
      <c r="AI59" s="24">
        <v>5.199999999999999</v>
      </c>
      <c r="AJ59" s="24">
        <v>6.499999999999999</v>
      </c>
      <c r="AK59" s="24">
        <v>3.5999999999999996</v>
      </c>
      <c r="AL59" s="24">
        <v>6.3999999999999995</v>
      </c>
      <c r="AM59" s="24">
        <v>5.6</v>
      </c>
      <c r="AN59" s="24">
        <v>4.5</v>
      </c>
      <c r="AO59" s="24">
        <v>5.399999999999999</v>
      </c>
      <c r="AP59" s="24">
        <v>23.500000000000004</v>
      </c>
      <c r="AQ59" s="24">
        <v>2.9</v>
      </c>
      <c r="AR59" s="24">
        <v>5.499999999999999</v>
      </c>
      <c r="AS59" s="24">
        <v>4.9</v>
      </c>
      <c r="AT59" s="24">
        <v>2.9</v>
      </c>
      <c r="AU59" s="24">
        <v>8.499999999999998</v>
      </c>
      <c r="AV59" s="24">
        <v>4.5</v>
      </c>
      <c r="AW59" s="24">
        <v>6.9</v>
      </c>
      <c r="AX59" s="24">
        <v>3.6</v>
      </c>
      <c r="AY59" s="24">
        <v>2.9000000000000004</v>
      </c>
      <c r="AZ59" s="24">
        <v>5.099999999999999</v>
      </c>
      <c r="BA59" s="24">
        <v>2.5</v>
      </c>
      <c r="BB59" s="24">
        <v>5.1</v>
      </c>
      <c r="BC59" s="24">
        <v>4.999999999999999</v>
      </c>
      <c r="BD59" s="24">
        <v>5.599999999999999</v>
      </c>
      <c r="BE59" s="24">
        <v>3.8000000000000003</v>
      </c>
      <c r="BF59" s="24">
        <v>10.2</v>
      </c>
      <c r="BG59" s="24">
        <v>5.699999999999999</v>
      </c>
      <c r="BH59" s="24">
        <v>3.9000000000000004</v>
      </c>
      <c r="BI59" s="24">
        <v>2.9000000000000004</v>
      </c>
      <c r="BJ59" s="24">
        <v>2.6</v>
      </c>
      <c r="BK59" s="24">
        <v>1.9000000000000001</v>
      </c>
      <c r="BL59" s="24">
        <v>3</v>
      </c>
      <c r="BM59" s="24">
        <v>0</v>
      </c>
      <c r="BN59" s="24">
        <v>0</v>
      </c>
      <c r="BO59" s="24">
        <v>25.9</v>
      </c>
      <c r="BP59" s="24">
        <v>54.8</v>
      </c>
      <c r="BQ59" s="24">
        <v>0.7</v>
      </c>
      <c r="BR59" s="24">
        <v>40.8</v>
      </c>
      <c r="BS59" s="24">
        <v>8.799999999999999</v>
      </c>
    </row>
    <row r="60" spans="1:71" x14ac:dyDescent="0.25">
      <c r="A60" s="30" t="s">
        <v>381</v>
      </c>
      <c r="B60" s="31" t="s">
        <v>382</v>
      </c>
      <c r="C60" s="24">
        <v>1.9000000000000004</v>
      </c>
      <c r="D60" s="24">
        <v>0.2</v>
      </c>
      <c r="E60" s="24">
        <v>0</v>
      </c>
      <c r="F60" s="24">
        <v>0.5</v>
      </c>
      <c r="G60" s="24">
        <v>15</v>
      </c>
      <c r="H60" s="24">
        <v>2.1</v>
      </c>
      <c r="I60" s="24">
        <v>2.9</v>
      </c>
      <c r="J60" s="24">
        <v>1.8</v>
      </c>
      <c r="K60" s="24">
        <v>1</v>
      </c>
      <c r="L60" s="24">
        <v>3.4</v>
      </c>
      <c r="M60" s="24">
        <v>8.499999999999998</v>
      </c>
      <c r="N60" s="24">
        <v>12</v>
      </c>
      <c r="O60" s="24">
        <v>2.8000000000000007</v>
      </c>
      <c r="P60" s="24">
        <v>2.5</v>
      </c>
      <c r="Q60" s="24">
        <v>3.2</v>
      </c>
      <c r="R60" s="24">
        <v>5.1</v>
      </c>
      <c r="S60" s="24">
        <v>4.1</v>
      </c>
      <c r="T60" s="24">
        <v>3.4000000000000004</v>
      </c>
      <c r="U60" s="24">
        <v>5.7</v>
      </c>
      <c r="V60" s="24">
        <v>7.299999999999999</v>
      </c>
      <c r="W60" s="24">
        <v>6.999999999999999</v>
      </c>
      <c r="X60" s="24">
        <v>4.1</v>
      </c>
      <c r="Y60" s="24">
        <v>1.9</v>
      </c>
      <c r="Z60" s="24">
        <v>9.499999999999996</v>
      </c>
      <c r="AA60" s="24">
        <v>0.30000000000000004</v>
      </c>
      <c r="AB60" s="24">
        <v>3.3000000000000007</v>
      </c>
      <c r="AC60" s="24">
        <v>15.399999999999999</v>
      </c>
      <c r="AD60" s="24">
        <v>6.1</v>
      </c>
      <c r="AE60" s="24">
        <v>45.7</v>
      </c>
      <c r="AF60" s="24">
        <v>14.399999999999999</v>
      </c>
      <c r="AG60" s="24">
        <v>4.3999999999999995</v>
      </c>
      <c r="AH60" s="24">
        <v>3.9000000000000004</v>
      </c>
      <c r="AI60" s="24">
        <v>4.8999999999999995</v>
      </c>
      <c r="AJ60" s="24">
        <v>7</v>
      </c>
      <c r="AK60" s="24">
        <v>1.9000000000000004</v>
      </c>
      <c r="AL60" s="24">
        <v>126.8</v>
      </c>
      <c r="AM60" s="24">
        <v>40.6</v>
      </c>
      <c r="AN60" s="24">
        <v>234.5</v>
      </c>
      <c r="AO60" s="24">
        <v>12.7</v>
      </c>
      <c r="AP60" s="24">
        <v>102.29999999999998</v>
      </c>
      <c r="AQ60" s="24">
        <v>14.899999999999999</v>
      </c>
      <c r="AR60" s="24">
        <v>5.6</v>
      </c>
      <c r="AS60" s="24">
        <v>6.6000000000000005</v>
      </c>
      <c r="AT60" s="24">
        <v>4.8999999999999995</v>
      </c>
      <c r="AU60" s="24">
        <v>41.80000000000002</v>
      </c>
      <c r="AV60" s="24">
        <v>7.3999999999999995</v>
      </c>
      <c r="AW60" s="24">
        <v>7.1</v>
      </c>
      <c r="AX60" s="24">
        <v>8.299999999999999</v>
      </c>
      <c r="AY60" s="24">
        <v>14.799999999999997</v>
      </c>
      <c r="AZ60" s="24">
        <v>16.099999999999994</v>
      </c>
      <c r="BA60" s="24">
        <v>4.899999999999999</v>
      </c>
      <c r="BB60" s="24">
        <v>64.9</v>
      </c>
      <c r="BC60" s="24">
        <v>29.100000000000005</v>
      </c>
      <c r="BD60" s="24">
        <v>37.1</v>
      </c>
      <c r="BE60" s="24">
        <v>16.7</v>
      </c>
      <c r="BF60" s="24">
        <v>8.299999999999999</v>
      </c>
      <c r="BG60" s="24">
        <v>9.399999999999999</v>
      </c>
      <c r="BH60" s="24">
        <v>348.59999999999997</v>
      </c>
      <c r="BI60" s="24">
        <v>28.7</v>
      </c>
      <c r="BJ60" s="24">
        <v>19.099999999999998</v>
      </c>
      <c r="BK60" s="24">
        <v>0.5</v>
      </c>
      <c r="BL60" s="24">
        <v>2.2</v>
      </c>
      <c r="BM60" s="24">
        <v>0</v>
      </c>
      <c r="BN60" s="24">
        <v>0</v>
      </c>
      <c r="BO60" s="24">
        <v>147.4</v>
      </c>
      <c r="BP60" s="24">
        <v>1365.1999999999998</v>
      </c>
      <c r="BQ60" s="24">
        <v>2.1</v>
      </c>
      <c r="BR60" s="24">
        <v>176.2</v>
      </c>
      <c r="BS60" s="24">
        <v>604.9</v>
      </c>
    </row>
    <row r="61" spans="1:71" x14ac:dyDescent="0.25">
      <c r="A61" s="30" t="s">
        <v>384</v>
      </c>
      <c r="B61" s="31" t="s">
        <v>385</v>
      </c>
      <c r="C61" s="24">
        <v>6.1</v>
      </c>
      <c r="D61" s="24">
        <v>1.2</v>
      </c>
      <c r="E61" s="24">
        <v>1.8000000000000003</v>
      </c>
      <c r="F61" s="24">
        <v>2.4000000000000004</v>
      </c>
      <c r="G61" s="24">
        <v>27.400000000000002</v>
      </c>
      <c r="H61" s="24">
        <v>6.1</v>
      </c>
      <c r="I61" s="24">
        <v>7.099999999999999</v>
      </c>
      <c r="J61" s="24">
        <v>5</v>
      </c>
      <c r="K61" s="24">
        <v>3.4000000000000004</v>
      </c>
      <c r="L61" s="24">
        <v>6.8</v>
      </c>
      <c r="M61" s="24">
        <v>12.299999999999999</v>
      </c>
      <c r="N61" s="24">
        <v>27.3</v>
      </c>
      <c r="O61" s="24">
        <v>7.599999999999998</v>
      </c>
      <c r="P61" s="24">
        <v>6.1</v>
      </c>
      <c r="Q61" s="24">
        <v>6.399999999999999</v>
      </c>
      <c r="R61" s="24">
        <v>8.199999999999998</v>
      </c>
      <c r="S61" s="24">
        <v>9.799999999999999</v>
      </c>
      <c r="T61" s="24">
        <v>7.499999999999998</v>
      </c>
      <c r="U61" s="24">
        <v>9</v>
      </c>
      <c r="V61" s="24">
        <v>11.299999999999997</v>
      </c>
      <c r="W61" s="24">
        <v>6.3999999999999995</v>
      </c>
      <c r="X61" s="24">
        <v>10</v>
      </c>
      <c r="Y61" s="24">
        <v>5.300000000000001</v>
      </c>
      <c r="Z61" s="24">
        <v>9.7</v>
      </c>
      <c r="AA61" s="24">
        <v>1.8000000000000003</v>
      </c>
      <c r="AB61" s="24">
        <v>5.5</v>
      </c>
      <c r="AC61" s="24">
        <v>18.4</v>
      </c>
      <c r="AD61" s="24">
        <v>8.099999999999998</v>
      </c>
      <c r="AE61" s="24">
        <v>25.099999999999998</v>
      </c>
      <c r="AF61" s="24">
        <v>17.199999999999996</v>
      </c>
      <c r="AG61" s="24">
        <v>7.899999999999999</v>
      </c>
      <c r="AH61" s="24">
        <v>6.500000000000001</v>
      </c>
      <c r="AI61" s="24">
        <v>6.1</v>
      </c>
      <c r="AJ61" s="24">
        <v>9.6</v>
      </c>
      <c r="AK61" s="24">
        <v>2.7</v>
      </c>
      <c r="AL61" s="24">
        <v>18.799999999999997</v>
      </c>
      <c r="AM61" s="24">
        <v>10.2</v>
      </c>
      <c r="AN61" s="24">
        <v>29.7</v>
      </c>
      <c r="AO61" s="24">
        <v>10.6</v>
      </c>
      <c r="AP61" s="24">
        <v>59.2</v>
      </c>
      <c r="AQ61" s="24">
        <v>5.6</v>
      </c>
      <c r="AR61" s="24">
        <v>6.199999999999999</v>
      </c>
      <c r="AS61" s="24">
        <v>5.8</v>
      </c>
      <c r="AT61" s="24">
        <v>4.300000000000001</v>
      </c>
      <c r="AU61" s="24">
        <v>33.20000000000002</v>
      </c>
      <c r="AV61" s="24">
        <v>7.499999999999999</v>
      </c>
      <c r="AW61" s="24">
        <v>10.7</v>
      </c>
      <c r="AX61" s="24">
        <v>15.799999999999999</v>
      </c>
      <c r="AY61" s="24">
        <v>5.3999999999999995</v>
      </c>
      <c r="AZ61" s="24">
        <v>11.1</v>
      </c>
      <c r="BA61" s="24">
        <v>3.5000000000000004</v>
      </c>
      <c r="BB61" s="24">
        <v>138.1</v>
      </c>
      <c r="BC61" s="24">
        <v>14</v>
      </c>
      <c r="BD61" s="24">
        <v>89.9</v>
      </c>
      <c r="BE61" s="24">
        <v>6.8999999999999995</v>
      </c>
      <c r="BF61" s="24">
        <v>9.2</v>
      </c>
      <c r="BG61" s="24">
        <v>6.699999999999999</v>
      </c>
      <c r="BH61" s="24">
        <v>23.799999999999997</v>
      </c>
      <c r="BI61" s="24">
        <v>81.60000000000002</v>
      </c>
      <c r="BJ61" s="24">
        <v>7.299999999999999</v>
      </c>
      <c r="BK61" s="24">
        <v>2.8</v>
      </c>
      <c r="BL61" s="24">
        <v>5.1</v>
      </c>
      <c r="BM61" s="24">
        <v>0</v>
      </c>
      <c r="BN61" s="24">
        <v>0</v>
      </c>
      <c r="BO61" s="24">
        <v>25.700000000000003</v>
      </c>
      <c r="BP61" s="24">
        <v>242.7</v>
      </c>
      <c r="BQ61" s="24">
        <v>4.300000000000001</v>
      </c>
      <c r="BR61" s="24">
        <v>76.5</v>
      </c>
      <c r="BS61" s="24">
        <v>22.9</v>
      </c>
    </row>
    <row r="62" spans="1:71" x14ac:dyDescent="0.25">
      <c r="A62" s="30" t="s">
        <v>386</v>
      </c>
      <c r="B62" s="31" t="s">
        <v>387</v>
      </c>
      <c r="C62" s="24">
        <v>0.7999999999999999</v>
      </c>
      <c r="D62" s="24">
        <v>0.2</v>
      </c>
      <c r="E62" s="24">
        <v>0.2</v>
      </c>
      <c r="F62" s="24">
        <v>0.2</v>
      </c>
      <c r="G62" s="24">
        <v>3.7</v>
      </c>
      <c r="H62" s="24">
        <v>2.5999999999999996</v>
      </c>
      <c r="I62" s="24">
        <v>0.4</v>
      </c>
      <c r="J62" s="24">
        <v>0.7</v>
      </c>
      <c r="K62" s="24">
        <v>0.4</v>
      </c>
      <c r="L62" s="24">
        <v>0.9999999999999999</v>
      </c>
      <c r="M62" s="24">
        <v>2.2</v>
      </c>
      <c r="N62" s="24">
        <v>3.1000000000000005</v>
      </c>
      <c r="O62" s="24">
        <v>1.2000000000000002</v>
      </c>
      <c r="P62" s="24">
        <v>0.8999999999999999</v>
      </c>
      <c r="Q62" s="24">
        <v>1.2000000000000002</v>
      </c>
      <c r="R62" s="24">
        <v>1.4000000000000004</v>
      </c>
      <c r="S62" s="24">
        <v>1.5000000000000002</v>
      </c>
      <c r="T62" s="24">
        <v>1.1</v>
      </c>
      <c r="U62" s="24">
        <v>1.5000000000000004</v>
      </c>
      <c r="V62" s="24">
        <v>2</v>
      </c>
      <c r="W62" s="24">
        <v>0.7999999999999999</v>
      </c>
      <c r="X62" s="24">
        <v>1.2000000000000002</v>
      </c>
      <c r="Y62" s="24">
        <v>0.6</v>
      </c>
      <c r="Z62" s="24">
        <v>1.9000000000000004</v>
      </c>
      <c r="AA62" s="24">
        <v>0.2</v>
      </c>
      <c r="AB62" s="24">
        <v>0.7999999999999999</v>
      </c>
      <c r="AC62" s="24">
        <v>2.8000000000000003</v>
      </c>
      <c r="AD62" s="24">
        <v>1.2000000000000002</v>
      </c>
      <c r="AE62" s="24">
        <v>5.4</v>
      </c>
      <c r="AF62" s="24">
        <v>3.4</v>
      </c>
      <c r="AG62" s="24">
        <v>1.8</v>
      </c>
      <c r="AH62" s="24">
        <v>7.2</v>
      </c>
      <c r="AI62" s="24">
        <v>1.7000000000000002</v>
      </c>
      <c r="AJ62" s="24">
        <v>4.699999999999999</v>
      </c>
      <c r="AK62" s="24">
        <v>0.5</v>
      </c>
      <c r="AL62" s="24">
        <v>1.3000000000000003</v>
      </c>
      <c r="AM62" s="24">
        <v>1.5000000000000002</v>
      </c>
      <c r="AN62" s="24">
        <v>1.4000000000000004</v>
      </c>
      <c r="AO62" s="24">
        <v>1.4</v>
      </c>
      <c r="AP62" s="24">
        <v>13.399999999999997</v>
      </c>
      <c r="AQ62" s="24">
        <v>1</v>
      </c>
      <c r="AR62" s="24">
        <v>0.9</v>
      </c>
      <c r="AS62" s="24">
        <v>1.2000000000000002</v>
      </c>
      <c r="AT62" s="24">
        <v>0.4</v>
      </c>
      <c r="AU62" s="24">
        <v>5.4</v>
      </c>
      <c r="AV62" s="24">
        <v>0.9999999999999999</v>
      </c>
      <c r="AW62" s="24">
        <v>0.9</v>
      </c>
      <c r="AX62" s="24">
        <v>1.2000000000000002</v>
      </c>
      <c r="AY62" s="24">
        <v>0.6</v>
      </c>
      <c r="AZ62" s="24">
        <v>1.1</v>
      </c>
      <c r="BA62" s="24">
        <v>0.4</v>
      </c>
      <c r="BB62" s="24">
        <v>1.5</v>
      </c>
      <c r="BC62" s="24">
        <v>1.6000000000000005</v>
      </c>
      <c r="BD62" s="24">
        <v>1.3</v>
      </c>
      <c r="BE62" s="24">
        <v>0.7999999999999999</v>
      </c>
      <c r="BF62" s="24">
        <v>1.8000000000000003</v>
      </c>
      <c r="BG62" s="24">
        <v>0.6</v>
      </c>
      <c r="BH62" s="24">
        <v>1.5</v>
      </c>
      <c r="BI62" s="24">
        <v>0.5</v>
      </c>
      <c r="BJ62" s="24">
        <v>0.9999999999999999</v>
      </c>
      <c r="BK62" s="24">
        <v>0.2</v>
      </c>
      <c r="BL62" s="24">
        <v>0.5</v>
      </c>
      <c r="BM62" s="24">
        <v>0</v>
      </c>
      <c r="BN62" s="24">
        <v>0</v>
      </c>
      <c r="BO62" s="24">
        <v>1.2</v>
      </c>
      <c r="BP62" s="24">
        <v>16</v>
      </c>
      <c r="BQ62" s="24">
        <v>0.8999999999999999</v>
      </c>
      <c r="BR62" s="24">
        <v>9.1</v>
      </c>
      <c r="BS62" s="24">
        <v>2.1</v>
      </c>
    </row>
    <row r="63" spans="1:71" x14ac:dyDescent="0.25">
      <c r="A63" s="30" t="s">
        <v>389</v>
      </c>
      <c r="B63" s="31" t="s">
        <v>390</v>
      </c>
      <c r="C63" s="24">
        <v>1.9000000000000001</v>
      </c>
      <c r="D63" s="24">
        <v>0.1</v>
      </c>
      <c r="E63" s="24">
        <v>0.1</v>
      </c>
      <c r="F63" s="24">
        <v>0.6</v>
      </c>
      <c r="G63" s="24">
        <v>7.8999999999999995</v>
      </c>
      <c r="H63" s="24">
        <v>1.9000000000000004</v>
      </c>
      <c r="I63" s="24">
        <v>1</v>
      </c>
      <c r="J63" s="24">
        <v>1.2</v>
      </c>
      <c r="K63" s="24">
        <v>0.5</v>
      </c>
      <c r="L63" s="24">
        <v>1.9000000000000004</v>
      </c>
      <c r="M63" s="24">
        <v>4.3999999999999995</v>
      </c>
      <c r="N63" s="24">
        <v>3.8000000000000007</v>
      </c>
      <c r="O63" s="24">
        <v>2.4</v>
      </c>
      <c r="P63" s="24">
        <v>1.8</v>
      </c>
      <c r="Q63" s="24">
        <v>2.4</v>
      </c>
      <c r="R63" s="24">
        <v>2.8000000000000003</v>
      </c>
      <c r="S63" s="24">
        <v>3.8</v>
      </c>
      <c r="T63" s="24">
        <v>2.9</v>
      </c>
      <c r="U63" s="24">
        <v>4.3999999999999995</v>
      </c>
      <c r="V63" s="24">
        <v>5.1000000000000005</v>
      </c>
      <c r="W63" s="24">
        <v>1.6</v>
      </c>
      <c r="X63" s="24">
        <v>2.8000000000000003</v>
      </c>
      <c r="Y63" s="24">
        <v>1.8</v>
      </c>
      <c r="Z63" s="24">
        <v>4</v>
      </c>
      <c r="AA63" s="24">
        <v>0.4</v>
      </c>
      <c r="AB63" s="24">
        <v>1.6</v>
      </c>
      <c r="AC63" s="24">
        <v>5.3</v>
      </c>
      <c r="AD63" s="24">
        <v>1.5000000000000002</v>
      </c>
      <c r="AE63" s="24">
        <v>15.399999999999999</v>
      </c>
      <c r="AF63" s="24">
        <v>5.3</v>
      </c>
      <c r="AG63" s="24">
        <v>2.2</v>
      </c>
      <c r="AH63" s="24">
        <v>2.7</v>
      </c>
      <c r="AI63" s="24">
        <v>4.4</v>
      </c>
      <c r="AJ63" s="24">
        <v>2.9000000000000004</v>
      </c>
      <c r="AK63" s="24">
        <v>0.5</v>
      </c>
      <c r="AL63" s="24">
        <v>3.8000000000000007</v>
      </c>
      <c r="AM63" s="24">
        <v>3.1000000000000005</v>
      </c>
      <c r="AN63" s="24">
        <v>1.4</v>
      </c>
      <c r="AO63" s="24">
        <v>2.6</v>
      </c>
      <c r="AP63" s="24">
        <v>23.7</v>
      </c>
      <c r="AQ63" s="24">
        <v>1.6</v>
      </c>
      <c r="AR63" s="24">
        <v>1.1</v>
      </c>
      <c r="AS63" s="24">
        <v>1.7</v>
      </c>
      <c r="AT63" s="24">
        <v>0.8999999999999999</v>
      </c>
      <c r="AU63" s="24">
        <v>7.199999999999999</v>
      </c>
      <c r="AV63" s="24">
        <v>1.6</v>
      </c>
      <c r="AW63" s="24">
        <v>1.2000000000000002</v>
      </c>
      <c r="AX63" s="24">
        <v>1.4000000000000001</v>
      </c>
      <c r="AY63" s="24">
        <v>0.7</v>
      </c>
      <c r="AZ63" s="24">
        <v>2.4</v>
      </c>
      <c r="BA63" s="24">
        <v>0.6</v>
      </c>
      <c r="BB63" s="24">
        <v>1</v>
      </c>
      <c r="BC63" s="24">
        <v>3.3000000000000003</v>
      </c>
      <c r="BD63" s="24">
        <v>3.0999999999999996</v>
      </c>
      <c r="BE63" s="24">
        <v>1.6</v>
      </c>
      <c r="BF63" s="24">
        <v>4.300000000000001</v>
      </c>
      <c r="BG63" s="24">
        <v>1.0999999999999999</v>
      </c>
      <c r="BH63" s="24">
        <v>1.3</v>
      </c>
      <c r="BI63" s="24">
        <v>0.6</v>
      </c>
      <c r="BJ63" s="24">
        <v>0.5</v>
      </c>
      <c r="BK63" s="24">
        <v>0.5</v>
      </c>
      <c r="BL63" s="24">
        <v>0.5</v>
      </c>
      <c r="BM63" s="24">
        <v>0</v>
      </c>
      <c r="BN63" s="24">
        <v>0</v>
      </c>
      <c r="BO63" s="24">
        <v>1.2</v>
      </c>
      <c r="BP63" s="24">
        <v>28.3</v>
      </c>
      <c r="BQ63" s="24">
        <v>0.1</v>
      </c>
      <c r="BR63" s="24">
        <v>12.299999999999997</v>
      </c>
      <c r="BS63" s="24">
        <v>-348.5</v>
      </c>
    </row>
    <row r="64" spans="1:71" x14ac:dyDescent="0.25">
      <c r="A64" s="30" t="s">
        <v>391</v>
      </c>
      <c r="B64" s="31" t="s">
        <v>392</v>
      </c>
      <c r="C64" s="24">
        <v>5.1000000000000005</v>
      </c>
      <c r="D64" s="24">
        <v>1.9</v>
      </c>
      <c r="E64" s="24">
        <v>1.1</v>
      </c>
      <c r="F64" s="24">
        <v>2.9</v>
      </c>
      <c r="G64" s="24">
        <v>16.9</v>
      </c>
      <c r="H64" s="24">
        <v>4.800000000000001</v>
      </c>
      <c r="I64" s="24">
        <v>3.7</v>
      </c>
      <c r="J64" s="24">
        <v>4.6</v>
      </c>
      <c r="K64" s="24">
        <v>3.2</v>
      </c>
      <c r="L64" s="24">
        <v>7.700000000000001</v>
      </c>
      <c r="M64" s="24">
        <v>10.099999999999998</v>
      </c>
      <c r="N64" s="24">
        <v>8.599999999999998</v>
      </c>
      <c r="O64" s="24">
        <v>7.3999999999999995</v>
      </c>
      <c r="P64" s="24">
        <v>5.700000000000001</v>
      </c>
      <c r="Q64" s="24">
        <v>8.1</v>
      </c>
      <c r="R64" s="24">
        <v>8.100000000000001</v>
      </c>
      <c r="S64" s="24">
        <v>8.7</v>
      </c>
      <c r="T64" s="24">
        <v>6.300000000000001</v>
      </c>
      <c r="U64" s="24">
        <v>8.799999999999999</v>
      </c>
      <c r="V64" s="24">
        <v>9.5</v>
      </c>
      <c r="W64" s="24">
        <v>4.5</v>
      </c>
      <c r="X64" s="24">
        <v>101.4</v>
      </c>
      <c r="Y64" s="24">
        <v>4.6</v>
      </c>
      <c r="Z64" s="24">
        <v>9.3</v>
      </c>
      <c r="AA64" s="24">
        <v>1.9</v>
      </c>
      <c r="AB64" s="24">
        <v>8</v>
      </c>
      <c r="AC64" s="24">
        <v>10.2</v>
      </c>
      <c r="AD64" s="24">
        <v>6.200000000000001</v>
      </c>
      <c r="AE64" s="24">
        <v>27.200000000000003</v>
      </c>
      <c r="AF64" s="24">
        <v>12</v>
      </c>
      <c r="AG64" s="24">
        <v>8.6</v>
      </c>
      <c r="AH64" s="24">
        <v>18</v>
      </c>
      <c r="AI64" s="24">
        <v>9.9</v>
      </c>
      <c r="AJ64" s="24">
        <v>12.799999999999997</v>
      </c>
      <c r="AK64" s="24">
        <v>4.7</v>
      </c>
      <c r="AL64" s="24">
        <v>29.4</v>
      </c>
      <c r="AM64" s="24">
        <v>8.399999999999999</v>
      </c>
      <c r="AN64" s="24">
        <v>5.5</v>
      </c>
      <c r="AO64" s="24">
        <v>5.4</v>
      </c>
      <c r="AP64" s="24">
        <v>21.60000000000001</v>
      </c>
      <c r="AQ64" s="24">
        <v>3</v>
      </c>
      <c r="AR64" s="24">
        <v>5.800000000000001</v>
      </c>
      <c r="AS64" s="24">
        <v>4.6</v>
      </c>
      <c r="AT64" s="24">
        <v>3.8000000000000007</v>
      </c>
      <c r="AU64" s="24">
        <v>12.099999999999998</v>
      </c>
      <c r="AV64" s="24">
        <v>5.200000000000001</v>
      </c>
      <c r="AW64" s="24">
        <v>5.300000000000001</v>
      </c>
      <c r="AX64" s="24">
        <v>5.2</v>
      </c>
      <c r="AY64" s="24">
        <v>3.7</v>
      </c>
      <c r="AZ64" s="24">
        <v>9.100000000000001</v>
      </c>
      <c r="BA64" s="24">
        <v>4.2</v>
      </c>
      <c r="BB64" s="24">
        <v>82.6</v>
      </c>
      <c r="BC64" s="24">
        <v>7.6000000000000005</v>
      </c>
      <c r="BD64" s="24">
        <v>10.399999999999999</v>
      </c>
      <c r="BE64" s="24">
        <v>6.6</v>
      </c>
      <c r="BF64" s="24">
        <v>44.5</v>
      </c>
      <c r="BG64" s="24">
        <v>8</v>
      </c>
      <c r="BH64" s="24">
        <v>7.2</v>
      </c>
      <c r="BI64" s="24">
        <v>5.6</v>
      </c>
      <c r="BJ64" s="24">
        <v>7.1000000000000005</v>
      </c>
      <c r="BK64" s="24">
        <v>1.6</v>
      </c>
      <c r="BL64" s="24">
        <v>49.900000000000006</v>
      </c>
      <c r="BM64" s="24">
        <v>0</v>
      </c>
      <c r="BN64" s="24">
        <v>0</v>
      </c>
      <c r="BO64" s="24">
        <v>13.5</v>
      </c>
      <c r="BP64" s="24">
        <v>962</v>
      </c>
      <c r="BQ64" s="24">
        <v>2</v>
      </c>
      <c r="BR64" s="24">
        <v>11.7</v>
      </c>
      <c r="BS64" s="24">
        <v>10.6</v>
      </c>
    </row>
    <row r="65" spans="1:71" x14ac:dyDescent="0.25">
      <c r="A65" s="30" t="s">
        <v>393</v>
      </c>
      <c r="B65" s="31" t="s">
        <v>394</v>
      </c>
      <c r="C65" s="24">
        <v>0.1</v>
      </c>
      <c r="D65" s="24">
        <v>0</v>
      </c>
      <c r="E65" s="24">
        <v>0</v>
      </c>
      <c r="F65" s="24">
        <v>0</v>
      </c>
      <c r="G65" s="24">
        <v>0.1</v>
      </c>
      <c r="H65" s="24">
        <v>0</v>
      </c>
      <c r="I65" s="24">
        <v>0</v>
      </c>
      <c r="J65" s="24">
        <v>0</v>
      </c>
      <c r="K65" s="24">
        <v>0</v>
      </c>
      <c r="L65" s="24">
        <v>0.1</v>
      </c>
      <c r="M65" s="24">
        <v>0.1</v>
      </c>
      <c r="N65" s="24">
        <v>0.1</v>
      </c>
      <c r="O65" s="24">
        <v>0.1</v>
      </c>
      <c r="P65" s="24">
        <v>0</v>
      </c>
      <c r="Q65" s="24">
        <v>0.1</v>
      </c>
      <c r="R65" s="24">
        <v>0.1</v>
      </c>
      <c r="S65" s="24">
        <v>0</v>
      </c>
      <c r="T65" s="24">
        <v>0</v>
      </c>
      <c r="U65" s="24">
        <v>0</v>
      </c>
      <c r="V65" s="24">
        <v>0</v>
      </c>
      <c r="W65" s="24">
        <v>0</v>
      </c>
      <c r="X65" s="24">
        <v>0.3</v>
      </c>
      <c r="Y65" s="24">
        <v>0</v>
      </c>
      <c r="Z65" s="24">
        <v>0.1</v>
      </c>
      <c r="AA65" s="24">
        <v>0</v>
      </c>
      <c r="AB65" s="24">
        <v>0.1</v>
      </c>
      <c r="AC65" s="24">
        <v>0</v>
      </c>
      <c r="AD65" s="24">
        <v>0</v>
      </c>
      <c r="AE65" s="24">
        <v>0</v>
      </c>
      <c r="AF65" s="24">
        <v>0</v>
      </c>
      <c r="AG65" s="24">
        <v>0</v>
      </c>
      <c r="AH65" s="24">
        <v>0</v>
      </c>
      <c r="AI65" s="24">
        <v>0</v>
      </c>
      <c r="AJ65" s="24">
        <v>0.1</v>
      </c>
      <c r="AK65" s="24">
        <v>0</v>
      </c>
      <c r="AL65" s="24">
        <v>0.1</v>
      </c>
      <c r="AM65" s="24">
        <v>0</v>
      </c>
      <c r="AN65" s="24">
        <v>0</v>
      </c>
      <c r="AO65" s="24">
        <v>0</v>
      </c>
      <c r="AP65" s="24">
        <v>0</v>
      </c>
      <c r="AQ65" s="24">
        <v>0</v>
      </c>
      <c r="AR65" s="24">
        <v>0</v>
      </c>
      <c r="AS65" s="24">
        <v>0</v>
      </c>
      <c r="AT65" s="24">
        <v>0</v>
      </c>
      <c r="AU65" s="24">
        <v>0</v>
      </c>
      <c r="AV65" s="24">
        <v>0</v>
      </c>
      <c r="AW65" s="24">
        <v>0</v>
      </c>
      <c r="AX65" s="24">
        <v>0</v>
      </c>
      <c r="AY65" s="24">
        <v>0</v>
      </c>
      <c r="AZ65" s="24">
        <v>0</v>
      </c>
      <c r="BA65" s="24">
        <v>0</v>
      </c>
      <c r="BB65" s="24">
        <v>0.2</v>
      </c>
      <c r="BC65" s="24">
        <v>0</v>
      </c>
      <c r="BD65" s="24">
        <v>0</v>
      </c>
      <c r="BE65" s="24">
        <v>0</v>
      </c>
      <c r="BF65" s="24">
        <v>0.2</v>
      </c>
      <c r="BG65" s="24">
        <v>0</v>
      </c>
      <c r="BH65" s="24">
        <v>0</v>
      </c>
      <c r="BI65" s="24">
        <v>0</v>
      </c>
      <c r="BJ65" s="24">
        <v>0</v>
      </c>
      <c r="BK65" s="24">
        <v>0</v>
      </c>
      <c r="BL65" s="24">
        <v>0.1</v>
      </c>
      <c r="BM65" s="24">
        <v>0</v>
      </c>
      <c r="BN65" s="24">
        <v>0</v>
      </c>
      <c r="BO65" s="24">
        <v>0.1</v>
      </c>
      <c r="BP65" s="24">
        <v>3.3</v>
      </c>
      <c r="BQ65" s="24">
        <v>0</v>
      </c>
      <c r="BR65" s="24">
        <v>0.1</v>
      </c>
      <c r="BS65" s="24">
        <v>0.2</v>
      </c>
    </row>
    <row r="66" spans="1:71" x14ac:dyDescent="0.25">
      <c r="A66" s="30" t="s">
        <v>395</v>
      </c>
      <c r="B66" s="31" t="s">
        <v>396</v>
      </c>
      <c r="C66" s="24">
        <v>0</v>
      </c>
      <c r="D66" s="24">
        <v>0</v>
      </c>
      <c r="E66" s="24">
        <v>0</v>
      </c>
      <c r="F66" s="24">
        <v>0</v>
      </c>
      <c r="G66" s="24">
        <v>0</v>
      </c>
      <c r="H66" s="24">
        <v>0</v>
      </c>
      <c r="I66" s="24">
        <v>0</v>
      </c>
      <c r="J66" s="24">
        <v>0</v>
      </c>
      <c r="K66" s="24">
        <v>0</v>
      </c>
      <c r="L66" s="24">
        <v>0</v>
      </c>
      <c r="M66" s="24">
        <v>0</v>
      </c>
      <c r="N66" s="24">
        <v>0</v>
      </c>
      <c r="O66" s="24">
        <v>0</v>
      </c>
      <c r="P66" s="24">
        <v>0</v>
      </c>
      <c r="Q66" s="24">
        <v>0</v>
      </c>
      <c r="R66" s="24">
        <v>0</v>
      </c>
      <c r="S66" s="24">
        <v>0</v>
      </c>
      <c r="T66" s="24">
        <v>0</v>
      </c>
      <c r="U66" s="24">
        <v>0</v>
      </c>
      <c r="V66" s="24">
        <v>0</v>
      </c>
      <c r="W66" s="24">
        <v>0</v>
      </c>
      <c r="X66" s="24">
        <v>0</v>
      </c>
      <c r="Y66" s="24">
        <v>0</v>
      </c>
      <c r="Z66" s="24">
        <v>0</v>
      </c>
      <c r="AA66" s="24">
        <v>0</v>
      </c>
      <c r="AB66" s="24">
        <v>0</v>
      </c>
      <c r="AC66" s="24">
        <v>0</v>
      </c>
      <c r="AD66" s="24">
        <v>0</v>
      </c>
      <c r="AE66" s="24">
        <v>0</v>
      </c>
      <c r="AF66" s="24">
        <v>0</v>
      </c>
      <c r="AG66" s="24">
        <v>0</v>
      </c>
      <c r="AH66" s="24">
        <v>0</v>
      </c>
      <c r="AI66" s="24">
        <v>0</v>
      </c>
      <c r="AJ66" s="24">
        <v>0</v>
      </c>
      <c r="AK66" s="24">
        <v>0</v>
      </c>
      <c r="AL66" s="24">
        <v>0</v>
      </c>
      <c r="AM66" s="24">
        <v>0</v>
      </c>
      <c r="AN66" s="24">
        <v>0</v>
      </c>
      <c r="AO66" s="24">
        <v>0</v>
      </c>
      <c r="AP66" s="24">
        <v>0</v>
      </c>
      <c r="AQ66" s="24">
        <v>0</v>
      </c>
      <c r="AR66" s="24">
        <v>0</v>
      </c>
      <c r="AS66" s="24">
        <v>0</v>
      </c>
      <c r="AT66" s="24">
        <v>0</v>
      </c>
      <c r="AU66" s="24">
        <v>0</v>
      </c>
      <c r="AV66" s="24">
        <v>0</v>
      </c>
      <c r="AW66" s="24">
        <v>0</v>
      </c>
      <c r="AX66" s="24">
        <v>0</v>
      </c>
      <c r="AY66" s="24">
        <v>0</v>
      </c>
      <c r="AZ66" s="24">
        <v>0</v>
      </c>
      <c r="BA66" s="24">
        <v>0</v>
      </c>
      <c r="BB66" s="24">
        <v>0</v>
      </c>
      <c r="BC66" s="24">
        <v>0</v>
      </c>
      <c r="BD66" s="24">
        <v>0</v>
      </c>
      <c r="BE66" s="24">
        <v>0</v>
      </c>
      <c r="BF66" s="24">
        <v>0</v>
      </c>
      <c r="BG66" s="24">
        <v>0</v>
      </c>
      <c r="BH66" s="24">
        <v>0</v>
      </c>
      <c r="BI66" s="24">
        <v>0</v>
      </c>
      <c r="BJ66" s="24">
        <v>0</v>
      </c>
      <c r="BK66" s="24">
        <v>0</v>
      </c>
      <c r="BL66" s="24">
        <v>0</v>
      </c>
      <c r="BM66" s="24">
        <v>0</v>
      </c>
      <c r="BN66" s="24">
        <v>0</v>
      </c>
      <c r="BO66" s="24">
        <v>0</v>
      </c>
      <c r="BP66" s="24">
        <v>0</v>
      </c>
      <c r="BQ66" s="24">
        <v>0</v>
      </c>
      <c r="BR66" s="24">
        <v>0</v>
      </c>
      <c r="BS66" s="24">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422</v>
      </c>
      <c r="B1" s="27"/>
      <c r="C1" s="32" t="s">
        <v>273</v>
      </c>
      <c r="D1" s="32" t="s">
        <v>276</v>
      </c>
      <c r="E1" s="32" t="s">
        <v>278</v>
      </c>
      <c r="F1" s="32" t="s">
        <v>280</v>
      </c>
      <c r="G1" s="32" t="s">
        <v>282</v>
      </c>
      <c r="H1" s="32" t="s">
        <v>145</v>
      </c>
      <c r="I1" s="32" t="s">
        <v>85</v>
      </c>
      <c r="J1" s="32" t="s">
        <v>87</v>
      </c>
      <c r="K1" s="32" t="s">
        <v>89</v>
      </c>
      <c r="L1" s="32" t="s">
        <v>91</v>
      </c>
      <c r="M1" s="32" t="s">
        <v>93</v>
      </c>
      <c r="N1" s="32" t="s">
        <v>95</v>
      </c>
      <c r="O1" s="32" t="s">
        <v>97</v>
      </c>
      <c r="P1" s="32" t="s">
        <v>99</v>
      </c>
      <c r="Q1" s="32" t="s">
        <v>101</v>
      </c>
      <c r="R1" s="32" t="s">
        <v>103</v>
      </c>
      <c r="S1" s="32" t="s">
        <v>105</v>
      </c>
      <c r="T1" s="32" t="s">
        <v>107</v>
      </c>
      <c r="U1" s="32" t="s">
        <v>109</v>
      </c>
      <c r="V1" s="32" t="s">
        <v>111</v>
      </c>
      <c r="W1" s="32" t="s">
        <v>113</v>
      </c>
      <c r="X1" s="32" t="s">
        <v>301</v>
      </c>
      <c r="Y1" s="32" t="s">
        <v>119</v>
      </c>
      <c r="Z1" s="32" t="s">
        <v>304</v>
      </c>
      <c r="AA1" s="32" t="s">
        <v>307</v>
      </c>
      <c r="AB1" s="32" t="s">
        <v>310</v>
      </c>
      <c r="AC1" s="32" t="s">
        <v>312</v>
      </c>
      <c r="AD1" s="32" t="s">
        <v>314</v>
      </c>
      <c r="AE1" s="32" t="s">
        <v>317</v>
      </c>
      <c r="AF1" s="32" t="s">
        <v>319</v>
      </c>
      <c r="AG1" s="32" t="s">
        <v>321</v>
      </c>
      <c r="AH1" s="32" t="s">
        <v>134</v>
      </c>
      <c r="AI1" s="32" t="s">
        <v>137</v>
      </c>
      <c r="AJ1" s="32" t="s">
        <v>326</v>
      </c>
      <c r="AK1" s="32" t="s">
        <v>328</v>
      </c>
      <c r="AL1" s="32" t="s">
        <v>330</v>
      </c>
      <c r="AM1" s="32" t="s">
        <v>332</v>
      </c>
      <c r="AN1" s="32" t="s">
        <v>335</v>
      </c>
      <c r="AO1" s="32" t="s">
        <v>337</v>
      </c>
      <c r="AP1" s="32" t="s">
        <v>339</v>
      </c>
      <c r="AQ1" s="32" t="s">
        <v>341</v>
      </c>
      <c r="AR1" s="32" t="s">
        <v>344</v>
      </c>
      <c r="AS1" s="32" t="s">
        <v>346</v>
      </c>
      <c r="AT1" s="32" t="s">
        <v>348</v>
      </c>
      <c r="AU1" s="32" t="s">
        <v>350</v>
      </c>
      <c r="AV1" s="32" t="s">
        <v>353</v>
      </c>
      <c r="AW1" s="32" t="s">
        <v>355</v>
      </c>
      <c r="AX1" s="32" t="s">
        <v>357</v>
      </c>
      <c r="AY1" s="32" t="s">
        <v>359</v>
      </c>
      <c r="AZ1" s="32" t="s">
        <v>361</v>
      </c>
      <c r="BA1" s="32" t="s">
        <v>364</v>
      </c>
      <c r="BB1" s="32" t="s">
        <v>366</v>
      </c>
      <c r="BC1" s="32" t="s">
        <v>368</v>
      </c>
      <c r="BD1" s="32" t="s">
        <v>370</v>
      </c>
      <c r="BE1" s="32" t="s">
        <v>373</v>
      </c>
      <c r="BF1" s="32" t="s">
        <v>376</v>
      </c>
      <c r="BG1" s="32" t="s">
        <v>379</v>
      </c>
      <c r="BH1" s="32" t="s">
        <v>381</v>
      </c>
      <c r="BI1" s="32" t="s">
        <v>384</v>
      </c>
      <c r="BJ1" s="32" t="s">
        <v>386</v>
      </c>
      <c r="BK1" s="32" t="s">
        <v>389</v>
      </c>
      <c r="BL1" s="32" t="s">
        <v>391</v>
      </c>
      <c r="BM1" s="32" t="s">
        <v>393</v>
      </c>
      <c r="BN1" s="32"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IF('IO model'!$D$3=0,0,'Z domestic'!C3/'IO model'!$D$3)</f>
        <v>0.11722551142696787</v>
      </c>
      <c r="D3" s="33">
        <f>IF('IO model'!$D$4=0,0,'Z domestic'!D3/'IO model'!$D$4)</f>
        <v>0.009835052305760919</v>
      </c>
      <c r="E3" s="33">
        <f>IF('IO model'!$D$5=0,0,'Z domestic'!E3/'IO model'!$D$5)</f>
        <v>0.006488438227488987</v>
      </c>
      <c r="F3" s="33">
        <f>IF('IO model'!$D$6=0,0,'Z domestic'!F3/'IO model'!$D$6)</f>
        <v>0.0007896036740442583</v>
      </c>
      <c r="G3" s="33">
        <f>IF('IO model'!$D$7=0,0,'Z domestic'!G3/'IO model'!$D$7)</f>
        <v>0.18665869063596333</v>
      </c>
      <c r="H3" s="33">
        <f>IF('IO model'!$D$8=0,0,'Z domestic'!H3/'IO model'!$D$8)</f>
        <v>0.011850932528075972</v>
      </c>
      <c r="I3" s="33">
        <f>IF('IO model'!$D$9=0,0,'Z domestic'!I3/'IO model'!$D$9)</f>
        <v>0.0022109712375724803</v>
      </c>
      <c r="J3" s="33">
        <f>IF('IO model'!$D$10=0,0,'Z domestic'!J3/'IO model'!$D$10)</f>
        <v>0.0011755227646573834</v>
      </c>
      <c r="K3" s="33">
        <f>IF('IO model'!$D$11=0,0,'Z domestic'!K3/'IO model'!$D$11)</f>
        <v>0.00035399437873986526</v>
      </c>
      <c r="L3" s="33">
        <f>IF('IO model'!$D$12=0,0,'Z domestic'!L3/'IO model'!$D$12)</f>
        <v>0.00022078286813109516</v>
      </c>
      <c r="M3" s="33">
        <f>IF('IO model'!$D$13=0,0,'Z domestic'!M3/'IO model'!$D$13)</f>
        <v>0.0034391440590693166</v>
      </c>
      <c r="N3" s="33">
        <f>IF('IO model'!$D$14=0,0,'Z domestic'!N3/'IO model'!$D$14)</f>
        <v>0.0013555503286745323</v>
      </c>
      <c r="O3" s="33">
        <f>IF('IO model'!$D$15=0,0,'Z domestic'!O3/'IO model'!$D$15)</f>
        <v>0.004156554392984701</v>
      </c>
      <c r="P3" s="33">
        <f>IF('IO model'!$D$16=0,0,'Z domestic'!P3/'IO model'!$D$16)</f>
        <v>0.0005617123611332671</v>
      </c>
      <c r="Q3" s="33">
        <f>IF('IO model'!$D$17=0,0,'Z domestic'!Q3/'IO model'!$D$17)</f>
        <v>0.00042235837286734855</v>
      </c>
      <c r="R3" s="33">
        <f>IF('IO model'!$D$18=0,0,'Z domestic'!R3/'IO model'!$D$18)</f>
        <v>0.000318700979925518</v>
      </c>
      <c r="S3" s="33">
        <f>IF('IO model'!$D$19=0,0,'Z domestic'!S3/'IO model'!$D$19)</f>
        <v>0.0004718352886327272</v>
      </c>
      <c r="T3" s="33">
        <f>IF('IO model'!$D$20=0,0,'Z domestic'!T3/'IO model'!$D$20)</f>
        <v>0.00030702479478260294</v>
      </c>
      <c r="U3" s="33">
        <f>IF('IO model'!$D$21=0,0,'Z domestic'!U3/'IO model'!$D$21)</f>
        <v>0.00031699976740695704</v>
      </c>
      <c r="V3" s="33">
        <f>IF('IO model'!$D$22=0,0,'Z domestic'!V3/'IO model'!$D$22)</f>
        <v>0.0002845026984635833</v>
      </c>
      <c r="W3" s="33">
        <f>IF('IO model'!$D$23=0,0,'Z domestic'!W3/'IO model'!$D$23)</f>
        <v>0.0003587389391880701</v>
      </c>
      <c r="X3" s="33">
        <f>IF('IO model'!$D$24=0,0,'Z domestic'!X3/'IO model'!$D$24)</f>
        <v>0.0008929075283533856</v>
      </c>
      <c r="Y3" s="33">
        <f>IF('IO model'!$D$25=0,0,'Z domestic'!Y3/'IO model'!$D$25)</f>
        <v>0.000313845322913993</v>
      </c>
      <c r="Z3" s="33">
        <f>IF('IO model'!$D$26=0,0,'Z domestic'!Z3/'IO model'!$D$26)</f>
        <v>0.001446886608789416</v>
      </c>
      <c r="AA3" s="33">
        <f>IF('IO model'!$D$27=0,0,'Z domestic'!AA3/'IO model'!$D$27)</f>
        <v>0.0006870765463142334</v>
      </c>
      <c r="AB3" s="33">
        <f>IF('IO model'!$D$28=0,0,'Z domestic'!AB3/'IO model'!$D$28)</f>
        <v>0.0005229067560928958</v>
      </c>
      <c r="AC3" s="33">
        <f>IF('IO model'!$D$29=0,0,'Z domestic'!AC3/'IO model'!$D$29)</f>
        <v>0.0005796219230674559</v>
      </c>
      <c r="AD3" s="33">
        <f>IF('IO model'!$D$30=0,0,'Z domestic'!AD3/'IO model'!$D$30)</f>
        <v>0.00032147557782527433</v>
      </c>
      <c r="AE3" s="33">
        <f>IF('IO model'!$D$31=0,0,'Z domestic'!AE3/'IO model'!$D$31)</f>
        <v>0.004268454459643816</v>
      </c>
      <c r="AF3" s="33">
        <f>IF('IO model'!$D$32=0,0,'Z domestic'!AF3/'IO model'!$D$32)</f>
        <v>0.0032018184051787932</v>
      </c>
      <c r="AG3" s="33">
        <f>IF('IO model'!$D$33=0,0,'Z domestic'!AG3/'IO model'!$D$33)</f>
        <v>0.0004592339832111516</v>
      </c>
      <c r="AH3" s="33">
        <f>IF('IO model'!$D$34=0,0,'Z domestic'!AH3/'IO model'!$D$34)</f>
        <v>0.0004938856442332736</v>
      </c>
      <c r="AI3" s="33">
        <f>IF('IO model'!$D$35=0,0,'Z domestic'!AI3/'IO model'!$D$35)</f>
        <v>0.0007092490248616774</v>
      </c>
      <c r="AJ3" s="33">
        <f>IF('IO model'!$D$36=0,0,'Z domestic'!AJ3/'IO model'!$D$36)</f>
        <v>0.0005215277298617122</v>
      </c>
      <c r="AK3" s="33">
        <f>IF('IO model'!$D$37=0,0,'Z domestic'!AK3/'IO model'!$D$37)</f>
        <v>0.00019520771970386573</v>
      </c>
      <c r="AL3" s="33">
        <f>IF('IO model'!$D$38=0,0,'Z domestic'!AL3/'IO model'!$D$38)</f>
        <v>0.01694140385730498</v>
      </c>
      <c r="AM3" s="33">
        <f>IF('IO model'!$D$39=0,0,'Z domestic'!AM3/'IO model'!$D$39)</f>
        <v>0.00021148126357343688</v>
      </c>
      <c r="AN3" s="33">
        <f>IF('IO model'!$D$40=0,0,'Z domestic'!AN3/'IO model'!$D$40)</f>
        <v>0.0005168665371796239</v>
      </c>
      <c r="AO3" s="33">
        <f>IF('IO model'!$D$41=0,0,'Z domestic'!AO3/'IO model'!$D$41)</f>
        <v>0.0002805262509844555</v>
      </c>
      <c r="AP3" s="33">
        <f>IF('IO model'!$D$42=0,0,'Z domestic'!AP3/'IO model'!$D$42)</f>
        <v>0.00021545655379827676</v>
      </c>
      <c r="AQ3" s="33">
        <f>IF('IO model'!$D$43=0,0,'Z domestic'!AQ3/'IO model'!$D$43)</f>
        <v>0.00007454050035850146</v>
      </c>
      <c r="AR3" s="33">
        <f>IF('IO model'!$D$44=0,0,'Z domestic'!AR3/'IO model'!$D$44)</f>
        <v>0.00014531909256078413</v>
      </c>
      <c r="AS3" s="33">
        <f>IF('IO model'!$D$45=0,0,'Z domestic'!AS3/'IO model'!$D$45)</f>
        <v>0.00013748044597628785</v>
      </c>
      <c r="AT3" s="33">
        <f>IF('IO model'!$D$46=0,0,'Z domestic'!AT3/'IO model'!$D$46)</f>
        <v>0.00020330431397811767</v>
      </c>
      <c r="AU3" s="33">
        <f>IF('IO model'!$D$47=0,0,'Z domestic'!AU3/'IO model'!$D$47)</f>
        <v>0.0002872255109165977</v>
      </c>
      <c r="AV3" s="33">
        <f>IF('IO model'!$D$48=0,0,'Z domestic'!AV3/'IO model'!$D$48)</f>
        <v>0.0004912824680175781</v>
      </c>
      <c r="AW3" s="33">
        <f>IF('IO model'!$D$49=0,0,'Z domestic'!AW3/'IO model'!$D$49)</f>
        <v>0.001059164583425805</v>
      </c>
      <c r="AX3" s="33">
        <f>IF('IO model'!$D$50=0,0,'Z domestic'!AX3/'IO model'!$D$50)</f>
        <v>0.00031853497079613465</v>
      </c>
      <c r="AY3" s="33">
        <f>IF('IO model'!$D$51=0,0,'Z domestic'!AY3/'IO model'!$D$51)</f>
        <v>0.000929730101747991</v>
      </c>
      <c r="AZ3" s="33">
        <f>IF('IO model'!$D$52=0,0,'Z domestic'!AZ3/'IO model'!$D$52)</f>
        <v>0.00031375767702067</v>
      </c>
      <c r="BA3" s="33">
        <f>IF('IO model'!$D$53=0,0,'Z domestic'!BA3/'IO model'!$D$53)</f>
        <v>0.00023230758726885717</v>
      </c>
      <c r="BB3" s="33">
        <f>IF('IO model'!$D$54=0,0,'Z domestic'!BB3/'IO model'!$D$54)</f>
        <v>0.0008145654839643887</v>
      </c>
      <c r="BC3" s="33">
        <f>IF('IO model'!$D$55=0,0,'Z domestic'!BC3/'IO model'!$D$55)</f>
        <v>0.005849171214611598</v>
      </c>
      <c r="BD3" s="33">
        <f>IF('IO model'!$D$56=0,0,'Z domestic'!BD3/'IO model'!$D$56)</f>
        <v>0.0010687019500034318</v>
      </c>
      <c r="BE3" s="33">
        <f>IF('IO model'!$D$57=0,0,'Z domestic'!BE3/'IO model'!$D$57)</f>
        <v>0.000793781581810233</v>
      </c>
      <c r="BF3" s="33">
        <f>IF('IO model'!$D$58=0,0,'Z domestic'!BF3/'IO model'!$D$58)</f>
        <v>0.0009200937634545773</v>
      </c>
      <c r="BG3" s="33">
        <f>IF('IO model'!$D$59=0,0,'Z domestic'!BG3/'IO model'!$D$59)</f>
        <v>0.0015918122093158359</v>
      </c>
      <c r="BH3" s="33">
        <f>IF('IO model'!$D$60=0,0,'Z domestic'!BH3/'IO model'!$D$60)</f>
        <v>0.0011875022912116973</v>
      </c>
      <c r="BI3" s="33">
        <f>IF('IO model'!$D$61=0,0,'Z domestic'!BI3/'IO model'!$D$61)</f>
        <v>0.0020108819379377222</v>
      </c>
      <c r="BJ3" s="33">
        <f>IF('IO model'!$D$62=0,0,'Z domestic'!BJ3/'IO model'!$D$62)</f>
        <v>0.00085862579615545</v>
      </c>
      <c r="BK3" s="33">
        <f>IF('IO model'!$D$63=0,0,'Z domestic'!BK3/'IO model'!$D$63)</f>
        <v>0.0003718169036088111</v>
      </c>
      <c r="BL3" s="33">
        <f>IF('IO model'!$D$64=0,0,'Z domestic'!BL3/'IO model'!$D$64)</f>
        <v>0.0010013806110861533</v>
      </c>
      <c r="BM3" s="33">
        <f>IF('IO model'!$D$65=0,0,'Z domestic'!BM3/'IO model'!$D$65)</f>
        <v>0</v>
      </c>
      <c r="BN3" s="33">
        <f>IF('IO model'!$D$66=0,0,'Z domestic'!BN3/'IO model'!$D$66)</f>
        <v>0</v>
      </c>
    </row>
    <row r="4" spans="1:66" x14ac:dyDescent="0.25">
      <c r="A4" s="30" t="s">
        <v>276</v>
      </c>
      <c r="B4" s="31" t="s">
        <v>277</v>
      </c>
      <c r="C4" s="33">
        <f>IF('IO model'!$D$3=0,0,'Z domestic'!C4/'IO model'!$D$3)</f>
        <v>0.0011151582440621925</v>
      </c>
      <c r="D4" s="33">
        <f>IF('IO model'!$D$4=0,0,'Z domestic'!D4/'IO model'!$D$4)</f>
        <v>0.24941993687760305</v>
      </c>
      <c r="E4" s="33">
        <f>IF('IO model'!$D$5=0,0,'Z domestic'!E4/'IO model'!$D$5)</f>
        <v>0.0026130216711121967</v>
      </c>
      <c r="F4" s="33">
        <f>IF('IO model'!$D$6=0,0,'Z domestic'!F4/'IO model'!$D$6)</f>
        <v>0.0006399462334986605</v>
      </c>
      <c r="G4" s="33">
        <f>IF('IO model'!$D$7=0,0,'Z domestic'!G4/'IO model'!$D$7)</f>
        <v>0.0003871759553577735</v>
      </c>
      <c r="H4" s="33">
        <f>IF('IO model'!$D$8=0,0,'Z domestic'!H4/'IO model'!$D$8)</f>
        <v>0.00007070595282639361</v>
      </c>
      <c r="I4" s="33">
        <f>IF('IO model'!$D$9=0,0,'Z domestic'!I4/'IO model'!$D$9)</f>
        <v>0.09336544559726491</v>
      </c>
      <c r="J4" s="33">
        <f>IF('IO model'!$D$10=0,0,'Z domestic'!J4/'IO model'!$D$10)</f>
        <v>0.0313320304846857</v>
      </c>
      <c r="K4" s="33">
        <f>IF('IO model'!$D$11=0,0,'Z domestic'!K4/'IO model'!$D$11)</f>
        <v>0.00014074475299295848</v>
      </c>
      <c r="L4" s="33">
        <f>IF('IO model'!$D$12=0,0,'Z domestic'!L4/'IO model'!$D$12)</f>
        <v>0.000017449561125169748</v>
      </c>
      <c r="M4" s="33">
        <f>IF('IO model'!$D$13=0,0,'Z domestic'!M4/'IO model'!$D$13)</f>
        <v>0.0004239047616796399</v>
      </c>
      <c r="N4" s="33">
        <f>IF('IO model'!$D$14=0,0,'Z domestic'!N4/'IO model'!$D$14)</f>
        <v>0.000037945720933712336</v>
      </c>
      <c r="O4" s="33">
        <f>IF('IO model'!$D$15=0,0,'Z domestic'!O4/'IO model'!$D$15)</f>
        <v>0.00021077066106031658</v>
      </c>
      <c r="P4" s="33">
        <f>IF('IO model'!$D$16=0,0,'Z domestic'!P4/'IO model'!$D$16)</f>
        <v>0.00012867088245651528</v>
      </c>
      <c r="Q4" s="33">
        <f>IF('IO model'!$D$17=0,0,'Z domestic'!Q4/'IO model'!$D$17)</f>
        <v>0.00006277763209128982</v>
      </c>
      <c r="R4" s="33">
        <f>IF('IO model'!$D$18=0,0,'Z domestic'!R4/'IO model'!$D$18)</f>
        <v>0.00005247686818050698</v>
      </c>
      <c r="S4" s="33">
        <f>IF('IO model'!$D$19=0,0,'Z domestic'!S4/'IO model'!$D$19)</f>
        <v>0.000025021568336584015</v>
      </c>
      <c r="T4" s="33">
        <f>IF('IO model'!$D$20=0,0,'Z domestic'!T4/'IO model'!$D$20)</f>
        <v>0.00004541786905068091</v>
      </c>
      <c r="U4" s="33">
        <f>IF('IO model'!$D$21=0,0,'Z domestic'!U4/'IO model'!$D$21)</f>
        <v>0.000027460658493936</v>
      </c>
      <c r="V4" s="33">
        <f>IF('IO model'!$D$22=0,0,'Z domestic'!V4/'IO model'!$D$22)</f>
        <v>0.000043584181316129125</v>
      </c>
      <c r="W4" s="33">
        <f>IF('IO model'!$D$23=0,0,'Z domestic'!W4/'IO model'!$D$23)</f>
        <v>0.000029681158400647267</v>
      </c>
      <c r="X4" s="33">
        <f>IF('IO model'!$D$24=0,0,'Z domestic'!X4/'IO model'!$D$24)</f>
        <v>0.0034948400659751515</v>
      </c>
      <c r="Y4" s="33">
        <f>IF('IO model'!$D$25=0,0,'Z domestic'!Y4/'IO model'!$D$25)</f>
        <v>0.000022707155146232048</v>
      </c>
      <c r="Z4" s="33">
        <f>IF('IO model'!$D$26=0,0,'Z domestic'!Z4/'IO model'!$D$26)</f>
        <v>0.0010880222986977927</v>
      </c>
      <c r="AA4" s="33">
        <f>IF('IO model'!$D$27=0,0,'Z domestic'!AA4/'IO model'!$D$27)</f>
        <v>0.00007127350065500346</v>
      </c>
      <c r="AB4" s="33">
        <f>IF('IO model'!$D$28=0,0,'Z domestic'!AB4/'IO model'!$D$28)</f>
        <v>0.00006880352053853892</v>
      </c>
      <c r="AC4" s="33">
        <f>IF('IO model'!$D$29=0,0,'Z domestic'!AC4/'IO model'!$D$29)</f>
        <v>0.0003016854183443289</v>
      </c>
      <c r="AD4" s="33">
        <f>IF('IO model'!$D$30=0,0,'Z domestic'!AD4/'IO model'!$D$30)</f>
        <v>0.00003249217172506601</v>
      </c>
      <c r="AE4" s="33">
        <f>IF('IO model'!$D$31=0,0,'Z domestic'!AE4/'IO model'!$D$31)</f>
        <v>0.00015535270056101728</v>
      </c>
      <c r="AF4" s="33">
        <f>IF('IO model'!$D$32=0,0,'Z domestic'!AF4/'IO model'!$D$32)</f>
        <v>0.00004389352323408193</v>
      </c>
      <c r="AG4" s="33">
        <f>IF('IO model'!$D$33=0,0,'Z domestic'!AG4/'IO model'!$D$33)</f>
        <v>0.00007394884501228638</v>
      </c>
      <c r="AH4" s="33">
        <f>IF('IO model'!$D$34=0,0,'Z domestic'!AH4/'IO model'!$D$34)</f>
        <v>0.000009010945724499345</v>
      </c>
      <c r="AI4" s="33">
        <f>IF('IO model'!$D$35=0,0,'Z domestic'!AI4/'IO model'!$D$35)</f>
        <v>0.00002657311243906374</v>
      </c>
      <c r="AJ4" s="33">
        <f>IF('IO model'!$D$36=0,0,'Z domestic'!AJ4/'IO model'!$D$36)</f>
        <v>0.0000374209013957857</v>
      </c>
      <c r="AK4" s="33">
        <f>IF('IO model'!$D$37=0,0,'Z domestic'!AK4/'IO model'!$D$37)</f>
        <v>0.000013152293171537052</v>
      </c>
      <c r="AL4" s="33">
        <f>IF('IO model'!$D$38=0,0,'Z domestic'!AL4/'IO model'!$D$38)</f>
        <v>0.00009891507735035126</v>
      </c>
      <c r="AM4" s="33">
        <f>IF('IO model'!$D$39=0,0,'Z domestic'!AM4/'IO model'!$D$39)</f>
        <v>0.000011748959087413162</v>
      </c>
      <c r="AN4" s="33">
        <f>IF('IO model'!$D$40=0,0,'Z domestic'!AN4/'IO model'!$D$40)</f>
        <v>0.000028392892737445704</v>
      </c>
      <c r="AO4" s="33">
        <f>IF('IO model'!$D$41=0,0,'Z domestic'!AO4/'IO model'!$D$41)</f>
        <v>0.000011325593983844479</v>
      </c>
      <c r="AP4" s="33">
        <f>IF('IO model'!$D$42=0,0,'Z domestic'!AP4/'IO model'!$D$42)</f>
        <v>0.000013063471051348149</v>
      </c>
      <c r="AQ4" s="33">
        <f>IF('IO model'!$D$43=0,0,'Z domestic'!AQ4/'IO model'!$D$43)</f>
        <v>0.0000062316817019969065</v>
      </c>
      <c r="AR4" s="33">
        <f>IF('IO model'!$D$44=0,0,'Z domestic'!AR4/'IO model'!$D$44)</f>
        <v>0.0000029911305501362085</v>
      </c>
      <c r="AS4" s="33">
        <f>IF('IO model'!$D$45=0,0,'Z domestic'!AS4/'IO model'!$D$45)</f>
        <v>0.000006745535900705713</v>
      </c>
      <c r="AT4" s="33">
        <f>IF('IO model'!$D$46=0,0,'Z domestic'!AT4/'IO model'!$D$46)</f>
        <v>0.000019538459845809304</v>
      </c>
      <c r="AU4" s="33">
        <f>IF('IO model'!$D$47=0,0,'Z domestic'!AU4/'IO model'!$D$47)</f>
        <v>0.000012434386564089739</v>
      </c>
      <c r="AV4" s="33">
        <f>IF('IO model'!$D$48=0,0,'Z domestic'!AV4/'IO model'!$D$48)</f>
        <v>0.00010392084888615135</v>
      </c>
      <c r="AW4" s="33">
        <f>IF('IO model'!$D$49=0,0,'Z domestic'!AW4/'IO model'!$D$49)</f>
        <v>0.000045200795371112784</v>
      </c>
      <c r="AX4" s="33">
        <f>IF('IO model'!$D$50=0,0,'Z domestic'!AX4/'IO model'!$D$50)</f>
        <v>0.0000272202611407606</v>
      </c>
      <c r="AY4" s="33">
        <f>IF('IO model'!$D$51=0,0,'Z domestic'!AY4/'IO model'!$D$51)</f>
        <v>0.00003625517250702675</v>
      </c>
      <c r="AZ4" s="33">
        <f>IF('IO model'!$D$52=0,0,'Z domestic'!AZ4/'IO model'!$D$52)</f>
        <v>0.000010856667024936677</v>
      </c>
      <c r="BA4" s="33">
        <f>IF('IO model'!$D$53=0,0,'Z domestic'!BA4/'IO model'!$D$53)</f>
        <v>0.000012023313204303144</v>
      </c>
      <c r="BB4" s="33">
        <f>IF('IO model'!$D$54=0,0,'Z domestic'!BB4/'IO model'!$D$54)</f>
        <v>0.000020743097534842417</v>
      </c>
      <c r="BC4" s="33">
        <f>IF('IO model'!$D$55=0,0,'Z domestic'!BC4/'IO model'!$D$55)</f>
        <v>0.00024400931278702827</v>
      </c>
      <c r="BD4" s="33">
        <f>IF('IO model'!$D$56=0,0,'Z domestic'!BD4/'IO model'!$D$56)</f>
        <v>0.00018279237417501544</v>
      </c>
      <c r="BE4" s="33">
        <f>IF('IO model'!$D$57=0,0,'Z domestic'!BE4/'IO model'!$D$57)</f>
        <v>0.00003325515899778695</v>
      </c>
      <c r="BF4" s="33">
        <f>IF('IO model'!$D$58=0,0,'Z domestic'!BF4/'IO model'!$D$58)</f>
        <v>0.00003587887292500518</v>
      </c>
      <c r="BG4" s="33">
        <f>IF('IO model'!$D$59=0,0,'Z domestic'!BG4/'IO model'!$D$59)</f>
        <v>0.000029508742149291362</v>
      </c>
      <c r="BH4" s="33">
        <f>IF('IO model'!$D$60=0,0,'Z domestic'!BH4/'IO model'!$D$60)</f>
        <v>0.0001226343784750044</v>
      </c>
      <c r="BI4" s="33">
        <f>IF('IO model'!$D$61=0,0,'Z domestic'!BI4/'IO model'!$D$61)</f>
        <v>0.00012524119171090586</v>
      </c>
      <c r="BJ4" s="33">
        <f>IF('IO model'!$D$62=0,0,'Z domestic'!BJ4/'IO model'!$D$62)</f>
        <v>0.00009201616033815941</v>
      </c>
      <c r="BK4" s="33">
        <f>IF('IO model'!$D$63=0,0,'Z domestic'!BK4/'IO model'!$D$63)</f>
        <v>0.00023121387283236996</v>
      </c>
      <c r="BL4" s="33">
        <f>IF('IO model'!$D$64=0,0,'Z domestic'!BL4/'IO model'!$D$64)</f>
        <v>0.00011456473092934805</v>
      </c>
      <c r="BM4" s="33">
        <f>IF('IO model'!$D$65=0,0,'Z domestic'!BM4/'IO model'!$D$65)</f>
        <v>0</v>
      </c>
      <c r="BN4" s="33">
        <f>IF('IO model'!$D$66=0,0,'Z domestic'!BN4/'IO model'!$D$66)</f>
        <v>0</v>
      </c>
    </row>
    <row r="5" spans="1:66" x14ac:dyDescent="0.25">
      <c r="A5" s="30" t="s">
        <v>278</v>
      </c>
      <c r="B5" s="31" t="s">
        <v>279</v>
      </c>
      <c r="C5" s="33">
        <f>IF('IO model'!$D$3=0,0,'Z domestic'!C5/'IO model'!$D$3)</f>
        <v>0.000060750636965191454</v>
      </c>
      <c r="D5" s="33">
        <f>IF('IO model'!$D$4=0,0,'Z domestic'!D5/'IO model'!$D$4)</f>
        <v>0.000036829404596629945</v>
      </c>
      <c r="E5" s="33">
        <f>IF('IO model'!$D$5=0,0,'Z domestic'!E5/'IO model'!$D$5)</f>
        <v>0.031736335932780864</v>
      </c>
      <c r="F5" s="33">
        <f>IF('IO model'!$D$6=0,0,'Z domestic'!F5/'IO model'!$D$6)</f>
        <v>0.000007345150456225658</v>
      </c>
      <c r="G5" s="33">
        <f>IF('IO model'!$D$7=0,0,'Z domestic'!G5/'IO model'!$D$7)</f>
        <v>0.002223428927974382</v>
      </c>
      <c r="H5" s="33">
        <f>IF('IO model'!$D$8=0,0,'Z domestic'!H5/'IO model'!$D$8)</f>
        <v>0.000026789211940434844</v>
      </c>
      <c r="I5" s="33">
        <f>IF('IO model'!$D$9=0,0,'Z domestic'!I5/'IO model'!$D$9)</f>
        <v>0.000010183593212974577</v>
      </c>
      <c r="J5" s="33">
        <f>IF('IO model'!$D$10=0,0,'Z domestic'!J5/'IO model'!$D$10)</f>
        <v>0.0000062766280340211165</v>
      </c>
      <c r="K5" s="33">
        <f>IF('IO model'!$D$11=0,0,'Z domestic'!K5/'IO model'!$D$11)</f>
        <v>0.000007108320858230226</v>
      </c>
      <c r="L5" s="33">
        <f>IF('IO model'!$D$12=0,0,'Z domestic'!L5/'IO model'!$D$12)</f>
        <v>0.0000034899122250339495</v>
      </c>
      <c r="M5" s="33">
        <f>IF('IO model'!$D$13=0,0,'Z domestic'!M5/'IO model'!$D$13)</f>
        <v>0.000027104691081374743</v>
      </c>
      <c r="N5" s="33">
        <f>IF('IO model'!$D$14=0,0,'Z domestic'!N5/'IO model'!$D$14)</f>
        <v>0.000022336842819135633</v>
      </c>
      <c r="O5" s="33">
        <f>IF('IO model'!$D$15=0,0,'Z domestic'!O5/'IO model'!$D$15)</f>
        <v>0.000004764762284608221</v>
      </c>
      <c r="P5" s="33">
        <f>IF('IO model'!$D$16=0,0,'Z domestic'!P5/'IO model'!$D$16)</f>
        <v>0.000006395921057779999</v>
      </c>
      <c r="Q5" s="33">
        <f>IF('IO model'!$D$17=0,0,'Z domestic'!Q5/'IO model'!$D$17)</f>
        <v>0.0000023839607123274614</v>
      </c>
      <c r="R5" s="33">
        <f>IF('IO model'!$D$18=0,0,'Z domestic'!R5/'IO model'!$D$18)</f>
        <v>0.000004639723101325313</v>
      </c>
      <c r="S5" s="33">
        <f>IF('IO model'!$D$19=0,0,'Z domestic'!S5/'IO model'!$D$19)</f>
        <v>0.000002808543384718614</v>
      </c>
      <c r="T5" s="33">
        <f>IF('IO model'!$D$20=0,0,'Z domestic'!T5/'IO model'!$D$20)</f>
        <v>0.000004412021564923288</v>
      </c>
      <c r="U5" s="33">
        <f>IF('IO model'!$D$21=0,0,'Z domestic'!U5/'IO model'!$D$21)</f>
        <v>0.0000027840298933944334</v>
      </c>
      <c r="V5" s="33">
        <f>IF('IO model'!$D$22=0,0,'Z domestic'!V5/'IO model'!$D$22)</f>
        <v>0.0000021328429154701487</v>
      </c>
      <c r="W5" s="33">
        <f>IF('IO model'!$D$23=0,0,'Z domestic'!W5/'IO model'!$D$23)</f>
        <v>0.000002931472434631829</v>
      </c>
      <c r="X5" s="33">
        <f>IF('IO model'!$D$24=0,0,'Z domestic'!X5/'IO model'!$D$24)</f>
        <v>0.00001750098755572636</v>
      </c>
      <c r="Y5" s="33">
        <f>IF('IO model'!$D$25=0,0,'Z domestic'!Y5/'IO model'!$D$25)</f>
        <v>0.000006082273699883585</v>
      </c>
      <c r="Z5" s="33">
        <f>IF('IO model'!$D$26=0,0,'Z domestic'!Z5/'IO model'!$D$26)</f>
        <v>0.000021519357733784824</v>
      </c>
      <c r="AA5" s="33">
        <f>IF('IO model'!$D$27=0,0,'Z domestic'!AA5/'IO model'!$D$27)</f>
        <v>0.000005701880052400278</v>
      </c>
      <c r="AB5" s="33">
        <f>IF('IO model'!$D$28=0,0,'Z domestic'!AB5/'IO model'!$D$28)</f>
        <v>0.00000825642246462467</v>
      </c>
      <c r="AC5" s="33">
        <f>IF('IO model'!$D$29=0,0,'Z domestic'!AC5/'IO model'!$D$29)</f>
        <v>0.000016657224137092915</v>
      </c>
      <c r="AD5" s="33">
        <f>IF('IO model'!$D$30=0,0,'Z domestic'!AD5/'IO model'!$D$30)</f>
        <v>0.000002953833793187819</v>
      </c>
      <c r="AE5" s="33">
        <f>IF('IO model'!$D$31=0,0,'Z domestic'!AE5/'IO model'!$D$31)</f>
        <v>0.000019064465810263624</v>
      </c>
      <c r="AF5" s="33">
        <f>IF('IO model'!$D$32=0,0,'Z domestic'!AF5/'IO model'!$D$32)</f>
        <v>0.000007672445118152532</v>
      </c>
      <c r="AG5" s="33">
        <f>IF('IO model'!$D$33=0,0,'Z domestic'!AG5/'IO model'!$D$33)</f>
        <v>0.000004662273941229965</v>
      </c>
      <c r="AH5" s="33">
        <f>IF('IO model'!$D$34=0,0,'Z domestic'!AH5/'IO model'!$D$34)</f>
        <v>0.000029607393094783564</v>
      </c>
      <c r="AI5" s="33">
        <f>IF('IO model'!$D$35=0,0,'Z domestic'!AI5/'IO model'!$D$35)</f>
        <v>0.000006326931533110414</v>
      </c>
      <c r="AJ5" s="33">
        <f>IF('IO model'!$D$36=0,0,'Z domestic'!AJ5/'IO model'!$D$36)</f>
        <v>0.000006677335565047263</v>
      </c>
      <c r="AK5" s="33">
        <f>IF('IO model'!$D$37=0,0,'Z domestic'!AK5/'IO model'!$D$37)</f>
        <v>0.000002076677869190061</v>
      </c>
      <c r="AL5" s="33">
        <f>IF('IO model'!$D$38=0,0,'Z domestic'!AL5/'IO model'!$D$38)</f>
        <v>0.001975823037096196</v>
      </c>
      <c r="AM5" s="33">
        <f>IF('IO model'!$D$39=0,0,'Z domestic'!AM5/'IO model'!$D$39)</f>
        <v>0.0000022594152091179154</v>
      </c>
      <c r="AN5" s="33">
        <f>IF('IO model'!$D$40=0,0,'Z domestic'!AN5/'IO model'!$D$40)</f>
        <v>0.00001738340371680349</v>
      </c>
      <c r="AO5" s="33">
        <f>IF('IO model'!$D$41=0,0,'Z domestic'!AO5/'IO model'!$D$41)</f>
        <v>0.000005517597069052438</v>
      </c>
      <c r="AP5" s="33">
        <f>IF('IO model'!$D$42=0,0,'Z domestic'!AP5/'IO model'!$D$42)</f>
        <v>0.000004898801644255556</v>
      </c>
      <c r="AQ5" s="33">
        <f>IF('IO model'!$D$43=0,0,'Z domestic'!AQ5/'IO model'!$D$43)</f>
        <v>0.0000026364807200756142</v>
      </c>
      <c r="AR5" s="33">
        <f>IF('IO model'!$D$44=0,0,'Z domestic'!AR5/'IO model'!$D$44)</f>
        <v>0.0000022433479126021565</v>
      </c>
      <c r="AS5" s="33">
        <f>IF('IO model'!$D$45=0,0,'Z domestic'!AS5/'IO model'!$D$45)</f>
        <v>0.000001606079976358503</v>
      </c>
      <c r="AT5" s="33">
        <f>IF('IO model'!$D$46=0,0,'Z domestic'!AT5/'IO model'!$D$46)</f>
        <v>0.0000018020909566523144</v>
      </c>
      <c r="AU5" s="33">
        <f>IF('IO model'!$D$47=0,0,'Z domestic'!AU5/'IO model'!$D$47)</f>
        <v>0.000003880234105106018</v>
      </c>
      <c r="AV5" s="33">
        <f>IF('IO model'!$D$48=0,0,'Z domestic'!AV5/'IO model'!$D$48)</f>
        <v>0.000004683128383281499</v>
      </c>
      <c r="AW5" s="33">
        <f>IF('IO model'!$D$49=0,0,'Z domestic'!AW5/'IO model'!$D$49)</f>
        <v>0.0000073298587088291</v>
      </c>
      <c r="AX5" s="33">
        <f>IF('IO model'!$D$50=0,0,'Z domestic'!AX5/'IO model'!$D$50)</f>
        <v>0.000005791544923566085</v>
      </c>
      <c r="AY5" s="33">
        <f>IF('IO model'!$D$51=0,0,'Z domestic'!AY5/'IO model'!$D$51)</f>
        <v>0.000014133372333247713</v>
      </c>
      <c r="AZ5" s="33">
        <f>IF('IO model'!$D$52=0,0,'Z domestic'!AZ5/'IO model'!$D$52)</f>
        <v>0.000010856667024936677</v>
      </c>
      <c r="BA5" s="33">
        <f>IF('IO model'!$D$53=0,0,'Z domestic'!BA5/'IO model'!$D$53)</f>
        <v>0.0000012882121290324798</v>
      </c>
      <c r="BB5" s="33">
        <f>IF('IO model'!$D$54=0,0,'Z domestic'!BB5/'IO model'!$D$54)</f>
        <v>0.000004786868661886711</v>
      </c>
      <c r="BC5" s="33">
        <f>IF('IO model'!$D$55=0,0,'Z domestic'!BC5/'IO model'!$D$55)</f>
        <v>0.000008932903550970208</v>
      </c>
      <c r="BD5" s="33">
        <f>IF('IO model'!$D$56=0,0,'Z domestic'!BD5/'IO model'!$D$56)</f>
        <v>0.000012738387080741746</v>
      </c>
      <c r="BE5" s="33">
        <f>IF('IO model'!$D$57=0,0,'Z domestic'!BE5/'IO model'!$D$57)</f>
        <v>0.000009955366069401189</v>
      </c>
      <c r="BF5" s="33">
        <f>IF('IO model'!$D$58=0,0,'Z domestic'!BF5/'IO model'!$D$58)</f>
        <v>0.00003229098563250467</v>
      </c>
      <c r="BG5" s="33">
        <f>IF('IO model'!$D$59=0,0,'Z domestic'!BG5/'IO model'!$D$59)</f>
        <v>0.00006602581055903942</v>
      </c>
      <c r="BH5" s="33">
        <f>IF('IO model'!$D$60=0,0,'Z domestic'!BH5/'IO model'!$D$60)</f>
        <v>0.000029240225472687878</v>
      </c>
      <c r="BI5" s="33">
        <f>IF('IO model'!$D$61=0,0,'Z domestic'!BI5/'IO model'!$D$61)</f>
        <v>0.00005618296450582693</v>
      </c>
      <c r="BJ5" s="33">
        <f>IF('IO model'!$D$62=0,0,'Z domestic'!BJ5/'IO model'!$D$62)</f>
        <v>0.0002018604517418372</v>
      </c>
      <c r="BK5" s="33">
        <f>IF('IO model'!$D$63=0,0,'Z domestic'!BK5/'IO model'!$D$63)</f>
        <v>0.000006249023590064053</v>
      </c>
      <c r="BL5" s="33">
        <f>IF('IO model'!$D$64=0,0,'Z domestic'!BL5/'IO model'!$D$64)</f>
        <v>0.000006895099546673725</v>
      </c>
      <c r="BM5" s="33">
        <f>IF('IO model'!$D$65=0,0,'Z domestic'!BM5/'IO model'!$D$65)</f>
        <v>0</v>
      </c>
      <c r="BN5" s="33">
        <f>IF('IO model'!$D$66=0,0,'Z domestic'!BN5/'IO model'!$D$66)</f>
        <v>0</v>
      </c>
    </row>
    <row r="6" spans="1:66" x14ac:dyDescent="0.25">
      <c r="A6" s="30" t="s">
        <v>280</v>
      </c>
      <c r="B6" s="31" t="s">
        <v>281</v>
      </c>
      <c r="C6" s="33">
        <f>IF('IO model'!$D$3=0,0,'Z domestic'!C6/'IO model'!$D$3)</f>
        <v>0.001548268388632997</v>
      </c>
      <c r="D6" s="33">
        <f>IF('IO model'!$D$4=0,0,'Z domestic'!D6/'IO model'!$D$4)</f>
        <v>0.00113210387173119</v>
      </c>
      <c r="E6" s="33">
        <f>IF('IO model'!$D$5=0,0,'Z domestic'!E6/'IO model'!$D$5)</f>
        <v>0.003237432044468878</v>
      </c>
      <c r="F6" s="33">
        <f>IF('IO model'!$D$6=0,0,'Z domestic'!F6/'IO model'!$D$6)</f>
        <v>0.05288416514101771</v>
      </c>
      <c r="G6" s="33">
        <f>IF('IO model'!$D$7=0,0,'Z domestic'!G6/'IO model'!$D$7)</f>
        <v>0.0008889889571707752</v>
      </c>
      <c r="H6" s="33">
        <f>IF('IO model'!$D$8=0,0,'Z domestic'!H6/'IO model'!$D$8)</f>
        <v>0.0005871668256452686</v>
      </c>
      <c r="I6" s="33">
        <f>IF('IO model'!$D$9=0,0,'Z domestic'!I6/'IO model'!$D$9)</f>
        <v>0.0006110155927784747</v>
      </c>
      <c r="J6" s="33">
        <f>IF('IO model'!$D$10=0,0,'Z domestic'!J6/'IO model'!$D$10)</f>
        <v>0.0025097545524607294</v>
      </c>
      <c r="K6" s="33">
        <f>IF('IO model'!$D$11=0,0,'Z domestic'!K6/'IO model'!$D$11)</f>
        <v>0.0007193620708528989</v>
      </c>
      <c r="L6" s="33">
        <f>IF('IO model'!$D$12=0,0,'Z domestic'!L6/'IO model'!$D$12)</f>
        <v>0.04171583922378476</v>
      </c>
      <c r="M6" s="33">
        <f>IF('IO model'!$D$13=0,0,'Z domestic'!M6/'IO model'!$D$13)</f>
        <v>0.00656689934152935</v>
      </c>
      <c r="N6" s="33">
        <f>IF('IO model'!$D$14=0,0,'Z domestic'!N6/'IO model'!$D$14)</f>
        <v>0.0004941017279028075</v>
      </c>
      <c r="O6" s="33">
        <f>IF('IO model'!$D$15=0,0,'Z domestic'!O6/'IO model'!$D$15)</f>
        <v>0.001245284637089078</v>
      </c>
      <c r="P6" s="33">
        <f>IF('IO model'!$D$16=0,0,'Z domestic'!P6/'IO model'!$D$16)</f>
        <v>0.03548005526075794</v>
      </c>
      <c r="Q6" s="33">
        <f>IF('IO model'!$D$17=0,0,'Z domestic'!Q6/'IO model'!$D$17)</f>
        <v>0.01786560024157469</v>
      </c>
      <c r="R6" s="33">
        <f>IF('IO model'!$D$18=0,0,'Z domestic'!R6/'IO model'!$D$18)</f>
        <v>0.0033166020651887495</v>
      </c>
      <c r="S6" s="33">
        <f>IF('IO model'!$D$19=0,0,'Z domestic'!S6/'IO model'!$D$19)</f>
        <v>0.00043506890250550164</v>
      </c>
      <c r="T6" s="33">
        <f>IF('IO model'!$D$20=0,0,'Z domestic'!T6/'IO model'!$D$20)</f>
        <v>0.0021369756215046092</v>
      </c>
      <c r="U6" s="33">
        <f>IF('IO model'!$D$21=0,0,'Z domestic'!U6/'IO model'!$D$21)</f>
        <v>0.0010484403484896762</v>
      </c>
      <c r="V6" s="33">
        <f>IF('IO model'!$D$22=0,0,'Z domestic'!V6/'IO model'!$D$22)</f>
        <v>0.0008229064361687869</v>
      </c>
      <c r="W6" s="33">
        <f>IF('IO model'!$D$23=0,0,'Z domestic'!W6/'IO model'!$D$23)</f>
        <v>0.0007156457081044953</v>
      </c>
      <c r="X6" s="33">
        <f>IF('IO model'!$D$24=0,0,'Z domestic'!X6/'IO model'!$D$24)</f>
        <v>0.0019197511859597792</v>
      </c>
      <c r="Y6" s="33">
        <f>IF('IO model'!$D$25=0,0,'Z domestic'!Y6/'IO model'!$D$25)</f>
        <v>0.0007586622728321458</v>
      </c>
      <c r="Z6" s="33">
        <f>IF('IO model'!$D$26=0,0,'Z domestic'!Z6/'IO model'!$D$26)</f>
        <v>0.013093502323688817</v>
      </c>
      <c r="AA6" s="33">
        <f>IF('IO model'!$D$27=0,0,'Z domestic'!AA6/'IO model'!$D$27)</f>
        <v>0.0017804120463619866</v>
      </c>
      <c r="AB6" s="33">
        <f>IF('IO model'!$D$28=0,0,'Z domestic'!AB6/'IO model'!$D$28)</f>
        <v>0.001752425668116586</v>
      </c>
      <c r="AC6" s="33">
        <f>IF('IO model'!$D$29=0,0,'Z domestic'!AC6/'IO model'!$D$29)</f>
        <v>0.005771851855761139</v>
      </c>
      <c r="AD6" s="33">
        <f>IF('IO model'!$D$30=0,0,'Z domestic'!AD6/'IO model'!$D$30)</f>
        <v>0.000211937574661226</v>
      </c>
      <c r="AE6" s="33">
        <f>IF('IO model'!$D$31=0,0,'Z domestic'!AE6/'IO model'!$D$31)</f>
        <v>0.0005003854880378419</v>
      </c>
      <c r="AF6" s="33">
        <f>IF('IO model'!$D$32=0,0,'Z domestic'!AF6/'IO model'!$D$32)</f>
        <v>0.00025060346903361003</v>
      </c>
      <c r="AG6" s="33">
        <f>IF('IO model'!$D$33=0,0,'Z domestic'!AG6/'IO model'!$D$33)</f>
        <v>0.0005483352185324353</v>
      </c>
      <c r="AH6" s="33">
        <f>IF('IO model'!$D$34=0,0,'Z domestic'!AH6/'IO model'!$D$34)</f>
        <v>0.00018236437775772486</v>
      </c>
      <c r="AI6" s="33">
        <f>IF('IO model'!$D$35=0,0,'Z domestic'!AI6/'IO model'!$D$35)</f>
        <v>0.00021005412689926577</v>
      </c>
      <c r="AJ6" s="33">
        <f>IF('IO model'!$D$36=0,0,'Z domestic'!AJ6/'IO model'!$D$36)</f>
        <v>0.0006312864332121767</v>
      </c>
      <c r="AK6" s="33">
        <f>IF('IO model'!$D$37=0,0,'Z domestic'!AK6/'IO model'!$D$37)</f>
        <v>0.0001384451912793374</v>
      </c>
      <c r="AL6" s="33">
        <f>IF('IO model'!$D$38=0,0,'Z domestic'!AL6/'IO model'!$D$38)</f>
        <v>0.0002991110824204813</v>
      </c>
      <c r="AM6" s="33">
        <f>IF('IO model'!$D$39=0,0,'Z domestic'!AM6/'IO model'!$D$39)</f>
        <v>0.00009173225749018737</v>
      </c>
      <c r="AN6" s="33">
        <f>IF('IO model'!$D$40=0,0,'Z domestic'!AN6/'IO model'!$D$40)</f>
        <v>0.00012631940034210537</v>
      </c>
      <c r="AO6" s="33">
        <f>IF('IO model'!$D$41=0,0,'Z domestic'!AO6/'IO model'!$D$41)</f>
        <v>0.00016262391361417713</v>
      </c>
      <c r="AP6" s="33">
        <f>IF('IO model'!$D$42=0,0,'Z domestic'!AP6/'IO model'!$D$42)</f>
        <v>0.00014496824125037738</v>
      </c>
      <c r="AQ6" s="33">
        <f>IF('IO model'!$D$43=0,0,'Z domestic'!AQ6/'IO model'!$D$43)</f>
        <v>0.00007238337976934867</v>
      </c>
      <c r="AR6" s="33">
        <f>IF('IO model'!$D$44=0,0,'Z domestic'!AR6/'IO model'!$D$44)</f>
        <v>0.000035893566601634504</v>
      </c>
      <c r="AS6" s="33">
        <f>IF('IO model'!$D$45=0,0,'Z domestic'!AS6/'IO model'!$D$45)</f>
        <v>0.00011274681434036692</v>
      </c>
      <c r="AT6" s="33">
        <f>IF('IO model'!$D$46=0,0,'Z domestic'!AT6/'IO model'!$D$46)</f>
        <v>0.00020524867527345306</v>
      </c>
      <c r="AU6" s="33">
        <f>IF('IO model'!$D$47=0,0,'Z domestic'!AU6/'IO model'!$D$47)</f>
        <v>0.0002983370903994013</v>
      </c>
      <c r="AV6" s="33">
        <f>IF('IO model'!$D$48=0,0,'Z domestic'!AV6/'IO model'!$D$48)</f>
        <v>0.0005671045466040406</v>
      </c>
      <c r="AW6" s="33">
        <f>IF('IO model'!$D$49=0,0,'Z domestic'!AW6/'IO model'!$D$49)</f>
        <v>0.00034206007307869136</v>
      </c>
      <c r="AX6" s="33">
        <f>IF('IO model'!$D$50=0,0,'Z domestic'!AX6/'IO model'!$D$50)</f>
        <v>0.00020154576334009973</v>
      </c>
      <c r="AY6" s="33">
        <f>IF('IO model'!$D$51=0,0,'Z domestic'!AY6/'IO model'!$D$51)</f>
        <v>0.00039204745863530613</v>
      </c>
      <c r="AZ6" s="33">
        <f>IF('IO model'!$D$52=0,0,'Z domestic'!AZ6/'IO model'!$D$52)</f>
        <v>0.00011725200386931613</v>
      </c>
      <c r="BA6" s="33">
        <f>IF('IO model'!$D$53=0,0,'Z domestic'!BA6/'IO model'!$D$53)</f>
        <v>0.00021040798107530503</v>
      </c>
      <c r="BB6" s="33">
        <f>IF('IO model'!$D$54=0,0,'Z domestic'!BB6/'IO model'!$D$54)</f>
        <v>0.00010371548767421208</v>
      </c>
      <c r="BC6" s="33">
        <f>IF('IO model'!$D$55=0,0,'Z domestic'!BC6/'IO model'!$D$55)</f>
        <v>0.0008727603486904049</v>
      </c>
      <c r="BD6" s="33">
        <f>IF('IO model'!$D$56=0,0,'Z domestic'!BD6/'IO model'!$D$56)</f>
        <v>0.0005801882858906145</v>
      </c>
      <c r="BE6" s="33">
        <f>IF('IO model'!$D$57=0,0,'Z domestic'!BE6/'IO model'!$D$57)</f>
        <v>0.0001714652943229843</v>
      </c>
      <c r="BF6" s="33">
        <f>IF('IO model'!$D$58=0,0,'Z domestic'!BF6/'IO model'!$D$58)</f>
        <v>0.0002962000287030983</v>
      </c>
      <c r="BG6" s="33">
        <f>IF('IO model'!$D$59=0,0,'Z domestic'!BG6/'IO model'!$D$59)</f>
        <v>0.0002591236419984648</v>
      </c>
      <c r="BH6" s="33">
        <f>IF('IO model'!$D$60=0,0,'Z domestic'!BH6/'IO model'!$D$60)</f>
        <v>0.00021297358254733856</v>
      </c>
      <c r="BI6" s="33">
        <f>IF('IO model'!$D$61=0,0,'Z domestic'!BI6/'IO model'!$D$61)</f>
        <v>0.00041551984165767833</v>
      </c>
      <c r="BJ6" s="33">
        <f>IF('IO model'!$D$62=0,0,'Z domestic'!BJ6/'IO model'!$D$62)</f>
        <v>0.00042672494356821425</v>
      </c>
      <c r="BK6" s="33">
        <f>IF('IO model'!$D$63=0,0,'Z domestic'!BK6/'IO model'!$D$63)</f>
        <v>0.0002249648492423059</v>
      </c>
      <c r="BL6" s="33">
        <f>IF('IO model'!$D$64=0,0,'Z domestic'!BL6/'IO model'!$D$64)</f>
        <v>0.0003463461541521494</v>
      </c>
      <c r="BM6" s="33">
        <f>IF('IO model'!$D$65=0,0,'Z domestic'!BM6/'IO model'!$D$65)</f>
        <v>0</v>
      </c>
      <c r="BN6" s="33">
        <f>IF('IO model'!$D$66=0,0,'Z domestic'!BN6/'IO model'!$D$66)</f>
        <v>0</v>
      </c>
    </row>
    <row r="7" spans="1:66" x14ac:dyDescent="0.25">
      <c r="A7" s="30" t="s">
        <v>282</v>
      </c>
      <c r="B7" s="31" t="s">
        <v>283</v>
      </c>
      <c r="C7" s="33">
        <f>IF('IO model'!$D$3=0,0,'Z domestic'!C7/'IO model'!$D$3)</f>
        <v>0.09736389369685956</v>
      </c>
      <c r="D7" s="33">
        <f>IF('IO model'!$D$4=0,0,'Z domestic'!D7/'IO model'!$D$4)</f>
        <v>0.002180941263504782</v>
      </c>
      <c r="E7" s="33">
        <f>IF('IO model'!$D$5=0,0,'Z domestic'!E7/'IO model'!$D$5)</f>
        <v>0.04148935448184119</v>
      </c>
      <c r="F7" s="33">
        <f>IF('IO model'!$D$6=0,0,'Z domestic'!F7/'IO model'!$D$6)</f>
        <v>0.002455116539993426</v>
      </c>
      <c r="G7" s="33">
        <f>IF('IO model'!$D$7=0,0,'Z domestic'!G7/'IO model'!$D$7)</f>
        <v>0.1644758335099244</v>
      </c>
      <c r="H7" s="33">
        <f>IF('IO model'!$D$8=0,0,'Z domestic'!H7/'IO model'!$D$8)</f>
        <v>0.00886064164115104</v>
      </c>
      <c r="I7" s="33">
        <f>IF('IO model'!$D$9=0,0,'Z domestic'!I7/'IO model'!$D$9)</f>
        <v>0.0021278052263331883</v>
      </c>
      <c r="J7" s="33">
        <f>IF('IO model'!$D$10=0,0,'Z domestic'!J7/'IO model'!$D$10)</f>
        <v>0.004263175426821914</v>
      </c>
      <c r="K7" s="33">
        <f>IF('IO model'!$D$11=0,0,'Z domestic'!K7/'IO model'!$D$11)</f>
        <v>0.0021808328393050336</v>
      </c>
      <c r="L7" s="33">
        <f>IF('IO model'!$D$12=0,0,'Z domestic'!L7/'IO model'!$D$12)</f>
        <v>0.0022721165380878926</v>
      </c>
      <c r="M7" s="33">
        <f>IF('IO model'!$D$13=0,0,'Z domestic'!M7/'IO model'!$D$13)</f>
        <v>0.01816723436811795</v>
      </c>
      <c r="N7" s="33">
        <f>IF('IO model'!$D$14=0,0,'Z domestic'!N7/'IO model'!$D$14)</f>
        <v>0.009020316838696243</v>
      </c>
      <c r="O7" s="33">
        <f>IF('IO model'!$D$15=0,0,'Z domestic'!O7/'IO model'!$D$15)</f>
        <v>0.004029307211972222</v>
      </c>
      <c r="P7" s="33">
        <f>IF('IO model'!$D$16=0,0,'Z domestic'!P7/'IO model'!$D$16)</f>
        <v>0.0028954710859220513</v>
      </c>
      <c r="Q7" s="33">
        <f>IF('IO model'!$D$17=0,0,'Z domestic'!Q7/'IO model'!$D$17)</f>
        <v>0.002381179424829746</v>
      </c>
      <c r="R7" s="33">
        <f>IF('IO model'!$D$18=0,0,'Z domestic'!R7/'IO model'!$D$18)</f>
        <v>0.0013485595179679676</v>
      </c>
      <c r="S7" s="33">
        <f>IF('IO model'!$D$19=0,0,'Z domestic'!S7/'IO model'!$D$19)</f>
        <v>0.0016233380763673586</v>
      </c>
      <c r="T7" s="33">
        <f>IF('IO model'!$D$20=0,0,'Z domestic'!T7/'IO model'!$D$20)</f>
        <v>0.0017121238978705256</v>
      </c>
      <c r="U7" s="33">
        <f>IF('IO model'!$D$21=0,0,'Z domestic'!U7/'IO model'!$D$21)</f>
        <v>0.0013929007743905693</v>
      </c>
      <c r="V7" s="33">
        <f>IF('IO model'!$D$22=0,0,'Z domestic'!V7/'IO model'!$D$22)</f>
        <v>0.001256151744911245</v>
      </c>
      <c r="W7" s="33">
        <f>IF('IO model'!$D$23=0,0,'Z domestic'!W7/'IO model'!$D$23)</f>
        <v>0.0012268212138934205</v>
      </c>
      <c r="X7" s="33">
        <f>IF('IO model'!$D$24=0,0,'Z domestic'!X7/'IO model'!$D$24)</f>
        <v>0.003745568499936782</v>
      </c>
      <c r="Y7" s="33">
        <f>IF('IO model'!$D$25=0,0,'Z domestic'!Y7/'IO model'!$D$25)</f>
        <v>0.0015574675520835233</v>
      </c>
      <c r="Z7" s="33">
        <f>IF('IO model'!$D$26=0,0,'Z domestic'!Z7/'IO model'!$D$26)</f>
        <v>0.0017520864624577834</v>
      </c>
      <c r="AA7" s="33">
        <f>IF('IO model'!$D$27=0,0,'Z domestic'!AA7/'IO model'!$D$27)</f>
        <v>0.0017704337562702863</v>
      </c>
      <c r="AB7" s="33">
        <f>IF('IO model'!$D$28=0,0,'Z domestic'!AB7/'IO model'!$D$28)</f>
        <v>0.0035096675826708705</v>
      </c>
      <c r="AC7" s="33">
        <f>IF('IO model'!$D$29=0,0,'Z domestic'!AC7/'IO model'!$D$29)</f>
        <v>0.00155819261036885</v>
      </c>
      <c r="AD7" s="33">
        <f>IF('IO model'!$D$30=0,0,'Z domestic'!AD7/'IO model'!$D$30)</f>
        <v>0.0019866993787349073</v>
      </c>
      <c r="AE7" s="33">
        <f>IF('IO model'!$D$31=0,0,'Z domestic'!AE7/'IO model'!$D$31)</f>
        <v>0.008227508526241895</v>
      </c>
      <c r="AF7" s="33">
        <f>IF('IO model'!$D$32=0,0,'Z domestic'!AF7/'IO model'!$D$32)</f>
        <v>0.006532373302281937</v>
      </c>
      <c r="AG7" s="33">
        <f>IF('IO model'!$D$33=0,0,'Z domestic'!AG7/'IO model'!$D$33)</f>
        <v>0.002359499137090798</v>
      </c>
      <c r="AH7" s="33">
        <f>IF('IO model'!$D$34=0,0,'Z domestic'!AH7/'IO model'!$D$34)</f>
        <v>0.0033349081033718533</v>
      </c>
      <c r="AI7" s="33">
        <f>IF('IO model'!$D$35=0,0,'Z domestic'!AI7/'IO model'!$D$35)</f>
        <v>0.003246981262792265</v>
      </c>
      <c r="AJ7" s="33">
        <f>IF('IO model'!$D$36=0,0,'Z domestic'!AJ7/'IO model'!$D$36)</f>
        <v>0.0019109699720219638</v>
      </c>
      <c r="AK7" s="33">
        <f>IF('IO model'!$D$37=0,0,'Z domestic'!AK7/'IO model'!$D$37)</f>
        <v>0.0011539406693132771</v>
      </c>
      <c r="AL7" s="33">
        <f>IF('IO model'!$D$38=0,0,'Z domestic'!AL7/'IO model'!$D$38)</f>
        <v>0.13423564613232475</v>
      </c>
      <c r="AM7" s="33">
        <f>IF('IO model'!$D$39=0,0,'Z domestic'!AM7/'IO model'!$D$39)</f>
        <v>0.0021455406825783728</v>
      </c>
      <c r="AN7" s="33">
        <f>IF('IO model'!$D$40=0,0,'Z domestic'!AN7/'IO model'!$D$40)</f>
        <v>0.003604738484074484</v>
      </c>
      <c r="AO7" s="33">
        <f>IF('IO model'!$D$41=0,0,'Z domestic'!AO7/'IO model'!$D$41)</f>
        <v>0.0020272813231081615</v>
      </c>
      <c r="AP7" s="33">
        <f>IF('IO model'!$D$42=0,0,'Z domestic'!AP7/'IO model'!$D$42)</f>
        <v>0.0019010979121670264</v>
      </c>
      <c r="AQ7" s="33">
        <f>IF('IO model'!$D$43=0,0,'Z domestic'!AQ7/'IO model'!$D$43)</f>
        <v>0.0006508512177604846</v>
      </c>
      <c r="AR7" s="33">
        <f>IF('IO model'!$D$44=0,0,'Z domestic'!AR7/'IO model'!$D$44)</f>
        <v>0.0005964812838729957</v>
      </c>
      <c r="AS7" s="33">
        <f>IF('IO model'!$D$45=0,0,'Z domestic'!AS7/'IO model'!$D$45)</f>
        <v>0.0011290742233800277</v>
      </c>
      <c r="AT7" s="33">
        <f>IF('IO model'!$D$46=0,0,'Z domestic'!AT7/'IO model'!$D$46)</f>
        <v>0.00045332072249051246</v>
      </c>
      <c r="AU7" s="33">
        <f>IF('IO model'!$D$47=0,0,'Z domestic'!AU7/'IO model'!$D$47)</f>
        <v>0.0023238192932647428</v>
      </c>
      <c r="AV7" s="33">
        <f>IF('IO model'!$D$48=0,0,'Z domestic'!AV7/'IO model'!$D$48)</f>
        <v>0.00175171302146077</v>
      </c>
      <c r="AW7" s="33">
        <f>IF('IO model'!$D$49=0,0,'Z domestic'!AW7/'IO model'!$D$49)</f>
        <v>0.003930433125423249</v>
      </c>
      <c r="AX7" s="33">
        <f>IF('IO model'!$D$50=0,0,'Z domestic'!AX7/'IO model'!$D$50)</f>
        <v>0.0033423005753899877</v>
      </c>
      <c r="AY7" s="33">
        <f>IF('IO model'!$D$51=0,0,'Z domestic'!AY7/'IO model'!$D$51)</f>
        <v>0.004200684055220929</v>
      </c>
      <c r="AZ7" s="33">
        <f>IF('IO model'!$D$52=0,0,'Z domestic'!AZ7/'IO model'!$D$52)</f>
        <v>0.002624056419927195</v>
      </c>
      <c r="BA7" s="33">
        <f>IF('IO model'!$D$53=0,0,'Z domestic'!BA7/'IO model'!$D$53)</f>
        <v>0.0011357736937636362</v>
      </c>
      <c r="BB7" s="33">
        <f>IF('IO model'!$D$54=0,0,'Z domestic'!BB7/'IO model'!$D$54)</f>
        <v>0.0033404365145532767</v>
      </c>
      <c r="BC7" s="33">
        <f>IF('IO model'!$D$55=0,0,'Z domestic'!BC7/'IO model'!$D$55)</f>
        <v>0.0034946458997032396</v>
      </c>
      <c r="BD7" s="33">
        <f>IF('IO model'!$D$56=0,0,'Z domestic'!BD7/'IO model'!$D$56)</f>
        <v>0.004734781908371877</v>
      </c>
      <c r="BE7" s="33">
        <f>IF('IO model'!$D$57=0,0,'Z domestic'!BE7/'IO model'!$D$57)</f>
        <v>0.006577955176281998</v>
      </c>
      <c r="BF7" s="33">
        <f>IF('IO model'!$D$58=0,0,'Z domestic'!BF7/'IO model'!$D$58)</f>
        <v>0.010758240181148444</v>
      </c>
      <c r="BG7" s="33">
        <f>IF('IO model'!$D$59=0,0,'Z domestic'!BG7/'IO model'!$D$59)</f>
        <v>0.016051095862468605</v>
      </c>
      <c r="BH7" s="33">
        <f>IF('IO model'!$D$60=0,0,'Z domestic'!BH7/'IO model'!$D$60)</f>
        <v>0.0043458830635376994</v>
      </c>
      <c r="BI7" s="33">
        <f>IF('IO model'!$D$61=0,0,'Z domestic'!BI7/'IO model'!$D$61)</f>
        <v>0.015641103222736777</v>
      </c>
      <c r="BJ7" s="33">
        <f>IF('IO model'!$D$62=0,0,'Z domestic'!BJ7/'IO model'!$D$62)</f>
        <v>0.008067516857648126</v>
      </c>
      <c r="BK7" s="33">
        <f>IF('IO model'!$D$63=0,0,'Z domestic'!BK7/'IO model'!$D$63)</f>
        <v>0.0033463521324793</v>
      </c>
      <c r="BL7" s="33">
        <f>IF('IO model'!$D$64=0,0,'Z domestic'!BL7/'IO model'!$D$64)</f>
        <v>0.0026928015691125</v>
      </c>
      <c r="BM7" s="33">
        <f>IF('IO model'!$D$65=0,0,'Z domestic'!BM7/'IO model'!$D$65)</f>
        <v>0</v>
      </c>
      <c r="BN7" s="33">
        <f>IF('IO model'!$D$66=0,0,'Z domestic'!BN7/'IO model'!$D$66)</f>
        <v>0</v>
      </c>
    </row>
    <row r="8" spans="1:66" x14ac:dyDescent="0.25">
      <c r="A8" s="30" t="s">
        <v>145</v>
      </c>
      <c r="B8" s="31" t="s">
        <v>285</v>
      </c>
      <c r="C8" s="33">
        <f>IF('IO model'!$D$3=0,0,'Z domestic'!C8/'IO model'!$D$3)</f>
        <v>0.0011085245538188671</v>
      </c>
      <c r="D8" s="33">
        <f>IF('IO model'!$D$4=0,0,'Z domestic'!D8/'IO model'!$D$4)</f>
        <v>0.0006164922073783708</v>
      </c>
      <c r="E8" s="33">
        <f>IF('IO model'!$D$5=0,0,'Z domestic'!E8/'IO model'!$D$5)</f>
        <v>0.006088001140227638</v>
      </c>
      <c r="F8" s="33">
        <f>IF('IO model'!$D$6=0,0,'Z domestic'!F8/'IO model'!$D$6)</f>
        <v>0.000646373240147858</v>
      </c>
      <c r="G8" s="33">
        <f>IF('IO model'!$D$7=0,0,'Z domestic'!G8/'IO model'!$D$7)</f>
        <v>0.0007557362670999033</v>
      </c>
      <c r="H8" s="33">
        <f>IF('IO model'!$D$8=0,0,'Z domestic'!H8/'IO model'!$D$8)</f>
        <v>0.17992556990754646</v>
      </c>
      <c r="I8" s="33">
        <f>IF('IO model'!$D$9=0,0,'Z domestic'!I8/'IO model'!$D$9)</f>
        <v>0.005022774474710461</v>
      </c>
      <c r="J8" s="33">
        <f>IF('IO model'!$D$10=0,0,'Z domestic'!J8/'IO model'!$D$10)</f>
        <v>0.005202427979055789</v>
      </c>
      <c r="K8" s="33">
        <f>IF('IO model'!$D$11=0,0,'Z domestic'!K8/'IO model'!$D$11)</f>
        <v>0.0046232518861929394</v>
      </c>
      <c r="L8" s="33">
        <f>IF('IO model'!$D$12=0,0,'Z domestic'!L8/'IO model'!$D$12)</f>
        <v>0.0003223576818386622</v>
      </c>
      <c r="M8" s="33">
        <f>IF('IO model'!$D$13=0,0,'Z domestic'!M8/'IO model'!$D$13)</f>
        <v>0.0012685625767736436</v>
      </c>
      <c r="N8" s="33">
        <f>IF('IO model'!$D$14=0,0,'Z domestic'!N8/'IO model'!$D$14)</f>
        <v>0.0009857813885119737</v>
      </c>
      <c r="O8" s="33">
        <f>IF('IO model'!$D$15=0,0,'Z domestic'!O8/'IO model'!$D$15)</f>
        <v>0.005167805117859198</v>
      </c>
      <c r="P8" s="33">
        <f>IF('IO model'!$D$16=0,0,'Z domestic'!P8/'IO model'!$D$16)</f>
        <v>0.0018265998079718762</v>
      </c>
      <c r="Q8" s="33">
        <f>IF('IO model'!$D$17=0,0,'Z domestic'!Q8/'IO model'!$D$17)</f>
        <v>0.0006742635548032836</v>
      </c>
      <c r="R8" s="33">
        <f>IF('IO model'!$D$18=0,0,'Z domestic'!R8/'IO model'!$D$18)</f>
        <v>0.0011279326849773605</v>
      </c>
      <c r="S8" s="33">
        <f>IF('IO model'!$D$19=0,0,'Z domestic'!S8/'IO model'!$D$19)</f>
        <v>0.0007491151173422193</v>
      </c>
      <c r="T8" s="33">
        <f>IF('IO model'!$D$20=0,0,'Z domestic'!T8/'IO model'!$D$20)</f>
        <v>0.0011081960048366143</v>
      </c>
      <c r="U8" s="33">
        <f>IF('IO model'!$D$21=0,0,'Z domestic'!U8/'IO model'!$D$21)</f>
        <v>0.0009092388538199546</v>
      </c>
      <c r="V8" s="33">
        <f>IF('IO model'!$D$22=0,0,'Z domestic'!V8/'IO model'!$D$22)</f>
        <v>0.0034225637532248805</v>
      </c>
      <c r="W8" s="33">
        <f>IF('IO model'!$D$23=0,0,'Z domestic'!W8/'IO model'!$D$23)</f>
        <v>0.002018318771244014</v>
      </c>
      <c r="X8" s="33">
        <f>IF('IO model'!$D$24=0,0,'Z domestic'!X8/'IO model'!$D$24)</f>
        <v>0.012299265458550875</v>
      </c>
      <c r="Y8" s="33">
        <f>IF('IO model'!$D$25=0,0,'Z domestic'!Y8/'IO model'!$D$25)</f>
        <v>0.0016057202567692664</v>
      </c>
      <c r="Z8" s="33">
        <f>IF('IO model'!$D$26=0,0,'Z domestic'!Z8/'IO model'!$D$26)</f>
        <v>0.0004261011415171003</v>
      </c>
      <c r="AA8" s="33">
        <f>IF('IO model'!$D$27=0,0,'Z domestic'!AA8/'IO model'!$D$27)</f>
        <v>0.000657141676039132</v>
      </c>
      <c r="AB8" s="33">
        <f>IF('IO model'!$D$28=0,0,'Z domestic'!AB8/'IO model'!$D$28)</f>
        <v>0.0013420126681042016</v>
      </c>
      <c r="AC8" s="33">
        <f>IF('IO model'!$D$29=0,0,'Z domestic'!AC8/'IO model'!$D$29)</f>
        <v>0.0011125294031959856</v>
      </c>
      <c r="AD8" s="33">
        <f>IF('IO model'!$D$30=0,0,'Z domestic'!AD8/'IO model'!$D$30)</f>
        <v>0.001156179777216932</v>
      </c>
      <c r="AE8" s="33">
        <f>IF('IO model'!$D$31=0,0,'Z domestic'!AE8/'IO model'!$D$31)</f>
        <v>0.0022111943365826893</v>
      </c>
      <c r="AF8" s="33">
        <f>IF('IO model'!$D$32=0,0,'Z domestic'!AF8/'IO model'!$D$32)</f>
        <v>0.0015615210105002764</v>
      </c>
      <c r="AG8" s="33">
        <f>IF('IO model'!$D$33=0,0,'Z domestic'!AG8/'IO model'!$D$33)</f>
        <v>0.0006585461941987325</v>
      </c>
      <c r="AH8" s="33">
        <f>IF('IO model'!$D$34=0,0,'Z domestic'!AH8/'IO model'!$D$34)</f>
        <v>0.0004325253947759686</v>
      </c>
      <c r="AI8" s="33">
        <f>IF('IO model'!$D$35=0,0,'Z domestic'!AI8/'IO model'!$D$35)</f>
        <v>0.00033849083702140715</v>
      </c>
      <c r="AJ8" s="33">
        <f>IF('IO model'!$D$36=0,0,'Z domestic'!AJ8/'IO model'!$D$36)</f>
        <v>0.0005558881857901847</v>
      </c>
      <c r="AK8" s="33">
        <f>IF('IO model'!$D$37=0,0,'Z domestic'!AK8/'IO model'!$D$37)</f>
        <v>0.0006056977118471011</v>
      </c>
      <c r="AL8" s="33">
        <f>IF('IO model'!$D$38=0,0,'Z domestic'!AL8/'IO model'!$D$38)</f>
        <v>0.001519213915796682</v>
      </c>
      <c r="AM8" s="33">
        <f>IF('IO model'!$D$39=0,0,'Z domestic'!AM8/'IO model'!$D$39)</f>
        <v>0.000497523229047765</v>
      </c>
      <c r="AN8" s="33">
        <f>IF('IO model'!$D$40=0,0,'Z domestic'!AN8/'IO model'!$D$40)</f>
        <v>0.002834074252629529</v>
      </c>
      <c r="AO8" s="33">
        <f>IF('IO model'!$D$41=0,0,'Z domestic'!AO8/'IO model'!$D$41)</f>
        <v>0.0007094468231418477</v>
      </c>
      <c r="AP8" s="33">
        <f>IF('IO model'!$D$42=0,0,'Z domestic'!AP8/'IO model'!$D$42)</f>
        <v>0.00032513527950022054</v>
      </c>
      <c r="AQ8" s="33">
        <f>IF('IO model'!$D$43=0,0,'Z domestic'!AQ8/'IO model'!$D$43)</f>
        <v>0.00018527269060167724</v>
      </c>
      <c r="AR8" s="33">
        <f>IF('IO model'!$D$44=0,0,'Z domestic'!AR8/'IO model'!$D$44)</f>
        <v>0.00013260678772270527</v>
      </c>
      <c r="AS8" s="33">
        <f>IF('IO model'!$D$45=0,0,'Z domestic'!AS8/'IO model'!$D$45)</f>
        <v>0.00016928082950818624</v>
      </c>
      <c r="AT8" s="33">
        <f>IF('IO model'!$D$46=0,0,'Z domestic'!AT8/'IO model'!$D$46)</f>
        <v>0.0002214674938833239</v>
      </c>
      <c r="AU8" s="33">
        <f>IF('IO model'!$D$47=0,0,'Z domestic'!AU8/'IO model'!$D$47)</f>
        <v>0.0005923530109999346</v>
      </c>
      <c r="AV8" s="33">
        <f>IF('IO model'!$D$48=0,0,'Z domestic'!AV8/'IO model'!$D$48)</f>
        <v>0.0007385962478775391</v>
      </c>
      <c r="AW8" s="33">
        <f>IF('IO model'!$D$49=0,0,'Z domestic'!AW8/'IO model'!$D$49)</f>
        <v>0.0006845273605300953</v>
      </c>
      <c r="AX8" s="33">
        <f>IF('IO model'!$D$50=0,0,'Z domestic'!AX8/'IO model'!$D$50)</f>
        <v>0.0006069539079897256</v>
      </c>
      <c r="AY8" s="33">
        <f>IF('IO model'!$D$51=0,0,'Z domestic'!AY8/'IO model'!$D$51)</f>
        <v>0.002659531976447657</v>
      </c>
      <c r="AZ8" s="33">
        <f>IF('IO model'!$D$52=0,0,'Z domestic'!AZ8/'IO model'!$D$52)</f>
        <v>0.0007683806086898935</v>
      </c>
      <c r="BA8" s="33">
        <f>IF('IO model'!$D$53=0,0,'Z domestic'!BA8/'IO model'!$D$53)</f>
        <v>0.0005603722761291286</v>
      </c>
      <c r="BB8" s="33">
        <f>IF('IO model'!$D$54=0,0,'Z domestic'!BB8/'IO model'!$D$54)</f>
        <v>0.0006143148116087946</v>
      </c>
      <c r="BC8" s="33">
        <f>IF('IO model'!$D$55=0,0,'Z domestic'!BC8/'IO model'!$D$55)</f>
        <v>0.00203952292653204</v>
      </c>
      <c r="BD8" s="33">
        <f>IF('IO model'!$D$56=0,0,'Z domestic'!BD8/'IO model'!$D$56)</f>
        <v>0.0008326589413105616</v>
      </c>
      <c r="BE8" s="33">
        <f>IF('IO model'!$D$57=0,0,'Z domestic'!BE8/'IO model'!$D$57)</f>
        <v>0.00040531048880423773</v>
      </c>
      <c r="BF8" s="33">
        <f>IF('IO model'!$D$58=0,0,'Z domestic'!BF8/'IO model'!$D$58)</f>
        <v>0.002139098403788809</v>
      </c>
      <c r="BG8" s="33">
        <f>IF('IO model'!$D$59=0,0,'Z domestic'!BG8/'IO model'!$D$59)</f>
        <v>0.001573922534387828</v>
      </c>
      <c r="BH8" s="33">
        <f>IF('IO model'!$D$60=0,0,'Z domestic'!BH8/'IO model'!$D$60)</f>
        <v>0.002999523427966922</v>
      </c>
      <c r="BI8" s="33">
        <f>IF('IO model'!$D$61=0,0,'Z domestic'!BI8/'IO model'!$D$61)</f>
        <v>0.00276291432741676</v>
      </c>
      <c r="BJ8" s="33">
        <f>IF('IO model'!$D$62=0,0,'Z domestic'!BJ8/'IO model'!$D$62)</f>
        <v>0.0008258450390349806</v>
      </c>
      <c r="BK8" s="33">
        <f>IF('IO model'!$D$63=0,0,'Z domestic'!BK8/'IO model'!$D$63)</f>
        <v>0.006377128573660365</v>
      </c>
      <c r="BL8" s="33">
        <f>IF('IO model'!$D$64=0,0,'Z domestic'!BL8/'IO model'!$D$64)</f>
        <v>0.003076805574634945</v>
      </c>
      <c r="BM8" s="33">
        <f>IF('IO model'!$D$65=0,0,'Z domestic'!BM8/'IO model'!$D$65)</f>
        <v>0</v>
      </c>
      <c r="BN8" s="33">
        <f>IF('IO model'!$D$66=0,0,'Z domestic'!BN8/'IO model'!$D$66)</f>
        <v>0</v>
      </c>
    </row>
    <row r="9" spans="1:66" x14ac:dyDescent="0.25">
      <c r="A9" s="30" t="s">
        <v>85</v>
      </c>
      <c r="B9" s="31" t="s">
        <v>286</v>
      </c>
      <c r="C9" s="33">
        <f>IF('IO model'!$D$3=0,0,'Z domestic'!C9/'IO model'!$D$3)</f>
        <v>0.0025201040092801834</v>
      </c>
      <c r="D9" s="33">
        <f>IF('IO model'!$D$4=0,0,'Z domestic'!D9/'IO model'!$D$4)</f>
        <v>0.007590059903827215</v>
      </c>
      <c r="E9" s="33">
        <f>IF('IO model'!$D$5=0,0,'Z domestic'!E9/'IO model'!$D$5)</f>
        <v>0.004839180393514276</v>
      </c>
      <c r="F9" s="33">
        <f>IF('IO model'!$D$6=0,0,'Z domestic'!F9/'IO model'!$D$6)</f>
        <v>0.0016453137021945473</v>
      </c>
      <c r="G9" s="33">
        <f>IF('IO model'!$D$7=0,0,'Z domestic'!G9/'IO model'!$D$7)</f>
        <v>0.002730613241976878</v>
      </c>
      <c r="H9" s="33">
        <f>IF('IO model'!$D$8=0,0,'Z domestic'!H9/'IO model'!$D$8)</f>
        <v>0.0011826778320588695</v>
      </c>
      <c r="I9" s="33">
        <f>IF('IO model'!$D$9=0,0,'Z domestic'!I9/'IO model'!$D$9)</f>
        <v>0.17103457952226503</v>
      </c>
      <c r="J9" s="33">
        <f>IF('IO model'!$D$10=0,0,'Z domestic'!J9/'IO model'!$D$10)</f>
        <v>0.020338964813671572</v>
      </c>
      <c r="K9" s="33">
        <f>IF('IO model'!$D$11=0,0,'Z domestic'!K9/'IO model'!$D$11)</f>
        <v>0.0025206105763284385</v>
      </c>
      <c r="L9" s="33">
        <f>IF('IO model'!$D$12=0,0,'Z domestic'!L9/'IO model'!$D$12)</f>
        <v>0.00024062026393655128</v>
      </c>
      <c r="M9" s="33">
        <f>IF('IO model'!$D$13=0,0,'Z domestic'!M9/'IO model'!$D$13)</f>
        <v>0.0017589683828506098</v>
      </c>
      <c r="N9" s="33">
        <f>IF('IO model'!$D$14=0,0,'Z domestic'!N9/'IO model'!$D$14)</f>
        <v>0.0007508408610287761</v>
      </c>
      <c r="O9" s="33">
        <f>IF('IO model'!$D$15=0,0,'Z domestic'!O9/'IO model'!$D$15)</f>
        <v>0.0023888275853950506</v>
      </c>
      <c r="P9" s="33">
        <f>IF('IO model'!$D$16=0,0,'Z domestic'!P9/'IO model'!$D$16)</f>
        <v>0.005252179880388752</v>
      </c>
      <c r="Q9" s="33">
        <f>IF('IO model'!$D$17=0,0,'Z domestic'!Q9/'IO model'!$D$17)</f>
        <v>0.001638178336154354</v>
      </c>
      <c r="R9" s="33">
        <f>IF('IO model'!$D$18=0,0,'Z domestic'!R9/'IO model'!$D$18)</f>
        <v>0.002947824073859272</v>
      </c>
      <c r="S9" s="33">
        <f>IF('IO model'!$D$19=0,0,'Z domestic'!S9/'IO model'!$D$19)</f>
        <v>0.0008121796824354465</v>
      </c>
      <c r="T9" s="33">
        <f>IF('IO model'!$D$20=0,0,'Z domestic'!T9/'IO model'!$D$20)</f>
        <v>0.0016763086639905599</v>
      </c>
      <c r="U9" s="33">
        <f>IF('IO model'!$D$21=0,0,'Z domestic'!U9/'IO model'!$D$21)</f>
        <v>0.0015261545688334938</v>
      </c>
      <c r="V9" s="33">
        <f>IF('IO model'!$D$22=0,0,'Z domestic'!V9/'IO model'!$D$22)</f>
        <v>0.0013312649084560632</v>
      </c>
      <c r="W9" s="33">
        <f>IF('IO model'!$D$23=0,0,'Z domestic'!W9/'IO model'!$D$23)</f>
        <v>0.003660676202746496</v>
      </c>
      <c r="X9" s="33">
        <f>IF('IO model'!$D$24=0,0,'Z domestic'!X9/'IO model'!$D$24)</f>
        <v>0.04904098159824733</v>
      </c>
      <c r="Y9" s="33">
        <f>IF('IO model'!$D$25=0,0,'Z domestic'!Y9/'IO model'!$D$25)</f>
        <v>0.0017650758277062163</v>
      </c>
      <c r="Z9" s="33">
        <f>IF('IO model'!$D$26=0,0,'Z domestic'!Z9/'IO model'!$D$26)</f>
        <v>0.0023042678243902536</v>
      </c>
      <c r="AA9" s="33">
        <f>IF('IO model'!$D$27=0,0,'Z domestic'!AA9/'IO model'!$D$27)</f>
        <v>0.000758350046969237</v>
      </c>
      <c r="AB9" s="33">
        <f>IF('IO model'!$D$28=0,0,'Z domestic'!AB9/'IO model'!$D$28)</f>
        <v>0.0014589786530197178</v>
      </c>
      <c r="AC9" s="33">
        <f>IF('IO model'!$D$29=0,0,'Z domestic'!AC9/'IO model'!$D$29)</f>
        <v>0.01540669540422651</v>
      </c>
      <c r="AD9" s="33">
        <f>IF('IO model'!$D$30=0,0,'Z domestic'!AD9/'IO model'!$D$30)</f>
        <v>0.0006823356062263862</v>
      </c>
      <c r="AE9" s="33">
        <f>IF('IO model'!$D$31=0,0,'Z domestic'!AE9/'IO model'!$D$31)</f>
        <v>0.001452644207364194</v>
      </c>
      <c r="AF9" s="33">
        <f>IF('IO model'!$D$32=0,0,'Z domestic'!AF9/'IO model'!$D$32)</f>
        <v>0.0008703764485197221</v>
      </c>
      <c r="AG9" s="33">
        <f>IF('IO model'!$D$33=0,0,'Z domestic'!AG9/'IO model'!$D$33)</f>
        <v>0.0009754513145928916</v>
      </c>
      <c r="AH9" s="33">
        <f>IF('IO model'!$D$34=0,0,'Z domestic'!AH9/'IO model'!$D$34)</f>
        <v>0.00011328046053656319</v>
      </c>
      <c r="AI9" s="33">
        <f>IF('IO model'!$D$35=0,0,'Z domestic'!AI9/'IO model'!$D$35)</f>
        <v>0.00015627520886782724</v>
      </c>
      <c r="AJ9" s="33">
        <f>IF('IO model'!$D$36=0,0,'Z domestic'!AJ9/'IO model'!$D$36)</f>
        <v>0.0010084167814797419</v>
      </c>
      <c r="AK9" s="33">
        <f>IF('IO model'!$D$37=0,0,'Z domestic'!AK9/'IO model'!$D$37)</f>
        <v>0.00028381264212264167</v>
      </c>
      <c r="AL9" s="33">
        <f>IF('IO model'!$D$38=0,0,'Z domestic'!AL9/'IO model'!$D$38)</f>
        <v>0.00079560168137606</v>
      </c>
      <c r="AM9" s="33">
        <f>IF('IO model'!$D$39=0,0,'Z domestic'!AM9/'IO model'!$D$39)</f>
        <v>0.0005029458255496479</v>
      </c>
      <c r="AN9" s="33">
        <f>IF('IO model'!$D$40=0,0,'Z domestic'!AN9/'IO model'!$D$40)</f>
        <v>0.002558257580322914</v>
      </c>
      <c r="AO9" s="33">
        <f>IF('IO model'!$D$41=0,0,'Z domestic'!AO9/'IO model'!$D$41)</f>
        <v>0.0005433381113787954</v>
      </c>
      <c r="AP9" s="33">
        <f>IF('IO model'!$D$42=0,0,'Z domestic'!AP9/'IO model'!$D$42)</f>
        <v>0.0002503831951508395</v>
      </c>
      <c r="AQ9" s="33">
        <f>IF('IO model'!$D$43=0,0,'Z domestic'!AQ9/'IO model'!$D$43)</f>
        <v>0.0000873633838606874</v>
      </c>
      <c r="AR9" s="33">
        <f>IF('IO model'!$D$44=0,0,'Z domestic'!AR9/'IO model'!$D$44)</f>
        <v>0.00010444030837558929</v>
      </c>
      <c r="AS9" s="33">
        <f>IF('IO model'!$D$45=0,0,'Z domestic'!AS9/'IO model'!$D$45)</f>
        <v>0.00017185055747035983</v>
      </c>
      <c r="AT9" s="33">
        <f>IF('IO model'!$D$46=0,0,'Z domestic'!AT9/'IO model'!$D$46)</f>
        <v>0.0009890159710785268</v>
      </c>
      <c r="AU9" s="33">
        <f>IF('IO model'!$D$47=0,0,'Z domestic'!AU9/'IO model'!$D$47)</f>
        <v>0.0003499265665695609</v>
      </c>
      <c r="AV9" s="33">
        <f>IF('IO model'!$D$48=0,0,'Z domestic'!AV9/'IO model'!$D$48)</f>
        <v>0.0005713416627603428</v>
      </c>
      <c r="AW9" s="33">
        <f>IF('IO model'!$D$49=0,0,'Z domestic'!AW9/'IO model'!$D$49)</f>
        <v>0.00032536428379746954</v>
      </c>
      <c r="AX9" s="33">
        <f>IF('IO model'!$D$50=0,0,'Z domestic'!AX9/'IO model'!$D$50)</f>
        <v>0.0009619756118043267</v>
      </c>
      <c r="AY9" s="33">
        <f>IF('IO model'!$D$51=0,0,'Z domestic'!AY9/'IO model'!$D$51)</f>
        <v>0.001391829927600264</v>
      </c>
      <c r="AZ9" s="33">
        <f>IF('IO model'!$D$52=0,0,'Z domestic'!AZ9/'IO model'!$D$52)</f>
        <v>0.000576760435699761</v>
      </c>
      <c r="BA9" s="33">
        <f>IF('IO model'!$D$53=0,0,'Z domestic'!BA9/'IO model'!$D$53)</f>
        <v>0.00015072081909680015</v>
      </c>
      <c r="BB9" s="33">
        <f>IF('IO model'!$D$54=0,0,'Z domestic'!BB9/'IO model'!$D$54)</f>
        <v>0.00019705942658100294</v>
      </c>
      <c r="BC9" s="33">
        <f>IF('IO model'!$D$55=0,0,'Z domestic'!BC9/'IO model'!$D$55)</f>
        <v>0.0023430849296588695</v>
      </c>
      <c r="BD9" s="33">
        <f>IF('IO model'!$D$56=0,0,'Z domestic'!BD9/'IO model'!$D$56)</f>
        <v>0.00027704251683798985</v>
      </c>
      <c r="BE9" s="33">
        <f>IF('IO model'!$D$57=0,0,'Z domestic'!BE9/'IO model'!$D$57)</f>
        <v>0.00035786363775007035</v>
      </c>
      <c r="BF9" s="33">
        <f>IF('IO model'!$D$58=0,0,'Z domestic'!BF9/'IO model'!$D$58)</f>
        <v>0.0005671253847012485</v>
      </c>
      <c r="BG9" s="33">
        <f>IF('IO model'!$D$59=0,0,'Z domestic'!BG9/'IO model'!$D$59)</f>
        <v>0.0004040853378068586</v>
      </c>
      <c r="BH9" s="33">
        <f>IF('IO model'!$D$60=0,0,'Z domestic'!BH9/'IO model'!$D$60)</f>
        <v>0.0017910729155210603</v>
      </c>
      <c r="BI9" s="33">
        <f>IF('IO model'!$D$61=0,0,'Z domestic'!BI9/'IO model'!$D$61)</f>
        <v>0.001379994065674374</v>
      </c>
      <c r="BJ9" s="33">
        <f>IF('IO model'!$D$62=0,0,'Z domestic'!BJ9/'IO model'!$D$62)</f>
        <v>0.0009684700875591277</v>
      </c>
      <c r="BK9" s="33">
        <f>IF('IO model'!$D$63=0,0,'Z domestic'!BK9/'IO model'!$D$63)</f>
        <v>0.002918294016559913</v>
      </c>
      <c r="BL9" s="33">
        <f>IF('IO model'!$D$64=0,0,'Z domestic'!BL9/'IO model'!$D$64)</f>
        <v>0.005848635592397782</v>
      </c>
      <c r="BM9" s="33">
        <f>IF('IO model'!$D$65=0,0,'Z domestic'!BM9/'IO model'!$D$65)</f>
        <v>0</v>
      </c>
      <c r="BN9" s="33">
        <f>IF('IO model'!$D$66=0,0,'Z domestic'!BN9/'IO model'!$D$66)</f>
        <v>0</v>
      </c>
    </row>
    <row r="10" spans="1:66" x14ac:dyDescent="0.25">
      <c r="A10" s="30" t="s">
        <v>87</v>
      </c>
      <c r="B10" s="31" t="s">
        <v>287</v>
      </c>
      <c r="C10" s="33">
        <f>IF('IO model'!$D$3=0,0,'Z domestic'!C10/'IO model'!$D$3)</f>
        <v>0.0013527490972507718</v>
      </c>
      <c r="D10" s="33">
        <f>IF('IO model'!$D$4=0,0,'Z domestic'!D10/'IO model'!$D$4)</f>
        <v>0.004323451843952211</v>
      </c>
      <c r="E10" s="33">
        <f>IF('IO model'!$D$5=0,0,'Z domestic'!E10/'IO model'!$D$5)</f>
        <v>0.0023754742464656333</v>
      </c>
      <c r="F10" s="33">
        <f>IF('IO model'!$D$6=0,0,'Z domestic'!F10/'IO model'!$D$6)</f>
        <v>0.0014451583522623983</v>
      </c>
      <c r="G10" s="33">
        <f>IF('IO model'!$D$7=0,0,'Z domestic'!G10/'IO model'!$D$7)</f>
        <v>0.013500462080007531</v>
      </c>
      <c r="H10" s="33">
        <f>IF('IO model'!$D$8=0,0,'Z domestic'!H10/'IO model'!$D$8)</f>
        <v>0.004976645077196847</v>
      </c>
      <c r="I10" s="33">
        <f>IF('IO model'!$D$9=0,0,'Z domestic'!I10/'IO model'!$D$9)</f>
        <v>0.011779588571519091</v>
      </c>
      <c r="J10" s="33">
        <f>IF('IO model'!$D$10=0,0,'Z domestic'!J10/'IO model'!$D$10)</f>
        <v>0.19598950368460483</v>
      </c>
      <c r="K10" s="33">
        <f>IF('IO model'!$D$11=0,0,'Z domestic'!K10/'IO model'!$D$11)</f>
        <v>0.11200296843479039</v>
      </c>
      <c r="L10" s="33">
        <f>IF('IO model'!$D$12=0,0,'Z domestic'!L10/'IO model'!$D$12)</f>
        <v>0.00045130075457412705</v>
      </c>
      <c r="M10" s="33">
        <f>IF('IO model'!$D$13=0,0,'Z domestic'!M10/'IO model'!$D$13)</f>
        <v>0.007217096756655817</v>
      </c>
      <c r="N10" s="33">
        <f>IF('IO model'!$D$14=0,0,'Z domestic'!N10/'IO model'!$D$14)</f>
        <v>0.006532853728126717</v>
      </c>
      <c r="O10" s="33">
        <f>IF('IO model'!$D$15=0,0,'Z domestic'!O10/'IO model'!$D$15)</f>
        <v>0.007900816708283596</v>
      </c>
      <c r="P10" s="33">
        <f>IF('IO model'!$D$16=0,0,'Z domestic'!P10/'IO model'!$D$16)</f>
        <v>0.0054418001282194066</v>
      </c>
      <c r="Q10" s="33">
        <f>IF('IO model'!$D$17=0,0,'Z domestic'!Q10/'IO model'!$D$17)</f>
        <v>0.001917499066282055</v>
      </c>
      <c r="R10" s="33">
        <f>IF('IO model'!$D$18=0,0,'Z domestic'!R10/'IO model'!$D$18)</f>
        <v>0.00247441232707232</v>
      </c>
      <c r="S10" s="33">
        <f>IF('IO model'!$D$19=0,0,'Z domestic'!S10/'IO model'!$D$19)</f>
        <v>0.002510327141686674</v>
      </c>
      <c r="T10" s="33">
        <f>IF('IO model'!$D$20=0,0,'Z domestic'!T10/'IO model'!$D$20)</f>
        <v>0.004735656323244426</v>
      </c>
      <c r="U10" s="33">
        <f>IF('IO model'!$D$21=0,0,'Z domestic'!U10/'IO model'!$D$21)</f>
        <v>0.0021731884254210273</v>
      </c>
      <c r="V10" s="33">
        <f>IF('IO model'!$D$22=0,0,'Z domestic'!V10/'IO model'!$D$22)</f>
        <v>0.0010596519997859736</v>
      </c>
      <c r="W10" s="33">
        <f>IF('IO model'!$D$23=0,0,'Z domestic'!W10/'IO model'!$D$23)</f>
        <v>0.0009794782272213598</v>
      </c>
      <c r="X10" s="33">
        <f>IF('IO model'!$D$24=0,0,'Z domestic'!X10/'IO model'!$D$24)</f>
        <v>0.008452262663393148</v>
      </c>
      <c r="Y10" s="33">
        <f>IF('IO model'!$D$25=0,0,'Z domestic'!Y10/'IO model'!$D$25)</f>
        <v>0.0015866624658429646</v>
      </c>
      <c r="Z10" s="33">
        <f>IF('IO model'!$D$26=0,0,'Z domestic'!Z10/'IO model'!$D$26)</f>
        <v>0.0012880362460989463</v>
      </c>
      <c r="AA10" s="33">
        <f>IF('IO model'!$D$27=0,0,'Z domestic'!AA10/'IO model'!$D$27)</f>
        <v>0.001414066252995269</v>
      </c>
      <c r="AB10" s="33">
        <f>IF('IO model'!$D$28=0,0,'Z domestic'!AB10/'IO model'!$D$28)</f>
        <v>0.00462050042176558</v>
      </c>
      <c r="AC10" s="33">
        <f>IF('IO model'!$D$29=0,0,'Z domestic'!AC10/'IO model'!$D$29)</f>
        <v>0.001054558964738677</v>
      </c>
      <c r="AD10" s="33">
        <f>IF('IO model'!$D$30=0,0,'Z domestic'!AD10/'IO model'!$D$30)</f>
        <v>0.0014606708107313766</v>
      </c>
      <c r="AE10" s="33">
        <f>IF('IO model'!$D$31=0,0,'Z domestic'!AE10/'IO model'!$D$31)</f>
        <v>0.0037987082916581833</v>
      </c>
      <c r="AF10" s="33">
        <f>IF('IO model'!$D$32=0,0,'Z domestic'!AF10/'IO model'!$D$32)</f>
        <v>0.003311730642220234</v>
      </c>
      <c r="AG10" s="33">
        <f>IF('IO model'!$D$33=0,0,'Z domestic'!AG10/'IO model'!$D$33)</f>
        <v>0.001301810490478989</v>
      </c>
      <c r="AH10" s="33">
        <f>IF('IO model'!$D$34=0,0,'Z domestic'!AH10/'IO model'!$D$34)</f>
        <v>0.0004316672094688734</v>
      </c>
      <c r="AI10" s="33">
        <f>IF('IO model'!$D$35=0,0,'Z domestic'!AI10/'IO model'!$D$35)</f>
        <v>0.0004568044566905719</v>
      </c>
      <c r="AJ10" s="33">
        <f>IF('IO model'!$D$36=0,0,'Z domestic'!AJ10/'IO model'!$D$36)</f>
        <v>0.0016978516785708718</v>
      </c>
      <c r="AK10" s="33">
        <f>IF('IO model'!$D$37=0,0,'Z domestic'!AK10/'IO model'!$D$37)</f>
        <v>0.0014294465999591588</v>
      </c>
      <c r="AL10" s="33">
        <f>IF('IO model'!$D$38=0,0,'Z domestic'!AL10/'IO model'!$D$38)</f>
        <v>0.0032549594701666838</v>
      </c>
      <c r="AM10" s="33">
        <f>IF('IO model'!$D$39=0,0,'Z domestic'!AM10/'IO model'!$D$39)</f>
        <v>0.013312926295164581</v>
      </c>
      <c r="AN10" s="33">
        <f>IF('IO model'!$D$40=0,0,'Z domestic'!AN10/'IO model'!$D$40)</f>
        <v>0.0036806460136378596</v>
      </c>
      <c r="AO10" s="33">
        <f>IF('IO model'!$D$41=0,0,'Z domestic'!AO10/'IO model'!$D$41)</f>
        <v>0.0007951147776350303</v>
      </c>
      <c r="AP10" s="33">
        <f>IF('IO model'!$D$42=0,0,'Z domestic'!AP10/'IO model'!$D$42)</f>
        <v>0.0009377576406790682</v>
      </c>
      <c r="AQ10" s="33">
        <f>IF('IO model'!$D$43=0,0,'Z domestic'!AQ10/'IO model'!$D$43)</f>
        <v>0.001212181931071129</v>
      </c>
      <c r="AR10" s="33">
        <f>IF('IO model'!$D$44=0,0,'Z domestic'!AR10/'IO model'!$D$44)</f>
        <v>0.0010788010850824594</v>
      </c>
      <c r="AS10" s="33">
        <f>IF('IO model'!$D$45=0,0,'Z domestic'!AS10/'IO model'!$D$45)</f>
        <v>0.002773700119171135</v>
      </c>
      <c r="AT10" s="33">
        <f>IF('IO model'!$D$46=0,0,'Z domestic'!AT10/'IO model'!$D$46)</f>
        <v>0.0003657296173079644</v>
      </c>
      <c r="AU10" s="33">
        <f>IF('IO model'!$D$47=0,0,'Z domestic'!AU10/'IO model'!$D$47)</f>
        <v>0.0026295641033193466</v>
      </c>
      <c r="AV10" s="33">
        <f>IF('IO model'!$D$48=0,0,'Z domestic'!AV10/'IO model'!$D$48)</f>
        <v>0.004082795925767508</v>
      </c>
      <c r="AW10" s="33">
        <f>IF('IO model'!$D$49=0,0,'Z domestic'!AW10/'IO model'!$D$49)</f>
        <v>0.001463121241156831</v>
      </c>
      <c r="AX10" s="33">
        <f>IF('IO model'!$D$50=0,0,'Z domestic'!AX10/'IO model'!$D$50)</f>
        <v>0.0075903987768257105</v>
      </c>
      <c r="AY10" s="33">
        <f>IF('IO model'!$D$51=0,0,'Z domestic'!AY10/'IO model'!$D$51)</f>
        <v>0.007926363901154882</v>
      </c>
      <c r="AZ10" s="33">
        <f>IF('IO model'!$D$52=0,0,'Z domestic'!AZ10/'IO model'!$D$52)</f>
        <v>0.001165191788451329</v>
      </c>
      <c r="BA10" s="33">
        <f>IF('IO model'!$D$53=0,0,'Z domestic'!BA10/'IO model'!$D$53)</f>
        <v>0.0006209182461936552</v>
      </c>
      <c r="BB10" s="33">
        <f>IF('IO model'!$D$54=0,0,'Z domestic'!BB10/'IO model'!$D$54)</f>
        <v>0.0031162514988882493</v>
      </c>
      <c r="BC10" s="33">
        <f>IF('IO model'!$D$55=0,0,'Z domestic'!BC10/'IO model'!$D$55)</f>
        <v>0.006698110487166082</v>
      </c>
      <c r="BD10" s="33">
        <f>IF('IO model'!$D$56=0,0,'Z domestic'!BD10/'IO model'!$D$56)</f>
        <v>0.0014753558151711546</v>
      </c>
      <c r="BE10" s="33">
        <f>IF('IO model'!$D$57=0,0,'Z domestic'!BE10/'IO model'!$D$57)</f>
        <v>0.0013620847129634966</v>
      </c>
      <c r="BF10" s="33">
        <f>IF('IO model'!$D$58=0,0,'Z domestic'!BF10/'IO model'!$D$58)</f>
        <v>0.0011635119835435568</v>
      </c>
      <c r="BG10" s="33">
        <f>IF('IO model'!$D$59=0,0,'Z domestic'!BG10/'IO model'!$D$59)</f>
        <v>0.0018638459260046157</v>
      </c>
      <c r="BH10" s="33">
        <f>IF('IO model'!$D$60=0,0,'Z domestic'!BH10/'IO model'!$D$60)</f>
        <v>0.005203450870311307</v>
      </c>
      <c r="BI10" s="33">
        <f>IF('IO model'!$D$61=0,0,'Z domestic'!BI10/'IO model'!$D$61)</f>
        <v>0.0021735784393191794</v>
      </c>
      <c r="BJ10" s="33">
        <f>IF('IO model'!$D$62=0,0,'Z domestic'!BJ10/'IO model'!$D$62)</f>
        <v>0.0022797003723778993</v>
      </c>
      <c r="BK10" s="33">
        <f>IF('IO model'!$D$63=0,0,'Z domestic'!BK10/'IO model'!$D$63)</f>
        <v>0.002215278862677707</v>
      </c>
      <c r="BL10" s="33">
        <f>IF('IO model'!$D$64=0,0,'Z domestic'!BL10/'IO model'!$D$64)</f>
        <v>0.00124589144885666</v>
      </c>
      <c r="BM10" s="33">
        <f>IF('IO model'!$D$65=0,0,'Z domestic'!BM10/'IO model'!$D$65)</f>
        <v>0</v>
      </c>
      <c r="BN10" s="33">
        <f>IF('IO model'!$D$66=0,0,'Z domestic'!BN10/'IO model'!$D$66)</f>
        <v>0</v>
      </c>
    </row>
    <row r="11" spans="1:66" x14ac:dyDescent="0.25">
      <c r="A11" s="30" t="s">
        <v>89</v>
      </c>
      <c r="B11" s="31" t="s">
        <v>288</v>
      </c>
      <c r="C11" s="33">
        <f>IF('IO model'!$D$3=0,0,'Z domestic'!C11/'IO model'!$D$3)</f>
        <v>0.00021088152141940023</v>
      </c>
      <c r="D11" s="33">
        <f>IF('IO model'!$D$4=0,0,'Z domestic'!D11/'IO model'!$D$4)</f>
        <v>0.00020176108605110318</v>
      </c>
      <c r="E11" s="33">
        <f>IF('IO model'!$D$5=0,0,'Z domestic'!E11/'IO model'!$D$5)</f>
        <v>0.0006922810661128416</v>
      </c>
      <c r="F11" s="33">
        <f>IF('IO model'!$D$6=0,0,'Z domestic'!F11/'IO model'!$D$6)</f>
        <v>0.0002928878744419981</v>
      </c>
      <c r="G11" s="33">
        <f>IF('IO model'!$D$7=0,0,'Z domestic'!G11/'IO model'!$D$7)</f>
        <v>0.0012919845306208942</v>
      </c>
      <c r="H11" s="33">
        <f>IF('IO model'!$D$8=0,0,'Z domestic'!H11/'IO model'!$D$8)</f>
        <v>0.001420706567660766</v>
      </c>
      <c r="I11" s="33">
        <f>IF('IO model'!$D$9=0,0,'Z domestic'!I11/'IO model'!$D$9)</f>
        <v>0.0027557934744666204</v>
      </c>
      <c r="J11" s="33">
        <f>IF('IO model'!$D$10=0,0,'Z domestic'!J11/'IO model'!$D$10)</f>
        <v>0.011308242064436761</v>
      </c>
      <c r="K11" s="33">
        <f>IF('IO model'!$D$11=0,0,'Z domestic'!K11/'IO model'!$D$11)</f>
        <v>0.06107327114974245</v>
      </c>
      <c r="L11" s="33">
        <f>IF('IO model'!$D$12=0,0,'Z domestic'!L11/'IO model'!$D$12)</f>
        <v>0.0001675157868016296</v>
      </c>
      <c r="M11" s="33">
        <f>IF('IO model'!$D$13=0,0,'Z domestic'!M11/'IO model'!$D$13)</f>
        <v>0.000962531704215331</v>
      </c>
      <c r="N11" s="33">
        <f>IF('IO model'!$D$14=0,0,'Z domestic'!N11/'IO model'!$D$14)</f>
        <v>0.0011520966760086705</v>
      </c>
      <c r="O11" s="33">
        <f>IF('IO model'!$D$15=0,0,'Z domestic'!O11/'IO model'!$D$15)</f>
        <v>0.001433632887398297</v>
      </c>
      <c r="P11" s="33">
        <f>IF('IO model'!$D$16=0,0,'Z domestic'!P11/'IO model'!$D$16)</f>
        <v>0.0006982840872493928</v>
      </c>
      <c r="Q11" s="33">
        <f>IF('IO model'!$D$17=0,0,'Z domestic'!Q11/'IO model'!$D$17)</f>
        <v>0.0004577204567668726</v>
      </c>
      <c r="R11" s="33">
        <f>IF('IO model'!$D$18=0,0,'Z domestic'!R11/'IO model'!$D$18)</f>
        <v>0.0006962784461023365</v>
      </c>
      <c r="S11" s="33">
        <f>IF('IO model'!$D$19=0,0,'Z domestic'!S11/'IO model'!$D$19)</f>
        <v>0.0005795812257555686</v>
      </c>
      <c r="T11" s="33">
        <f>IF('IO model'!$D$20=0,0,'Z domestic'!T11/'IO model'!$D$20)</f>
        <v>0.0008585274903980141</v>
      </c>
      <c r="U11" s="33">
        <f>IF('IO model'!$D$21=0,0,'Z domestic'!U11/'IO model'!$D$21)</f>
        <v>0.0007721886549769469</v>
      </c>
      <c r="V11" s="33">
        <f>IF('IO model'!$D$22=0,0,'Z domestic'!V11/'IO model'!$D$22)</f>
        <v>0.0007212718346316007</v>
      </c>
      <c r="W11" s="33">
        <f>IF('IO model'!$D$23=0,0,'Z domestic'!W11/'IO model'!$D$23)</f>
        <v>0.0004023445916532185</v>
      </c>
      <c r="X11" s="33">
        <f>IF('IO model'!$D$24=0,0,'Z domestic'!X11/'IO model'!$D$24)</f>
        <v>0.0016136624852402385</v>
      </c>
      <c r="Y11" s="33">
        <f>IF('IO model'!$D$25=0,0,'Z domestic'!Y11/'IO model'!$D$25)</f>
        <v>0.00041846043055199065</v>
      </c>
      <c r="Z11" s="33">
        <f>IF('IO model'!$D$26=0,0,'Z domestic'!Z11/'IO model'!$D$26)</f>
        <v>0.0004094035485867361</v>
      </c>
      <c r="AA11" s="33">
        <f>IF('IO model'!$D$27=0,0,'Z domestic'!AA11/'IO model'!$D$27)</f>
        <v>0.0007669028670478373</v>
      </c>
      <c r="AB11" s="33">
        <f>IF('IO model'!$D$28=0,0,'Z domestic'!AB11/'IO model'!$D$28)</f>
        <v>0.0011459226345693658</v>
      </c>
      <c r="AC11" s="33">
        <f>IF('IO model'!$D$29=0,0,'Z domestic'!AC11/'IO model'!$D$29)</f>
        <v>0.0003401124799675234</v>
      </c>
      <c r="AD11" s="33">
        <f>IF('IO model'!$D$30=0,0,'Z domestic'!AD11/'IO model'!$D$30)</f>
        <v>0.0017595003294755443</v>
      </c>
      <c r="AE11" s="33">
        <f>IF('IO model'!$D$31=0,0,'Z domestic'!AE11/'IO model'!$D$31)</f>
        <v>0.001667459884619129</v>
      </c>
      <c r="AF11" s="33">
        <f>IF('IO model'!$D$32=0,0,'Z domestic'!AF11/'IO model'!$D$32)</f>
        <v>0.0031073402728517756</v>
      </c>
      <c r="AG11" s="33">
        <f>IF('IO model'!$D$33=0,0,'Z domestic'!AG11/'IO model'!$D$33)</f>
        <v>0.0008450371518479311</v>
      </c>
      <c r="AH11" s="33">
        <f>IF('IO model'!$D$34=0,0,'Z domestic'!AH11/'IO model'!$D$34)</f>
        <v>0.0001454624095526323</v>
      </c>
      <c r="AI11" s="33">
        <f>IF('IO model'!$D$35=0,0,'Z domestic'!AI11/'IO model'!$D$35)</f>
        <v>0.0003992293797392672</v>
      </c>
      <c r="AJ11" s="33">
        <f>IF('IO model'!$D$36=0,0,'Z domestic'!AJ11/'IO model'!$D$36)</f>
        <v>0.0007306117997422548</v>
      </c>
      <c r="AK11" s="33">
        <f>IF('IO model'!$D$37=0,0,'Z domestic'!AK11/'IO model'!$D$37)</f>
        <v>0.003322684590704098</v>
      </c>
      <c r="AL11" s="33">
        <f>IF('IO model'!$D$38=0,0,'Z domestic'!AL11/'IO model'!$D$38)</f>
        <v>0.0011798833770959324</v>
      </c>
      <c r="AM11" s="33">
        <f>IF('IO model'!$D$39=0,0,'Z domestic'!AM11/'IO model'!$D$39)</f>
        <v>0.02856036389237592</v>
      </c>
      <c r="AN11" s="33">
        <f>IF('IO model'!$D$40=0,0,'Z domestic'!AN11/'IO model'!$D$40)</f>
        <v>0.008729945346578713</v>
      </c>
      <c r="AO11" s="33">
        <f>IF('IO model'!$D$41=0,0,'Z domestic'!AO11/'IO model'!$D$41)</f>
        <v>0.0024620098921803455</v>
      </c>
      <c r="AP11" s="33">
        <f>IF('IO model'!$D$42=0,0,'Z domestic'!AP11/'IO model'!$D$42)</f>
        <v>0.0011328025209596134</v>
      </c>
      <c r="AQ11" s="33">
        <f>IF('IO model'!$D$43=0,0,'Z domestic'!AQ11/'IO model'!$D$43)</f>
        <v>0.0017985592112224915</v>
      </c>
      <c r="AR11" s="33">
        <f>IF('IO model'!$D$44=0,0,'Z domestic'!AR11/'IO model'!$D$44)</f>
        <v>0.00212469973411342</v>
      </c>
      <c r="AS11" s="33">
        <f>IF('IO model'!$D$45=0,0,'Z domestic'!AS11/'IO model'!$D$45)</f>
        <v>0.004102891907605432</v>
      </c>
      <c r="AT11" s="33">
        <f>IF('IO model'!$D$46=0,0,'Z domestic'!AT11/'IO model'!$D$46)</f>
        <v>0.00029430990728905956</v>
      </c>
      <c r="AU11" s="33">
        <f>IF('IO model'!$D$47=0,0,'Z domestic'!AU11/'IO model'!$D$47)</f>
        <v>0.001863217867560908</v>
      </c>
      <c r="AV11" s="33">
        <f>IF('IO model'!$D$48=0,0,'Z domestic'!AV11/'IO model'!$D$48)</f>
        <v>0.003024854923372869</v>
      </c>
      <c r="AW11" s="33">
        <f>IF('IO model'!$D$49=0,0,'Z domestic'!AW11/'IO model'!$D$49)</f>
        <v>0.002384240152233021</v>
      </c>
      <c r="AX11" s="33">
        <f>IF('IO model'!$D$50=0,0,'Z domestic'!AX11/'IO model'!$D$50)</f>
        <v>0.009847942988031771</v>
      </c>
      <c r="AY11" s="33">
        <f>IF('IO model'!$D$51=0,0,'Z domestic'!AY11/'IO model'!$D$51)</f>
        <v>0.006862674009465672</v>
      </c>
      <c r="AZ11" s="33">
        <f>IF('IO model'!$D$52=0,0,'Z domestic'!AZ11/'IO model'!$D$52)</f>
        <v>0.0009806284490274054</v>
      </c>
      <c r="BA11" s="33">
        <f>IF('IO model'!$D$53=0,0,'Z domestic'!BA11/'IO model'!$D$53)</f>
        <v>0.0010528987134625467</v>
      </c>
      <c r="BB11" s="33">
        <f>IF('IO model'!$D$54=0,0,'Z domestic'!BB11/'IO model'!$D$54)</f>
        <v>0.004907338189877528</v>
      </c>
      <c r="BC11" s="33">
        <f>IF('IO model'!$D$55=0,0,'Z domestic'!BC11/'IO model'!$D$55)</f>
        <v>0.004799946841387992</v>
      </c>
      <c r="BD11" s="33">
        <f>IF('IO model'!$D$56=0,0,'Z domestic'!BD11/'IO model'!$D$56)</f>
        <v>0.0014241238321578984</v>
      </c>
      <c r="BE11" s="33">
        <f>IF('IO model'!$D$57=0,0,'Z domestic'!BE11/'IO model'!$D$57)</f>
        <v>0.001662440225440324</v>
      </c>
      <c r="BF11" s="33">
        <f>IF('IO model'!$D$58=0,0,'Z domestic'!BF11/'IO model'!$D$58)</f>
        <v>0.0005218382739870199</v>
      </c>
      <c r="BG11" s="33">
        <f>IF('IO model'!$D$59=0,0,'Z domestic'!BG11/'IO model'!$D$59)</f>
        <v>0.001714089059596962</v>
      </c>
      <c r="BH11" s="33">
        <f>IF('IO model'!$D$60=0,0,'Z domestic'!BH11/'IO model'!$D$60)</f>
        <v>0.006681173309871324</v>
      </c>
      <c r="BI11" s="33">
        <f>IF('IO model'!$D$61=0,0,'Z domestic'!BI11/'IO model'!$D$61)</f>
        <v>0.0040153262445258185</v>
      </c>
      <c r="BJ11" s="33">
        <f>IF('IO model'!$D$62=0,0,'Z domestic'!BJ11/'IO model'!$D$62)</f>
        <v>0.004863054073871725</v>
      </c>
      <c r="BK11" s="33">
        <f>IF('IO model'!$D$63=0,0,'Z domestic'!BK11/'IO model'!$D$63)</f>
        <v>0.0014372754257147321</v>
      </c>
      <c r="BL11" s="33">
        <f>IF('IO model'!$D$64=0,0,'Z domestic'!BL11/'IO model'!$D$64)</f>
        <v>0.0010804090597364906</v>
      </c>
      <c r="BM11" s="33">
        <f>IF('IO model'!$D$65=0,0,'Z domestic'!BM11/'IO model'!$D$65)</f>
        <v>0</v>
      </c>
      <c r="BN11" s="33">
        <f>IF('IO model'!$D$66=0,0,'Z domestic'!BN11/'IO model'!$D$66)</f>
        <v>0</v>
      </c>
    </row>
    <row r="12" spans="1:66" x14ac:dyDescent="0.25">
      <c r="A12" s="30" t="s">
        <v>91</v>
      </c>
      <c r="B12" s="31" t="s">
        <v>289</v>
      </c>
      <c r="C12" s="33">
        <f>IF('IO model'!$D$3=0,0,'Z domestic'!C12/'IO model'!$D$3)</f>
        <v>0.022147273160525702</v>
      </c>
      <c r="D12" s="33">
        <f>IF('IO model'!$D$4=0,0,'Z domestic'!D12/'IO model'!$D$4)</f>
        <v>0.017988762227762644</v>
      </c>
      <c r="E12" s="33">
        <f>IF('IO model'!$D$5=0,0,'Z domestic'!E12/'IO model'!$D$5)</f>
        <v>0.04208661657809541</v>
      </c>
      <c r="F12" s="33">
        <f>IF('IO model'!$D$6=0,0,'Z domestic'!F12/'IO model'!$D$6)</f>
        <v>0.018251780739913733</v>
      </c>
      <c r="G12" s="33">
        <f>IF('IO model'!$D$7=0,0,'Z domestic'!G12/'IO model'!$D$7)</f>
        <v>0.003399819877092604</v>
      </c>
      <c r="H12" s="33">
        <f>IF('IO model'!$D$8=0,0,'Z domestic'!H12/'IO model'!$D$8)</f>
        <v>0.0042028321027862536</v>
      </c>
      <c r="I12" s="33">
        <f>IF('IO model'!$D$9=0,0,'Z domestic'!I12/'IO model'!$D$9)</f>
        <v>0.005492917028042787</v>
      </c>
      <c r="J12" s="33">
        <f>IF('IO model'!$D$10=0,0,'Z domestic'!J12/'IO model'!$D$10)</f>
        <v>0.005340513795804253</v>
      </c>
      <c r="K12" s="33">
        <f>IF('IO model'!$D$11=0,0,'Z domestic'!K12/'IO model'!$D$11)</f>
        <v>0.004503832095774671</v>
      </c>
      <c r="L12" s="33">
        <f>IF('IO model'!$D$12=0,0,'Z domestic'!L12/'IO model'!$D$12)</f>
        <v>0.07141793113227633</v>
      </c>
      <c r="M12" s="33">
        <f>IF('IO model'!$D$13=0,0,'Z domestic'!M12/'IO model'!$D$13)</f>
        <v>0.05667275734288931</v>
      </c>
      <c r="N12" s="33">
        <f>IF('IO model'!$D$14=0,0,'Z domestic'!N12/'IO model'!$D$14)</f>
        <v>0.003507422559780659</v>
      </c>
      <c r="O12" s="33">
        <f>IF('IO model'!$D$15=0,0,'Z domestic'!O12/'IO model'!$D$15)</f>
        <v>0.008850686083726965</v>
      </c>
      <c r="P12" s="33">
        <f>IF('IO model'!$D$16=0,0,'Z domestic'!P12/'IO model'!$D$16)</f>
        <v>0.019333364435067106</v>
      </c>
      <c r="Q12" s="33">
        <f>IF('IO model'!$D$17=0,0,'Z domestic'!Q12/'IO model'!$D$17)</f>
        <v>0.012589299195015936</v>
      </c>
      <c r="R12" s="33">
        <f>IF('IO model'!$D$18=0,0,'Z domestic'!R12/'IO model'!$D$18)</f>
        <v>0.0031857298756410215</v>
      </c>
      <c r="S12" s="33">
        <f>IF('IO model'!$D$19=0,0,'Z domestic'!S12/'IO model'!$D$19)</f>
        <v>0.0015692097856800547</v>
      </c>
      <c r="T12" s="33">
        <f>IF('IO model'!$D$20=0,0,'Z domestic'!T12/'IO model'!$D$20)</f>
        <v>0.0032423167888580378</v>
      </c>
      <c r="U12" s="33">
        <f>IF('IO model'!$D$21=0,0,'Z domestic'!U12/'IO model'!$D$21)</f>
        <v>0.0022057109564484075</v>
      </c>
      <c r="V12" s="33">
        <f>IF('IO model'!$D$22=0,0,'Z domestic'!V12/'IO model'!$D$22)</f>
        <v>0.0027445051707067182</v>
      </c>
      <c r="W12" s="33">
        <f>IF('IO model'!$D$23=0,0,'Z domestic'!W12/'IO model'!$D$23)</f>
        <v>0.0019175494063035448</v>
      </c>
      <c r="X12" s="33">
        <f>IF('IO model'!$D$24=0,0,'Z domestic'!X12/'IO model'!$D$24)</f>
        <v>0.004244168063769312</v>
      </c>
      <c r="Y12" s="33">
        <f>IF('IO model'!$D$25=0,0,'Z domestic'!Y12/'IO model'!$D$25)</f>
        <v>0.0041335132064408845</v>
      </c>
      <c r="Z12" s="33">
        <f>IF('IO model'!$D$26=0,0,'Z domestic'!Z12/'IO model'!$D$26)</f>
        <v>0.009706301841226603</v>
      </c>
      <c r="AA12" s="33">
        <f>IF('IO model'!$D$27=0,0,'Z domestic'!AA12/'IO model'!$D$27)</f>
        <v>0.0037489861344531823</v>
      </c>
      <c r="AB12" s="33">
        <f>IF('IO model'!$D$28=0,0,'Z domestic'!AB12/'IO model'!$D$28)</f>
        <v>0.010184641127717223</v>
      </c>
      <c r="AC12" s="33">
        <f>IF('IO model'!$D$29=0,0,'Z domestic'!AC12/'IO model'!$D$29)</f>
        <v>0.00930491506444305</v>
      </c>
      <c r="AD12" s="33">
        <f>IF('IO model'!$D$30=0,0,'Z domestic'!AD12/'IO model'!$D$30)</f>
        <v>0.006703725793639756</v>
      </c>
      <c r="AE12" s="33">
        <f>IF('IO model'!$D$31=0,0,'Z domestic'!AE12/'IO model'!$D$31)</f>
        <v>0.005474735837995615</v>
      </c>
      <c r="AF12" s="33">
        <f>IF('IO model'!$D$32=0,0,'Z domestic'!AF12/'IO model'!$D$32)</f>
        <v>0.002969147046246912</v>
      </c>
      <c r="AG12" s="33">
        <f>IF('IO model'!$D$33=0,0,'Z domestic'!AG12/'IO model'!$D$33)</f>
        <v>0.05209974572475955</v>
      </c>
      <c r="AH12" s="33">
        <f>IF('IO model'!$D$34=0,0,'Z domestic'!AH12/'IO model'!$D$34)</f>
        <v>0.07169709148126646</v>
      </c>
      <c r="AI12" s="33">
        <f>IF('IO model'!$D$35=0,0,'Z domestic'!AI12/'IO model'!$D$35)</f>
        <v>0.10545602940757776</v>
      </c>
      <c r="AJ12" s="33">
        <f>IF('IO model'!$D$36=0,0,'Z domestic'!AJ12/'IO model'!$D$36)</f>
        <v>0.00976254281841431</v>
      </c>
      <c r="AK12" s="33">
        <f>IF('IO model'!$D$37=0,0,'Z domestic'!AK12/'IO model'!$D$37)</f>
        <v>0.011614167096423614</v>
      </c>
      <c r="AL12" s="33">
        <f>IF('IO model'!$D$38=0,0,'Z domestic'!AL12/'IO model'!$D$38)</f>
        <v>0.0026518929450454654</v>
      </c>
      <c r="AM12" s="33">
        <f>IF('IO model'!$D$39=0,0,'Z domestic'!AM12/'IO model'!$D$39)</f>
        <v>0.0011559168209847256</v>
      </c>
      <c r="AN12" s="33">
        <f>IF('IO model'!$D$40=0,0,'Z domestic'!AN12/'IO model'!$D$40)</f>
        <v>0.003424530532210288</v>
      </c>
      <c r="AO12" s="33">
        <f>IF('IO model'!$D$41=0,0,'Z domestic'!AO12/'IO model'!$D$41)</f>
        <v>0.0014575168257670624</v>
      </c>
      <c r="AP12" s="33">
        <f>IF('IO model'!$D$42=0,0,'Z domestic'!AP12/'IO model'!$D$42)</f>
        <v>0.0011156567152047188</v>
      </c>
      <c r="AQ12" s="33">
        <f>IF('IO model'!$D$43=0,0,'Z domestic'!AQ12/'IO model'!$D$43)</f>
        <v>0.000720478276777027</v>
      </c>
      <c r="AR12" s="33">
        <f>IF('IO model'!$D$44=0,0,'Z domestic'!AR12/'IO model'!$D$44)</f>
        <v>0.0017276271535828387</v>
      </c>
      <c r="AS12" s="33">
        <f>IF('IO model'!$D$45=0,0,'Z domestic'!AS12/'IO model'!$D$45)</f>
        <v>0.005380689136796257</v>
      </c>
      <c r="AT12" s="33">
        <f>IF('IO model'!$D$46=0,0,'Z domestic'!AT12/'IO model'!$D$46)</f>
        <v>0.0005630585770613929</v>
      </c>
      <c r="AU12" s="33">
        <f>IF('IO model'!$D$47=0,0,'Z domestic'!AU12/'IO model'!$D$47)</f>
        <v>0.0023781425707362267</v>
      </c>
      <c r="AV12" s="33">
        <f>IF('IO model'!$D$48=0,0,'Z domestic'!AV12/'IO model'!$D$48)</f>
        <v>0.0028014027976562945</v>
      </c>
      <c r="AW12" s="33">
        <f>IF('IO model'!$D$49=0,0,'Z domestic'!AW12/'IO model'!$D$49)</f>
        <v>0.0022343852630747375</v>
      </c>
      <c r="AX12" s="33">
        <f>IF('IO model'!$D$50=0,0,'Z domestic'!AX12/'IO model'!$D$50)</f>
        <v>0.0023560004749066834</v>
      </c>
      <c r="AY12" s="33">
        <f>IF('IO model'!$D$51=0,0,'Z domestic'!AY12/'IO model'!$D$51)</f>
        <v>0.0036187578117606862</v>
      </c>
      <c r="AZ12" s="33">
        <f>IF('IO model'!$D$52=0,0,'Z domestic'!AZ12/'IO model'!$D$52)</f>
        <v>0.00758663891702575</v>
      </c>
      <c r="BA12" s="33">
        <f>IF('IO model'!$D$53=0,0,'Z domestic'!BA12/'IO model'!$D$53)</f>
        <v>0.0012864945128604364</v>
      </c>
      <c r="BB12" s="33">
        <f>IF('IO model'!$D$54=0,0,'Z domestic'!BB12/'IO model'!$D$54)</f>
        <v>0.002321631301015055</v>
      </c>
      <c r="BC12" s="33">
        <f>IF('IO model'!$D$55=0,0,'Z domestic'!BC12/'IO model'!$D$55)</f>
        <v>0.004905887943150375</v>
      </c>
      <c r="BD12" s="33">
        <f>IF('IO model'!$D$56=0,0,'Z domestic'!BD12/'IO model'!$D$56)</f>
        <v>0.003642413009693843</v>
      </c>
      <c r="BE12" s="33">
        <f>IF('IO model'!$D$57=0,0,'Z domestic'!BE12/'IO model'!$D$57)</f>
        <v>0.0017340341346202728</v>
      </c>
      <c r="BF12" s="33">
        <f>IF('IO model'!$D$58=0,0,'Z domestic'!BF12/'IO model'!$D$58)</f>
        <v>0.002121956275613529</v>
      </c>
      <c r="BG12" s="33">
        <f>IF('IO model'!$D$59=0,0,'Z domestic'!BG12/'IO model'!$D$59)</f>
        <v>0.0024578937913975374</v>
      </c>
      <c r="BH12" s="33">
        <f>IF('IO model'!$D$60=0,0,'Z domestic'!BH12/'IO model'!$D$60)</f>
        <v>0.0030981546362777797</v>
      </c>
      <c r="BI12" s="33">
        <f>IF('IO model'!$D$61=0,0,'Z domestic'!BI12/'IO model'!$D$61)</f>
        <v>0.004618707873749856</v>
      </c>
      <c r="BJ12" s="33">
        <f>IF('IO model'!$D$62=0,0,'Z domestic'!BJ12/'IO model'!$D$62)</f>
        <v>0.0040832171150058235</v>
      </c>
      <c r="BK12" s="33">
        <f>IF('IO model'!$D$63=0,0,'Z domestic'!BK12/'IO model'!$D$63)</f>
        <v>0.003871270114044681</v>
      </c>
      <c r="BL12" s="33">
        <f>IF('IO model'!$D$64=0,0,'Z domestic'!BL12/'IO model'!$D$64)</f>
        <v>0.00580249146466235</v>
      </c>
      <c r="BM12" s="33">
        <f>IF('IO model'!$D$65=0,0,'Z domestic'!BM12/'IO model'!$D$65)</f>
        <v>0</v>
      </c>
      <c r="BN12" s="33">
        <f>IF('IO model'!$D$66=0,0,'Z domestic'!BN12/'IO model'!$D$66)</f>
        <v>0</v>
      </c>
    </row>
    <row r="13" spans="1:66" x14ac:dyDescent="0.25">
      <c r="A13" s="30" t="s">
        <v>93</v>
      </c>
      <c r="B13" s="31" t="s">
        <v>290</v>
      </c>
      <c r="C13" s="33">
        <f>IF('IO model'!$D$3=0,0,'Z domestic'!C13/'IO model'!$D$3)</f>
        <v>0.032162225149192564</v>
      </c>
      <c r="D13" s="33">
        <f>IF('IO model'!$D$4=0,0,'Z domestic'!D13/'IO model'!$D$4)</f>
        <v>0.004176134225565692</v>
      </c>
      <c r="E13" s="33">
        <f>IF('IO model'!$D$5=0,0,'Z domestic'!E13/'IO model'!$D$5)</f>
        <v>0.011483721214342433</v>
      </c>
      <c r="F13" s="33">
        <f>IF('IO model'!$D$6=0,0,'Z domestic'!F13/'IO model'!$D$6)</f>
        <v>0.008647996518398683</v>
      </c>
      <c r="G13" s="33">
        <f>IF('IO model'!$D$7=0,0,'Z domestic'!G13/'IO model'!$D$7)</f>
        <v>0.007823426573426571</v>
      </c>
      <c r="H13" s="33">
        <f>IF('IO model'!$D$8=0,0,'Z domestic'!H13/'IO model'!$D$8)</f>
        <v>0.03048919736007687</v>
      </c>
      <c r="I13" s="33">
        <f>IF('IO model'!$D$9=0,0,'Z domestic'!I13/'IO model'!$D$9)</f>
        <v>0.025242864554249983</v>
      </c>
      <c r="J13" s="33">
        <f>IF('IO model'!$D$10=0,0,'Z domestic'!J13/'IO model'!$D$10)</f>
        <v>0.030220170661516246</v>
      </c>
      <c r="K13" s="33">
        <f>IF('IO model'!$D$11=0,0,'Z domestic'!K13/'IO model'!$D$11)</f>
        <v>0.026151512437429004</v>
      </c>
      <c r="L13" s="33">
        <f>IF('IO model'!$D$12=0,0,'Z domestic'!L13/'IO model'!$D$12)</f>
        <v>0.023937491631098654</v>
      </c>
      <c r="M13" s="33">
        <f>IF('IO model'!$D$13=0,0,'Z domestic'!M13/'IO model'!$D$13)</f>
        <v>0.1678833048497699</v>
      </c>
      <c r="N13" s="33">
        <f>IF('IO model'!$D$14=0,0,'Z domestic'!N13/'IO model'!$D$14)</f>
        <v>0.033814481486524973</v>
      </c>
      <c r="O13" s="33">
        <f>IF('IO model'!$D$15=0,0,'Z domestic'!O13/'IO model'!$D$15)</f>
        <v>0.11268242382896859</v>
      </c>
      <c r="P13" s="33">
        <f>IF('IO model'!$D$16=0,0,'Z domestic'!P13/'IO model'!$D$16)</f>
        <v>0.025672098433977542</v>
      </c>
      <c r="Q13" s="33">
        <f>IF('IO model'!$D$17=0,0,'Z domestic'!Q13/'IO model'!$D$17)</f>
        <v>0.014726718637010198</v>
      </c>
      <c r="R13" s="33">
        <f>IF('IO model'!$D$18=0,0,'Z domestic'!R13/'IO model'!$D$18)</f>
        <v>0.010480654514538572</v>
      </c>
      <c r="S13" s="33">
        <f>IF('IO model'!$D$19=0,0,'Z domestic'!S13/'IO model'!$D$19)</f>
        <v>0.007573364897956684</v>
      </c>
      <c r="T13" s="33">
        <f>IF('IO model'!$D$20=0,0,'Z domestic'!T13/'IO model'!$D$20)</f>
        <v>0.013601743423297917</v>
      </c>
      <c r="U13" s="33">
        <f>IF('IO model'!$D$21=0,0,'Z domestic'!U13/'IO model'!$D$21)</f>
        <v>0.005717638120152148</v>
      </c>
      <c r="V13" s="33">
        <f>IF('IO model'!$D$22=0,0,'Z domestic'!V13/'IO model'!$D$22)</f>
        <v>0.008735568187961694</v>
      </c>
      <c r="W13" s="33">
        <f>IF('IO model'!$D$23=0,0,'Z domestic'!W13/'IO model'!$D$23)</f>
        <v>0.009248062663154763</v>
      </c>
      <c r="X13" s="33">
        <f>IF('IO model'!$D$24=0,0,'Z domestic'!X13/'IO model'!$D$24)</f>
        <v>0.0187096271861055</v>
      </c>
      <c r="Y13" s="33">
        <f>IF('IO model'!$D$25=0,0,'Z domestic'!Y13/'IO model'!$D$25)</f>
        <v>0.006456130789969762</v>
      </c>
      <c r="Z13" s="33">
        <f>IF('IO model'!$D$26=0,0,'Z domestic'!Z13/'IO model'!$D$26)</f>
        <v>0.009046166522861993</v>
      </c>
      <c r="AA13" s="33">
        <f>IF('IO model'!$D$27=0,0,'Z domestic'!AA13/'IO model'!$D$27)</f>
        <v>0.008307639236347204</v>
      </c>
      <c r="AB13" s="33">
        <f>IF('IO model'!$D$28=0,0,'Z domestic'!AB13/'IO model'!$D$28)</f>
        <v>0.0074183955844652665</v>
      </c>
      <c r="AC13" s="33">
        <f>IF('IO model'!$D$29=0,0,'Z domestic'!AC13/'IO model'!$D$29)</f>
        <v>0.007802961200913294</v>
      </c>
      <c r="AD13" s="33">
        <f>IF('IO model'!$D$30=0,0,'Z domestic'!AD13/'IO model'!$D$30)</f>
        <v>0.005072224928535683</v>
      </c>
      <c r="AE13" s="33">
        <f>IF('IO model'!$D$31=0,0,'Z domestic'!AE13/'IO model'!$D$31)</f>
        <v>0.005006351417567859</v>
      </c>
      <c r="AF13" s="33">
        <f>IF('IO model'!$D$32=0,0,'Z domestic'!AF13/'IO model'!$D$32)</f>
        <v>0.0021746029041275344</v>
      </c>
      <c r="AG13" s="33">
        <f>IF('IO model'!$D$33=0,0,'Z domestic'!AG13/'IO model'!$D$33)</f>
        <v>0.004543126940509643</v>
      </c>
      <c r="AH13" s="33">
        <f>IF('IO model'!$D$34=0,0,'Z domestic'!AH13/'IO model'!$D$34)</f>
        <v>0.0018317965379946526</v>
      </c>
      <c r="AI13" s="33">
        <f>IF('IO model'!$D$35=0,0,'Z domestic'!AI13/'IO model'!$D$35)</f>
        <v>0.005178593459850874</v>
      </c>
      <c r="AJ13" s="33">
        <f>IF('IO model'!$D$36=0,0,'Z domestic'!AJ13/'IO model'!$D$36)</f>
        <v>0.0019159779736957492</v>
      </c>
      <c r="AK13" s="33">
        <f>IF('IO model'!$D$37=0,0,'Z domestic'!AK13/'IO model'!$D$37)</f>
        <v>0.001395527528095721</v>
      </c>
      <c r="AL13" s="33">
        <f>IF('IO model'!$D$38=0,0,'Z domestic'!AL13/'IO model'!$D$38)</f>
        <v>0.0031799282155934106</v>
      </c>
      <c r="AM13" s="33">
        <f>IF('IO model'!$D$39=0,0,'Z domestic'!AM13/'IO model'!$D$39)</f>
        <v>0.00441399355253276</v>
      </c>
      <c r="AN13" s="33">
        <f>IF('IO model'!$D$40=0,0,'Z domestic'!AN13/'IO model'!$D$40)</f>
        <v>0.0024788733700161778</v>
      </c>
      <c r="AO13" s="33">
        <f>IF('IO model'!$D$41=0,0,'Z domestic'!AO13/'IO model'!$D$41)</f>
        <v>0.0012310049460901727</v>
      </c>
      <c r="AP13" s="33">
        <f>IF('IO model'!$D$42=0,0,'Z domestic'!AP13/'IO model'!$D$42)</f>
        <v>0.0015570931744815252</v>
      </c>
      <c r="AQ13" s="33">
        <f>IF('IO model'!$D$43=0,0,'Z domestic'!AQ13/'IO model'!$D$43)</f>
        <v>0.0005510244704958033</v>
      </c>
      <c r="AR13" s="33">
        <f>IF('IO model'!$D$44=0,0,'Z domestic'!AR13/'IO model'!$D$44)</f>
        <v>0.0005645758913382094</v>
      </c>
      <c r="AS13" s="33">
        <f>IF('IO model'!$D$45=0,0,'Z domestic'!AS13/'IO model'!$D$45)</f>
        <v>0.0008040036361650667</v>
      </c>
      <c r="AT13" s="33">
        <f>IF('IO model'!$D$46=0,0,'Z domestic'!AT13/'IO model'!$D$46)</f>
        <v>0.0011476948221563858</v>
      </c>
      <c r="AU13" s="33">
        <f>IF('IO model'!$D$47=0,0,'Z domestic'!AU13/'IO model'!$D$47)</f>
        <v>0.0015129385524363373</v>
      </c>
      <c r="AV13" s="33">
        <f>IF('IO model'!$D$48=0,0,'Z domestic'!AV13/'IO model'!$D$48)</f>
        <v>0.003589060390501545</v>
      </c>
      <c r="AW13" s="33">
        <f>IF('IO model'!$D$49=0,0,'Z domestic'!AW13/'IO model'!$D$49)</f>
        <v>0.008960345057170863</v>
      </c>
      <c r="AX13" s="33">
        <f>IF('IO model'!$D$50=0,0,'Z domestic'!AX13/'IO model'!$D$50)</f>
        <v>0.0017322510866386162</v>
      </c>
      <c r="AY13" s="33">
        <f>IF('IO model'!$D$51=0,0,'Z domestic'!AY13/'IO model'!$D$51)</f>
        <v>0.004997683355926246</v>
      </c>
      <c r="AZ13" s="33">
        <f>IF('IO model'!$D$52=0,0,'Z domestic'!AZ13/'IO model'!$D$52)</f>
        <v>0.0033215972762793765</v>
      </c>
      <c r="BA13" s="33">
        <f>IF('IO model'!$D$53=0,0,'Z domestic'!BA13/'IO model'!$D$53)</f>
        <v>0.0006101831451183846</v>
      </c>
      <c r="BB13" s="33">
        <f>IF('IO model'!$D$54=0,0,'Z domestic'!BB13/'IO model'!$D$54)</f>
        <v>0.0012621377038507962</v>
      </c>
      <c r="BC13" s="33">
        <f>IF('IO model'!$D$55=0,0,'Z domestic'!BC13/'IO model'!$D$55)</f>
        <v>0.009002956320922552</v>
      </c>
      <c r="BD13" s="33">
        <f>IF('IO model'!$D$56=0,0,'Z domestic'!BD13/'IO model'!$D$56)</f>
        <v>0.001562784307922038</v>
      </c>
      <c r="BE13" s="33">
        <f>IF('IO model'!$D$57=0,0,'Z domestic'!BE13/'IO model'!$D$57)</f>
        <v>0.0011087524189421388</v>
      </c>
      <c r="BF13" s="33">
        <f>IF('IO model'!$D$58=0,0,'Z domestic'!BF13/'IO model'!$D$58)</f>
        <v>0.008162682782924846</v>
      </c>
      <c r="BG13" s="33">
        <f>IF('IO model'!$D$59=0,0,'Z domestic'!BG13/'IO model'!$D$59)</f>
        <v>0.0025370141062853245</v>
      </c>
      <c r="BH13" s="33">
        <f>IF('IO model'!$D$60=0,0,'Z domestic'!BH13/'IO model'!$D$60)</f>
        <v>0.0027123582285485844</v>
      </c>
      <c r="BI13" s="33">
        <f>IF('IO model'!$D$61=0,0,'Z domestic'!BI13/'IO model'!$D$61)</f>
        <v>0.0025457905791702825</v>
      </c>
      <c r="BJ13" s="33">
        <f>IF('IO model'!$D$62=0,0,'Z domestic'!BJ13/'IO model'!$D$62)</f>
        <v>0.0023809181487498745</v>
      </c>
      <c r="BK13" s="33">
        <f>IF('IO model'!$D$63=0,0,'Z domestic'!BK13/'IO model'!$D$63)</f>
        <v>0.0025652241837212935</v>
      </c>
      <c r="BL13" s="33">
        <f>IF('IO model'!$D$64=0,0,'Z domestic'!BL13/'IO model'!$D$64)</f>
        <v>0.012415952714468095</v>
      </c>
      <c r="BM13" s="33">
        <f>IF('IO model'!$D$65=0,0,'Z domestic'!BM13/'IO model'!$D$65)</f>
        <v>0</v>
      </c>
      <c r="BN13" s="33">
        <f>IF('IO model'!$D$66=0,0,'Z domestic'!BN13/'IO model'!$D$66)</f>
        <v>0</v>
      </c>
    </row>
    <row r="14" spans="1:66" x14ac:dyDescent="0.25">
      <c r="A14" s="30" t="s">
        <v>95</v>
      </c>
      <c r="B14" s="31" t="s">
        <v>291</v>
      </c>
      <c r="C14" s="33">
        <f>IF('IO model'!$D$3=0,0,'Z domestic'!C14/'IO model'!$D$3)</f>
        <v>0.0032396848298851238</v>
      </c>
      <c r="D14" s="33">
        <f>IF('IO model'!$D$4=0,0,'Z domestic'!D14/'IO model'!$D$4)</f>
        <v>0.0003811042736520838</v>
      </c>
      <c r="E14" s="33">
        <f>IF('IO model'!$D$5=0,0,'Z domestic'!E14/'IO model'!$D$5)</f>
        <v>0.0016356836954234792</v>
      </c>
      <c r="F14" s="33">
        <f>IF('IO model'!$D$6=0,0,'Z domestic'!F14/'IO model'!$D$6)</f>
        <v>0.0007391057646577068</v>
      </c>
      <c r="G14" s="33">
        <f>IF('IO model'!$D$7=0,0,'Z domestic'!G14/'IO model'!$D$7)</f>
        <v>0.002517232346777801</v>
      </c>
      <c r="H14" s="33">
        <f>IF('IO model'!$D$8=0,0,'Z domestic'!H14/'IO model'!$D$8)</f>
        <v>0.0016328244261399468</v>
      </c>
      <c r="I14" s="33">
        <f>IF('IO model'!$D$9=0,0,'Z domestic'!I14/'IO model'!$D$9)</f>
        <v>0.0016231516071124477</v>
      </c>
      <c r="J14" s="33">
        <f>IF('IO model'!$D$10=0,0,'Z domestic'!J14/'IO model'!$D$10)</f>
        <v>0.0016108517518741339</v>
      </c>
      <c r="K14" s="33">
        <f>IF('IO model'!$D$11=0,0,'Z domestic'!K14/'IO model'!$D$11)</f>
        <v>0.0017984051771322473</v>
      </c>
      <c r="L14" s="33">
        <f>IF('IO model'!$D$12=0,0,'Z domestic'!L14/'IO model'!$D$12)</f>
        <v>0.0009949923433162583</v>
      </c>
      <c r="M14" s="33">
        <f>IF('IO model'!$D$13=0,0,'Z domestic'!M14/'IO model'!$D$13)</f>
        <v>0.008141020034621516</v>
      </c>
      <c r="N14" s="33">
        <f>IF('IO model'!$D$14=0,0,'Z domestic'!N14/'IO model'!$D$14)</f>
        <v>0.05528341685877251</v>
      </c>
      <c r="O14" s="33">
        <f>IF('IO model'!$D$15=0,0,'Z domestic'!O14/'IO model'!$D$15)</f>
        <v>0.007222258502928508</v>
      </c>
      <c r="P14" s="33">
        <f>IF('IO model'!$D$16=0,0,'Z domestic'!P14/'IO model'!$D$16)</f>
        <v>0.002064753809711567</v>
      </c>
      <c r="Q14" s="33">
        <f>IF('IO model'!$D$17=0,0,'Z domestic'!Q14/'IO model'!$D$17)</f>
        <v>0.0009378898769081621</v>
      </c>
      <c r="R14" s="33">
        <f>IF('IO model'!$D$18=0,0,'Z domestic'!R14/'IO model'!$D$18)</f>
        <v>0.0009055459570172852</v>
      </c>
      <c r="S14" s="33">
        <f>IF('IO model'!$D$19=0,0,'Z domestic'!S14/'IO model'!$D$19)</f>
        <v>0.00175508429332325</v>
      </c>
      <c r="T14" s="33">
        <f>IF('IO model'!$D$20=0,0,'Z domestic'!T14/'IO model'!$D$20)</f>
        <v>0.0013313923898856746</v>
      </c>
      <c r="U14" s="33">
        <f>IF('IO model'!$D$21=0,0,'Z domestic'!U14/'IO model'!$D$21)</f>
        <v>0.0012558505755475614</v>
      </c>
      <c r="V14" s="33">
        <f>IF('IO model'!$D$22=0,0,'Z domestic'!V14/'IO model'!$D$22)</f>
        <v>0.001061506645799426</v>
      </c>
      <c r="W14" s="33">
        <f>IF('IO model'!$D$23=0,0,'Z domestic'!W14/'IO model'!$D$23)</f>
        <v>0.000890434752019418</v>
      </c>
      <c r="X14" s="33">
        <f>IF('IO model'!$D$24=0,0,'Z domestic'!X14/'IO model'!$D$24)</f>
        <v>0.002098332691630456</v>
      </c>
      <c r="Y14" s="33">
        <f>IF('IO model'!$D$25=0,0,'Z domestic'!Y14/'IO model'!$D$25)</f>
        <v>0.0008170521003510282</v>
      </c>
      <c r="Z14" s="33">
        <f>IF('IO model'!$D$26=0,0,'Z domestic'!Z14/'IO model'!$D$26)</f>
        <v>0.0006973700576799148</v>
      </c>
      <c r="AA14" s="33">
        <f>IF('IO model'!$D$27=0,0,'Z domestic'!AA14/'IO model'!$D$27)</f>
        <v>0.0007740302171133376</v>
      </c>
      <c r="AB14" s="33">
        <f>IF('IO model'!$D$28=0,0,'Z domestic'!AB14/'IO model'!$D$28)</f>
        <v>0.0013103630486564735</v>
      </c>
      <c r="AC14" s="33">
        <f>IF('IO model'!$D$29=0,0,'Z domestic'!AC14/'IO model'!$D$29)</f>
        <v>0.0009498328525896273</v>
      </c>
      <c r="AD14" s="33">
        <f>IF('IO model'!$D$30=0,0,'Z domestic'!AD14/'IO model'!$D$30)</f>
        <v>0.0008123042931266503</v>
      </c>
      <c r="AE14" s="33">
        <f>IF('IO model'!$D$31=0,0,'Z domestic'!AE14/'IO model'!$D$31)</f>
        <v>0.003199879803082224</v>
      </c>
      <c r="AF14" s="33">
        <f>IF('IO model'!$D$32=0,0,'Z domestic'!AF14/'IO model'!$D$32)</f>
        <v>0.0012649720852358692</v>
      </c>
      <c r="AG14" s="33">
        <f>IF('IO model'!$D$33=0,0,'Z domestic'!AG14/'IO model'!$D$33)</f>
        <v>0.0006894985128641203</v>
      </c>
      <c r="AH14" s="33">
        <f>IF('IO model'!$D$34=0,0,'Z domestic'!AH14/'IO model'!$D$34)</f>
        <v>0.0006916973575187116</v>
      </c>
      <c r="AI14" s="33">
        <f>IF('IO model'!$D$35=0,0,'Z domestic'!AI14/'IO model'!$D$35)</f>
        <v>0.0017000465029467682</v>
      </c>
      <c r="AJ14" s="33">
        <f>IF('IO model'!$D$36=0,0,'Z domestic'!AJ14/'IO model'!$D$36)</f>
        <v>0.0006917997867704176</v>
      </c>
      <c r="AK14" s="33">
        <f>IF('IO model'!$D$37=0,0,'Z domestic'!AK14/'IO model'!$D$37)</f>
        <v>0.000601544356108721</v>
      </c>
      <c r="AL14" s="33">
        <f>IF('IO model'!$D$38=0,0,'Z domestic'!AL14/'IO model'!$D$38)</f>
        <v>0.0009230196227009429</v>
      </c>
      <c r="AM14" s="33">
        <f>IF('IO model'!$D$39=0,0,'Z domestic'!AM14/'IO model'!$D$39)</f>
        <v>0.0033511646381636923</v>
      </c>
      <c r="AN14" s="33">
        <f>IF('IO model'!$D$40=0,0,'Z domestic'!AN14/'IO model'!$D$40)</f>
        <v>0.001533795654612628</v>
      </c>
      <c r="AO14" s="33">
        <f>IF('IO model'!$D$41=0,0,'Z domestic'!AO14/'IO model'!$D$41)</f>
        <v>0.0008720707367560249</v>
      </c>
      <c r="AP14" s="33">
        <f>IF('IO model'!$D$42=0,0,'Z domestic'!AP14/'IO model'!$D$42)</f>
        <v>0.0015596332938526206</v>
      </c>
      <c r="AQ14" s="33">
        <f>IF('IO model'!$D$43=0,0,'Z domestic'!AQ14/'IO model'!$D$43)</f>
        <v>0.00039295546732399716</v>
      </c>
      <c r="AR14" s="33">
        <f>IF('IO model'!$D$44=0,0,'Z domestic'!AR14/'IO model'!$D$44)</f>
        <v>0.00038037210162565453</v>
      </c>
      <c r="AS14" s="33">
        <f>IF('IO model'!$D$45=0,0,'Z domestic'!AS14/'IO model'!$D$45)</f>
        <v>0.0005894313513235706</v>
      </c>
      <c r="AT14" s="33">
        <f>IF('IO model'!$D$46=0,0,'Z domestic'!AT14/'IO model'!$D$46)</f>
        <v>0.0002321851927307824</v>
      </c>
      <c r="AU14" s="33">
        <f>IF('IO model'!$D$47=0,0,'Z domestic'!AU14/'IO model'!$D$47)</f>
        <v>0.0014044683717708735</v>
      </c>
      <c r="AV14" s="33">
        <f>IF('IO model'!$D$48=0,0,'Z domestic'!AV14/'IO model'!$D$48)</f>
        <v>0.001189291603240011</v>
      </c>
      <c r="AW14" s="33">
        <f>IF('IO model'!$D$49=0,0,'Z domestic'!AW14/'IO model'!$D$49)</f>
        <v>0.0059477731278421014</v>
      </c>
      <c r="AX14" s="33">
        <f>IF('IO model'!$D$50=0,0,'Z domestic'!AX14/'IO model'!$D$50)</f>
        <v>0.0011409343499425187</v>
      </c>
      <c r="AY14" s="33">
        <f>IF('IO model'!$D$51=0,0,'Z domestic'!AY14/'IO model'!$D$51)</f>
        <v>0.005683459161313396</v>
      </c>
      <c r="AZ14" s="33">
        <f>IF('IO model'!$D$52=0,0,'Z domestic'!AZ14/'IO model'!$D$52)</f>
        <v>0.003057508850897792</v>
      </c>
      <c r="BA14" s="33">
        <f>IF('IO model'!$D$53=0,0,'Z domestic'!BA14/'IO model'!$D$53)</f>
        <v>0.0004178101338495342</v>
      </c>
      <c r="BB14" s="33">
        <f>IF('IO model'!$D$54=0,0,'Z domestic'!BB14/'IO model'!$D$54)</f>
        <v>0.0007140412420647678</v>
      </c>
      <c r="BC14" s="33">
        <f>IF('IO model'!$D$55=0,0,'Z domestic'!BC14/'IO model'!$D$55)</f>
        <v>0.0014461900696202293</v>
      </c>
      <c r="BD14" s="33">
        <f>IF('IO model'!$D$56=0,0,'Z domestic'!BD14/'IO model'!$D$56)</f>
        <v>0.0009758439807919046</v>
      </c>
      <c r="BE14" s="33">
        <f>IF('IO model'!$D$57=0,0,'Z domestic'!BE14/'IO model'!$D$57)</f>
        <v>0.0006776003416173276</v>
      </c>
      <c r="BF14" s="33">
        <f>IF('IO model'!$D$58=0,0,'Z domestic'!BF14/'IO model'!$D$58)</f>
        <v>0.02089266635837413</v>
      </c>
      <c r="BG14" s="33">
        <f>IF('IO model'!$D$59=0,0,'Z domestic'!BG14/'IO model'!$D$59)</f>
        <v>0.003921158542725523</v>
      </c>
      <c r="BH14" s="33">
        <f>IF('IO model'!$D$60=0,0,'Z domestic'!BH14/'IO model'!$D$60)</f>
        <v>0.0008479665387079485</v>
      </c>
      <c r="BI14" s="33">
        <f>IF('IO model'!$D$61=0,0,'Z domestic'!BI14/'IO model'!$D$61)</f>
        <v>0.001032947212008172</v>
      </c>
      <c r="BJ14" s="33">
        <f>IF('IO model'!$D$62=0,0,'Z domestic'!BJ14/'IO model'!$D$62)</f>
        <v>0.0008177936250053917</v>
      </c>
      <c r="BK14" s="33">
        <f>IF('IO model'!$D$63=0,0,'Z domestic'!BK14/'IO model'!$D$63)</f>
        <v>0.0005655366349007968</v>
      </c>
      <c r="BL14" s="33">
        <f>IF('IO model'!$D$64=0,0,'Z domestic'!BL14/'IO model'!$D$64)</f>
        <v>0.0011148845574698591</v>
      </c>
      <c r="BM14" s="33">
        <f>IF('IO model'!$D$65=0,0,'Z domestic'!BM14/'IO model'!$D$65)</f>
        <v>0</v>
      </c>
      <c r="BN14" s="33">
        <f>IF('IO model'!$D$66=0,0,'Z domestic'!BN14/'IO model'!$D$66)</f>
        <v>0</v>
      </c>
    </row>
    <row r="15" spans="1:66" x14ac:dyDescent="0.25">
      <c r="A15" s="30" t="s">
        <v>97</v>
      </c>
      <c r="B15" s="31" t="s">
        <v>292</v>
      </c>
      <c r="C15" s="33">
        <f>IF('IO model'!$D$3=0,0,'Z domestic'!C15/'IO model'!$D$3)</f>
        <v>0.003994005238869585</v>
      </c>
      <c r="D15" s="33">
        <f>IF('IO model'!$D$4=0,0,'Z domestic'!D15/'IO model'!$D$4)</f>
        <v>0.0012730163762748176</v>
      </c>
      <c r="E15" s="33">
        <f>IF('IO model'!$D$5=0,0,'Z domestic'!E15/'IO model'!$D$5)</f>
        <v>0.004615207107418945</v>
      </c>
      <c r="F15" s="33">
        <f>IF('IO model'!$D$6=0,0,'Z domestic'!F15/'IO model'!$D$6)</f>
        <v>0.0028636905341209782</v>
      </c>
      <c r="G15" s="33">
        <f>IF('IO model'!$D$7=0,0,'Z domestic'!G15/'IO model'!$D$7)</f>
        <v>0.012448788585152219</v>
      </c>
      <c r="H15" s="33">
        <f>IF('IO model'!$D$8=0,0,'Z domestic'!H15/'IO model'!$D$8)</f>
        <v>0.010800883253492698</v>
      </c>
      <c r="I15" s="33">
        <f>IF('IO model'!$D$9=0,0,'Z domestic'!I15/'IO model'!$D$9)</f>
        <v>0.008163847225734619</v>
      </c>
      <c r="J15" s="33">
        <f>IF('IO model'!$D$10=0,0,'Z domestic'!J15/'IO model'!$D$10)</f>
        <v>0.011512232475542446</v>
      </c>
      <c r="K15" s="33">
        <f>IF('IO model'!$D$11=0,0,'Z domestic'!K15/'IO model'!$D$11)</f>
        <v>0.012448091486932773</v>
      </c>
      <c r="L15" s="33">
        <f>IF('IO model'!$D$12=0,0,'Z domestic'!L15/'IO model'!$D$12)</f>
        <v>0.002858421791893596</v>
      </c>
      <c r="M15" s="33">
        <f>IF('IO model'!$D$13=0,0,'Z domestic'!M15/'IO model'!$D$13)</f>
        <v>0.013040350532993265</v>
      </c>
      <c r="N15" s="33">
        <f>IF('IO model'!$D$14=0,0,'Z domestic'!N15/'IO model'!$D$14)</f>
        <v>0.010687775611074127</v>
      </c>
      <c r="O15" s="33">
        <f>IF('IO model'!$D$15=0,0,'Z domestic'!O15/'IO model'!$D$15)</f>
        <v>0.10809227606808455</v>
      </c>
      <c r="P15" s="33">
        <f>IF('IO model'!$D$16=0,0,'Z domestic'!P15/'IO model'!$D$16)</f>
        <v>0.012599964483826599</v>
      </c>
      <c r="Q15" s="33">
        <f>IF('IO model'!$D$17=0,0,'Z domestic'!Q15/'IO model'!$D$17)</f>
        <v>0.0052184899992848135</v>
      </c>
      <c r="R15" s="33">
        <f>IF('IO model'!$D$18=0,0,'Z domestic'!R15/'IO model'!$D$18)</f>
        <v>0.012928348436165329</v>
      </c>
      <c r="S15" s="33">
        <f>IF('IO model'!$D$19=0,0,'Z domestic'!S15/'IO model'!$D$19)</f>
        <v>0.008806315443848155</v>
      </c>
      <c r="T15" s="33">
        <f>IF('IO model'!$D$20=0,0,'Z domestic'!T15/'IO model'!$D$20)</f>
        <v>0.02272424683547754</v>
      </c>
      <c r="U15" s="33">
        <f>IF('IO model'!$D$21=0,0,'Z domestic'!U15/'IO model'!$D$21)</f>
        <v>0.015416312441044999</v>
      </c>
      <c r="V15" s="33">
        <f>IF('IO model'!$D$22=0,0,'Z domestic'!V15/'IO model'!$D$22)</f>
        <v>0.02816752906160753</v>
      </c>
      <c r="W15" s="33">
        <f>IF('IO model'!$D$23=0,0,'Z domestic'!W15/'IO model'!$D$23)</f>
        <v>0.008836923654197647</v>
      </c>
      <c r="X15" s="33">
        <f>IF('IO model'!$D$24=0,0,'Z domestic'!X15/'IO model'!$D$24)</f>
        <v>0.020879035316992887</v>
      </c>
      <c r="Y15" s="33">
        <f>IF('IO model'!$D$25=0,0,'Z domestic'!Y15/'IO model'!$D$25)</f>
        <v>0.008999332166347752</v>
      </c>
      <c r="Z15" s="33">
        <f>IF('IO model'!$D$26=0,0,'Z domestic'!Z15/'IO model'!$D$26)</f>
        <v>0.0010826647822495476</v>
      </c>
      <c r="AA15" s="33">
        <f>IF('IO model'!$D$27=0,0,'Z domestic'!AA15/'IO model'!$D$27)</f>
        <v>0.0026442468743006287</v>
      </c>
      <c r="AB15" s="33">
        <f>IF('IO model'!$D$28=0,0,'Z domestic'!AB15/'IO model'!$D$28)</f>
        <v>0.0050794199037576355</v>
      </c>
      <c r="AC15" s="33">
        <f>IF('IO model'!$D$29=0,0,'Z domestic'!AC15/'IO model'!$D$29)</f>
        <v>0.019928430834649388</v>
      </c>
      <c r="AD15" s="33">
        <f>IF('IO model'!$D$30=0,0,'Z domestic'!AD15/'IO model'!$D$30)</f>
        <v>0.010344079790927644</v>
      </c>
      <c r="AE15" s="33">
        <f>IF('IO model'!$D$31=0,0,'Z domestic'!AE15/'IO model'!$D$31)</f>
        <v>0.0038839877324701663</v>
      </c>
      <c r="AF15" s="33">
        <f>IF('IO model'!$D$32=0,0,'Z domestic'!AF15/'IO model'!$D$32)</f>
        <v>0.0035493980119267266</v>
      </c>
      <c r="AG15" s="33">
        <f>IF('IO model'!$D$33=0,0,'Z domestic'!AG15/'IO model'!$D$33)</f>
        <v>0.005325611916979406</v>
      </c>
      <c r="AH15" s="33">
        <f>IF('IO model'!$D$34=0,0,'Z domestic'!AH15/'IO model'!$D$34)</f>
        <v>0.0004453981743823962</v>
      </c>
      <c r="AI15" s="33">
        <f>IF('IO model'!$D$35=0,0,'Z domestic'!AI15/'IO model'!$D$35)</f>
        <v>0.00106925142909566</v>
      </c>
      <c r="AJ15" s="33">
        <f>IF('IO model'!$D$36=0,0,'Z domestic'!AJ15/'IO model'!$D$36)</f>
        <v>0.002074982026838437</v>
      </c>
      <c r="AK15" s="33">
        <f>IF('IO model'!$D$37=0,0,'Z domestic'!AK15/'IO model'!$D$37)</f>
        <v>0.0013678384898398535</v>
      </c>
      <c r="AL15" s="33">
        <f>IF('IO model'!$D$38=0,0,'Z domestic'!AL15/'IO model'!$D$38)</f>
        <v>0.0015276633814017802</v>
      </c>
      <c r="AM15" s="33">
        <f>IF('IO model'!$D$39=0,0,'Z domestic'!AM15/'IO model'!$D$39)</f>
        <v>0.0018147622959635097</v>
      </c>
      <c r="AN15" s="33">
        <f>IF('IO model'!$D$40=0,0,'Z domestic'!AN15/'IO model'!$D$40)</f>
        <v>0.0017470320735387508</v>
      </c>
      <c r="AO15" s="33">
        <f>IF('IO model'!$D$41=0,0,'Z domestic'!AO15/'IO model'!$D$41)</f>
        <v>0.002550581845130924</v>
      </c>
      <c r="AP15" s="33">
        <f>IF('IO model'!$D$42=0,0,'Z domestic'!AP15/'IO model'!$D$42)</f>
        <v>0.0007961459857404955</v>
      </c>
      <c r="AQ15" s="33">
        <f>IF('IO model'!$D$43=0,0,'Z domestic'!AQ15/'IO model'!$D$43)</f>
        <v>0.0005284945443424299</v>
      </c>
      <c r="AR15" s="33">
        <f>IF('IO model'!$D$44=0,0,'Z domestic'!AR15/'IO model'!$D$44)</f>
        <v>0.0006069502407984724</v>
      </c>
      <c r="AS15" s="33">
        <f>IF('IO model'!$D$45=0,0,'Z domestic'!AS15/'IO model'!$D$45)</f>
        <v>0.0006607413022738882</v>
      </c>
      <c r="AT15" s="33">
        <f>IF('IO model'!$D$46=0,0,'Z domestic'!AT15/'IO model'!$D$46)</f>
        <v>0.0012210114700243982</v>
      </c>
      <c r="AU15" s="33">
        <f>IF('IO model'!$D$47=0,0,'Z domestic'!AU15/'IO model'!$D$47)</f>
        <v>0.0012867385415364068</v>
      </c>
      <c r="AV15" s="33">
        <f>IF('IO model'!$D$48=0,0,'Z domestic'!AV15/'IO model'!$D$48)</f>
        <v>0.0037418195782419174</v>
      </c>
      <c r="AW15" s="33">
        <f>IF('IO model'!$D$49=0,0,'Z domestic'!AW15/'IO model'!$D$49)</f>
        <v>0.002108556021906504</v>
      </c>
      <c r="AX15" s="33">
        <f>IF('IO model'!$D$50=0,0,'Z domestic'!AX15/'IO model'!$D$50)</f>
        <v>0.0028697105096269953</v>
      </c>
      <c r="AY15" s="33">
        <f>IF('IO model'!$D$51=0,0,'Z domestic'!AY15/'IO model'!$D$51)</f>
        <v>0.004076556176468058</v>
      </c>
      <c r="AZ15" s="33">
        <f>IF('IO model'!$D$52=0,0,'Z domestic'!AZ15/'IO model'!$D$52)</f>
        <v>0.0019913841490490102</v>
      </c>
      <c r="BA15" s="33">
        <f>IF('IO model'!$D$53=0,0,'Z domestic'!BA15/'IO model'!$D$53)</f>
        <v>0.00035941118400006184</v>
      </c>
      <c r="BB15" s="33">
        <f>IF('IO model'!$D$54=0,0,'Z domestic'!BB15/'IO model'!$D$54)</f>
        <v>0.0006550031952348317</v>
      </c>
      <c r="BC15" s="33">
        <f>IF('IO model'!$D$55=0,0,'Z domestic'!BC15/'IO model'!$D$55)</f>
        <v>0.005723483694473385</v>
      </c>
      <c r="BD15" s="33">
        <f>IF('IO model'!$D$56=0,0,'Z domestic'!BD15/'IO model'!$D$56)</f>
        <v>0.0007317263660806407</v>
      </c>
      <c r="BE15" s="33">
        <f>IF('IO model'!$D$57=0,0,'Z domestic'!BE15/'IO model'!$D$57)</f>
        <v>0.0004346470462640689</v>
      </c>
      <c r="BF15" s="33">
        <f>IF('IO model'!$D$58=0,0,'Z domestic'!BF15/'IO model'!$D$58)</f>
        <v>0.0020174291591586804</v>
      </c>
      <c r="BG15" s="33">
        <f>IF('IO model'!$D$59=0,0,'Z domestic'!BG15/'IO model'!$D$59)</f>
        <v>0.0018304641614482297</v>
      </c>
      <c r="BH15" s="33">
        <f>IF('IO model'!$D$60=0,0,'Z domestic'!BH15/'IO model'!$D$60)</f>
        <v>0.002605871437274915</v>
      </c>
      <c r="BI15" s="33">
        <f>IF('IO model'!$D$61=0,0,'Z domestic'!BI15/'IO model'!$D$61)</f>
        <v>0.0015485429591918548</v>
      </c>
      <c r="BJ15" s="33">
        <f>IF('IO model'!$D$62=0,0,'Z domestic'!BJ15/'IO model'!$D$62)</f>
        <v>0.001293402153753253</v>
      </c>
      <c r="BK15" s="33">
        <f>IF('IO model'!$D$63=0,0,'Z domestic'!BK15/'IO model'!$D$63)</f>
        <v>0.006286517731604436</v>
      </c>
      <c r="BL15" s="33">
        <f>IF('IO model'!$D$64=0,0,'Z domestic'!BL15/'IO model'!$D$64)</f>
        <v>0.0024466995545235305</v>
      </c>
      <c r="BM15" s="33">
        <f>IF('IO model'!$D$65=0,0,'Z domestic'!BM15/'IO model'!$D$65)</f>
        <v>0</v>
      </c>
      <c r="BN15" s="33">
        <f>IF('IO model'!$D$66=0,0,'Z domestic'!BN15/'IO model'!$D$66)</f>
        <v>0</v>
      </c>
    </row>
    <row r="16" spans="1:66" x14ac:dyDescent="0.25">
      <c r="A16" s="30" t="s">
        <v>99</v>
      </c>
      <c r="B16" s="31" t="s">
        <v>293</v>
      </c>
      <c r="C16" s="33">
        <f>IF('IO model'!$D$3=0,0,'Z domestic'!C16/'IO model'!$D$3)</f>
        <v>0.0032592367590233463</v>
      </c>
      <c r="D16" s="33">
        <f>IF('IO model'!$D$4=0,0,'Z domestic'!D16/'IO model'!$D$4)</f>
        <v>0.0012554023132068644</v>
      </c>
      <c r="E16" s="33">
        <f>IF('IO model'!$D$5=0,0,'Z domestic'!E16/'IO model'!$D$5)</f>
        <v>0.004214770020157596</v>
      </c>
      <c r="F16" s="33">
        <f>IF('IO model'!$D$6=0,0,'Z domestic'!F16/'IO model'!$D$6)</f>
        <v>0.008247685818534385</v>
      </c>
      <c r="G16" s="33">
        <f>IF('IO model'!$D$7=0,0,'Z domestic'!G16/'IO model'!$D$7)</f>
        <v>0.00533003402321584</v>
      </c>
      <c r="H16" s="33">
        <f>IF('IO model'!$D$8=0,0,'Z domestic'!H16/'IO model'!$D$8)</f>
        <v>0.002075505174270411</v>
      </c>
      <c r="I16" s="33">
        <f>IF('IO model'!$D$9=0,0,'Z domestic'!I16/'IO model'!$D$9)</f>
        <v>0.009498463691812788</v>
      </c>
      <c r="J16" s="33">
        <f>IF('IO model'!$D$10=0,0,'Z domestic'!J16/'IO model'!$D$10)</f>
        <v>0.0015359805460397392</v>
      </c>
      <c r="K16" s="33">
        <f>IF('IO model'!$D$11=0,0,'Z domestic'!K16/'IO model'!$D$11)</f>
        <v>0.0009624666442043727</v>
      </c>
      <c r="L16" s="33">
        <f>IF('IO model'!$D$12=0,0,'Z domestic'!L16/'IO model'!$D$12)</f>
        <v>0.0019844742989087788</v>
      </c>
      <c r="M16" s="33">
        <f>IF('IO model'!$D$13=0,0,'Z domestic'!M16/'IO model'!$D$13)</f>
        <v>0.004641520762272161</v>
      </c>
      <c r="N16" s="33">
        <f>IF('IO model'!$D$14=0,0,'Z domestic'!N16/'IO model'!$D$14)</f>
        <v>0.003299932128292062</v>
      </c>
      <c r="O16" s="33">
        <f>IF('IO model'!$D$15=0,0,'Z domestic'!O16/'IO model'!$D$15)</f>
        <v>0.0066961726906808825</v>
      </c>
      <c r="P16" s="33">
        <f>IF('IO model'!$D$16=0,0,'Z domestic'!P16/'IO model'!$D$16)</f>
        <v>0.09768640723807576</v>
      </c>
      <c r="Q16" s="33">
        <f>IF('IO model'!$D$17=0,0,'Z domestic'!Q16/'IO model'!$D$17)</f>
        <v>0.007832900247137262</v>
      </c>
      <c r="R16" s="33">
        <f>IF('IO model'!$D$18=0,0,'Z domestic'!R16/'IO model'!$D$18)</f>
        <v>0.0059164469064486224</v>
      </c>
      <c r="S16" s="33">
        <f>IF('IO model'!$D$19=0,0,'Z domestic'!S16/'IO model'!$D$19)</f>
        <v>0.0036286380530564494</v>
      </c>
      <c r="T16" s="33">
        <f>IF('IO model'!$D$20=0,0,'Z domestic'!T16/'IO model'!$D$20)</f>
        <v>0.006649176029019685</v>
      </c>
      <c r="U16" s="33">
        <f>IF('IO model'!$D$21=0,0,'Z domestic'!U16/'IO model'!$D$21)</f>
        <v>0.002971572270758549</v>
      </c>
      <c r="V16" s="33">
        <f>IF('IO model'!$D$22=0,0,'Z domestic'!V16/'IO model'!$D$22)</f>
        <v>0.004514301129043579</v>
      </c>
      <c r="W16" s="33">
        <f>IF('IO model'!$D$23=0,0,'Z domestic'!W16/'IO model'!$D$23)</f>
        <v>0.002938434681664079</v>
      </c>
      <c r="X16" s="33">
        <f>IF('IO model'!$D$24=0,0,'Z domestic'!X16/'IO model'!$D$24)</f>
        <v>0.006534654455501417</v>
      </c>
      <c r="Y16" s="33">
        <f>IF('IO model'!$D$25=0,0,'Z domestic'!Y16/'IO model'!$D$25)</f>
        <v>0.0029413875612637015</v>
      </c>
      <c r="Z16" s="33">
        <f>IF('IO model'!$D$26=0,0,'Z domestic'!Z16/'IO model'!$D$26)</f>
        <v>0.002561964365550847</v>
      </c>
      <c r="AA16" s="33">
        <f>IF('IO model'!$D$27=0,0,'Z domestic'!AA16/'IO model'!$D$27)</f>
        <v>0.004816663174265134</v>
      </c>
      <c r="AB16" s="33">
        <f>IF('IO model'!$D$28=0,0,'Z domestic'!AB16/'IO model'!$D$28)</f>
        <v>0.003860909555020111</v>
      </c>
      <c r="AC16" s="33">
        <f>IF('IO model'!$D$29=0,0,'Z domestic'!AC16/'IO model'!$D$29)</f>
        <v>0.04675728169110077</v>
      </c>
      <c r="AD16" s="33">
        <f>IF('IO model'!$D$30=0,0,'Z domestic'!AD16/'IO model'!$D$30)</f>
        <v>0.0026180813520288036</v>
      </c>
      <c r="AE16" s="33">
        <f>IF('IO model'!$D$31=0,0,'Z domestic'!AE16/'IO model'!$D$31)</f>
        <v>0.0016001668594674246</v>
      </c>
      <c r="AF16" s="33">
        <f>IF('IO model'!$D$32=0,0,'Z domestic'!AF16/'IO model'!$D$32)</f>
        <v>0.000915965046838047</v>
      </c>
      <c r="AG16" s="33">
        <f>IF('IO model'!$D$33=0,0,'Z domestic'!AG16/'IO model'!$D$33)</f>
        <v>0.001230710812875232</v>
      </c>
      <c r="AH16" s="33">
        <f>IF('IO model'!$D$34=0,0,'Z domestic'!AH16/'IO model'!$D$34)</f>
        <v>0.00030122304279040673</v>
      </c>
      <c r="AI16" s="33">
        <f>IF('IO model'!$D$35=0,0,'Z domestic'!AI16/'IO model'!$D$35)</f>
        <v>0.0007250663536944535</v>
      </c>
      <c r="AJ16" s="33">
        <f>IF('IO model'!$D$36=0,0,'Z domestic'!AJ16/'IO model'!$D$36)</f>
        <v>0.0011162279286237341</v>
      </c>
      <c r="AK16" s="33">
        <f>IF('IO model'!$D$37=0,0,'Z domestic'!AK16/'IO model'!$D$37)</f>
        <v>0.00029004267573021187</v>
      </c>
      <c r="AL16" s="33">
        <f>IF('IO model'!$D$38=0,0,'Z domestic'!AL16/'IO model'!$D$38)</f>
        <v>0.0016572218540132882</v>
      </c>
      <c r="AM16" s="33">
        <f>IF('IO model'!$D$39=0,0,'Z domestic'!AM16/'IO model'!$D$39)</f>
        <v>0.0003163181292765082</v>
      </c>
      <c r="AN16" s="33">
        <f>IF('IO model'!$D$40=0,0,'Z domestic'!AN16/'IO model'!$D$40)</f>
        <v>0.000343611946802149</v>
      </c>
      <c r="AO16" s="33">
        <f>IF('IO model'!$D$41=0,0,'Z domestic'!AO16/'IO model'!$D$41)</f>
        <v>0.0011767001749368672</v>
      </c>
      <c r="AP16" s="33">
        <f>IF('IO model'!$D$42=0,0,'Z domestic'!AP16/'IO model'!$D$42)</f>
        <v>0.0003870053298961889</v>
      </c>
      <c r="AQ16" s="33">
        <f>IF('IO model'!$D$43=0,0,'Z domestic'!AQ16/'IO model'!$D$43)</f>
        <v>0.00016334196461195737</v>
      </c>
      <c r="AR16" s="33">
        <f>IF('IO model'!$D$44=0,0,'Z domestic'!AR16/'IO model'!$D$44)</f>
        <v>0.00009845804727531688</v>
      </c>
      <c r="AS16" s="33">
        <f>IF('IO model'!$D$45=0,0,'Z domestic'!AS16/'IO model'!$D$45)</f>
        <v>0.00018662649325285806</v>
      </c>
      <c r="AT16" s="33">
        <f>IF('IO model'!$D$46=0,0,'Z domestic'!AT16/'IO model'!$D$46)</f>
        <v>0.0019041462129343084</v>
      </c>
      <c r="AU16" s="33">
        <f>IF('IO model'!$D$47=0,0,'Z domestic'!AU16/'IO model'!$D$47)</f>
        <v>0.0005090161648789077</v>
      </c>
      <c r="AV16" s="33">
        <f>IF('IO model'!$D$48=0,0,'Z domestic'!AV16/'IO model'!$D$48)</f>
        <v>0.001226756630306263</v>
      </c>
      <c r="AW16" s="33">
        <f>IF('IO model'!$D$49=0,0,'Z domestic'!AW16/'IO model'!$D$49)</f>
        <v>0.0016997127917029256</v>
      </c>
      <c r="AX16" s="33">
        <f>IF('IO model'!$D$50=0,0,'Z domestic'!AX16/'IO model'!$D$50)</f>
        <v>0.000809078825822182</v>
      </c>
      <c r="AY16" s="33">
        <f>IF('IO model'!$D$51=0,0,'Z domestic'!AY16/'IO model'!$D$51)</f>
        <v>0.0015153433119038636</v>
      </c>
      <c r="AZ16" s="33">
        <f>IF('IO model'!$D$52=0,0,'Z domestic'!AZ16/'IO model'!$D$52)</f>
        <v>0.0009252594472002283</v>
      </c>
      <c r="BA16" s="33">
        <f>IF('IO model'!$D$53=0,0,'Z domestic'!BA16/'IO model'!$D$53)</f>
        <v>0.00020482572851616428</v>
      </c>
      <c r="BB16" s="33">
        <f>IF('IO model'!$D$54=0,0,'Z domestic'!BB16/'IO model'!$D$54)</f>
        <v>0.00038614073872552805</v>
      </c>
      <c r="BC16" s="33">
        <f>IF('IO model'!$D$55=0,0,'Z domestic'!BC16/'IO model'!$D$55)</f>
        <v>0.0028607231827966696</v>
      </c>
      <c r="BD16" s="33">
        <f>IF('IO model'!$D$56=0,0,'Z domestic'!BD16/'IO model'!$D$56)</f>
        <v>0.0007904064770591395</v>
      </c>
      <c r="BE16" s="33">
        <f>IF('IO model'!$D$57=0,0,'Z domestic'!BE16/'IO model'!$D$57)</f>
        <v>0.000519267657853979</v>
      </c>
      <c r="BF16" s="33">
        <f>IF('IO model'!$D$58=0,0,'Z domestic'!BF16/'IO model'!$D$58)</f>
        <v>0.001248106392817847</v>
      </c>
      <c r="BG16" s="33">
        <f>IF('IO model'!$D$59=0,0,'Z domestic'!BG16/'IO model'!$D$59)</f>
        <v>0.0005851952427481344</v>
      </c>
      <c r="BH16" s="33">
        <f>IF('IO model'!$D$60=0,0,'Z domestic'!BH16/'IO model'!$D$60)</f>
        <v>0.001965641425805764</v>
      </c>
      <c r="BI16" s="33">
        <f>IF('IO model'!$D$61=0,0,'Z domestic'!BI16/'IO model'!$D$61)</f>
        <v>0.0012869410307115982</v>
      </c>
      <c r="BJ16" s="33">
        <f>IF('IO model'!$D$62=0,0,'Z domestic'!BJ16/'IO model'!$D$62)</f>
        <v>0.0015245927566028788</v>
      </c>
      <c r="BK16" s="33">
        <f>IF('IO model'!$D$63=0,0,'Z domestic'!BK16/'IO model'!$D$63)</f>
        <v>0.0017341040462427746</v>
      </c>
      <c r="BL16" s="33">
        <f>IF('IO model'!$D$64=0,0,'Z domestic'!BL16/'IO model'!$D$64)</f>
        <v>0.0021141435994647285</v>
      </c>
      <c r="BM16" s="33">
        <f>IF('IO model'!$D$65=0,0,'Z domestic'!BM16/'IO model'!$D$65)</f>
        <v>0</v>
      </c>
      <c r="BN16" s="33">
        <f>IF('IO model'!$D$66=0,0,'Z domestic'!BN16/'IO model'!$D$66)</f>
        <v>0</v>
      </c>
    </row>
    <row r="17" spans="1:66" x14ac:dyDescent="0.25">
      <c r="A17" s="30" t="s">
        <v>101</v>
      </c>
      <c r="B17" s="31" t="s">
        <v>294</v>
      </c>
      <c r="C17" s="33">
        <f>IF('IO model'!$D$3=0,0,'Z domestic'!C17/'IO model'!$D$3)</f>
        <v>0.001003083793109167</v>
      </c>
      <c r="D17" s="33">
        <f>IF('IO model'!$D$4=0,0,'Z domestic'!D17/'IO model'!$D$4)</f>
        <v>0.0006036819796925865</v>
      </c>
      <c r="E17" s="33">
        <f>IF('IO model'!$D$5=0,0,'Z domestic'!E17/'IO model'!$D$5)</f>
        <v>0.0006379845119079131</v>
      </c>
      <c r="F17" s="33">
        <f>IF('IO model'!$D$6=0,0,'Z domestic'!F17/'IO model'!$D$6)</f>
        <v>0.004009534005292181</v>
      </c>
      <c r="G17" s="33">
        <f>IF('IO model'!$D$7=0,0,'Z domestic'!G17/'IO model'!$D$7)</f>
        <v>0.0020196133832497466</v>
      </c>
      <c r="H17" s="33">
        <f>IF('IO model'!$D$8=0,0,'Z domestic'!H17/'IO model'!$D$8)</f>
        <v>0.0021681694975397843</v>
      </c>
      <c r="I17" s="33">
        <f>IF('IO model'!$D$9=0,0,'Z domestic'!I17/'IO model'!$D$9)</f>
        <v>0.00423807204213292</v>
      </c>
      <c r="J17" s="33">
        <f>IF('IO model'!$D$10=0,0,'Z domestic'!J17/'IO model'!$D$10)</f>
        <v>0.002946428531399056</v>
      </c>
      <c r="K17" s="33">
        <f>IF('IO model'!$D$11=0,0,'Z domestic'!K17/'IO model'!$D$11)</f>
        <v>0.0030608429615539357</v>
      </c>
      <c r="L17" s="33">
        <f>IF('IO model'!$D$12=0,0,'Z domestic'!L17/'IO model'!$D$12)</f>
        <v>0.001779671555176523</v>
      </c>
      <c r="M17" s="33">
        <f>IF('IO model'!$D$13=0,0,'Z domestic'!M17/'IO model'!$D$13)</f>
        <v>0.008227061670263554</v>
      </c>
      <c r="N17" s="33">
        <f>IF('IO model'!$D$14=0,0,'Z domestic'!N17/'IO model'!$D$14)</f>
        <v>0.0027991024356846953</v>
      </c>
      <c r="O17" s="33">
        <f>IF('IO model'!$D$15=0,0,'Z domestic'!O17/'IO model'!$D$15)</f>
        <v>0.012458732253712943</v>
      </c>
      <c r="P17" s="33">
        <f>IF('IO model'!$D$16=0,0,'Z domestic'!P17/'IO model'!$D$16)</f>
        <v>0.00978538298775294</v>
      </c>
      <c r="Q17" s="33">
        <f>IF('IO model'!$D$17=0,0,'Z domestic'!Q17/'IO model'!$D$17)</f>
        <v>0.24769689528849903</v>
      </c>
      <c r="R17" s="33">
        <f>IF('IO model'!$D$18=0,0,'Z domestic'!R17/'IO model'!$D$18)</f>
        <v>0.12193128314102214</v>
      </c>
      <c r="S17" s="33">
        <f>IF('IO model'!$D$19=0,0,'Z domestic'!S17/'IO model'!$D$19)</f>
        <v>0.010748806177569901</v>
      </c>
      <c r="T17" s="33">
        <f>IF('IO model'!$D$20=0,0,'Z domestic'!T17/'IO model'!$D$20)</f>
        <v>0.055305209377674</v>
      </c>
      <c r="U17" s="33">
        <f>IF('IO model'!$D$21=0,0,'Z domestic'!U17/'IO model'!$D$21)</f>
        <v>0.042810533857979546</v>
      </c>
      <c r="V17" s="33">
        <f>IF('IO model'!$D$22=0,0,'Z domestic'!V17/'IO model'!$D$22)</f>
        <v>0.03618581290386655</v>
      </c>
      <c r="W17" s="33">
        <f>IF('IO model'!$D$23=0,0,'Z domestic'!W17/'IO model'!$D$23)</f>
        <v>0.0202736969238594</v>
      </c>
      <c r="X17" s="33">
        <f>IF('IO model'!$D$24=0,0,'Z domestic'!X17/'IO model'!$D$24)</f>
        <v>0.03239468512866083</v>
      </c>
      <c r="Y17" s="33">
        <f>IF('IO model'!$D$25=0,0,'Z domestic'!Y17/'IO model'!$D$25)</f>
        <v>0.026240550680951085</v>
      </c>
      <c r="Z17" s="33">
        <f>IF('IO model'!$D$26=0,0,'Z domestic'!Z17/'IO model'!$D$26)</f>
        <v>0.0018564687412577603</v>
      </c>
      <c r="AA17" s="33">
        <f>IF('IO model'!$D$27=0,0,'Z domestic'!AA17/'IO model'!$D$27)</f>
        <v>0.005996952345111992</v>
      </c>
      <c r="AB17" s="33">
        <f>IF('IO model'!$D$28=0,0,'Z domestic'!AB17/'IO model'!$D$28)</f>
        <v>0.016667996868063747</v>
      </c>
      <c r="AC17" s="33">
        <f>IF('IO model'!$D$29=0,0,'Z domestic'!AC17/'IO model'!$D$29)</f>
        <v>0.012239926203549386</v>
      </c>
      <c r="AD17" s="33">
        <f>IF('IO model'!$D$30=0,0,'Z domestic'!AD17/'IO model'!$D$30)</f>
        <v>0.003121956166583426</v>
      </c>
      <c r="AE17" s="33">
        <f>IF('IO model'!$D$31=0,0,'Z domestic'!AE17/'IO model'!$D$31)</f>
        <v>0.0023640504999542676</v>
      </c>
      <c r="AF17" s="33">
        <f>IF('IO model'!$D$32=0,0,'Z domestic'!AF17/'IO model'!$D$32)</f>
        <v>0.0009134670414507415</v>
      </c>
      <c r="AG17" s="33">
        <f>IF('IO model'!$D$33=0,0,'Z domestic'!AG17/'IO model'!$D$33)</f>
        <v>0.002422569342906881</v>
      </c>
      <c r="AH17" s="33">
        <f>IF('IO model'!$D$34=0,0,'Z domestic'!AH17/'IO model'!$D$34)</f>
        <v>0.0004359581360043493</v>
      </c>
      <c r="AI17" s="33">
        <f>IF('IO model'!$D$35=0,0,'Z domestic'!AI17/'IO model'!$D$35)</f>
        <v>0.0006814105261159916</v>
      </c>
      <c r="AJ17" s="33">
        <f>IF('IO model'!$D$36=0,0,'Z domestic'!AJ17/'IO model'!$D$36)</f>
        <v>0.001448703595300046</v>
      </c>
      <c r="AK17" s="33">
        <f>IF('IO model'!$D$37=0,0,'Z domestic'!AK17/'IO model'!$D$37)</f>
        <v>0.00027412147873308806</v>
      </c>
      <c r="AL17" s="33">
        <f>IF('IO model'!$D$38=0,0,'Z domestic'!AL17/'IO model'!$D$38)</f>
        <v>0.0004927728340893353</v>
      </c>
      <c r="AM17" s="33">
        <f>IF('IO model'!$D$39=0,0,'Z domestic'!AM17/'IO model'!$D$39)</f>
        <v>0.00048803368516946974</v>
      </c>
      <c r="AN17" s="33">
        <f>IF('IO model'!$D$40=0,0,'Z domestic'!AN17/'IO model'!$D$40)</f>
        <v>0.00041314556166936295</v>
      </c>
      <c r="AO17" s="33">
        <f>IF('IO model'!$D$41=0,0,'Z domestic'!AO17/'IO model'!$D$41)</f>
        <v>0.000916501913154184</v>
      </c>
      <c r="AP17" s="33">
        <f>IF('IO model'!$D$42=0,0,'Z domestic'!AP17/'IO model'!$D$42)</f>
        <v>0.0006215127789776817</v>
      </c>
      <c r="AQ17" s="33">
        <f>IF('IO model'!$D$43=0,0,'Z domestic'!AQ17/'IO model'!$D$43)</f>
        <v>0.00014500643960415878</v>
      </c>
      <c r="AR17" s="33">
        <f>IF('IO model'!$D$44=0,0,'Z domestic'!AR17/'IO model'!$D$44)</f>
        <v>0.00011017330859668369</v>
      </c>
      <c r="AS17" s="33">
        <f>IF('IO model'!$D$45=0,0,'Z domestic'!AS17/'IO model'!$D$45)</f>
        <v>0.00022966943661926594</v>
      </c>
      <c r="AT17" s="33">
        <f>IF('IO model'!$D$46=0,0,'Z domestic'!AT17/'IO model'!$D$46)</f>
        <v>0.0007058979970992026</v>
      </c>
      <c r="AU17" s="33">
        <f>IF('IO model'!$D$47=0,0,'Z domestic'!AU17/'IO model'!$D$47)</f>
        <v>0.0007004704431103886</v>
      </c>
      <c r="AV17" s="33">
        <f>IF('IO model'!$D$48=0,0,'Z domestic'!AV17/'IO model'!$D$48)</f>
        <v>0.00416463916941819</v>
      </c>
      <c r="AW17" s="33">
        <f>IF('IO model'!$D$49=0,0,'Z domestic'!AW17/'IO model'!$D$49)</f>
        <v>0.0012505553386007871</v>
      </c>
      <c r="AX17" s="33">
        <f>IF('IO model'!$D$50=0,0,'Z domestic'!AX17/'IO model'!$D$50)</f>
        <v>0.0017403592495316086</v>
      </c>
      <c r="AY17" s="33">
        <f>IF('IO model'!$D$51=0,0,'Z domestic'!AY17/'IO model'!$D$51)</f>
        <v>0.0027572365938818475</v>
      </c>
      <c r="AZ17" s="33">
        <f>IF('IO model'!$D$52=0,0,'Z domestic'!AZ17/'IO model'!$D$52)</f>
        <v>0.001097609036221098</v>
      </c>
      <c r="BA17" s="33">
        <f>IF('IO model'!$D$53=0,0,'Z domestic'!BA17/'IO model'!$D$53)</f>
        <v>0.00019151420318282866</v>
      </c>
      <c r="BB17" s="33">
        <f>IF('IO model'!$D$54=0,0,'Z domestic'!BB17/'IO model'!$D$54)</f>
        <v>0.0002537040390799957</v>
      </c>
      <c r="BC17" s="33">
        <f>IF('IO model'!$D$55=0,0,'Z domestic'!BC17/'IO model'!$D$55)</f>
        <v>0.001176949222241864</v>
      </c>
      <c r="BD17" s="33">
        <f>IF('IO model'!$D$56=0,0,'Z domestic'!BD17/'IO model'!$D$56)</f>
        <v>0.0008049546896267626</v>
      </c>
      <c r="BE17" s="33">
        <f>IF('IO model'!$D$57=0,0,'Z domestic'!BE17/'IO model'!$D$57)</f>
        <v>0.0002113926667502635</v>
      </c>
      <c r="BF17" s="33">
        <f>IF('IO model'!$D$58=0,0,'Z domestic'!BF17/'IO model'!$D$58)</f>
        <v>0.001504361276331106</v>
      </c>
      <c r="BG17" s="33">
        <f>IF('IO model'!$D$59=0,0,'Z domestic'!BG17/'IO model'!$D$59)</f>
        <v>0.00023533221864059862</v>
      </c>
      <c r="BH17" s="33">
        <f>IF('IO model'!$D$60=0,0,'Z domestic'!BH17/'IO model'!$D$60)</f>
        <v>0.0011840109210060031</v>
      </c>
      <c r="BI17" s="33">
        <f>IF('IO model'!$D$61=0,0,'Z domestic'!BI17/'IO model'!$D$61)</f>
        <v>0.0007549585855470493</v>
      </c>
      <c r="BJ17" s="33">
        <f>IF('IO model'!$D$62=0,0,'Z domestic'!BJ17/'IO model'!$D$62)</f>
        <v>0.0003640389343378431</v>
      </c>
      <c r="BK17" s="33">
        <f>IF('IO model'!$D$63=0,0,'Z domestic'!BK17/'IO model'!$D$63)</f>
        <v>0.005627245742852679</v>
      </c>
      <c r="BL17" s="33">
        <f>IF('IO model'!$D$64=0,0,'Z domestic'!BL17/'IO model'!$D$64)</f>
        <v>0.0008809815651557736</v>
      </c>
      <c r="BM17" s="33">
        <f>IF('IO model'!$D$65=0,0,'Z domestic'!BM17/'IO model'!$D$65)</f>
        <v>0</v>
      </c>
      <c r="BN17" s="33">
        <f>IF('IO model'!$D$66=0,0,'Z domestic'!BN17/'IO model'!$D$66)</f>
        <v>0</v>
      </c>
    </row>
    <row r="18" spans="1:66" x14ac:dyDescent="0.25">
      <c r="A18" s="30" t="s">
        <v>103</v>
      </c>
      <c r="B18" s="31" t="s">
        <v>295</v>
      </c>
      <c r="C18" s="33">
        <f>IF('IO model'!$D$3=0,0,'Z domestic'!C18/'IO model'!$D$3)</f>
        <v>0.006682395495375183</v>
      </c>
      <c r="D18" s="33">
        <f>IF('IO model'!$D$4=0,0,'Z domestic'!D18/'IO model'!$D$4)</f>
        <v>0.002320252489587687</v>
      </c>
      <c r="E18" s="33">
        <f>IF('IO model'!$D$5=0,0,'Z domestic'!E18/'IO model'!$D$5)</f>
        <v>0.006868514106923489</v>
      </c>
      <c r="F18" s="33">
        <f>IF('IO model'!$D$6=0,0,'Z domestic'!F18/'IO model'!$D$6)</f>
        <v>0.0076720096515277</v>
      </c>
      <c r="G18" s="33">
        <f>IF('IO model'!$D$7=0,0,'Z domestic'!G18/'IO model'!$D$7)</f>
        <v>0.007118975300793482</v>
      </c>
      <c r="H18" s="33">
        <f>IF('IO model'!$D$8=0,0,'Z domestic'!H18/'IO model'!$D$8)</f>
        <v>0.005418886657918452</v>
      </c>
      <c r="I18" s="33">
        <f>IF('IO model'!$D$9=0,0,'Z domestic'!I18/'IO model'!$D$9)</f>
        <v>0.0114158079917445</v>
      </c>
      <c r="J18" s="33">
        <f>IF('IO model'!$D$10=0,0,'Z domestic'!J18/'IO model'!$D$10)</f>
        <v>0.004548762002369876</v>
      </c>
      <c r="K18" s="33">
        <f>IF('IO model'!$D$11=0,0,'Z domestic'!K18/'IO model'!$D$11)</f>
        <v>0.0052757957409784745</v>
      </c>
      <c r="L18" s="33">
        <f>IF('IO model'!$D$12=0,0,'Z domestic'!L18/'IO model'!$D$12)</f>
        <v>0.0031618604758807587</v>
      </c>
      <c r="M18" s="33">
        <f>IF('IO model'!$D$13=0,0,'Z domestic'!M18/'IO model'!$D$13)</f>
        <v>0.006400016388882979</v>
      </c>
      <c r="N18" s="33">
        <f>IF('IO model'!$D$14=0,0,'Z domestic'!N18/'IO model'!$D$14)</f>
        <v>0.003899528342762353</v>
      </c>
      <c r="O18" s="33">
        <f>IF('IO model'!$D$15=0,0,'Z domestic'!O18/'IO model'!$D$15)</f>
        <v>0.01586805980841732</v>
      </c>
      <c r="P18" s="33">
        <f>IF('IO model'!$D$16=0,0,'Z domestic'!P18/'IO model'!$D$16)</f>
        <v>0.010090506045274093</v>
      </c>
      <c r="Q18" s="33">
        <f>IF('IO model'!$D$17=0,0,'Z domestic'!Q18/'IO model'!$D$17)</f>
        <v>0.033212744653968104</v>
      </c>
      <c r="R18" s="33">
        <f>IF('IO model'!$D$18=0,0,'Z domestic'!R18/'IO model'!$D$18)</f>
        <v>0.14992001277363767</v>
      </c>
      <c r="S18" s="33">
        <f>IF('IO model'!$D$19=0,0,'Z domestic'!S18/'IO model'!$D$19)</f>
        <v>0.014187995213220787</v>
      </c>
      <c r="T18" s="33">
        <f>IF('IO model'!$D$20=0,0,'Z domestic'!T18/'IO model'!$D$20)</f>
        <v>0.035080502524065645</v>
      </c>
      <c r="U18" s="33">
        <f>IF('IO model'!$D$21=0,0,'Z domestic'!U18/'IO model'!$D$21)</f>
        <v>0.0811386530407807</v>
      </c>
      <c r="V18" s="33">
        <f>IF('IO model'!$D$22=0,0,'Z domestic'!V18/'IO model'!$D$22)</f>
        <v>0.04330932277693549</v>
      </c>
      <c r="W18" s="33">
        <f>IF('IO model'!$D$23=0,0,'Z domestic'!W18/'IO model'!$D$23)</f>
        <v>0.04828098456433189</v>
      </c>
      <c r="X18" s="33">
        <f>IF('IO model'!$D$24=0,0,'Z domestic'!X18/'IO model'!$D$24)</f>
        <v>0.025805741895435528</v>
      </c>
      <c r="Y18" s="33">
        <f>IF('IO model'!$D$25=0,0,'Z domestic'!Y18/'IO model'!$D$25)</f>
        <v>0.04969379806770219</v>
      </c>
      <c r="Z18" s="33">
        <f>IF('IO model'!$D$26=0,0,'Z domestic'!Z18/'IO model'!$D$26)</f>
        <v>0.0035115841560023056</v>
      </c>
      <c r="AA18" s="33">
        <f>IF('IO model'!$D$27=0,0,'Z domestic'!AA18/'IO model'!$D$27)</f>
        <v>0.00985284873054768</v>
      </c>
      <c r="AB18" s="33">
        <f>IF('IO model'!$D$28=0,0,'Z domestic'!AB18/'IO model'!$D$28)</f>
        <v>0.013066476585473925</v>
      </c>
      <c r="AC18" s="33">
        <f>IF('IO model'!$D$29=0,0,'Z domestic'!AC18/'IO model'!$D$29)</f>
        <v>0.036180810209855876</v>
      </c>
      <c r="AD18" s="33">
        <f>IF('IO model'!$D$30=0,0,'Z domestic'!AD18/'IO model'!$D$30)</f>
        <v>0.009099038847098978</v>
      </c>
      <c r="AE18" s="33">
        <f>IF('IO model'!$D$31=0,0,'Z domestic'!AE18/'IO model'!$D$31)</f>
        <v>0.0035784456241717446</v>
      </c>
      <c r="AF18" s="33">
        <f>IF('IO model'!$D$32=0,0,'Z domestic'!AF18/'IO model'!$D$32)</f>
        <v>0.0016678646684169952</v>
      </c>
      <c r="AG18" s="33">
        <f>IF('IO model'!$D$33=0,0,'Z domestic'!AG18/'IO model'!$D$33)</f>
        <v>0.003470285903588837</v>
      </c>
      <c r="AH18" s="33">
        <f>IF('IO model'!$D$34=0,0,'Z domestic'!AH18/'IO model'!$D$34)</f>
        <v>0.0011285136788301562</v>
      </c>
      <c r="AI18" s="33">
        <f>IF('IO model'!$D$35=0,0,'Z domestic'!AI18/'IO model'!$D$35)</f>
        <v>0.0021587490390972733</v>
      </c>
      <c r="AJ18" s="33">
        <f>IF('IO model'!$D$36=0,0,'Z domestic'!AJ18/'IO model'!$D$36)</f>
        <v>0.004189193400121527</v>
      </c>
      <c r="AK18" s="33">
        <f>IF('IO model'!$D$37=0,0,'Z domestic'!AK18/'IO model'!$D$37)</f>
        <v>0.0008209799842864708</v>
      </c>
      <c r="AL18" s="33">
        <f>IF('IO model'!$D$38=0,0,'Z domestic'!AL18/'IO model'!$D$38)</f>
        <v>0.0017696560763317969</v>
      </c>
      <c r="AM18" s="33">
        <f>IF('IO model'!$D$39=0,0,'Z domestic'!AM18/'IO model'!$D$39)</f>
        <v>0.0008617409607575729</v>
      </c>
      <c r="AN18" s="33">
        <f>IF('IO model'!$D$40=0,0,'Z domestic'!AN18/'IO model'!$D$40)</f>
        <v>0.0010621259670966934</v>
      </c>
      <c r="AO18" s="33">
        <f>IF('IO model'!$D$41=0,0,'Z domestic'!AO18/'IO model'!$D$41)</f>
        <v>0.0028154265044454414</v>
      </c>
      <c r="AP18" s="33">
        <f>IF('IO model'!$D$42=0,0,'Z domestic'!AP18/'IO model'!$D$42)</f>
        <v>0.00107900642142177</v>
      </c>
      <c r="AQ18" s="33">
        <f>IF('IO model'!$D$43=0,0,'Z domestic'!AQ18/'IO model'!$D$43)</f>
        <v>0.00037605802270896716</v>
      </c>
      <c r="AR18" s="33">
        <f>IF('IO model'!$D$44=0,0,'Z domestic'!AR18/'IO model'!$D$44)</f>
        <v>0.00030783718578485147</v>
      </c>
      <c r="AS18" s="33">
        <f>IF('IO model'!$D$45=0,0,'Z domestic'!AS18/'IO model'!$D$45)</f>
        <v>0.0003642589386381085</v>
      </c>
      <c r="AT18" s="33">
        <f>IF('IO model'!$D$46=0,0,'Z domestic'!AT18/'IO model'!$D$46)</f>
        <v>0.001206120507908903</v>
      </c>
      <c r="AU18" s="33">
        <f>IF('IO model'!$D$47=0,0,'Z domestic'!AU18/'IO model'!$D$47)</f>
        <v>0.001189027191798737</v>
      </c>
      <c r="AV18" s="33">
        <f>IF('IO model'!$D$48=0,0,'Z domestic'!AV18/'IO model'!$D$48)</f>
        <v>0.006832015292867238</v>
      </c>
      <c r="AW18" s="33">
        <f>IF('IO model'!$D$49=0,0,'Z domestic'!AW18/'IO model'!$D$49)</f>
        <v>0.0020368862923090644</v>
      </c>
      <c r="AX18" s="33">
        <f>IF('IO model'!$D$50=0,0,'Z domestic'!AX18/'IO model'!$D$50)</f>
        <v>0.003129750876695112</v>
      </c>
      <c r="AY18" s="33">
        <f>IF('IO model'!$D$51=0,0,'Z domestic'!AY18/'IO model'!$D$51)</f>
        <v>0.003304751148182878</v>
      </c>
      <c r="AZ18" s="33">
        <f>IF('IO model'!$D$52=0,0,'Z domestic'!AZ18/'IO model'!$D$52)</f>
        <v>0.002610485586146024</v>
      </c>
      <c r="BA18" s="33">
        <f>IF('IO model'!$D$53=0,0,'Z domestic'!BA18/'IO model'!$D$53)</f>
        <v>0.0005041203464947105</v>
      </c>
      <c r="BB18" s="33">
        <f>IF('IO model'!$D$54=0,0,'Z domestic'!BB18/'IO model'!$D$54)</f>
        <v>0.0008568494904777214</v>
      </c>
      <c r="BC18" s="33">
        <f>IF('IO model'!$D$55=0,0,'Z domestic'!BC18/'IO model'!$D$55)</f>
        <v>0.005080628074015845</v>
      </c>
      <c r="BD18" s="33">
        <f>IF('IO model'!$D$56=0,0,'Z domestic'!BD18/'IO model'!$D$56)</f>
        <v>0.002349710351352559</v>
      </c>
      <c r="BE18" s="33">
        <f>IF('IO model'!$D$57=0,0,'Z domestic'!BE18/'IO model'!$D$57)</f>
        <v>0.0005181026682075597</v>
      </c>
      <c r="BF18" s="33">
        <f>IF('IO model'!$D$58=0,0,'Z domestic'!BF18/'IO model'!$D$58)</f>
        <v>0.0011244438774696624</v>
      </c>
      <c r="BG18" s="33">
        <f>IF('IO model'!$D$59=0,0,'Z domestic'!BG18/'IO model'!$D$59)</f>
        <v>0.0009370869928784338</v>
      </c>
      <c r="BH18" s="33">
        <f>IF('IO model'!$D$60=0,0,'Z domestic'!BH18/'IO model'!$D$60)</f>
        <v>0.003719618532891325</v>
      </c>
      <c r="BI18" s="33">
        <f>IF('IO model'!$D$61=0,0,'Z domestic'!BI18/'IO model'!$D$61)</f>
        <v>0.0019517727773638834</v>
      </c>
      <c r="BJ18" s="33">
        <f>IF('IO model'!$D$62=0,0,'Z domestic'!BJ18/'IO model'!$D$62)</f>
        <v>0.0015343694736388081</v>
      </c>
      <c r="BK18" s="33">
        <f>IF('IO model'!$D$63=0,0,'Z domestic'!BK18/'IO model'!$D$63)</f>
        <v>0.011745039837525386</v>
      </c>
      <c r="BL18" s="33">
        <f>IF('IO model'!$D$64=0,0,'Z domestic'!BL18/'IO model'!$D$64)</f>
        <v>0.0020202641671754015</v>
      </c>
      <c r="BM18" s="33">
        <f>IF('IO model'!$D$65=0,0,'Z domestic'!BM18/'IO model'!$D$65)</f>
        <v>0</v>
      </c>
      <c r="BN18" s="33">
        <f>IF('IO model'!$D$66=0,0,'Z domestic'!BN18/'IO model'!$D$66)</f>
        <v>0</v>
      </c>
    </row>
    <row r="19" spans="1:66" x14ac:dyDescent="0.25">
      <c r="A19" s="30" t="s">
        <v>105</v>
      </c>
      <c r="B19" s="31" t="s">
        <v>296</v>
      </c>
      <c r="C19" s="33">
        <f>IF('IO model'!$D$3=0,0,'Z domestic'!C19/'IO model'!$D$3)</f>
        <v>0.0007532729842091987</v>
      </c>
      <c r="D19" s="33">
        <f>IF('IO model'!$D$4=0,0,'Z domestic'!D19/'IO model'!$D$4)</f>
        <v>0.0007445944842362142</v>
      </c>
      <c r="E19" s="33">
        <f>IF('IO model'!$D$5=0,0,'Z domestic'!E19/'IO model'!$D$5)</f>
        <v>0.0011062922919254235</v>
      </c>
      <c r="F19" s="33">
        <f>IF('IO model'!$D$6=0,0,'Z domestic'!F19/'IO model'!$D$6)</f>
        <v>0.0008878450613962765</v>
      </c>
      <c r="G19" s="33">
        <f>IF('IO model'!$D$7=0,0,'Z domestic'!G19/'IO model'!$D$7)</f>
        <v>0.0006316074497892679</v>
      </c>
      <c r="H19" s="33">
        <f>IF('IO model'!$D$8=0,0,'Z domestic'!H19/'IO model'!$D$8)</f>
        <v>0.0006196652139008782</v>
      </c>
      <c r="I19" s="33">
        <f>IF('IO model'!$D$9=0,0,'Z domestic'!I19/'IO model'!$D$9)</f>
        <v>0.0010217538523684493</v>
      </c>
      <c r="J19" s="33">
        <f>IF('IO model'!$D$10=0,0,'Z domestic'!J19/'IO model'!$D$10)</f>
        <v>0.001118136451203476</v>
      </c>
      <c r="K19" s="33">
        <f>IF('IO model'!$D$11=0,0,'Z domestic'!K19/'IO model'!$D$11)</f>
        <v>0.003581172048376388</v>
      </c>
      <c r="L19" s="33">
        <f>IF('IO model'!$D$12=0,0,'Z domestic'!L19/'IO model'!$D$12)</f>
        <v>0.0005429568703789661</v>
      </c>
      <c r="M19" s="33">
        <f>IF('IO model'!$D$13=0,0,'Z domestic'!M19/'IO model'!$D$13)</f>
        <v>0.0013191474944313254</v>
      </c>
      <c r="N19" s="33">
        <f>IF('IO model'!$D$14=0,0,'Z domestic'!N19/'IO model'!$D$14)</f>
        <v>0.002307961012251894</v>
      </c>
      <c r="O19" s="33">
        <f>IF('IO model'!$D$15=0,0,'Z domestic'!O19/'IO model'!$D$15)</f>
        <v>0.0015793785572804308</v>
      </c>
      <c r="P19" s="33">
        <f>IF('IO model'!$D$16=0,0,'Z domestic'!P19/'IO model'!$D$16)</f>
        <v>0.0015500702798855058</v>
      </c>
      <c r="Q19" s="33">
        <f>IF('IO model'!$D$17=0,0,'Z domestic'!Q19/'IO model'!$D$17)</f>
        <v>0.0014627585604055915</v>
      </c>
      <c r="R19" s="33">
        <f>IF('IO model'!$D$18=0,0,'Z domestic'!R19/'IO model'!$D$18)</f>
        <v>0.0027943932306119966</v>
      </c>
      <c r="S19" s="33">
        <f>IF('IO model'!$D$19=0,0,'Z domestic'!S19/'IO model'!$D$19)</f>
        <v>0.06959621571757903</v>
      </c>
      <c r="T19" s="33">
        <f>IF('IO model'!$D$20=0,0,'Z domestic'!T19/'IO model'!$D$20)</f>
        <v>0.022391268972665978</v>
      </c>
      <c r="U19" s="33">
        <f>IF('IO model'!$D$21=0,0,'Z domestic'!U19/'IO model'!$D$21)</f>
        <v>0.007316304013027234</v>
      </c>
      <c r="V19" s="33">
        <f>IF('IO model'!$D$22=0,0,'Z domestic'!V19/'IO model'!$D$22)</f>
        <v>0.00779683910825281</v>
      </c>
      <c r="W19" s="33">
        <f>IF('IO model'!$D$23=0,0,'Z domestic'!W19/'IO model'!$D$23)</f>
        <v>0.011682650520116494</v>
      </c>
      <c r="X19" s="33">
        <f>IF('IO model'!$D$24=0,0,'Z domestic'!X19/'IO model'!$D$24)</f>
        <v>0.007253623597331563</v>
      </c>
      <c r="Y19" s="33">
        <f>IF('IO model'!$D$25=0,0,'Z domestic'!Y19/'IO model'!$D$25)</f>
        <v>0.013958412656319502</v>
      </c>
      <c r="Z19" s="33">
        <f>IF('IO model'!$D$26=0,0,'Z domestic'!Z19/'IO model'!$D$26)</f>
        <v>0.002377755091672017</v>
      </c>
      <c r="AA19" s="33">
        <f>IF('IO model'!$D$27=0,0,'Z domestic'!AA19/'IO model'!$D$27)</f>
        <v>0.0020583786989165002</v>
      </c>
      <c r="AB19" s="33">
        <f>IF('IO model'!$D$28=0,0,'Z domestic'!AB19/'IO model'!$D$28)</f>
        <v>0.0010640464451285045</v>
      </c>
      <c r="AC19" s="33">
        <f>IF('IO model'!$D$29=0,0,'Z domestic'!AC19/'IO model'!$D$29)</f>
        <v>0.0029658517422116453</v>
      </c>
      <c r="AD19" s="33">
        <f>IF('IO model'!$D$30=0,0,'Z domestic'!AD19/'IO model'!$D$30)</f>
        <v>0.001632977782000666</v>
      </c>
      <c r="AE19" s="33">
        <f>IF('IO model'!$D$31=0,0,'Z domestic'!AE19/'IO model'!$D$31)</f>
        <v>0.0020055137158618394</v>
      </c>
      <c r="AF19" s="33">
        <f>IF('IO model'!$D$32=0,0,'Z domestic'!AF19/'IO model'!$D$32)</f>
        <v>0.0011130398290008254</v>
      </c>
      <c r="AG19" s="33">
        <f>IF('IO model'!$D$33=0,0,'Z domestic'!AG19/'IO model'!$D$33)</f>
        <v>0.0010759492195482928</v>
      </c>
      <c r="AH19" s="33">
        <f>IF('IO model'!$D$34=0,0,'Z domestic'!AH19/'IO model'!$D$34)</f>
        <v>0.0007110065269283531</v>
      </c>
      <c r="AI19" s="33">
        <f>IF('IO model'!$D$35=0,0,'Z domestic'!AI19/'IO model'!$D$35)</f>
        <v>0.001998044978156269</v>
      </c>
      <c r="AJ19" s="33">
        <f>IF('IO model'!$D$36=0,0,'Z domestic'!AJ19/'IO model'!$D$36)</f>
        <v>0.0010601661321088583</v>
      </c>
      <c r="AK19" s="33">
        <f>IF('IO model'!$D$37=0,0,'Z domestic'!AK19/'IO model'!$D$37)</f>
        <v>0.0015935041516251735</v>
      </c>
      <c r="AL19" s="33">
        <f>IF('IO model'!$D$38=0,0,'Z domestic'!AL19/'IO model'!$D$38)</f>
        <v>0.0006415960882804675</v>
      </c>
      <c r="AM19" s="33">
        <f>IF('IO model'!$D$39=0,0,'Z domestic'!AM19/'IO model'!$D$39)</f>
        <v>0.0034094575505589342</v>
      </c>
      <c r="AN19" s="33">
        <f>IF('IO model'!$D$40=0,0,'Z domestic'!AN19/'IO model'!$D$40)</f>
        <v>0.004761314278032476</v>
      </c>
      <c r="AO19" s="33">
        <f>IF('IO model'!$D$41=0,0,'Z domestic'!AO19/'IO model'!$D$41)</f>
        <v>0.015295940674796317</v>
      </c>
      <c r="AP19" s="33">
        <f>IF('IO model'!$D$42=0,0,'Z domestic'!AP19/'IO model'!$D$42)</f>
        <v>0.0072499542778513195</v>
      </c>
      <c r="AQ19" s="33">
        <f>IF('IO model'!$D$43=0,0,'Z domestic'!AQ19/'IO model'!$D$43)</f>
        <v>0.0005422761481064615</v>
      </c>
      <c r="AR19" s="33">
        <f>IF('IO model'!$D$44=0,0,'Z domestic'!AR19/'IO model'!$D$44)</f>
        <v>0.0006406004594875048</v>
      </c>
      <c r="AS19" s="33">
        <f>IF('IO model'!$D$45=0,0,'Z domestic'!AS19/'IO model'!$D$45)</f>
        <v>0.0012052024142594207</v>
      </c>
      <c r="AT19" s="33">
        <f>IF('IO model'!$D$46=0,0,'Z domestic'!AT19/'IO model'!$D$46)</f>
        <v>0.0002768580790772687</v>
      </c>
      <c r="AU19" s="33">
        <f>IF('IO model'!$D$47=0,0,'Z domestic'!AU19/'IO model'!$D$47)</f>
        <v>0.0011518122192452204</v>
      </c>
      <c r="AV19" s="33">
        <f>IF('IO model'!$D$48=0,0,'Z domestic'!AV19/'IO model'!$D$48)</f>
        <v>0.004744455064491137</v>
      </c>
      <c r="AW19" s="33">
        <f>IF('IO model'!$D$49=0,0,'Z domestic'!AW19/'IO model'!$D$49)</f>
        <v>0.005810541884237913</v>
      </c>
      <c r="AX19" s="33">
        <f>IF('IO model'!$D$50=0,0,'Z domestic'!AX19/'IO model'!$D$50)</f>
        <v>0.0027753083273728677</v>
      </c>
      <c r="AY19" s="33">
        <f>IF('IO model'!$D$51=0,0,'Z domestic'!AY19/'IO model'!$D$51)</f>
        <v>0.003913100652961802</v>
      </c>
      <c r="AZ19" s="33">
        <f>IF('IO model'!$D$52=0,0,'Z domestic'!AZ19/'IO model'!$D$52)</f>
        <v>0.0024185939964802687</v>
      </c>
      <c r="BA19" s="33">
        <f>IF('IO model'!$D$53=0,0,'Z domestic'!BA19/'IO model'!$D$53)</f>
        <v>0.0006166242057635469</v>
      </c>
      <c r="BB19" s="33">
        <f>IF('IO model'!$D$54=0,0,'Z domestic'!BB19/'IO model'!$D$54)</f>
        <v>0.000672555046995083</v>
      </c>
      <c r="BC19" s="33">
        <f>IF('IO model'!$D$55=0,0,'Z domestic'!BC19/'IO model'!$D$55)</f>
        <v>0.002780483768444095</v>
      </c>
      <c r="BD19" s="33">
        <f>IF('IO model'!$D$56=0,0,'Z domestic'!BD19/'IO model'!$D$56)</f>
        <v>0.001318875519228491</v>
      </c>
      <c r="BE19" s="33">
        <f>IF('IO model'!$D$57=0,0,'Z domestic'!BE19/'IO model'!$D$57)</f>
        <v>0.000903926057471693</v>
      </c>
      <c r="BF19" s="33">
        <f>IF('IO model'!$D$58=0,0,'Z domestic'!BF19/'IO model'!$D$58)</f>
        <v>0.0029421473106791473</v>
      </c>
      <c r="BG19" s="33">
        <f>IF('IO model'!$D$59=0,0,'Z domestic'!BG19/'IO model'!$D$59)</f>
        <v>0.0014745149592724027</v>
      </c>
      <c r="BH19" s="33">
        <f>IF('IO model'!$D$60=0,0,'Z domestic'!BH19/'IO model'!$D$60)</f>
        <v>0.004574131390734949</v>
      </c>
      <c r="BI19" s="33">
        <f>IF('IO model'!$D$61=0,0,'Z domestic'!BI19/'IO model'!$D$61)</f>
        <v>0.0017182623311365404</v>
      </c>
      <c r="BJ19" s="33">
        <f>IF('IO model'!$D$62=0,0,'Z domestic'!BJ19/'IO model'!$D$62)</f>
        <v>0.000997800238666916</v>
      </c>
      <c r="BK19" s="33">
        <f>IF('IO model'!$D$63=0,0,'Z domestic'!BK19/'IO model'!$D$63)</f>
        <v>0.023493204186845806</v>
      </c>
      <c r="BL19" s="33">
        <f>IF('IO model'!$D$64=0,0,'Z domestic'!BL19/'IO model'!$D$64)</f>
        <v>0.0008587050896972893</v>
      </c>
      <c r="BM19" s="33">
        <f>IF('IO model'!$D$65=0,0,'Z domestic'!BM19/'IO model'!$D$65)</f>
        <v>0</v>
      </c>
      <c r="BN19" s="33">
        <f>IF('IO model'!$D$66=0,0,'Z domestic'!BN19/'IO model'!$D$66)</f>
        <v>0</v>
      </c>
    </row>
    <row r="20" spans="1:66" x14ac:dyDescent="0.25">
      <c r="A20" s="30" t="s">
        <v>107</v>
      </c>
      <c r="B20" s="31" t="s">
        <v>297</v>
      </c>
      <c r="C20" s="33">
        <f>IF('IO model'!$D$3=0,0,'Z domestic'!C20/'IO model'!$D$3)</f>
        <v>0.0014080880395437767</v>
      </c>
      <c r="D20" s="33">
        <f>IF('IO model'!$D$4=0,0,'Z domestic'!D20/'IO model'!$D$4)</f>
        <v>0.0009591657979731017</v>
      </c>
      <c r="E20" s="33">
        <f>IF('IO model'!$D$5=0,0,'Z domestic'!E20/'IO model'!$D$5)</f>
        <v>0.002626595809663429</v>
      </c>
      <c r="F20" s="33">
        <f>IF('IO model'!$D$6=0,0,'Z domestic'!F20/'IO model'!$D$6)</f>
        <v>0.002343102995535985</v>
      </c>
      <c r="G20" s="33">
        <f>IF('IO model'!$D$7=0,0,'Z domestic'!G20/'IO model'!$D$7)</f>
        <v>0.001990255115255115</v>
      </c>
      <c r="H20" s="33">
        <f>IF('IO model'!$D$8=0,0,'Z domestic'!H20/'IO model'!$D$8)</f>
        <v>0.0015256675783782074</v>
      </c>
      <c r="I20" s="33">
        <f>IF('IO model'!$D$9=0,0,'Z domestic'!I20/'IO model'!$D$9)</f>
        <v>0.0021425148609741512</v>
      </c>
      <c r="J20" s="33">
        <f>IF('IO model'!$D$10=0,0,'Z domestic'!J20/'IO model'!$D$10)</f>
        <v>0.0022828992820882518</v>
      </c>
      <c r="K20" s="33">
        <f>IF('IO model'!$D$11=0,0,'Z domestic'!K20/'IO model'!$D$11)</f>
        <v>0.0023414808907010363</v>
      </c>
      <c r="L20" s="33">
        <f>IF('IO model'!$D$12=0,0,'Z domestic'!L20/'IO model'!$D$12)</f>
        <v>0.0008827641133427981</v>
      </c>
      <c r="M20" s="33">
        <f>IF('IO model'!$D$13=0,0,'Z domestic'!M20/'IO model'!$D$13)</f>
        <v>0.0020196146563889457</v>
      </c>
      <c r="N20" s="33">
        <f>IF('IO model'!$D$14=0,0,'Z domestic'!N20/'IO model'!$D$14)</f>
        <v>0.002059295436771396</v>
      </c>
      <c r="O20" s="33">
        <f>IF('IO model'!$D$15=0,0,'Z domestic'!O20/'IO model'!$D$15)</f>
        <v>0.0032711494484507376</v>
      </c>
      <c r="P20" s="33">
        <f>IF('IO model'!$D$16=0,0,'Z domestic'!P20/'IO model'!$D$16)</f>
        <v>0.0027961461942012326</v>
      </c>
      <c r="Q20" s="33">
        <f>IF('IO model'!$D$17=0,0,'Z domestic'!Q20/'IO model'!$D$17)</f>
        <v>0.0050681018110154885</v>
      </c>
      <c r="R20" s="33">
        <f>IF('IO model'!$D$18=0,0,'Z domestic'!R20/'IO model'!$D$18)</f>
        <v>0.0070290205080560785</v>
      </c>
      <c r="S20" s="33">
        <f>IF('IO model'!$D$19=0,0,'Z domestic'!S20/'IO model'!$D$19)</f>
        <v>0.021960766691492495</v>
      </c>
      <c r="T20" s="33">
        <f>IF('IO model'!$D$20=0,0,'Z domestic'!T20/'IO model'!$D$20)</f>
        <v>0.09723342890118088</v>
      </c>
      <c r="U20" s="33">
        <f>IF('IO model'!$D$21=0,0,'Z domestic'!U20/'IO model'!$D$21)</f>
        <v>0.020571829616358145</v>
      </c>
      <c r="V20" s="33">
        <f>IF('IO model'!$D$22=0,0,'Z domestic'!V20/'IO model'!$D$22)</f>
        <v>0.01796169024648152</v>
      </c>
      <c r="W20" s="33">
        <f>IF('IO model'!$D$23=0,0,'Z domestic'!W20/'IO model'!$D$23)</f>
        <v>0.015205547518435298</v>
      </c>
      <c r="X20" s="33">
        <f>IF('IO model'!$D$24=0,0,'Z domestic'!X20/'IO model'!$D$24)</f>
        <v>0.006866816056048876</v>
      </c>
      <c r="Y20" s="33">
        <f>IF('IO model'!$D$25=0,0,'Z domestic'!Y20/'IO model'!$D$25)</f>
        <v>0.019091446174107924</v>
      </c>
      <c r="Z20" s="33">
        <f>IF('IO model'!$D$26=0,0,'Z domestic'!Z20/'IO model'!$D$26)</f>
        <v>0.006438573975560258</v>
      </c>
      <c r="AA20" s="33">
        <f>IF('IO model'!$D$27=0,0,'Z domestic'!AA20/'IO model'!$D$27)</f>
        <v>0.004796706594081733</v>
      </c>
      <c r="AB20" s="33">
        <f>IF('IO model'!$D$28=0,0,'Z domestic'!AB20/'IO model'!$D$28)</f>
        <v>0.0029781603865106573</v>
      </c>
      <c r="AC20" s="33">
        <f>IF('IO model'!$D$29=0,0,'Z domestic'!AC20/'IO model'!$D$29)</f>
        <v>0.013593944125980403</v>
      </c>
      <c r="AD20" s="33">
        <f>IF('IO model'!$D$30=0,0,'Z domestic'!AD20/'IO model'!$D$30)</f>
        <v>0.003757768890567104</v>
      </c>
      <c r="AE20" s="33">
        <f>IF('IO model'!$D$31=0,0,'Z domestic'!AE20/'IO model'!$D$31)</f>
        <v>0.002164838180133328</v>
      </c>
      <c r="AF20" s="33">
        <f>IF('IO model'!$D$32=0,0,'Z domestic'!AF20/'IO model'!$D$32)</f>
        <v>0.0012721984579634315</v>
      </c>
      <c r="AG20" s="33">
        <f>IF('IO model'!$D$33=0,0,'Z domestic'!AG20/'IO model'!$D$33)</f>
        <v>0.00216640329135819</v>
      </c>
      <c r="AH20" s="33">
        <f>IF('IO model'!$D$34=0,0,'Z domestic'!AH20/'IO model'!$D$34)</f>
        <v>0.0009847676398917142</v>
      </c>
      <c r="AI20" s="33">
        <f>IF('IO model'!$D$35=0,0,'Z domestic'!AI20/'IO model'!$D$35)</f>
        <v>0.002544059169463698</v>
      </c>
      <c r="AJ20" s="33">
        <f>IF('IO model'!$D$36=0,0,'Z domestic'!AJ20/'IO model'!$D$36)</f>
        <v>0.0019428264271135432</v>
      </c>
      <c r="AK20" s="33">
        <f>IF('IO model'!$D$37=0,0,'Z domestic'!AK20/'IO model'!$D$37)</f>
        <v>0.001112407111929476</v>
      </c>
      <c r="AL20" s="33">
        <f>IF('IO model'!$D$38=0,0,'Z domestic'!AL20/'IO model'!$D$38)</f>
        <v>0.001949686023491092</v>
      </c>
      <c r="AM20" s="33">
        <f>IF('IO model'!$D$39=0,0,'Z domestic'!AM20/'IO model'!$D$39)</f>
        <v>0.0009412723761185236</v>
      </c>
      <c r="AN20" s="33">
        <f>IF('IO model'!$D$40=0,0,'Z domestic'!AN20/'IO model'!$D$40)</f>
        <v>0.002066886701927935</v>
      </c>
      <c r="AO20" s="33">
        <f>IF('IO model'!$D$41=0,0,'Z domestic'!AO20/'IO model'!$D$41)</f>
        <v>0.00526059320557289</v>
      </c>
      <c r="AP20" s="33">
        <f>IF('IO model'!$D$42=0,0,'Z domestic'!AP20/'IO model'!$D$42)</f>
        <v>0.0020271059766831553</v>
      </c>
      <c r="AQ20" s="33">
        <f>IF('IO model'!$D$43=0,0,'Z domestic'!AQ20/'IO model'!$D$43)</f>
        <v>0.0002878557586191648</v>
      </c>
      <c r="AR20" s="33">
        <f>IF('IO model'!$D$44=0,0,'Z domestic'!AR20/'IO model'!$D$44)</f>
        <v>0.0002766795758875993</v>
      </c>
      <c r="AS20" s="33">
        <f>IF('IO model'!$D$45=0,0,'Z domestic'!AS20/'IO model'!$D$45)</f>
        <v>0.0005602006957538459</v>
      </c>
      <c r="AT20" s="33">
        <f>IF('IO model'!$D$46=0,0,'Z domestic'!AT20/'IO model'!$D$46)</f>
        <v>0.0008937896910533202</v>
      </c>
      <c r="AU20" s="33">
        <f>IF('IO model'!$D$47=0,0,'Z domestic'!AU20/'IO model'!$D$47)</f>
        <v>0.0011207703464043723</v>
      </c>
      <c r="AV20" s="33">
        <f>IF('IO model'!$D$48=0,0,'Z domestic'!AV20/'IO model'!$D$48)</f>
        <v>0.0037424885965823863</v>
      </c>
      <c r="AW20" s="33">
        <f>IF('IO model'!$D$49=0,0,'Z domestic'!AW20/'IO model'!$D$49)</f>
        <v>0.0026065791997341705</v>
      </c>
      <c r="AX20" s="33">
        <f>IF('IO model'!$D$50=0,0,'Z domestic'!AX20/'IO model'!$D$50)</f>
        <v>0.0014502028488609477</v>
      </c>
      <c r="AY20" s="33">
        <f>IF('IO model'!$D$51=0,0,'Z domestic'!AY20/'IO model'!$D$51)</f>
        <v>0.0027553931105340325</v>
      </c>
      <c r="AZ20" s="33">
        <f>IF('IO model'!$D$52=0,0,'Z domestic'!AZ20/'IO model'!$D$52)</f>
        <v>0.0023841240786760943</v>
      </c>
      <c r="BA20" s="33">
        <f>IF('IO model'!$D$53=0,0,'Z domestic'!BA20/'IO model'!$D$53)</f>
        <v>0.00039204589126888464</v>
      </c>
      <c r="BB20" s="33">
        <f>IF('IO model'!$D$54=0,0,'Z domestic'!BB20/'IO model'!$D$54)</f>
        <v>0.0007571230600217483</v>
      </c>
      <c r="BC20" s="33">
        <f>IF('IO model'!$D$55=0,0,'Z domestic'!BC20/'IO model'!$D$55)</f>
        <v>0.0023788165438627506</v>
      </c>
      <c r="BD20" s="33">
        <f>IF('IO model'!$D$56=0,0,'Z domestic'!BD20/'IO model'!$D$56)</f>
        <v>0.0008934969211388035</v>
      </c>
      <c r="BE20" s="33">
        <f>IF('IO model'!$D$57=0,0,'Z domestic'!BE20/'IO model'!$D$57)</f>
        <v>0.0004687494704592517</v>
      </c>
      <c r="BF20" s="33">
        <f>IF('IO model'!$D$58=0,0,'Z domestic'!BF20/'IO model'!$D$58)</f>
        <v>0.0008865270845625171</v>
      </c>
      <c r="BG20" s="33">
        <f>IF('IO model'!$D$59=0,0,'Z domestic'!BG20/'IO model'!$D$59)</f>
        <v>0.0008714300415962606</v>
      </c>
      <c r="BH20" s="33">
        <f>IF('IO model'!$D$60=0,0,'Z domestic'!BH20/'IO model'!$D$60)</f>
        <v>0.0033547703463962944</v>
      </c>
      <c r="BI20" s="33">
        <f>IF('IO model'!$D$61=0,0,'Z domestic'!BI20/'IO model'!$D$61)</f>
        <v>0.0018581345031875051</v>
      </c>
      <c r="BJ20" s="33">
        <f>IF('IO model'!$D$62=0,0,'Z domestic'!BJ20/'IO model'!$D$62)</f>
        <v>0.0007482064037496587</v>
      </c>
      <c r="BK20" s="33">
        <f>IF('IO model'!$D$63=0,0,'Z domestic'!BK20/'IO model'!$D$63)</f>
        <v>0.011673176066239651</v>
      </c>
      <c r="BL20" s="33">
        <f>IF('IO model'!$D$64=0,0,'Z domestic'!BL20/'IO model'!$D$64)</f>
        <v>0.0024223015099737615</v>
      </c>
      <c r="BM20" s="33">
        <f>IF('IO model'!$D$65=0,0,'Z domestic'!BM20/'IO model'!$D$65)</f>
        <v>0</v>
      </c>
      <c r="BN20" s="33">
        <f>IF('IO model'!$D$66=0,0,'Z domestic'!BN20/'IO model'!$D$66)</f>
        <v>0</v>
      </c>
    </row>
    <row r="21" spans="1:66" x14ac:dyDescent="0.25">
      <c r="A21" s="30" t="s">
        <v>109</v>
      </c>
      <c r="B21" s="31" t="s">
        <v>298</v>
      </c>
      <c r="C21" s="33">
        <f>IF('IO model'!$D$3=0,0,'Z domestic'!C21/'IO model'!$D$3)</f>
        <v>0.0059306936483288775</v>
      </c>
      <c r="D21" s="33">
        <f>IF('IO model'!$D$4=0,0,'Z domestic'!D21/'IO model'!$D$4)</f>
        <v>0.006488380322849763</v>
      </c>
      <c r="E21" s="33">
        <f>IF('IO model'!$D$5=0,0,'Z domestic'!E21/'IO model'!$D$5)</f>
        <v>0.007594730519414412</v>
      </c>
      <c r="F21" s="33">
        <f>IF('IO model'!$D$6=0,0,'Z domestic'!F21/'IO model'!$D$6)</f>
        <v>0.00919796465880858</v>
      </c>
      <c r="G21" s="33">
        <f>IF('IO model'!$D$7=0,0,'Z domestic'!G21/'IO model'!$D$7)</f>
        <v>0.004329056885875067</v>
      </c>
      <c r="H21" s="33">
        <f>IF('IO model'!$D$8=0,0,'Z domestic'!H21/'IO model'!$D$8)</f>
        <v>0.004422415807216047</v>
      </c>
      <c r="I21" s="33">
        <f>IF('IO model'!$D$9=0,0,'Z domestic'!I21/'IO model'!$D$9)</f>
        <v>0.005060114316491367</v>
      </c>
      <c r="J21" s="33">
        <f>IF('IO model'!$D$10=0,0,'Z domestic'!J21/'IO model'!$D$10)</f>
        <v>0.007505502136967679</v>
      </c>
      <c r="K21" s="33">
        <f>IF('IO model'!$D$11=0,0,'Z domestic'!K21/'IO model'!$D$11)</f>
        <v>0.006401753764922143</v>
      </c>
      <c r="L21" s="33">
        <f>IF('IO model'!$D$12=0,0,'Z domestic'!L21/'IO model'!$D$12)</f>
        <v>0.002617985207547836</v>
      </c>
      <c r="M21" s="33">
        <f>IF('IO model'!$D$13=0,0,'Z domestic'!M21/'IO model'!$D$13)</f>
        <v>0.0048577279492701035</v>
      </c>
      <c r="N21" s="33">
        <f>IF('IO model'!$D$14=0,0,'Z domestic'!N21/'IO model'!$D$14)</f>
        <v>0.004205247058937511</v>
      </c>
      <c r="O21" s="33">
        <f>IF('IO model'!$D$15=0,0,'Z domestic'!O21/'IO model'!$D$15)</f>
        <v>0.007972848702821497</v>
      </c>
      <c r="P21" s="33">
        <f>IF('IO model'!$D$16=0,0,'Z domestic'!P21/'IO model'!$D$16)</f>
        <v>0.00735192314059288</v>
      </c>
      <c r="Q21" s="33">
        <f>IF('IO model'!$D$17=0,0,'Z domestic'!Q21/'IO model'!$D$17)</f>
        <v>0.012922855031349085</v>
      </c>
      <c r="R21" s="33">
        <f>IF('IO model'!$D$18=0,0,'Z domestic'!R21/'IO model'!$D$18)</f>
        <v>0.01765734620957821</v>
      </c>
      <c r="S21" s="33">
        <f>IF('IO model'!$D$19=0,0,'Z domestic'!S21/'IO model'!$D$19)</f>
        <v>0.0100242019843125</v>
      </c>
      <c r="T21" s="33">
        <f>IF('IO model'!$D$20=0,0,'Z domestic'!T21/'IO model'!$D$20)</f>
        <v>0.02017461743231246</v>
      </c>
      <c r="U21" s="33">
        <f>IF('IO model'!$D$21=0,0,'Z domestic'!U21/'IO model'!$D$21)</f>
        <v>0.12206085535015881</v>
      </c>
      <c r="V21" s="33">
        <f>IF('IO model'!$D$22=0,0,'Z domestic'!V21/'IO model'!$D$22)</f>
        <v>0.025412823337826823</v>
      </c>
      <c r="W21" s="33">
        <f>IF('IO model'!$D$23=0,0,'Z domestic'!W21/'IO model'!$D$23)</f>
        <v>0.027586621346102822</v>
      </c>
      <c r="X21" s="33">
        <f>IF('IO model'!$D$24=0,0,'Z domestic'!X21/'IO model'!$D$24)</f>
        <v>0.00793009034081209</v>
      </c>
      <c r="Y21" s="33">
        <f>IF('IO model'!$D$25=0,0,'Z domestic'!Y21/'IO model'!$D$25)</f>
        <v>0.04551446506605552</v>
      </c>
      <c r="Z21" s="33">
        <f>IF('IO model'!$D$26=0,0,'Z domestic'!Z21/'IO model'!$D$26)</f>
        <v>0.004685505301753629</v>
      </c>
      <c r="AA21" s="33">
        <f>IF('IO model'!$D$27=0,0,'Z domestic'!AA21/'IO model'!$D$27)</f>
        <v>0.01008520034268299</v>
      </c>
      <c r="AB21" s="33">
        <f>IF('IO model'!$D$28=0,0,'Z domestic'!AB21/'IO model'!$D$28)</f>
        <v>0.008335890530846683</v>
      </c>
      <c r="AC21" s="33">
        <f>IF('IO model'!$D$29=0,0,'Z domestic'!AC21/'IO model'!$D$29)</f>
        <v>0.011017805459372228</v>
      </c>
      <c r="AD21" s="33">
        <f>IF('IO model'!$D$30=0,0,'Z domestic'!AD21/'IO model'!$D$30)</f>
        <v>0.008624702370476234</v>
      </c>
      <c r="AE21" s="33">
        <f>IF('IO model'!$D$31=0,0,'Z domestic'!AE21/'IO model'!$D$31)</f>
        <v>0.0028278957618557707</v>
      </c>
      <c r="AF21" s="33">
        <f>IF('IO model'!$D$32=0,0,'Z domestic'!AF21/'IO model'!$D$32)</f>
        <v>0.0021853978559798187</v>
      </c>
      <c r="AG21" s="33">
        <f>IF('IO model'!$D$33=0,0,'Z domestic'!AG21/'IO model'!$D$33)</f>
        <v>0.003474948177530067</v>
      </c>
      <c r="AH21" s="33">
        <f>IF('IO model'!$D$34=0,0,'Z domestic'!AH21/'IO model'!$D$34)</f>
        <v>0.003156834652149604</v>
      </c>
      <c r="AI21" s="33">
        <f>IF('IO model'!$D$35=0,0,'Z domestic'!AI21/'IO model'!$D$35)</f>
        <v>0.007063386363564467</v>
      </c>
      <c r="AJ21" s="33">
        <f>IF('IO model'!$D$36=0,0,'Z domestic'!AJ21/'IO model'!$D$36)</f>
        <v>0.005333521782581502</v>
      </c>
      <c r="AK21" s="33">
        <f>IF('IO model'!$D$37=0,0,'Z domestic'!AK21/'IO model'!$D$37)</f>
        <v>0.001806709746195353</v>
      </c>
      <c r="AL21" s="33">
        <f>IF('IO model'!$D$38=0,0,'Z domestic'!AL21/'IO model'!$D$38)</f>
        <v>0.0022654707180389676</v>
      </c>
      <c r="AM21" s="33">
        <f>IF('IO model'!$D$39=0,0,'Z domestic'!AM21/'IO model'!$D$39)</f>
        <v>0.001877122155735164</v>
      </c>
      <c r="AN21" s="33">
        <f>IF('IO model'!$D$40=0,0,'Z domestic'!AN21/'IO model'!$D$40)</f>
        <v>0.002228552356494208</v>
      </c>
      <c r="AO21" s="33">
        <f>IF('IO model'!$D$41=0,0,'Z domestic'!AO21/'IO model'!$D$41)</f>
        <v>0.004193954572171333</v>
      </c>
      <c r="AP21" s="33">
        <f>IF('IO model'!$D$42=0,0,'Z domestic'!AP21/'IO model'!$D$42)</f>
        <v>0.002293002043707471</v>
      </c>
      <c r="AQ21" s="33">
        <f>IF('IO model'!$D$43=0,0,'Z domestic'!AQ21/'IO model'!$D$43)</f>
        <v>0.0008900519230909813</v>
      </c>
      <c r="AR21" s="33">
        <f>IF('IO model'!$D$44=0,0,'Z domestic'!AR21/'IO model'!$D$44)</f>
        <v>0.0011518345226816185</v>
      </c>
      <c r="AS21" s="33">
        <f>IF('IO model'!$D$45=0,0,'Z domestic'!AS21/'IO model'!$D$45)</f>
        <v>0.0010237153769309098</v>
      </c>
      <c r="AT21" s="33">
        <f>IF('IO model'!$D$46=0,0,'Z domestic'!AT21/'IO model'!$D$46)</f>
        <v>0.0008164894737021815</v>
      </c>
      <c r="AU21" s="33">
        <f>IF('IO model'!$D$47=0,0,'Z domestic'!AU21/'IO model'!$D$47)</f>
        <v>0.002065960099552697</v>
      </c>
      <c r="AV21" s="33">
        <f>IF('IO model'!$D$48=0,0,'Z domestic'!AV21/'IO model'!$D$48)</f>
        <v>0.005325832002358512</v>
      </c>
      <c r="AW21" s="33">
        <f>IF('IO model'!$D$49=0,0,'Z domestic'!AW21/'IO model'!$D$49)</f>
        <v>0.005196055395814406</v>
      </c>
      <c r="AX21" s="33">
        <f>IF('IO model'!$D$50=0,0,'Z domestic'!AX21/'IO model'!$D$50)</f>
        <v>0.0019905539902296634</v>
      </c>
      <c r="AY21" s="33">
        <f>IF('IO model'!$D$51=0,0,'Z domestic'!AY21/'IO model'!$D$51)</f>
        <v>0.0036992565846152713</v>
      </c>
      <c r="AZ21" s="33">
        <f>IF('IO model'!$D$52=0,0,'Z domestic'!AZ21/'IO model'!$D$52)</f>
        <v>0.006302295207975742</v>
      </c>
      <c r="BA21" s="33">
        <f>IF('IO model'!$D$53=0,0,'Z domestic'!BA21/'IO model'!$D$53)</f>
        <v>0.0009077601469248874</v>
      </c>
      <c r="BB21" s="33">
        <f>IF('IO model'!$D$54=0,0,'Z domestic'!BB21/'IO model'!$D$54)</f>
        <v>0.0014982898911705409</v>
      </c>
      <c r="BC21" s="33">
        <f>IF('IO model'!$D$55=0,0,'Z domestic'!BC21/'IO model'!$D$55)</f>
        <v>0.00437242121179068</v>
      </c>
      <c r="BD21" s="33">
        <f>IF('IO model'!$D$56=0,0,'Z domestic'!BD21/'IO model'!$D$56)</f>
        <v>0.0015231769732283653</v>
      </c>
      <c r="BE21" s="33">
        <f>IF('IO model'!$D$57=0,0,'Z domestic'!BE21/'IO model'!$D$57)</f>
        <v>0.0006408502136802829</v>
      </c>
      <c r="BF21" s="33">
        <f>IF('IO model'!$D$58=0,0,'Z domestic'!BF21/'IO model'!$D$58)</f>
        <v>0.001789080065698203</v>
      </c>
      <c r="BG21" s="33">
        <f>IF('IO model'!$D$59=0,0,'Z domestic'!BG21/'IO model'!$D$59)</f>
        <v>0.001618185647611765</v>
      </c>
      <c r="BH21" s="33">
        <f>IF('IO model'!$D$60=0,0,'Z domestic'!BH21/'IO model'!$D$60)</f>
        <v>0.00282539133895793</v>
      </c>
      <c r="BI21" s="33">
        <f>IF('IO model'!$D$61=0,0,'Z domestic'!BI21/'IO model'!$D$61)</f>
        <v>0.002302331066311699</v>
      </c>
      <c r="BJ21" s="33">
        <f>IF('IO model'!$D$62=0,0,'Z domestic'!BJ21/'IO model'!$D$62)</f>
        <v>0.002389544663781577</v>
      </c>
      <c r="BK21" s="33">
        <f>IF('IO model'!$D$63=0,0,'Z domestic'!BK21/'IO model'!$D$63)</f>
        <v>0.0069551632557412904</v>
      </c>
      <c r="BL21" s="33">
        <f>IF('IO model'!$D$64=0,0,'Z domestic'!BL21/'IO model'!$D$64)</f>
        <v>0.002135359290377571</v>
      </c>
      <c r="BM21" s="33">
        <f>IF('IO model'!$D$65=0,0,'Z domestic'!BM21/'IO model'!$D$65)</f>
        <v>0</v>
      </c>
      <c r="BN21" s="33">
        <f>IF('IO model'!$D$66=0,0,'Z domestic'!BN21/'IO model'!$D$66)</f>
        <v>0</v>
      </c>
    </row>
    <row r="22" spans="1:66" x14ac:dyDescent="0.25">
      <c r="A22" s="30" t="s">
        <v>111</v>
      </c>
      <c r="B22" s="31" t="s">
        <v>299</v>
      </c>
      <c r="C22" s="33">
        <f>IF('IO model'!$D$3=0,0,'Z domestic'!C22/'IO model'!$D$3)</f>
        <v>0.002620307646113574</v>
      </c>
      <c r="D22" s="33">
        <f>IF('IO model'!$D$4=0,0,'Z domestic'!D22/'IO model'!$D$4)</f>
        <v>0.002219371946562135</v>
      </c>
      <c r="E22" s="33">
        <f>IF('IO model'!$D$5=0,0,'Z domestic'!E22/'IO model'!$D$5)</f>
        <v>0.002253306999504544</v>
      </c>
      <c r="F22" s="33">
        <f>IF('IO model'!$D$6=0,0,'Z domestic'!F22/'IO model'!$D$6)</f>
        <v>0.0023421848517289567</v>
      </c>
      <c r="G22" s="33">
        <f>IF('IO model'!$D$7=0,0,'Z domestic'!G22/'IO model'!$D$7)</f>
        <v>0.001460261119352028</v>
      </c>
      <c r="H22" s="33">
        <f>IF('IO model'!$D$8=0,0,'Z domestic'!H22/'IO model'!$D$8)</f>
        <v>0.001763696313980104</v>
      </c>
      <c r="I22" s="33">
        <f>IF('IO model'!$D$9=0,0,'Z domestic'!I22/'IO model'!$D$9)</f>
        <v>0.0023671196668380904</v>
      </c>
      <c r="J22" s="33">
        <f>IF('IO model'!$D$10=0,0,'Z domestic'!J22/'IO model'!$D$10)</f>
        <v>0.0018897133688142147</v>
      </c>
      <c r="K22" s="33">
        <f>IF('IO model'!$D$11=0,0,'Z domestic'!K22/'IO model'!$D$11)</f>
        <v>0.0024381540543729676</v>
      </c>
      <c r="L22" s="33">
        <f>IF('IO model'!$D$12=0,0,'Z domestic'!L22/'IO model'!$D$12)</f>
        <v>0.0009479703680736956</v>
      </c>
      <c r="M22" s="33">
        <f>IF('IO model'!$D$13=0,0,'Z domestic'!M22/'IO model'!$D$13)</f>
        <v>0.0029132815350079934</v>
      </c>
      <c r="N22" s="33">
        <f>IF('IO model'!$D$14=0,0,'Z domestic'!N22/'IO model'!$D$14)</f>
        <v>0.0019661804052603002</v>
      </c>
      <c r="O22" s="33">
        <f>IF('IO model'!$D$15=0,0,'Z domestic'!O22/'IO model'!$D$15)</f>
        <v>0.004958716137605214</v>
      </c>
      <c r="P22" s="33">
        <f>IF('IO model'!$D$16=0,0,'Z domestic'!P22/'IO model'!$D$16)</f>
        <v>0.0063782382172084895</v>
      </c>
      <c r="Q22" s="33">
        <f>IF('IO model'!$D$17=0,0,'Z domestic'!Q22/'IO model'!$D$17)</f>
        <v>0.002517859839003187</v>
      </c>
      <c r="R22" s="33">
        <f>IF('IO model'!$D$18=0,0,'Z domestic'!R22/'IO model'!$D$18)</f>
        <v>0.007132214349447624</v>
      </c>
      <c r="S22" s="33">
        <f>IF('IO model'!$D$19=0,0,'Z domestic'!S22/'IO model'!$D$19)</f>
        <v>0.0048087369188900345</v>
      </c>
      <c r="T22" s="33">
        <f>IF('IO model'!$D$20=0,0,'Z domestic'!T22/'IO model'!$D$20)</f>
        <v>0.011827851223518466</v>
      </c>
      <c r="U22" s="33">
        <f>IF('IO model'!$D$21=0,0,'Z domestic'!U22/'IO model'!$D$21)</f>
        <v>0.024241307562665345</v>
      </c>
      <c r="V22" s="33">
        <f>IF('IO model'!$D$22=0,0,'Z domestic'!V22/'IO model'!$D$22)</f>
        <v>0.22969939248287852</v>
      </c>
      <c r="W22" s="33">
        <f>IF('IO model'!$D$23=0,0,'Z domestic'!W22/'IO model'!$D$23)</f>
        <v>0.010858540331930623</v>
      </c>
      <c r="X22" s="33">
        <f>IF('IO model'!$D$24=0,0,'Z domestic'!X22/'IO model'!$D$24)</f>
        <v>0.0034737674483060117</v>
      </c>
      <c r="Y22" s="33">
        <f>IF('IO model'!$D$25=0,0,'Z domestic'!Y22/'IO model'!$D$25)</f>
        <v>0.015300973204340472</v>
      </c>
      <c r="Z22" s="33">
        <f>IF('IO model'!$D$26=0,0,'Z domestic'!Z22/'IO model'!$D$26)</f>
        <v>0.0015459113711411478</v>
      </c>
      <c r="AA22" s="33">
        <f>IF('IO model'!$D$27=0,0,'Z domestic'!AA22/'IO model'!$D$27)</f>
        <v>0.0025387620933312234</v>
      </c>
      <c r="AB22" s="33">
        <f>IF('IO model'!$D$28=0,0,'Z domestic'!AB22/'IO model'!$D$28)</f>
        <v>0.009076560429444054</v>
      </c>
      <c r="AC22" s="33">
        <f>IF('IO model'!$D$29=0,0,'Z domestic'!AC22/'IO model'!$D$29)</f>
        <v>0.0038081547914608316</v>
      </c>
      <c r="AD22" s="33">
        <f>IF('IO model'!$D$30=0,0,'Z domestic'!AD22/'IO model'!$D$30)</f>
        <v>0.058089110765567255</v>
      </c>
      <c r="AE22" s="33">
        <f>IF('IO model'!$D$31=0,0,'Z domestic'!AE22/'IO model'!$D$31)</f>
        <v>0.0023835121421355784</v>
      </c>
      <c r="AF22" s="33">
        <f>IF('IO model'!$D$32=0,0,'Z domestic'!AF22/'IO model'!$D$32)</f>
        <v>0.0024302915984138734</v>
      </c>
      <c r="AG22" s="33">
        <f>IF('IO model'!$D$33=0,0,'Z domestic'!AG22/'IO model'!$D$33)</f>
        <v>0.015386410559325235</v>
      </c>
      <c r="AH22" s="33">
        <f>IF('IO model'!$D$34=0,0,'Z domestic'!AH22/'IO model'!$D$34)</f>
        <v>0.0010358296656638771</v>
      </c>
      <c r="AI22" s="33">
        <f>IF('IO model'!$D$35=0,0,'Z domestic'!AI22/'IO model'!$D$35)</f>
        <v>0.0042580249217833085</v>
      </c>
      <c r="AJ22" s="33">
        <f>IF('IO model'!$D$36=0,0,'Z domestic'!AJ22/'IO model'!$D$36)</f>
        <v>0.005668918783567522</v>
      </c>
      <c r="AK22" s="33">
        <f>IF('IO model'!$D$37=0,0,'Z domestic'!AK22/'IO model'!$D$37)</f>
        <v>0.010082963280874142</v>
      </c>
      <c r="AL22" s="33">
        <f>IF('IO model'!$D$38=0,0,'Z domestic'!AL22/'IO model'!$D$38)</f>
        <v>0.0010571971365099047</v>
      </c>
      <c r="AM22" s="33">
        <f>IF('IO model'!$D$39=0,0,'Z domestic'!AM22/'IO model'!$D$39)</f>
        <v>0.00132672861079404</v>
      </c>
      <c r="AN22" s="33">
        <f>IF('IO model'!$D$40=0,0,'Z domestic'!AN22/'IO model'!$D$40)</f>
        <v>0.0020744195102052167</v>
      </c>
      <c r="AO22" s="33">
        <f>IF('IO model'!$D$41=0,0,'Z domestic'!AO22/'IO model'!$D$41)</f>
        <v>0.0021745140448981397</v>
      </c>
      <c r="AP22" s="33">
        <f>IF('IO model'!$D$42=0,0,'Z domestic'!AP22/'IO model'!$D$42)</f>
        <v>0.0021393248217561945</v>
      </c>
      <c r="AQ22" s="33">
        <f>IF('IO model'!$D$43=0,0,'Z domestic'!AQ22/'IO model'!$D$43)</f>
        <v>0.0010352980427606013</v>
      </c>
      <c r="AR22" s="33">
        <f>IF('IO model'!$D$44=0,0,'Z domestic'!AR22/'IO model'!$D$44)</f>
        <v>0.0017542980676548863</v>
      </c>
      <c r="AS22" s="33">
        <f>IF('IO model'!$D$45=0,0,'Z domestic'!AS22/'IO model'!$D$45)</f>
        <v>0.0013513556921080445</v>
      </c>
      <c r="AT22" s="33">
        <f>IF('IO model'!$D$46=0,0,'Z domestic'!AT22/'IO model'!$D$46)</f>
        <v>0.0005010761328417987</v>
      </c>
      <c r="AU22" s="33">
        <f>IF('IO model'!$D$47=0,0,'Z domestic'!AU22/'IO model'!$D$47)</f>
        <v>0.0020314789283005052</v>
      </c>
      <c r="AV22" s="33">
        <f>IF('IO model'!$D$48=0,0,'Z domestic'!AV22/'IO model'!$D$48)</f>
        <v>0.0024746988413940378</v>
      </c>
      <c r="AW22" s="33">
        <f>IF('IO model'!$D$49=0,0,'Z domestic'!AW22/'IO model'!$D$49)</f>
        <v>0.005546259756347352</v>
      </c>
      <c r="AX22" s="33">
        <f>IF('IO model'!$D$50=0,0,'Z domestic'!AX22/'IO model'!$D$50)</f>
        <v>0.002017774251370424</v>
      </c>
      <c r="AY22" s="33">
        <f>IF('IO model'!$D$51=0,0,'Z domestic'!AY22/'IO model'!$D$51)</f>
        <v>0.0029864430234601692</v>
      </c>
      <c r="AZ22" s="33">
        <f>IF('IO model'!$D$52=0,0,'Z domestic'!AZ22/'IO model'!$D$52)</f>
        <v>0.011029016613957547</v>
      </c>
      <c r="BA22" s="33">
        <f>IF('IO model'!$D$53=0,0,'Z domestic'!BA22/'IO model'!$D$53)</f>
        <v>0.0006574175898495754</v>
      </c>
      <c r="BB22" s="33">
        <f>IF('IO model'!$D$54=0,0,'Z domestic'!BB22/'IO model'!$D$54)</f>
        <v>0.00215409089784902</v>
      </c>
      <c r="BC22" s="33">
        <f>IF('IO model'!$D$55=0,0,'Z domestic'!BC22/'IO model'!$D$55)</f>
        <v>0.002760267197249794</v>
      </c>
      <c r="BD22" s="33">
        <f>IF('IO model'!$D$56=0,0,'Z domestic'!BD22/'IO model'!$D$56)</f>
        <v>0.0013355816006458572</v>
      </c>
      <c r="BE22" s="33">
        <f>IF('IO model'!$D$57=0,0,'Z domestic'!BE22/'IO model'!$D$57)</f>
        <v>0.0006120431969688241</v>
      </c>
      <c r="BF22" s="33">
        <f>IF('IO model'!$D$58=0,0,'Z domestic'!BF22/'IO model'!$D$58)</f>
        <v>0.0009786959225654192</v>
      </c>
      <c r="BG22" s="33">
        <f>IF('IO model'!$D$59=0,0,'Z domestic'!BG22/'IO model'!$D$59)</f>
        <v>0.0009909404473008904</v>
      </c>
      <c r="BH22" s="33">
        <f>IF('IO model'!$D$60=0,0,'Z domestic'!BH22/'IO model'!$D$60)</f>
        <v>0.0017024793965515733</v>
      </c>
      <c r="BI22" s="33">
        <f>IF('IO model'!$D$61=0,0,'Z domestic'!BI22/'IO model'!$D$61)</f>
        <v>0.002407674124760125</v>
      </c>
      <c r="BJ22" s="33">
        <f>IF('IO model'!$D$62=0,0,'Z domestic'!BJ22/'IO model'!$D$62)</f>
        <v>0.0019288887610886664</v>
      </c>
      <c r="BK22" s="33">
        <f>IF('IO model'!$D$63=0,0,'Z domestic'!BK22/'IO model'!$D$63)</f>
        <v>0.0023183877519137638</v>
      </c>
      <c r="BL22" s="33">
        <f>IF('IO model'!$D$64=0,0,'Z domestic'!BL22/'IO model'!$D$64)</f>
        <v>0.001198686536575586</v>
      </c>
      <c r="BM22" s="33">
        <f>IF('IO model'!$D$65=0,0,'Z domestic'!BM22/'IO model'!$D$65)</f>
        <v>0</v>
      </c>
      <c r="BN22" s="33">
        <f>IF('IO model'!$D$66=0,0,'Z domestic'!BN22/'IO model'!$D$66)</f>
        <v>0</v>
      </c>
    </row>
    <row r="23" spans="1:66" x14ac:dyDescent="0.25">
      <c r="A23" s="30" t="s">
        <v>113</v>
      </c>
      <c r="B23" s="31" t="s">
        <v>300</v>
      </c>
      <c r="C23" s="33">
        <f>IF('IO model'!$D$3=0,0,'Z domestic'!C23/'IO model'!$D$3)</f>
        <v>0.0005064298788391391</v>
      </c>
      <c r="D23" s="33">
        <f>IF('IO model'!$D$4=0,0,'Z domestic'!D23/'IO model'!$D$4)</f>
        <v>0.00035708509674123816</v>
      </c>
      <c r="E23" s="33">
        <f>IF('IO model'!$D$5=0,0,'Z domestic'!E23/'IO model'!$D$5)</f>
        <v>0.007703323627824268</v>
      </c>
      <c r="F23" s="33">
        <f>IF('IO model'!$D$6=0,0,'Z domestic'!F23/'IO model'!$D$6)</f>
        <v>0.0012991734869449132</v>
      </c>
      <c r="G23" s="33">
        <f>IF('IO model'!$D$7=0,0,'Z domestic'!G23/'IO model'!$D$7)</f>
        <v>0.00035583103764921944</v>
      </c>
      <c r="H23" s="33">
        <f>IF('IO model'!$D$8=0,0,'Z domestic'!H23/'IO model'!$D$8)</f>
        <v>0.0005568642744339571</v>
      </c>
      <c r="I23" s="33">
        <f>IF('IO model'!$D$9=0,0,'Z domestic'!I23/'IO model'!$D$9)</f>
        <v>0.0005493482783221285</v>
      </c>
      <c r="J23" s="33">
        <f>IF('IO model'!$D$10=0,0,'Z domestic'!J23/'IO model'!$D$10)</f>
        <v>0.0006823591334128671</v>
      </c>
      <c r="K23" s="33">
        <f>IF('IO model'!$D$11=0,0,'Z domestic'!K23/'IO model'!$D$11)</f>
        <v>0.000720783735024545</v>
      </c>
      <c r="L23" s="33">
        <f>IF('IO model'!$D$12=0,0,'Z domestic'!L23/'IO model'!$D$12)</f>
        <v>0.00021104784981915834</v>
      </c>
      <c r="M23" s="33">
        <f>IF('IO model'!$D$13=0,0,'Z domestic'!M23/'IO model'!$D$13)</f>
        <v>0.000547766896504992</v>
      </c>
      <c r="N23" s="33">
        <f>IF('IO model'!$D$14=0,0,'Z domestic'!N23/'IO model'!$D$14)</f>
        <v>0.00036896158439801143</v>
      </c>
      <c r="O23" s="33">
        <f>IF('IO model'!$D$15=0,0,'Z domestic'!O23/'IO model'!$D$15)</f>
        <v>0.0008341136799408274</v>
      </c>
      <c r="P23" s="33">
        <f>IF('IO model'!$D$16=0,0,'Z domestic'!P23/'IO model'!$D$16)</f>
        <v>0.0007821835223014482</v>
      </c>
      <c r="Q23" s="33">
        <f>IF('IO model'!$D$17=0,0,'Z domestic'!Q23/'IO model'!$D$17)</f>
        <v>0.0009325259653054252</v>
      </c>
      <c r="R23" s="33">
        <f>IF('IO model'!$D$18=0,0,'Z domestic'!R23/'IO model'!$D$18)</f>
        <v>0.0014090359087369666</v>
      </c>
      <c r="S23" s="33">
        <f>IF('IO model'!$D$19=0,0,'Z domestic'!S23/'IO model'!$D$19)</f>
        <v>0.0009495429861607749</v>
      </c>
      <c r="T23" s="33">
        <f>IF('IO model'!$D$20=0,0,'Z domestic'!T23/'IO model'!$D$20)</f>
        <v>0.001962311473669705</v>
      </c>
      <c r="U23" s="33">
        <f>IF('IO model'!$D$21=0,0,'Z domestic'!U23/'IO model'!$D$21)</f>
        <v>0.0013362078020159919</v>
      </c>
      <c r="V23" s="33">
        <f>IF('IO model'!$D$22=0,0,'Z domestic'!V23/'IO model'!$D$22)</f>
        <v>0.00134072360312467</v>
      </c>
      <c r="W23" s="33">
        <f>IF('IO model'!$D$23=0,0,'Z domestic'!W23/'IO model'!$D$23)</f>
        <v>0.18829543672343463</v>
      </c>
      <c r="X23" s="33">
        <f>IF('IO model'!$D$24=0,0,'Z domestic'!X23/'IO model'!$D$24)</f>
        <v>0.0012636427341257113</v>
      </c>
      <c r="Y23" s="33">
        <f>IF('IO model'!$D$25=0,0,'Z domestic'!Y23/'IO model'!$D$25)</f>
        <v>0.019020080829362622</v>
      </c>
      <c r="Z23" s="33">
        <f>IF('IO model'!$D$26=0,0,'Z domestic'!Z23/'IO model'!$D$26)</f>
        <v>0.0010623062197462159</v>
      </c>
      <c r="AA23" s="33">
        <f>IF('IO model'!$D$27=0,0,'Z domestic'!AA23/'IO model'!$D$27)</f>
        <v>0.0013185597621175641</v>
      </c>
      <c r="AB23" s="33">
        <f>IF('IO model'!$D$28=0,0,'Z domestic'!AB23/'IO model'!$D$28)</f>
        <v>0.0007564947083212355</v>
      </c>
      <c r="AC23" s="33">
        <f>IF('IO model'!$D$29=0,0,'Z domestic'!AC23/'IO model'!$D$29)</f>
        <v>0.0008586716581165768</v>
      </c>
      <c r="AD23" s="33">
        <f>IF('IO model'!$D$30=0,0,'Z domestic'!AD23/'IO model'!$D$30)</f>
        <v>0.00114214906669929</v>
      </c>
      <c r="AE23" s="33">
        <f>IF('IO model'!$D$31=0,0,'Z domestic'!AE23/'IO model'!$D$31)</f>
        <v>0.0005454366364109054</v>
      </c>
      <c r="AF23" s="33">
        <f>IF('IO model'!$D$32=0,0,'Z domestic'!AF23/'IO model'!$D$32)</f>
        <v>0.0004094052400837438</v>
      </c>
      <c r="AG23" s="33">
        <f>IF('IO model'!$D$33=0,0,'Z domestic'!AG23/'IO model'!$D$33)</f>
        <v>0.0031603741941065235</v>
      </c>
      <c r="AH23" s="33">
        <f>IF('IO model'!$D$34=0,0,'Z domestic'!AH23/'IO model'!$D$34)</f>
        <v>0.0012842743120679307</v>
      </c>
      <c r="AI23" s="33">
        <f>IF('IO model'!$D$35=0,0,'Z domestic'!AI23/'IO model'!$D$35)</f>
        <v>0.01758760427574033</v>
      </c>
      <c r="AJ23" s="33">
        <f>IF('IO model'!$D$36=0,0,'Z domestic'!AJ23/'IO model'!$D$36)</f>
        <v>0.0024735354933771957</v>
      </c>
      <c r="AK23" s="33">
        <f>IF('IO model'!$D$37=0,0,'Z domestic'!AK23/'IO model'!$D$37)</f>
        <v>0.00020351443118062597</v>
      </c>
      <c r="AL23" s="33">
        <f>IF('IO model'!$D$38=0,0,'Z domestic'!AL23/'IO model'!$D$38)</f>
        <v>0.0004287822145733906</v>
      </c>
      <c r="AM23" s="33">
        <f>IF('IO model'!$D$39=0,0,'Z domestic'!AM23/'IO model'!$D$39)</f>
        <v>0.00019792477231872938</v>
      </c>
      <c r="AN23" s="33">
        <f>IF('IO model'!$D$40=0,0,'Z domestic'!AN23/'IO model'!$D$40)</f>
        <v>0.0004455945819407295</v>
      </c>
      <c r="AO23" s="33">
        <f>IF('IO model'!$D$41=0,0,'Z domestic'!AO23/'IO model'!$D$41)</f>
        <v>0.0006127436745105603</v>
      </c>
      <c r="AP23" s="33">
        <f>IF('IO model'!$D$42=0,0,'Z domestic'!AP23/'IO model'!$D$42)</f>
        <v>0.00038428377342715806</v>
      </c>
      <c r="AQ23" s="33">
        <f>IF('IO model'!$D$43=0,0,'Z domestic'!AQ23/'IO model'!$D$43)</f>
        <v>0.00010497986867210171</v>
      </c>
      <c r="AR23" s="33">
        <f>IF('IO model'!$D$44=0,0,'Z domestic'!AR23/'IO model'!$D$44)</f>
        <v>0.00008125904661203368</v>
      </c>
      <c r="AS23" s="33">
        <f>IF('IO model'!$D$45=0,0,'Z domestic'!AS23/'IO model'!$D$45)</f>
        <v>0.00019401446114410717</v>
      </c>
      <c r="AT23" s="33">
        <f>IF('IO model'!$D$46=0,0,'Z domestic'!AT23/'IO model'!$D$46)</f>
        <v>0.00012534016837979125</v>
      </c>
      <c r="AU23" s="33">
        <f>IF('IO model'!$D$47=0,0,'Z domestic'!AU23/'IO model'!$D$47)</f>
        <v>0.0002565363866307592</v>
      </c>
      <c r="AV23" s="33">
        <f>IF('IO model'!$D$48=0,0,'Z domestic'!AV23/'IO model'!$D$48)</f>
        <v>0.0006342293867644086</v>
      </c>
      <c r="AW23" s="33">
        <f>IF('IO model'!$D$49=0,0,'Z domestic'!AW23/'IO model'!$D$49)</f>
        <v>0.0008783614019413538</v>
      </c>
      <c r="AX23" s="33">
        <f>IF('IO model'!$D$50=0,0,'Z domestic'!AX23/'IO model'!$D$50)</f>
        <v>0.0003764504200317955</v>
      </c>
      <c r="AY23" s="33">
        <f>IF('IO model'!$D$51=0,0,'Z domestic'!AY23/'IO model'!$D$51)</f>
        <v>0.0013113311547456792</v>
      </c>
      <c r="AZ23" s="33">
        <f>IF('IO model'!$D$52=0,0,'Z domestic'!AZ23/'IO model'!$D$52)</f>
        <v>0.002682682421861853</v>
      </c>
      <c r="BA23" s="33">
        <f>IF('IO model'!$D$53=0,0,'Z domestic'!BA23/'IO model'!$D$53)</f>
        <v>0.00014599737462368104</v>
      </c>
      <c r="BB23" s="33">
        <f>IF('IO model'!$D$54=0,0,'Z domestic'!BB23/'IO model'!$D$54)</f>
        <v>0.0002880099311568505</v>
      </c>
      <c r="BC23" s="33">
        <f>IF('IO model'!$D$55=0,0,'Z domestic'!BC23/'IO model'!$D$55)</f>
        <v>0.0006439526437006418</v>
      </c>
      <c r="BD23" s="33">
        <f>IF('IO model'!$D$56=0,0,'Z domestic'!BD23/'IO model'!$D$56)</f>
        <v>0.004694687312970198</v>
      </c>
      <c r="BE23" s="33">
        <f>IF('IO model'!$D$57=0,0,'Z domestic'!BE23/'IO model'!$D$57)</f>
        <v>0.00016320445864837478</v>
      </c>
      <c r="BF23" s="33">
        <f>IF('IO model'!$D$58=0,0,'Z domestic'!BF23/'IO model'!$D$58)</f>
        <v>0.00042943024349795093</v>
      </c>
      <c r="BG23" s="33">
        <f>IF('IO model'!$D$59=0,0,'Z domestic'!BG23/'IO model'!$D$59)</f>
        <v>0.00020711448396033873</v>
      </c>
      <c r="BH23" s="33">
        <f>IF('IO model'!$D$60=0,0,'Z domestic'!BH23/'IO model'!$D$60)</f>
        <v>0.00045387812674022975</v>
      </c>
      <c r="BI23" s="33">
        <f>IF('IO model'!$D$61=0,0,'Z domestic'!BI23/'IO model'!$D$61)</f>
        <v>0.0009047798242292545</v>
      </c>
      <c r="BJ23" s="33">
        <f>IF('IO model'!$D$62=0,0,'Z domestic'!BJ23/'IO model'!$D$62)</f>
        <v>0.00030250312711169907</v>
      </c>
      <c r="BK23" s="33">
        <f>IF('IO model'!$D$63=0,0,'Z domestic'!BK23/'IO model'!$D$63)</f>
        <v>0.0007592563661927824</v>
      </c>
      <c r="BL23" s="33">
        <f>IF('IO model'!$D$64=0,0,'Z domestic'!BL23/'IO model'!$D$64)</f>
        <v>0.0004598501005358554</v>
      </c>
      <c r="BM23" s="33">
        <f>IF('IO model'!$D$65=0,0,'Z domestic'!BM23/'IO model'!$D$65)</f>
        <v>0</v>
      </c>
      <c r="BN23" s="33">
        <f>IF('IO model'!$D$66=0,0,'Z domestic'!BN23/'IO model'!$D$66)</f>
        <v>0</v>
      </c>
    </row>
    <row r="24" spans="1:66" x14ac:dyDescent="0.25">
      <c r="A24" s="30" t="s">
        <v>301</v>
      </c>
      <c r="B24" s="31" t="s">
        <v>302</v>
      </c>
      <c r="C24" s="33">
        <f>IF('IO model'!$D$3=0,0,'Z domestic'!C24/'IO model'!$D$3)</f>
        <v>0.0007953445460155526</v>
      </c>
      <c r="D24" s="33">
        <f>IF('IO model'!$D$4=0,0,'Z domestic'!D24/'IO model'!$D$4)</f>
        <v>0.00040512345056292943</v>
      </c>
      <c r="E24" s="33">
        <f>IF('IO model'!$D$5=0,0,'Z domestic'!E24/'IO model'!$D$5)</f>
        <v>0.0015474517948404697</v>
      </c>
      <c r="F24" s="33">
        <f>IF('IO model'!$D$6=0,0,'Z domestic'!F24/'IO model'!$D$6)</f>
        <v>0.0006142382069018707</v>
      </c>
      <c r="G24" s="33">
        <f>IF('IO model'!$D$7=0,0,'Z domestic'!G24/'IO model'!$D$7)</f>
        <v>0.001256592733865461</v>
      </c>
      <c r="H24" s="33">
        <f>IF('IO model'!$D$8=0,0,'Z domestic'!H24/'IO model'!$D$8)</f>
        <v>0.00324852132333437</v>
      </c>
      <c r="I24" s="33">
        <f>IF('IO model'!$D$9=0,0,'Z domestic'!I24/'IO model'!$D$9)</f>
        <v>0.008332442268927199</v>
      </c>
      <c r="J24" s="33">
        <f>IF('IO model'!$D$10=0,0,'Z domestic'!J24/'IO model'!$D$10)</f>
        <v>0.0019219931701320377</v>
      </c>
      <c r="K24" s="33">
        <f>IF('IO model'!$D$11=0,0,'Z domestic'!K24/'IO model'!$D$11)</f>
        <v>0.0017941401846173091</v>
      </c>
      <c r="L24" s="33">
        <f>IF('IO model'!$D$12=0,0,'Z domestic'!L24/'IO model'!$D$12)</f>
        <v>0.00034990962045735127</v>
      </c>
      <c r="M24" s="33">
        <f>IF('IO model'!$D$13=0,0,'Z domestic'!M24/'IO model'!$D$13)</f>
        <v>0.0021160569293063956</v>
      </c>
      <c r="N24" s="33">
        <f>IF('IO model'!$D$14=0,0,'Z domestic'!N24/'IO model'!$D$14)</f>
        <v>0.0028001789100374247</v>
      </c>
      <c r="O24" s="33">
        <f>IF('IO model'!$D$15=0,0,'Z domestic'!O24/'IO model'!$D$15)</f>
        <v>0.0023081069066910997</v>
      </c>
      <c r="P24" s="33">
        <f>IF('IO model'!$D$16=0,0,'Z domestic'!P24/'IO model'!$D$16)</f>
        <v>0.0016866420060016316</v>
      </c>
      <c r="Q24" s="33">
        <f>IF('IO model'!$D$17=0,0,'Z domestic'!Q24/'IO model'!$D$17)</f>
        <v>0.0020025269983550676</v>
      </c>
      <c r="R24" s="33">
        <f>IF('IO model'!$D$18=0,0,'Z domestic'!R24/'IO model'!$D$18)</f>
        <v>0.002156831280309191</v>
      </c>
      <c r="S24" s="33">
        <f>IF('IO model'!$D$19=0,0,'Z domestic'!S24/'IO model'!$D$19)</f>
        <v>0.0034177419770766693</v>
      </c>
      <c r="T24" s="33">
        <f>IF('IO model'!$D$20=0,0,'Z domestic'!T24/'IO model'!$D$20)</f>
        <v>0.0018592777935947315</v>
      </c>
      <c r="U24" s="33">
        <f>IF('IO model'!$D$21=0,0,'Z domestic'!U24/'IO model'!$D$21)</f>
        <v>0.0021839449045545963</v>
      </c>
      <c r="V24" s="33">
        <f>IF('IO model'!$D$22=0,0,'Z domestic'!V24/'IO model'!$D$22)</f>
        <v>0.002331660968112236</v>
      </c>
      <c r="W24" s="33">
        <f>IF('IO model'!$D$23=0,0,'Z domestic'!W24/'IO model'!$D$23)</f>
        <v>0.0018959297970981353</v>
      </c>
      <c r="X24" s="33">
        <f>IF('IO model'!$D$24=0,0,'Z domestic'!X24/'IO model'!$D$24)</f>
        <v>0.04161949138558532</v>
      </c>
      <c r="Y24" s="33">
        <f>IF('IO model'!$D$25=0,0,'Z domestic'!Y24/'IO model'!$D$25)</f>
        <v>0.0034097226361547374</v>
      </c>
      <c r="Z24" s="33">
        <f>IF('IO model'!$D$26=0,0,'Z domestic'!Z24/'IO model'!$D$26)</f>
        <v>0.0005570031267358909</v>
      </c>
      <c r="AA24" s="33">
        <f>IF('IO model'!$D$27=0,0,'Z domestic'!AA24/'IO model'!$D$27)</f>
        <v>0.0009465120886984461</v>
      </c>
      <c r="AB24" s="33">
        <f>IF('IO model'!$D$28=0,0,'Z domestic'!AB24/'IO model'!$D$28)</f>
        <v>0.0010891597301250712</v>
      </c>
      <c r="AC24" s="33">
        <f>IF('IO model'!$D$29=0,0,'Z domestic'!AC24/'IO model'!$D$29)</f>
        <v>0.0035686453483608984</v>
      </c>
      <c r="AD24" s="33">
        <f>IF('IO model'!$D$30=0,0,'Z domestic'!AD24/'IO model'!$D$30)</f>
        <v>0.0015911318032638384</v>
      </c>
      <c r="AE24" s="33">
        <f>IF('IO model'!$D$31=0,0,'Z domestic'!AE24/'IO model'!$D$31)</f>
        <v>0.001411508083220024</v>
      </c>
      <c r="AF24" s="33">
        <f>IF('IO model'!$D$32=0,0,'Z domestic'!AF24/'IO model'!$D$32)</f>
        <v>0.0014365315266568846</v>
      </c>
      <c r="AG24" s="33">
        <f>IF('IO model'!$D$33=0,0,'Z domestic'!AG24/'IO model'!$D$33)</f>
        <v>0.0009026680380659126</v>
      </c>
      <c r="AH24" s="33">
        <f>IF('IO model'!$D$34=0,0,'Z domestic'!AH24/'IO model'!$D$34)</f>
        <v>0.00038918703676766225</v>
      </c>
      <c r="AI24" s="33">
        <f>IF('IO model'!$D$35=0,0,'Z domestic'!AI24/'IO model'!$D$35)</f>
        <v>0.000610548892945155</v>
      </c>
      <c r="AJ24" s="33">
        <f>IF('IO model'!$D$36=0,0,'Z domestic'!AJ24/'IO model'!$D$36)</f>
        <v>0.0006353206567827261</v>
      </c>
      <c r="AK24" s="33">
        <f>IF('IO model'!$D$37=0,0,'Z domestic'!AK24/'IO model'!$D$37)</f>
        <v>0.0003571885935006905</v>
      </c>
      <c r="AL24" s="33">
        <f>IF('IO model'!$D$38=0,0,'Z domestic'!AL24/'IO model'!$D$38)</f>
        <v>0.001961965913503835</v>
      </c>
      <c r="AM24" s="33">
        <f>IF('IO model'!$D$39=0,0,'Z domestic'!AM24/'IO model'!$D$39)</f>
        <v>0.0009715485399207037</v>
      </c>
      <c r="AN24" s="33">
        <f>IF('IO model'!$D$40=0,0,'Z domestic'!AN24/'IO model'!$D$40)</f>
        <v>0.0035386815499506307</v>
      </c>
      <c r="AO24" s="33">
        <f>IF('IO model'!$D$41=0,0,'Z domestic'!AO24/'IO model'!$D$41)</f>
        <v>0.0010497954423486612</v>
      </c>
      <c r="AP24" s="33">
        <f>IF('IO model'!$D$42=0,0,'Z domestic'!AP24/'IO model'!$D$42)</f>
        <v>0.0007738292226944424</v>
      </c>
      <c r="AQ24" s="33">
        <f>IF('IO model'!$D$43=0,0,'Z domestic'!AQ24/'IO model'!$D$43)</f>
        <v>0.0003185348069982265</v>
      </c>
      <c r="AR24" s="33">
        <f>IF('IO model'!$D$44=0,0,'Z domestic'!AR24/'IO model'!$D$44)</f>
        <v>0.00026446579280787645</v>
      </c>
      <c r="AS24" s="33">
        <f>IF('IO model'!$D$45=0,0,'Z domestic'!AS24/'IO model'!$D$45)</f>
        <v>0.000416295929872124</v>
      </c>
      <c r="AT24" s="33">
        <f>IF('IO model'!$D$46=0,0,'Z domestic'!AT24/'IO model'!$D$46)</f>
        <v>0.0005852053264497252</v>
      </c>
      <c r="AU24" s="33">
        <f>IF('IO model'!$D$47=0,0,'Z domestic'!AU24/'IO model'!$D$47)</f>
        <v>0.0007869820262265023</v>
      </c>
      <c r="AV24" s="33">
        <f>IF('IO model'!$D$48=0,0,'Z domestic'!AV24/'IO model'!$D$48)</f>
        <v>0.0011629768818482388</v>
      </c>
      <c r="AW24" s="33">
        <f>IF('IO model'!$D$49=0,0,'Z domestic'!AW24/'IO model'!$D$49)</f>
        <v>0.0016536975675863876</v>
      </c>
      <c r="AX24" s="33">
        <f>IF('IO model'!$D$50=0,0,'Z domestic'!AX24/'IO model'!$D$50)</f>
        <v>0.0016656483200176062</v>
      </c>
      <c r="AY24" s="33">
        <f>IF('IO model'!$D$51=0,0,'Z domestic'!AY24/'IO model'!$D$51)</f>
        <v>0.0031707913582416612</v>
      </c>
      <c r="AZ24" s="33">
        <f>IF('IO model'!$D$52=0,0,'Z domestic'!AZ24/'IO model'!$D$52)</f>
        <v>0.0016198147201205522</v>
      </c>
      <c r="BA24" s="33">
        <f>IF('IO model'!$D$53=0,0,'Z domestic'!BA24/'IO model'!$D$53)</f>
        <v>0.0006028832763872006</v>
      </c>
      <c r="BB24" s="33">
        <f>IF('IO model'!$D$54=0,0,'Z domestic'!BB24/'IO model'!$D$54)</f>
        <v>0.0005688395593208709</v>
      </c>
      <c r="BC24" s="33">
        <f>IF('IO model'!$D$55=0,0,'Z domestic'!BC24/'IO model'!$D$55)</f>
        <v>0.0016803261732193432</v>
      </c>
      <c r="BD24" s="33">
        <f>IF('IO model'!$D$56=0,0,'Z domestic'!BD24/'IO model'!$D$56)</f>
        <v>0.0007087555041317621</v>
      </c>
      <c r="BE24" s="33">
        <f>IF('IO model'!$D$57=0,0,'Z domestic'!BE24/'IO model'!$D$57)</f>
        <v>0.0008122095998535926</v>
      </c>
      <c r="BF24" s="33">
        <f>IF('IO model'!$D$58=0,0,'Z domestic'!BF24/'IO model'!$D$58)</f>
        <v>0.013055444818293441</v>
      </c>
      <c r="BG24" s="33">
        <f>IF('IO model'!$D$59=0,0,'Z domestic'!BG24/'IO model'!$D$59)</f>
        <v>0.0026758896240254276</v>
      </c>
      <c r="BH24" s="33">
        <f>IF('IO model'!$D$60=0,0,'Z domestic'!BH24/'IO model'!$D$60)</f>
        <v>0.004068755553460732</v>
      </c>
      <c r="BI24" s="33">
        <f>IF('IO model'!$D$61=0,0,'Z domestic'!BI24/'IO model'!$D$61)</f>
        <v>0.0044407951528147365</v>
      </c>
      <c r="BJ24" s="33">
        <f>IF('IO model'!$D$62=0,0,'Z domestic'!BJ24/'IO model'!$D$62)</f>
        <v>0.0017017238652538354</v>
      </c>
      <c r="BK24" s="33">
        <f>IF('IO model'!$D$63=0,0,'Z domestic'!BK24/'IO model'!$D$63)</f>
        <v>0.0026808311201374784</v>
      </c>
      <c r="BL24" s="33">
        <f>IF('IO model'!$D$64=0,0,'Z domestic'!BL24/'IO model'!$D$64)</f>
        <v>0.001530712099361567</v>
      </c>
      <c r="BM24" s="33">
        <f>IF('IO model'!$D$65=0,0,'Z domestic'!BM24/'IO model'!$D$65)</f>
        <v>0</v>
      </c>
      <c r="BN24" s="33">
        <f>IF('IO model'!$D$66=0,0,'Z domestic'!BN24/'IO model'!$D$66)</f>
        <v>0</v>
      </c>
    </row>
    <row r="25" spans="1:66" x14ac:dyDescent="0.25">
      <c r="A25" s="30" t="s">
        <v>119</v>
      </c>
      <c r="B25" s="31" t="s">
        <v>303</v>
      </c>
      <c r="C25" s="33">
        <f>IF('IO model'!$D$3=0,0,'Z domestic'!C25/'IO model'!$D$3)</f>
        <v>0.013735404790397211</v>
      </c>
      <c r="D25" s="33">
        <f>IF('IO model'!$D$4=0,0,'Z domestic'!D25/'IO model'!$D$4)</f>
        <v>0.003151316010702945</v>
      </c>
      <c r="E25" s="33">
        <f>IF('IO model'!$D$5=0,0,'Z domestic'!E25/'IO model'!$D$5)</f>
        <v>0.007940871052470832</v>
      </c>
      <c r="F25" s="33">
        <f>IF('IO model'!$D$6=0,0,'Z domestic'!F25/'IO model'!$D$6)</f>
        <v>0.013877743643231353</v>
      </c>
      <c r="G25" s="33">
        <f>IF('IO model'!$D$7=0,0,'Z domestic'!G25/'IO model'!$D$7)</f>
        <v>0.00346052306279579</v>
      </c>
      <c r="H25" s="33">
        <f>IF('IO model'!$D$8=0,0,'Z domestic'!H25/'IO model'!$D$8)</f>
        <v>0.0028036447381596073</v>
      </c>
      <c r="I25" s="33">
        <f>IF('IO model'!$D$9=0,0,'Z domestic'!I25/'IO model'!$D$9)</f>
        <v>0.005941560884592167</v>
      </c>
      <c r="J25" s="33">
        <f>IF('IO model'!$D$10=0,0,'Z domestic'!J25/'IO model'!$D$10)</f>
        <v>0.007195257379857494</v>
      </c>
      <c r="K25" s="33">
        <f>IF('IO model'!$D$11=0,0,'Z domestic'!K25/'IO model'!$D$11)</f>
        <v>0.005059702786888275</v>
      </c>
      <c r="L25" s="33">
        <f>IF('IO model'!$D$12=0,0,'Z domestic'!L25/'IO model'!$D$12)</f>
        <v>0.0023038931072947807</v>
      </c>
      <c r="M25" s="33">
        <f>IF('IO model'!$D$13=0,0,'Z domestic'!M25/'IO model'!$D$13)</f>
        <v>0.005947115911162799</v>
      </c>
      <c r="N25" s="33">
        <f>IF('IO model'!$D$14=0,0,'Z domestic'!N25/'IO model'!$D$14)</f>
        <v>0.0016895264966088372</v>
      </c>
      <c r="O25" s="33">
        <f>IF('IO model'!$D$15=0,0,'Z domestic'!O25/'IO model'!$D$15)</f>
        <v>0.004022860768881282</v>
      </c>
      <c r="P25" s="33">
        <f>IF('IO model'!$D$16=0,0,'Z domestic'!P25/'IO model'!$D$16)</f>
        <v>0.00736471498270844</v>
      </c>
      <c r="Q25" s="33">
        <f>IF('IO model'!$D$17=0,0,'Z domestic'!Q25/'IO model'!$D$17)</f>
        <v>0.010907613575861605</v>
      </c>
      <c r="R25" s="33">
        <f>IF('IO model'!$D$18=0,0,'Z domestic'!R25/'IO model'!$D$18)</f>
        <v>0.00791888740079992</v>
      </c>
      <c r="S25" s="33">
        <f>IF('IO model'!$D$19=0,0,'Z domestic'!S25/'IO model'!$D$19)</f>
        <v>0.004453583841786071</v>
      </c>
      <c r="T25" s="33">
        <f>IF('IO model'!$D$20=0,0,'Z domestic'!T25/'IO model'!$D$20)</f>
        <v>0.0065321276922090735</v>
      </c>
      <c r="U25" s="33">
        <f>IF('IO model'!$D$21=0,0,'Z domestic'!U25/'IO model'!$D$21)</f>
        <v>0.010715857606488507</v>
      </c>
      <c r="V25" s="33">
        <f>IF('IO model'!$D$22=0,0,'Z domestic'!V25/'IO model'!$D$22)</f>
        <v>0.006231054211395703</v>
      </c>
      <c r="W25" s="33">
        <f>IF('IO model'!$D$23=0,0,'Z domestic'!W25/'IO model'!$D$23)</f>
        <v>0.01803368554974635</v>
      </c>
      <c r="X25" s="33">
        <f>IF('IO model'!$D$24=0,0,'Z domestic'!X25/'IO model'!$D$24)</f>
        <v>0.004274169756721987</v>
      </c>
      <c r="Y25" s="33">
        <f>IF('IO model'!$D$25=0,0,'Z domestic'!Y25/'IO model'!$D$25)</f>
        <v>0.04586926436521539</v>
      </c>
      <c r="Z25" s="33">
        <f>IF('IO model'!$D$26=0,0,'Z domestic'!Z25/'IO model'!$D$26)</f>
        <v>0.008855528229245268</v>
      </c>
      <c r="AA25" s="33">
        <f>IF('IO model'!$D$27=0,0,'Z domestic'!AA25/'IO model'!$D$27)</f>
        <v>0.008776618870657128</v>
      </c>
      <c r="AB25" s="33">
        <f>IF('IO model'!$D$28=0,0,'Z domestic'!AB25/'IO model'!$D$28)</f>
        <v>0.0053112877679725124</v>
      </c>
      <c r="AC25" s="33">
        <f>IF('IO model'!$D$29=0,0,'Z domestic'!AC25/'IO model'!$D$29)</f>
        <v>0.003751668660104848</v>
      </c>
      <c r="AD25" s="33">
        <f>IF('IO model'!$D$30=0,0,'Z domestic'!AD25/'IO model'!$D$30)</f>
        <v>0.0024265744611037935</v>
      </c>
      <c r="AE25" s="33">
        <f>IF('IO model'!$D$31=0,0,'Z domestic'!AE25/'IO model'!$D$31)</f>
        <v>0.0021228509637654857</v>
      </c>
      <c r="AF25" s="33">
        <f>IF('IO model'!$D$32=0,0,'Z domestic'!AF25/'IO model'!$D$32)</f>
        <v>0.002208147547899922</v>
      </c>
      <c r="AG25" s="33">
        <f>IF('IO model'!$D$33=0,0,'Z domestic'!AG25/'IO model'!$D$33)</f>
        <v>0.007798948242801902</v>
      </c>
      <c r="AH25" s="33">
        <f>IF('IO model'!$D$34=0,0,'Z domestic'!AH25/'IO model'!$D$34)</f>
        <v>0.011436177402350312</v>
      </c>
      <c r="AI25" s="33">
        <f>IF('IO model'!$D$35=0,0,'Z domestic'!AI25/'IO model'!$D$35)</f>
        <v>0.03568895539196923</v>
      </c>
      <c r="AJ25" s="33">
        <f>IF('IO model'!$D$36=0,0,'Z domestic'!AJ25/'IO model'!$D$36)</f>
        <v>0.003632331436228106</v>
      </c>
      <c r="AK25" s="33">
        <f>IF('IO model'!$D$37=0,0,'Z domestic'!AK25/'IO model'!$D$37)</f>
        <v>0.001240468913862863</v>
      </c>
      <c r="AL25" s="33">
        <f>IF('IO model'!$D$38=0,0,'Z domestic'!AL25/'IO model'!$D$38)</f>
        <v>0.0016482090907011834</v>
      </c>
      <c r="AM25" s="33">
        <f>IF('IO model'!$D$39=0,0,'Z domestic'!AM25/'IO model'!$D$39)</f>
        <v>0.0008016405161950364</v>
      </c>
      <c r="AN25" s="33">
        <f>IF('IO model'!$D$40=0,0,'Z domestic'!AN25/'IO model'!$D$40)</f>
        <v>0.0014706359544415753</v>
      </c>
      <c r="AO25" s="33">
        <f>IF('IO model'!$D$41=0,0,'Z domestic'!AO25/'IO model'!$D$41)</f>
        <v>0.006967273098984531</v>
      </c>
      <c r="AP25" s="33">
        <f>IF('IO model'!$D$42=0,0,'Z domestic'!AP25/'IO model'!$D$42)</f>
        <v>0.0015804078415662228</v>
      </c>
      <c r="AQ25" s="33">
        <f>IF('IO model'!$D$43=0,0,'Z domestic'!AQ25/'IO model'!$D$43)</f>
        <v>0.00040302203007337684</v>
      </c>
      <c r="AR25" s="33">
        <f>IF('IO model'!$D$44=0,0,'Z domestic'!AR25/'IO model'!$D$44)</f>
        <v>0.0004329661471322162</v>
      </c>
      <c r="AS25" s="33">
        <f>IF('IO model'!$D$45=0,0,'Z domestic'!AS25/'IO model'!$D$45)</f>
        <v>0.0006186620068932954</v>
      </c>
      <c r="AT25" s="33">
        <f>IF('IO model'!$D$46=0,0,'Z domestic'!AT25/'IO model'!$D$46)</f>
        <v>0.0009785353894622068</v>
      </c>
      <c r="AU25" s="33">
        <f>IF('IO model'!$D$47=0,0,'Z domestic'!AU25/'IO model'!$D$47)</f>
        <v>0.0010762358413344056</v>
      </c>
      <c r="AV25" s="33">
        <f>IF('IO model'!$D$48=0,0,'Z domestic'!AV25/'IO model'!$D$48)</f>
        <v>0.00173521056906254</v>
      </c>
      <c r="AW25" s="33">
        <f>IF('IO model'!$D$49=0,0,'Z domestic'!AW25/'IO model'!$D$49)</f>
        <v>0.003157947460387204</v>
      </c>
      <c r="AX25" s="33">
        <f>IF('IO model'!$D$50=0,0,'Z domestic'!AX25/'IO model'!$D$50)</f>
        <v>0.001078385664768005</v>
      </c>
      <c r="AY25" s="33">
        <f>IF('IO model'!$D$51=0,0,'Z domestic'!AY25/'IO model'!$D$51)</f>
        <v>0.0027701409773165523</v>
      </c>
      <c r="AZ25" s="33">
        <f>IF('IO model'!$D$52=0,0,'Z domestic'!AZ25/'IO model'!$D$52)</f>
        <v>0.005098290834910264</v>
      </c>
      <c r="BA25" s="33">
        <f>IF('IO model'!$D$53=0,0,'Z domestic'!BA25/'IO model'!$D$53)</f>
        <v>0.0014281978470540094</v>
      </c>
      <c r="BB25" s="33">
        <f>IF('IO model'!$D$54=0,0,'Z domestic'!BB25/'IO model'!$D$54)</f>
        <v>0.000850466998928539</v>
      </c>
      <c r="BC25" s="33">
        <f>IF('IO model'!$D$55=0,0,'Z domestic'!BC25/'IO model'!$D$55)</f>
        <v>0.0024693993202217117</v>
      </c>
      <c r="BD25" s="33">
        <f>IF('IO model'!$D$56=0,0,'Z domestic'!BD25/'IO model'!$D$56)</f>
        <v>0.0031406040891197055</v>
      </c>
      <c r="BE25" s="33">
        <f>IF('IO model'!$D$57=0,0,'Z domestic'!BE25/'IO model'!$D$57)</f>
        <v>0.0005187381171056066</v>
      </c>
      <c r="BF25" s="33">
        <f>IF('IO model'!$D$58=0,0,'Z domestic'!BF25/'IO model'!$D$58)</f>
        <v>0.0025352808917095885</v>
      </c>
      <c r="BG25" s="33">
        <f>IF('IO model'!$D$59=0,0,'Z domestic'!BG25/'IO model'!$D$59)</f>
        <v>0.0013147988923893632</v>
      </c>
      <c r="BH25" s="33">
        <f>IF('IO model'!$D$60=0,0,'Z domestic'!BH25/'IO model'!$D$60)</f>
        <v>0.001525292358612599</v>
      </c>
      <c r="BI25" s="33">
        <f>IF('IO model'!$D$61=0,0,'Z domestic'!BI25/'IO model'!$D$61)</f>
        <v>0.002504823834218117</v>
      </c>
      <c r="BJ25" s="33">
        <f>IF('IO model'!$D$62=0,0,'Z domestic'!BJ25/'IO model'!$D$62)</f>
        <v>0.0006763187784854716</v>
      </c>
      <c r="BK25" s="33">
        <f>IF('IO model'!$D$63=0,0,'Z domestic'!BK25/'IO model'!$D$63)</f>
        <v>0.002162162162162162</v>
      </c>
      <c r="BL25" s="33">
        <f>IF('IO model'!$D$64=0,0,'Z domestic'!BL25/'IO model'!$D$64)</f>
        <v>0.001607088586647799</v>
      </c>
      <c r="BM25" s="33">
        <f>IF('IO model'!$D$65=0,0,'Z domestic'!BM25/'IO model'!$D$65)</f>
        <v>0</v>
      </c>
      <c r="BN25" s="33">
        <f>IF('IO model'!$D$66=0,0,'Z domestic'!BN25/'IO model'!$D$66)</f>
        <v>0</v>
      </c>
    </row>
    <row r="26" spans="1:66" x14ac:dyDescent="0.25">
      <c r="A26" s="30" t="s">
        <v>304</v>
      </c>
      <c r="B26" s="31" t="s">
        <v>305</v>
      </c>
      <c r="C26" s="33">
        <f>IF('IO model'!$D$3=0,0,'Z domestic'!C26/'IO model'!$D$3)</f>
        <v>0.021888733811831887</v>
      </c>
      <c r="D26" s="33">
        <f>IF('IO model'!$D$4=0,0,'Z domestic'!D26/'IO model'!$D$4)</f>
        <v>0.0047798162052582775</v>
      </c>
      <c r="E26" s="33">
        <f>IF('IO model'!$D$5=0,0,'Z domestic'!E26/'IO model'!$D$5)</f>
        <v>0.016193947291620003</v>
      </c>
      <c r="F26" s="33">
        <f>IF('IO model'!$D$6=0,0,'Z domestic'!F26/'IO model'!$D$6)</f>
        <v>0.0547782958149169</v>
      </c>
      <c r="G26" s="33">
        <f>IF('IO model'!$D$7=0,0,'Z domestic'!G26/'IO model'!$D$7)</f>
        <v>0.020009388759388756</v>
      </c>
      <c r="H26" s="33">
        <f>IF('IO model'!$D$8=0,0,'Z domestic'!H26/'IO model'!$D$8)</f>
        <v>0.01652718709761286</v>
      </c>
      <c r="I26" s="33">
        <f>IF('IO model'!$D$9=0,0,'Z domestic'!I26/'IO model'!$D$9)</f>
        <v>0.02530340035834933</v>
      </c>
      <c r="J26" s="33">
        <f>IF('IO model'!$D$10=0,0,'Z domestic'!J26/'IO model'!$D$10)</f>
        <v>0.05532937278104386</v>
      </c>
      <c r="K26" s="33">
        <f>IF('IO model'!$D$11=0,0,'Z domestic'!K26/'IO model'!$D$11)</f>
        <v>0.021937699832670125</v>
      </c>
      <c r="L26" s="33">
        <f>IF('IO model'!$D$12=0,0,'Z domestic'!L26/'IO model'!$D$12)</f>
        <v>0.020369515579978417</v>
      </c>
      <c r="M26" s="33">
        <f>IF('IO model'!$D$13=0,0,'Z domestic'!M26/'IO model'!$D$13)</f>
        <v>0.040492675036027964</v>
      </c>
      <c r="N26" s="33">
        <f>IF('IO model'!$D$14=0,0,'Z domestic'!N26/'IO model'!$D$14)</f>
        <v>0.00820596399085643</v>
      </c>
      <c r="O26" s="33">
        <f>IF('IO model'!$D$15=0,0,'Z domestic'!O26/'IO model'!$D$15)</f>
        <v>0.028271857155790073</v>
      </c>
      <c r="P26" s="33">
        <f>IF('IO model'!$D$16=0,0,'Z domestic'!P26/'IO model'!$D$16)</f>
        <v>0.05677282892340847</v>
      </c>
      <c r="Q26" s="33">
        <f>IF('IO model'!$D$17=0,0,'Z domestic'!Q26/'IO model'!$D$17)</f>
        <v>0.05585937810411552</v>
      </c>
      <c r="R26" s="33">
        <f>IF('IO model'!$D$18=0,0,'Z domestic'!R26/'IO model'!$D$18)</f>
        <v>0.017088260172632895</v>
      </c>
      <c r="S26" s="33">
        <f>IF('IO model'!$D$19=0,0,'Z domestic'!S26/'IO model'!$D$19)</f>
        <v>0.007811325119280116</v>
      </c>
      <c r="T26" s="33">
        <f>IF('IO model'!$D$20=0,0,'Z domestic'!T26/'IO model'!$D$20)</f>
        <v>0.013539196529348124</v>
      </c>
      <c r="U26" s="33">
        <f>IF('IO model'!$D$21=0,0,'Z domestic'!U26/'IO model'!$D$21)</f>
        <v>0.008563296311641266</v>
      </c>
      <c r="V26" s="33">
        <f>IF('IO model'!$D$22=0,0,'Z domestic'!V26/'IO model'!$D$22)</f>
        <v>0.011256773978648755</v>
      </c>
      <c r="W26" s="33">
        <f>IF('IO model'!$D$23=0,0,'Z domestic'!W26/'IO model'!$D$23)</f>
        <v>0.00654011500166361</v>
      </c>
      <c r="X26" s="33">
        <f>IF('IO model'!$D$24=0,0,'Z domestic'!X26/'IO model'!$D$24)</f>
        <v>0.011022764856016875</v>
      </c>
      <c r="Y26" s="33">
        <f>IF('IO model'!$D$25=0,0,'Z domestic'!Y26/'IO model'!$D$25)</f>
        <v>0.009770564471492991</v>
      </c>
      <c r="Z26" s="33">
        <f>IF('IO model'!$D$26=0,0,'Z domestic'!Z26/'IO model'!$D$26)</f>
        <v>0.2786796114979088</v>
      </c>
      <c r="AA26" s="33">
        <f>IF('IO model'!$D$27=0,0,'Z domestic'!AA26/'IO model'!$D$27)</f>
        <v>0.07973936706280478</v>
      </c>
      <c r="AB26" s="33">
        <f>IF('IO model'!$D$28=0,0,'Z domestic'!AB26/'IO model'!$D$28)</f>
        <v>0.021590200727390818</v>
      </c>
      <c r="AC26" s="33">
        <f>IF('IO model'!$D$29=0,0,'Z domestic'!AC26/'IO model'!$D$29)</f>
        <v>0.007351525688346389</v>
      </c>
      <c r="AD26" s="33">
        <f>IF('IO model'!$D$30=0,0,'Z domestic'!AD26/'IO model'!$D$30)</f>
        <v>0.012686962294557784</v>
      </c>
      <c r="AE26" s="33">
        <f>IF('IO model'!$D$31=0,0,'Z domestic'!AE26/'IO model'!$D$31)</f>
        <v>0.008426039972283896</v>
      </c>
      <c r="AF26" s="33">
        <f>IF('IO model'!$D$32=0,0,'Z domestic'!AF26/'IO model'!$D$32)</f>
        <v>0.023222617868607232</v>
      </c>
      <c r="AG26" s="33">
        <f>IF('IO model'!$D$33=0,0,'Z domestic'!AG26/'IO model'!$D$33)</f>
        <v>0.020511026666393838</v>
      </c>
      <c r="AH26" s="33">
        <f>IF('IO model'!$D$34=0,0,'Z domestic'!AH26/'IO model'!$D$34)</f>
        <v>0.0013361945231471885</v>
      </c>
      <c r="AI26" s="33">
        <f>IF('IO model'!$D$35=0,0,'Z domestic'!AI26/'IO model'!$D$35)</f>
        <v>0.004187163288612472</v>
      </c>
      <c r="AJ26" s="33">
        <f>IF('IO model'!$D$36=0,0,'Z domestic'!AJ26/'IO model'!$D$36)</f>
        <v>0.011937684878728455</v>
      </c>
      <c r="AK26" s="33">
        <f>IF('IO model'!$D$37=0,0,'Z domestic'!AK26/'IO model'!$D$37)</f>
        <v>0.010851334092474465</v>
      </c>
      <c r="AL26" s="33">
        <f>IF('IO model'!$D$38=0,0,'Z domestic'!AL26/'IO model'!$D$38)</f>
        <v>0.028108555579627152</v>
      </c>
      <c r="AM26" s="33">
        <f>IF('IO model'!$D$39=0,0,'Z domestic'!AM26/'IO model'!$D$39)</f>
        <v>0.005207952057016795</v>
      </c>
      <c r="AN26" s="33">
        <f>IF('IO model'!$D$40=0,0,'Z domestic'!AN26/'IO model'!$D$40)</f>
        <v>0.009850595439521978</v>
      </c>
      <c r="AO26" s="33">
        <f>IF('IO model'!$D$41=0,0,'Z domestic'!AO26/'IO model'!$D$41)</f>
        <v>0.02020311726810411</v>
      </c>
      <c r="AP26" s="33">
        <f>IF('IO model'!$D$42=0,0,'Z domestic'!AP26/'IO model'!$D$42)</f>
        <v>0.006096740083373974</v>
      </c>
      <c r="AQ26" s="33">
        <f>IF('IO model'!$D$43=0,0,'Z domestic'!AQ26/'IO model'!$D$43)</f>
        <v>0.00383811672826644</v>
      </c>
      <c r="AR26" s="33">
        <f>IF('IO model'!$D$44=0,0,'Z domestic'!AR26/'IO model'!$D$44)</f>
        <v>0.003137446686213705</v>
      </c>
      <c r="AS26" s="33">
        <f>IF('IO model'!$D$45=0,0,'Z domestic'!AS26/'IO model'!$D$45)</f>
        <v>0.0031633351214357076</v>
      </c>
      <c r="AT26" s="33">
        <f>IF('IO model'!$D$46=0,0,'Z domestic'!AT26/'IO model'!$D$46)</f>
        <v>0.008997508182441412</v>
      </c>
      <c r="AU26" s="33">
        <f>IF('IO model'!$D$47=0,0,'Z domestic'!AU26/'IO model'!$D$47)</f>
        <v>0.006225041937393833</v>
      </c>
      <c r="AV26" s="33">
        <f>IF('IO model'!$D$48=0,0,'Z domestic'!AV26/'IO model'!$D$48)</f>
        <v>0.007145561888433608</v>
      </c>
      <c r="AW26" s="33">
        <f>IF('IO model'!$D$49=0,0,'Z domestic'!AW26/'IO model'!$D$49)</f>
        <v>0.009860696035238703</v>
      </c>
      <c r="AX26" s="33">
        <f>IF('IO model'!$D$50=0,0,'Z domestic'!AX26/'IO model'!$D$50)</f>
        <v>0.006234018955726534</v>
      </c>
      <c r="AY26" s="33">
        <f>IF('IO model'!$D$51=0,0,'Z domestic'!AY26/'IO model'!$D$51)</f>
        <v>0.010773316684630389</v>
      </c>
      <c r="AZ26" s="33">
        <f>IF('IO model'!$D$52=0,0,'Z domestic'!AZ26/'IO model'!$D$52)</f>
        <v>0.004044922716815782</v>
      </c>
      <c r="BA26" s="33">
        <f>IF('IO model'!$D$53=0,0,'Z domestic'!BA26/'IO model'!$D$53)</f>
        <v>0.005717085428646146</v>
      </c>
      <c r="BB26" s="33">
        <f>IF('IO model'!$D$54=0,0,'Z domestic'!BB26/'IO model'!$D$54)</f>
        <v>0.0064766332995327205</v>
      </c>
      <c r="BC26" s="33">
        <f>IF('IO model'!$D$55=0,0,'Z domestic'!BC26/'IO model'!$D$55)</f>
        <v>0.009193838365222232</v>
      </c>
      <c r="BD26" s="33">
        <f>IF('IO model'!$D$56=0,0,'Z domestic'!BD26/'IO model'!$D$56)</f>
        <v>0.011399812307175277</v>
      </c>
      <c r="BE26" s="33">
        <f>IF('IO model'!$D$57=0,0,'Z domestic'!BE26/'IO model'!$D$57)</f>
        <v>0.011516240379303684</v>
      </c>
      <c r="BF26" s="33">
        <f>IF('IO model'!$D$58=0,0,'Z domestic'!BF26/'IO model'!$D$58)</f>
        <v>0.010953341519031748</v>
      </c>
      <c r="BG26" s="33">
        <f>IF('IO model'!$D$59=0,0,'Z domestic'!BG26/'IO model'!$D$59)</f>
        <v>0.014653488062422792</v>
      </c>
      <c r="BH26" s="33">
        <f>IF('IO model'!$D$60=0,0,'Z domestic'!BH26/'IO model'!$D$60)</f>
        <v>0.014910332884692259</v>
      </c>
      <c r="BI26" s="33">
        <f>IF('IO model'!$D$61=0,0,'Z domestic'!BI26/'IO model'!$D$61)</f>
        <v>0.030403177146642802</v>
      </c>
      <c r="BJ26" s="33">
        <f>IF('IO model'!$D$62=0,0,'Z domestic'!BJ26/'IO model'!$D$62)</f>
        <v>0.015586387359279976</v>
      </c>
      <c r="BK26" s="33">
        <f>IF('IO model'!$D$63=0,0,'Z domestic'!BK26/'IO model'!$D$63)</f>
        <v>0.010195281987189503</v>
      </c>
      <c r="BL26" s="33">
        <f>IF('IO model'!$D$64=0,0,'Z domestic'!BL26/'IO model'!$D$64)</f>
        <v>0.02341628845277679</v>
      </c>
      <c r="BM26" s="33">
        <f>IF('IO model'!$D$65=0,0,'Z domestic'!BM26/'IO model'!$D$65)</f>
        <v>0</v>
      </c>
      <c r="BN26" s="33">
        <f>IF('IO model'!$D$66=0,0,'Z domestic'!BN26/'IO model'!$D$66)</f>
        <v>0</v>
      </c>
    </row>
    <row r="27" spans="1:66" x14ac:dyDescent="0.25">
      <c r="A27" s="30" t="s">
        <v>307</v>
      </c>
      <c r="B27" s="31" t="s">
        <v>308</v>
      </c>
      <c r="C27" s="33">
        <f>IF('IO model'!$D$3=0,0,'Z domestic'!C27/'IO model'!$D$3)</f>
        <v>0.0029497227379334484</v>
      </c>
      <c r="D27" s="33">
        <f>IF('IO model'!$D$4=0,0,'Z domestic'!D27/'IO model'!$D$4)</f>
        <v>0.0003010403506159317</v>
      </c>
      <c r="E27" s="33">
        <f>IF('IO model'!$D$5=0,0,'Z domestic'!E27/'IO model'!$D$5)</f>
        <v>0.002389048385016866</v>
      </c>
      <c r="F27" s="33">
        <f>IF('IO model'!$D$6=0,0,'Z domestic'!F27/'IO model'!$D$6)</f>
        <v>0.0019391197204435737</v>
      </c>
      <c r="G27" s="33">
        <f>IF('IO model'!$D$7=0,0,'Z domestic'!G27/'IO model'!$D$7)</f>
        <v>0.0013424601492783308</v>
      </c>
      <c r="H27" s="33">
        <f>IF('IO model'!$D$8=0,0,'Z domestic'!H27/'IO model'!$D$8)</f>
        <v>0.0011769686557436948</v>
      </c>
      <c r="I27" s="33">
        <f>IF('IO model'!$D$9=0,0,'Z domestic'!I27/'IO model'!$D$9)</f>
        <v>0.0006851295211617895</v>
      </c>
      <c r="J27" s="33">
        <f>IF('IO model'!$D$10=0,0,'Z domestic'!J27/'IO model'!$D$10)</f>
        <v>0.0023066608025027603</v>
      </c>
      <c r="K27" s="33">
        <f>IF('IO model'!$D$11=0,0,'Z domestic'!K27/'IO model'!$D$11)</f>
        <v>0.0009638883083760187</v>
      </c>
      <c r="L27" s="33">
        <f>IF('IO model'!$D$12=0,0,'Z domestic'!L27/'IO model'!$D$12)</f>
        <v>0.0006309393943679799</v>
      </c>
      <c r="M27" s="33">
        <f>IF('IO model'!$D$13=0,0,'Z domestic'!M27/'IO model'!$D$13)</f>
        <v>0.0016541740830301784</v>
      </c>
      <c r="N27" s="33">
        <f>IF('IO model'!$D$14=0,0,'Z domestic'!N27/'IO model'!$D$14)</f>
        <v>0.0005928682497657326</v>
      </c>
      <c r="O27" s="33">
        <f>IF('IO model'!$D$15=0,0,'Z domestic'!O27/'IO model'!$D$15)</f>
        <v>0.0011878272095393906</v>
      </c>
      <c r="P27" s="33">
        <f>IF('IO model'!$D$16=0,0,'Z domestic'!P27/'IO model'!$D$16)</f>
        <v>0.0013815189484804797</v>
      </c>
      <c r="Q27" s="33">
        <f>IF('IO model'!$D$17=0,0,'Z domestic'!Q27/'IO model'!$D$17)</f>
        <v>0.0029237291502769375</v>
      </c>
      <c r="R27" s="33">
        <f>IF('IO model'!$D$18=0,0,'Z domestic'!R27/'IO model'!$D$18)</f>
        <v>0.0010496973540619096</v>
      </c>
      <c r="S27" s="33">
        <f>IF('IO model'!$D$19=0,0,'Z domestic'!S27/'IO model'!$D$19)</f>
        <v>0.0003651106400134198</v>
      </c>
      <c r="T27" s="33">
        <f>IF('IO model'!$D$20=0,0,'Z domestic'!T27/'IO model'!$D$20)</f>
        <v>0.0006874967720871641</v>
      </c>
      <c r="U27" s="33">
        <f>IF('IO model'!$D$21=0,0,'Z domestic'!U27/'IO model'!$D$21)</f>
        <v>0.0005692075663858255</v>
      </c>
      <c r="V27" s="33">
        <f>IF('IO model'!$D$22=0,0,'Z domestic'!V27/'IO model'!$D$22)</f>
        <v>0.0004821152311969262</v>
      </c>
      <c r="W27" s="33">
        <f>IF('IO model'!$D$23=0,0,'Z domestic'!W27/'IO model'!$D$23)</f>
        <v>0.0006266022329025534</v>
      </c>
      <c r="X27" s="33">
        <f>IF('IO model'!$D$24=0,0,'Z domestic'!X27/'IO model'!$D$24)</f>
        <v>0.0005996766960421338</v>
      </c>
      <c r="Y27" s="33">
        <f>IF('IO model'!$D$25=0,0,'Z domestic'!Y27/'IO model'!$D$25)</f>
        <v>0.0006070109152483817</v>
      </c>
      <c r="Z27" s="33">
        <f>IF('IO model'!$D$26=0,0,'Z domestic'!Z27/'IO model'!$D$26)</f>
        <v>0.0013729528818036325</v>
      </c>
      <c r="AA27" s="33">
        <f>IF('IO model'!$D$27=0,0,'Z domestic'!AA27/'IO model'!$D$27)</f>
        <v>0.04363221163098002</v>
      </c>
      <c r="AB27" s="33">
        <f>IF('IO model'!$D$28=0,0,'Z domestic'!AB27/'IO model'!$D$28)</f>
        <v>0.00960841164320696</v>
      </c>
      <c r="AC27" s="33">
        <f>IF('IO model'!$D$29=0,0,'Z domestic'!AC27/'IO model'!$D$29)</f>
        <v>0.0007537393922034544</v>
      </c>
      <c r="AD27" s="33">
        <f>IF('IO model'!$D$30=0,0,'Z domestic'!AD27/'IO model'!$D$30)</f>
        <v>0.0005324285412221044</v>
      </c>
      <c r="AE27" s="33">
        <f>IF('IO model'!$D$31=0,0,'Z domestic'!AE27/'IO model'!$D$31)</f>
        <v>0.0004890375917222088</v>
      </c>
      <c r="AF27" s="33">
        <f>IF('IO model'!$D$32=0,0,'Z domestic'!AF27/'IO model'!$D$32)</f>
        <v>0.0008004322976751688</v>
      </c>
      <c r="AG27" s="33">
        <f>IF('IO model'!$D$33=0,0,'Z domestic'!AG27/'IO model'!$D$33)</f>
        <v>0.0004136473046746807</v>
      </c>
      <c r="AH27" s="33">
        <f>IF('IO model'!$D$34=0,0,'Z domestic'!AH27/'IO model'!$D$34)</f>
        <v>0.00008968036459144587</v>
      </c>
      <c r="AI27" s="33">
        <f>IF('IO model'!$D$35=0,0,'Z domestic'!AI27/'IO model'!$D$35)</f>
        <v>0.00014425403895491746</v>
      </c>
      <c r="AJ27" s="33">
        <f>IF('IO model'!$D$36=0,0,'Z domestic'!AJ27/'IO model'!$D$36)</f>
        <v>0.0004326357001520206</v>
      </c>
      <c r="AK27" s="33">
        <f>IF('IO model'!$D$37=0,0,'Z domestic'!AK27/'IO model'!$D$37)</f>
        <v>0.00041325889596882214</v>
      </c>
      <c r="AL27" s="33">
        <f>IF('IO model'!$D$38=0,0,'Z domestic'!AL27/'IO model'!$D$38)</f>
        <v>0.002145150327822367</v>
      </c>
      <c r="AM27" s="33">
        <f>IF('IO model'!$D$39=0,0,'Z domestic'!AM27/'IO model'!$D$39)</f>
        <v>0.0002322678834973217</v>
      </c>
      <c r="AN27" s="33">
        <f>IF('IO model'!$D$40=0,0,'Z domestic'!AN27/'IO model'!$D$40)</f>
        <v>0.0012035109839933617</v>
      </c>
      <c r="AO27" s="33">
        <f>IF('IO model'!$D$41=0,0,'Z domestic'!AO27/'IO model'!$D$41)</f>
        <v>0.0005308509180119925</v>
      </c>
      <c r="AP27" s="33">
        <f>IF('IO model'!$D$42=0,0,'Z domestic'!AP27/'IO model'!$D$42)</f>
        <v>0.00020493320211802408</v>
      </c>
      <c r="AQ27" s="33">
        <f>IF('IO model'!$D$43=0,0,'Z domestic'!AQ27/'IO model'!$D$43)</f>
        <v>0.0002451927069670321</v>
      </c>
      <c r="AR27" s="33">
        <f>IF('IO model'!$D$44=0,0,'Z domestic'!AR27/'IO model'!$D$44)</f>
        <v>0.00020215057301337208</v>
      </c>
      <c r="AS27" s="33">
        <f>IF('IO model'!$D$45=0,0,'Z domestic'!AS27/'IO model'!$D$45)</f>
        <v>0.0005605219117491175</v>
      </c>
      <c r="AT27" s="33">
        <f>IF('IO model'!$D$46=0,0,'Z domestic'!AT27/'IO model'!$D$46)</f>
        <v>0.0010547922909963361</v>
      </c>
      <c r="AU27" s="33">
        <f>IF('IO model'!$D$47=0,0,'Z domestic'!AU27/'IO model'!$D$47)</f>
        <v>0.0003375803671442236</v>
      </c>
      <c r="AV27" s="33">
        <f>IF('IO model'!$D$48=0,0,'Z domestic'!AV27/'IO model'!$D$48)</f>
        <v>0.0015672869656048747</v>
      </c>
      <c r="AW27" s="33">
        <f>IF('IO model'!$D$49=0,0,'Z domestic'!AW27/'IO model'!$D$49)</f>
        <v>0.0007048880791657318</v>
      </c>
      <c r="AX27" s="33">
        <f>IF('IO model'!$D$50=0,0,'Z domestic'!AX27/'IO model'!$D$50)</f>
        <v>0.00032838059716619705</v>
      </c>
      <c r="AY27" s="33">
        <f>IF('IO model'!$D$51=0,0,'Z domestic'!AY27/'IO model'!$D$51)</f>
        <v>0.0008799560513569881</v>
      </c>
      <c r="AZ27" s="33">
        <f>IF('IO model'!$D$52=0,0,'Z domestic'!AZ27/'IO model'!$D$52)</f>
        <v>0.00030507234340072066</v>
      </c>
      <c r="BA27" s="33">
        <f>IF('IO model'!$D$53=0,0,'Z domestic'!BA27/'IO model'!$D$53)</f>
        <v>0.00017219102124734146</v>
      </c>
      <c r="BB27" s="33">
        <f>IF('IO model'!$D$54=0,0,'Z domestic'!BB27/'IO model'!$D$54)</f>
        <v>0.000345452355099491</v>
      </c>
      <c r="BC27" s="33">
        <f>IF('IO model'!$D$55=0,0,'Z domestic'!BC27/'IO model'!$D$55)</f>
        <v>0.0007592968018324676</v>
      </c>
      <c r="BD27" s="33">
        <f>IF('IO model'!$D$56=0,0,'Z domestic'!BD27/'IO model'!$D$56)</f>
        <v>0.001952801700344967</v>
      </c>
      <c r="BE27" s="33">
        <f>IF('IO model'!$D$57=0,0,'Z domestic'!BE27/'IO model'!$D$57)</f>
        <v>0.001238595810443052</v>
      </c>
      <c r="BF27" s="33">
        <f>IF('IO model'!$D$58=0,0,'Z domestic'!BF27/'IO model'!$D$58)</f>
        <v>0.0013091004767903558</v>
      </c>
      <c r="BG27" s="33">
        <f>IF('IO model'!$D$59=0,0,'Z domestic'!BG27/'IO model'!$D$59)</f>
        <v>0.001558983733674749</v>
      </c>
      <c r="BH27" s="33">
        <f>IF('IO model'!$D$60=0,0,'Z domestic'!BH27/'IO model'!$D$60)</f>
        <v>0.0015410035245382223</v>
      </c>
      <c r="BI27" s="33">
        <f>IF('IO model'!$D$61=0,0,'Z domestic'!BI27/'IO model'!$D$61)</f>
        <v>0.003678228457490857</v>
      </c>
      <c r="BJ27" s="33">
        <f>IF('IO model'!$D$62=0,0,'Z domestic'!BJ27/'IO model'!$D$62)</f>
        <v>0.001651114977067848</v>
      </c>
      <c r="BK27" s="33">
        <f>IF('IO model'!$D$63=0,0,'Z domestic'!BK27/'IO model'!$D$63)</f>
        <v>0.0005686611466958288</v>
      </c>
      <c r="BL27" s="33">
        <f>IF('IO model'!$D$64=0,0,'Z domestic'!BL27/'IO model'!$D$64)</f>
        <v>0.002013369067628728</v>
      </c>
      <c r="BM27" s="33">
        <f>IF('IO model'!$D$65=0,0,'Z domestic'!BM27/'IO model'!$D$65)</f>
        <v>0</v>
      </c>
      <c r="BN27" s="33">
        <f>IF('IO model'!$D$66=0,0,'Z domestic'!BN27/'IO model'!$D$66)</f>
        <v>0</v>
      </c>
    </row>
    <row r="28" spans="1:66" x14ac:dyDescent="0.25">
      <c r="A28" s="30" t="s">
        <v>310</v>
      </c>
      <c r="B28" s="31" t="s">
        <v>311</v>
      </c>
      <c r="C28" s="33">
        <f>IF('IO model'!$D$3=0,0,'Z domestic'!C28/'IO model'!$D$3)</f>
        <v>0.003907767265706353</v>
      </c>
      <c r="D28" s="33">
        <f>IF('IO model'!$D$4=0,0,'Z domestic'!D28/'IO model'!$D$4)</f>
        <v>0.001290630439342771</v>
      </c>
      <c r="E28" s="33">
        <f>IF('IO model'!$D$5=0,0,'Z domestic'!E28/'IO model'!$D$5)</f>
        <v>0.0030881165204053236</v>
      </c>
      <c r="F28" s="33">
        <f>IF('IO model'!$D$6=0,0,'Z domestic'!F28/'IO model'!$D$6)</f>
        <v>0.014252346316498861</v>
      </c>
      <c r="G28" s="33">
        <f>IF('IO model'!$D$7=0,0,'Z domestic'!G28/'IO model'!$D$7)</f>
        <v>0.005341880341880341</v>
      </c>
      <c r="H28" s="33">
        <f>IF('IO model'!$D$8=0,0,'Z domestic'!H28/'IO model'!$D$8)</f>
        <v>0.00631610567421859</v>
      </c>
      <c r="I28" s="33">
        <f>IF('IO model'!$D$9=0,0,'Z domestic'!I28/'IO model'!$D$9)</f>
        <v>0.006275922195084832</v>
      </c>
      <c r="J28" s="33">
        <f>IF('IO model'!$D$10=0,0,'Z domestic'!J28/'IO model'!$D$10)</f>
        <v>0.029485805181535773</v>
      </c>
      <c r="K28" s="33">
        <f>IF('IO model'!$D$11=0,0,'Z domestic'!K28/'IO model'!$D$11)</f>
        <v>0.004953077974014821</v>
      </c>
      <c r="L28" s="33">
        <f>IF('IO model'!$D$12=0,0,'Z domestic'!L28/'IO model'!$D$12)</f>
        <v>0.003965275006001732</v>
      </c>
      <c r="M28" s="33">
        <f>IF('IO model'!$D$13=0,0,'Z domestic'!M28/'IO model'!$D$13)</f>
        <v>0.009286508403636125</v>
      </c>
      <c r="N28" s="33">
        <f>IF('IO model'!$D$14=0,0,'Z domestic'!N28/'IO model'!$D$14)</f>
        <v>0.002673693173591717</v>
      </c>
      <c r="O28" s="33">
        <f>IF('IO model'!$D$15=0,0,'Z domestic'!O28/'IO model'!$D$15)</f>
        <v>0.015807799579523742</v>
      </c>
      <c r="P28" s="33">
        <f>IF('IO model'!$D$16=0,0,'Z domestic'!P28/'IO model'!$D$16)</f>
        <v>0.010161237407560132</v>
      </c>
      <c r="Q28" s="33">
        <f>IF('IO model'!$D$17=0,0,'Z domestic'!Q28/'IO model'!$D$17)</f>
        <v>0.04046375982390478</v>
      </c>
      <c r="R28" s="33">
        <f>IF('IO model'!$D$18=0,0,'Z domestic'!R28/'IO model'!$D$18)</f>
        <v>0.010185952102378529</v>
      </c>
      <c r="S28" s="33">
        <f>IF('IO model'!$D$19=0,0,'Z domestic'!S28/'IO model'!$D$19)</f>
        <v>0.0014096334570028607</v>
      </c>
      <c r="T28" s="33">
        <f>IF('IO model'!$D$20=0,0,'Z domestic'!T28/'IO model'!$D$20)</f>
        <v>0.01197111215903833</v>
      </c>
      <c r="U28" s="33">
        <f>IF('IO model'!$D$21=0,0,'Z domestic'!U28/'IO model'!$D$21)</f>
        <v>0.0029195615304774074</v>
      </c>
      <c r="V28" s="33">
        <f>IF('IO model'!$D$22=0,0,'Z domestic'!V28/'IO model'!$D$22)</f>
        <v>0.002082211079302901</v>
      </c>
      <c r="W28" s="33">
        <f>IF('IO model'!$D$23=0,0,'Z domestic'!W28/'IO model'!$D$23)</f>
        <v>0.002096735658870416</v>
      </c>
      <c r="X28" s="33">
        <f>IF('IO model'!$D$24=0,0,'Z domestic'!X28/'IO model'!$D$24)</f>
        <v>0.003864860945724794</v>
      </c>
      <c r="Y28" s="33">
        <f>IF('IO model'!$D$25=0,0,'Z domestic'!Y28/'IO model'!$D$25)</f>
        <v>0.002192862411264695</v>
      </c>
      <c r="Z28" s="33">
        <f>IF('IO model'!$D$26=0,0,'Z domestic'!Z28/'IO model'!$D$26)</f>
        <v>0.003969205352623248</v>
      </c>
      <c r="AA28" s="33">
        <f>IF('IO model'!$D$27=0,0,'Z domestic'!AA28/'IO model'!$D$27)</f>
        <v>0.0431261697763295</v>
      </c>
      <c r="AB28" s="33">
        <f>IF('IO model'!$D$28=0,0,'Z domestic'!AB28/'IO model'!$D$28)</f>
        <v>0.1537665799283618</v>
      </c>
      <c r="AC28" s="33">
        <f>IF('IO model'!$D$29=0,0,'Z domestic'!AC28/'IO model'!$D$29)</f>
        <v>0.0051162416552564</v>
      </c>
      <c r="AD28" s="33">
        <f>IF('IO model'!$D$30=0,0,'Z domestic'!AD28/'IO model'!$D$30)</f>
        <v>0.0028174651330689815</v>
      </c>
      <c r="AE28" s="33">
        <f>IF('IO model'!$D$31=0,0,'Z domestic'!AE28/'IO model'!$D$31)</f>
        <v>0.002370235103446287</v>
      </c>
      <c r="AF28" s="33">
        <f>IF('IO model'!$D$32=0,0,'Z domestic'!AF28/'IO model'!$D$32)</f>
        <v>0.004175951291749811</v>
      </c>
      <c r="AG28" s="33">
        <f>IF('IO model'!$D$33=0,0,'Z domestic'!AG28/'IO model'!$D$33)</f>
        <v>0.001895084849500502</v>
      </c>
      <c r="AH28" s="33">
        <f>IF('IO model'!$D$34=0,0,'Z domestic'!AH28/'IO model'!$D$34)</f>
        <v>0.0006844027824084027</v>
      </c>
      <c r="AI28" s="33">
        <f>IF('IO model'!$D$35=0,0,'Z domestic'!AI28/'IO model'!$D$35)</f>
        <v>0.0010047167274579339</v>
      </c>
      <c r="AJ28" s="33">
        <f>IF('IO model'!$D$36=0,0,'Z domestic'!AJ28/'IO model'!$D$36)</f>
        <v>0.0019112481943371741</v>
      </c>
      <c r="AK28" s="33">
        <f>IF('IO model'!$D$37=0,0,'Z domestic'!AK28/'IO model'!$D$37)</f>
        <v>0.0018447821737971708</v>
      </c>
      <c r="AL28" s="33">
        <f>IF('IO model'!$D$38=0,0,'Z domestic'!AL28/'IO model'!$D$38)</f>
        <v>0.0052248115515686104</v>
      </c>
      <c r="AM28" s="33">
        <f>IF('IO model'!$D$39=0,0,'Z domestic'!AM28/'IO model'!$D$39)</f>
        <v>0.0014021930787785784</v>
      </c>
      <c r="AN28" s="33">
        <f>IF('IO model'!$D$40=0,0,'Z domestic'!AN28/'IO model'!$D$40)</f>
        <v>0.0019411467483763899</v>
      </c>
      <c r="AO28" s="33">
        <f>IF('IO model'!$D$41=0,0,'Z domestic'!AO28/'IO model'!$D$41)</f>
        <v>0.0024120611187131344</v>
      </c>
      <c r="AP28" s="33">
        <f>IF('IO model'!$D$42=0,0,'Z domestic'!AP28/'IO model'!$D$42)</f>
        <v>0.0014309036728674606</v>
      </c>
      <c r="AQ28" s="33">
        <f>IF('IO model'!$D$43=0,0,'Z domestic'!AQ28/'IO model'!$D$43)</f>
        <v>0.000758827087250854</v>
      </c>
      <c r="AR28" s="33">
        <f>IF('IO model'!$D$44=0,0,'Z domestic'!AR28/'IO model'!$D$44)</f>
        <v>0.0007211117234620044</v>
      </c>
      <c r="AS28" s="33">
        <f>IF('IO model'!$D$45=0,0,'Z domestic'!AS28/'IO model'!$D$45)</f>
        <v>0.0007686698766851796</v>
      </c>
      <c r="AT28" s="33">
        <f>IF('IO model'!$D$46=0,0,'Z domestic'!AT28/'IO model'!$D$46)</f>
        <v>0.003608971681373626</v>
      </c>
      <c r="AU28" s="33">
        <f>IF('IO model'!$D$47=0,0,'Z domestic'!AU28/'IO model'!$D$47)</f>
        <v>0.002012077757774975</v>
      </c>
      <c r="AV28" s="33">
        <f>IF('IO model'!$D$48=0,0,'Z domestic'!AV28/'IO model'!$D$48)</f>
        <v>0.002322831678107623</v>
      </c>
      <c r="AW28" s="33">
        <f>IF('IO model'!$D$49=0,0,'Z domestic'!AW28/'IO model'!$D$49)</f>
        <v>0.002197328755157879</v>
      </c>
      <c r="AX28" s="33">
        <f>IF('IO model'!$D$50=0,0,'Z domestic'!AX28/'IO model'!$D$50)</f>
        <v>0.0032699062638454116</v>
      </c>
      <c r="AY28" s="33">
        <f>IF('IO model'!$D$51=0,0,'Z domestic'!AY28/'IO model'!$D$51)</f>
        <v>0.006245721582396946</v>
      </c>
      <c r="AZ28" s="33">
        <f>IF('IO model'!$D$52=0,0,'Z domestic'!AZ28/'IO model'!$D$52)</f>
        <v>0.0018586613946691593</v>
      </c>
      <c r="BA28" s="33">
        <f>IF('IO model'!$D$53=0,0,'Z domestic'!BA28/'IO model'!$D$53)</f>
        <v>0.0007746448935915312</v>
      </c>
      <c r="BB28" s="33">
        <f>IF('IO model'!$D$54=0,0,'Z domestic'!BB28/'IO model'!$D$54)</f>
        <v>0.0014408474672279001</v>
      </c>
      <c r="BC28" s="33">
        <f>IF('IO model'!$D$55=0,0,'Z domestic'!BC28/'IO model'!$D$55)</f>
        <v>0.005504862633883851</v>
      </c>
      <c r="BD28" s="33">
        <f>IF('IO model'!$D$56=0,0,'Z domestic'!BD28/'IO model'!$D$56)</f>
        <v>0.01043127723700347</v>
      </c>
      <c r="BE28" s="33">
        <f>IF('IO model'!$D$57=0,0,'Z domestic'!BE28/'IO model'!$D$57)</f>
        <v>0.0014987062260435767</v>
      </c>
      <c r="BF28" s="33">
        <f>IF('IO model'!$D$58=0,0,'Z domestic'!BF28/'IO model'!$D$58)</f>
        <v>0.002949323085264148</v>
      </c>
      <c r="BG28" s="33">
        <f>IF('IO model'!$D$59=0,0,'Z domestic'!BG28/'IO model'!$D$59)</f>
        <v>0.003574246392832916</v>
      </c>
      <c r="BH28" s="33">
        <f>IF('IO model'!$D$60=0,0,'Z domestic'!BH28/'IO model'!$D$60)</f>
        <v>0.0037418760179526245</v>
      </c>
      <c r="BI28" s="33">
        <f>IF('IO model'!$D$61=0,0,'Z domestic'!BI28/'IO model'!$D$61)</f>
        <v>0.0048990374570653875</v>
      </c>
      <c r="BJ28" s="33">
        <f>IF('IO model'!$D$62=0,0,'Z domestic'!BJ28/'IO model'!$D$62)</f>
        <v>0.002249220019265884</v>
      </c>
      <c r="BK28" s="33">
        <f>IF('IO model'!$D$63=0,0,'Z domestic'!BK28/'IO model'!$D$63)</f>
        <v>0.002349632869864084</v>
      </c>
      <c r="BL28" s="33">
        <f>IF('IO model'!$D$64=0,0,'Z domestic'!BL28/'IO model'!$D$64)</f>
        <v>0.006384331787947049</v>
      </c>
      <c r="BM28" s="33">
        <f>IF('IO model'!$D$65=0,0,'Z domestic'!BM28/'IO model'!$D$65)</f>
        <v>0</v>
      </c>
      <c r="BN28" s="33">
        <f>IF('IO model'!$D$66=0,0,'Z domestic'!BN28/'IO model'!$D$66)</f>
        <v>0</v>
      </c>
    </row>
    <row r="29" spans="1:66" x14ac:dyDescent="0.25">
      <c r="A29" s="30" t="s">
        <v>312</v>
      </c>
      <c r="B29" s="31" t="s">
        <v>313</v>
      </c>
      <c r="C29" s="33">
        <f>IF('IO model'!$D$3=0,0,'Z domestic'!C29/'IO model'!$D$3)</f>
        <v>0.011713874974141702</v>
      </c>
      <c r="D29" s="33">
        <f>IF('IO model'!$D$4=0,0,'Z domestic'!D29/'IO model'!$D$4)</f>
        <v>0.009562834967438002</v>
      </c>
      <c r="E29" s="33">
        <f>IF('IO model'!$D$5=0,0,'Z domestic'!E29/'IO model'!$D$5)</f>
        <v>0.017327387860647893</v>
      </c>
      <c r="F29" s="33">
        <f>IF('IO model'!$D$6=0,0,'Z domestic'!F29/'IO model'!$D$6)</f>
        <v>0.01277321664337642</v>
      </c>
      <c r="G29" s="33">
        <f>IF('IO model'!$D$7=0,0,'Z domestic'!G29/'IO model'!$D$7)</f>
        <v>0.005356081208353935</v>
      </c>
      <c r="H29" s="33">
        <f>IF('IO model'!$D$8=0,0,'Z domestic'!H29/'IO model'!$D$8)</f>
        <v>0.005900653305437419</v>
      </c>
      <c r="I29" s="33">
        <f>IF('IO model'!$D$9=0,0,'Z domestic'!I29/'IO model'!$D$9)</f>
        <v>0.0129382551770842</v>
      </c>
      <c r="J29" s="33">
        <f>IF('IO model'!$D$10=0,0,'Z domestic'!J29/'IO model'!$D$10)</f>
        <v>0.007048653282205715</v>
      </c>
      <c r="K29" s="33">
        <f>IF('IO model'!$D$11=0,0,'Z domestic'!K29/'IO model'!$D$11)</f>
        <v>0.010382413445531069</v>
      </c>
      <c r="L29" s="33">
        <f>IF('IO model'!$D$12=0,0,'Z domestic'!L29/'IO model'!$D$12)</f>
        <v>0.00487283586410135</v>
      </c>
      <c r="M29" s="33">
        <f>IF('IO model'!$D$13=0,0,'Z domestic'!M29/'IO model'!$D$13)</f>
        <v>0.008376295056624378</v>
      </c>
      <c r="N29" s="33">
        <f>IF('IO model'!$D$14=0,0,'Z domestic'!N29/'IO model'!$D$14)</f>
        <v>0.009093786213270026</v>
      </c>
      <c r="O29" s="33">
        <f>IF('IO model'!$D$15=0,0,'Z domestic'!O29/'IO model'!$D$15)</f>
        <v>0.008550786339931036</v>
      </c>
      <c r="P29" s="33">
        <f>IF('IO model'!$D$16=0,0,'Z domestic'!P29/'IO model'!$D$16)</f>
        <v>0.014350565700406031</v>
      </c>
      <c r="Q29" s="33">
        <f>IF('IO model'!$D$17=0,0,'Z domestic'!Q29/'IO model'!$D$17)</f>
        <v>0.008861777957899256</v>
      </c>
      <c r="R29" s="33">
        <f>IF('IO model'!$D$18=0,0,'Z domestic'!R29/'IO model'!$D$18)</f>
        <v>0.008990823427657836</v>
      </c>
      <c r="S29" s="33">
        <f>IF('IO model'!$D$19=0,0,'Z domestic'!S29/'IO model'!$D$19)</f>
        <v>0.005202954281254174</v>
      </c>
      <c r="T29" s="33">
        <f>IF('IO model'!$D$20=0,0,'Z domestic'!T29/'IO model'!$D$20)</f>
        <v>0.007100240351363019</v>
      </c>
      <c r="U29" s="33">
        <f>IF('IO model'!$D$21=0,0,'Z domestic'!U29/'IO model'!$D$21)</f>
        <v>0.0066371272658523285</v>
      </c>
      <c r="V29" s="33">
        <f>IF('IO model'!$D$22=0,0,'Z domestic'!V29/'IO model'!$D$22)</f>
        <v>0.005346851724482318</v>
      </c>
      <c r="W29" s="33">
        <f>IF('IO model'!$D$23=0,0,'Z domestic'!W29/'IO model'!$D$23)</f>
        <v>0.005671666292903931</v>
      </c>
      <c r="X29" s="33">
        <f>IF('IO model'!$D$24=0,0,'Z domestic'!X29/'IO model'!$D$24)</f>
        <v>0.006524653891183859</v>
      </c>
      <c r="Y29" s="33">
        <f>IF('IO model'!$D$25=0,0,'Z domestic'!Y29/'IO model'!$D$25)</f>
        <v>0.013862718216774667</v>
      </c>
      <c r="Z29" s="33">
        <f>IF('IO model'!$D$26=0,0,'Z domestic'!Z29/'IO model'!$D$26)</f>
        <v>0.024581982011424183</v>
      </c>
      <c r="AA29" s="33">
        <f>IF('IO model'!$D$27=0,0,'Z domestic'!AA29/'IO model'!$D$27)</f>
        <v>0.04610967851374794</v>
      </c>
      <c r="AB29" s="33">
        <f>IF('IO model'!$D$28=0,0,'Z domestic'!AB29/'IO model'!$D$28)</f>
        <v>0.029688719112379542</v>
      </c>
      <c r="AC29" s="33">
        <f>IF('IO model'!$D$29=0,0,'Z domestic'!AC29/'IO model'!$D$29)</f>
        <v>0.18156308340226776</v>
      </c>
      <c r="AD29" s="33">
        <f>IF('IO model'!$D$30=0,0,'Z domestic'!AD29/'IO model'!$D$30)</f>
        <v>0.007443661158833304</v>
      </c>
      <c r="AE29" s="33">
        <f>IF('IO model'!$D$31=0,0,'Z domestic'!AE29/'IO model'!$D$31)</f>
        <v>0.007227872339797775</v>
      </c>
      <c r="AF29" s="33">
        <f>IF('IO model'!$D$32=0,0,'Z domestic'!AF29/'IO model'!$D$32)</f>
        <v>0.009406328500376886</v>
      </c>
      <c r="AG29" s="33">
        <f>IF('IO model'!$D$33=0,0,'Z domestic'!AG29/'IO model'!$D$33)</f>
        <v>0.012616760823015678</v>
      </c>
      <c r="AH29" s="33">
        <f>IF('IO model'!$D$34=0,0,'Z domestic'!AH29/'IO model'!$D$34)</f>
        <v>0.004514054715320625</v>
      </c>
      <c r="AI29" s="33">
        <f>IF('IO model'!$D$35=0,0,'Z domestic'!AI29/'IO model'!$D$35)</f>
        <v>0.007203844243599517</v>
      </c>
      <c r="AJ29" s="33">
        <f>IF('IO model'!$D$36=0,0,'Z domestic'!AJ29/'IO model'!$D$36)</f>
        <v>0.025106781724577712</v>
      </c>
      <c r="AK29" s="33">
        <f>IF('IO model'!$D$37=0,0,'Z domestic'!AK29/'IO model'!$D$37)</f>
        <v>0.010723964516497476</v>
      </c>
      <c r="AL29" s="33">
        <f>IF('IO model'!$D$38=0,0,'Z domestic'!AL29/'IO model'!$D$38)</f>
        <v>0.013119654234348297</v>
      </c>
      <c r="AM29" s="33">
        <f>IF('IO model'!$D$39=0,0,'Z domestic'!AM29/'IO model'!$D$39)</f>
        <v>0.0043136755172479245</v>
      </c>
      <c r="AN29" s="33">
        <f>IF('IO model'!$D$40=0,0,'Z domestic'!AN29/'IO model'!$D$40)</f>
        <v>0.008163825832201481</v>
      </c>
      <c r="AO29" s="33">
        <f>IF('IO model'!$D$41=0,0,'Z domestic'!AO29/'IO model'!$D$41)</f>
        <v>0.017190799668247218</v>
      </c>
      <c r="AP29" s="33">
        <f>IF('IO model'!$D$42=0,0,'Z domestic'!AP29/'IO model'!$D$42)</f>
        <v>0.004354490350449383</v>
      </c>
      <c r="AQ29" s="33">
        <f>IF('IO model'!$D$43=0,0,'Z domestic'!AQ29/'IO model'!$D$43)</f>
        <v>0.003844468250001168</v>
      </c>
      <c r="AR29" s="33">
        <f>IF('IO model'!$D$44=0,0,'Z domestic'!AR29/'IO model'!$D$44)</f>
        <v>0.004815969446598474</v>
      </c>
      <c r="AS29" s="33">
        <f>IF('IO model'!$D$45=0,0,'Z domestic'!AS29/'IO model'!$D$45)</f>
        <v>0.007080885399769369</v>
      </c>
      <c r="AT29" s="33">
        <f>IF('IO model'!$D$46=0,0,'Z domestic'!AT29/'IO model'!$D$46)</f>
        <v>0.05193815830856881</v>
      </c>
      <c r="AU29" s="33">
        <f>IF('IO model'!$D$47=0,0,'Z domestic'!AU29/'IO model'!$D$47)</f>
        <v>0.007151800578542905</v>
      </c>
      <c r="AV29" s="33">
        <f>IF('IO model'!$D$48=0,0,'Z domestic'!AV29/'IO model'!$D$48)</f>
        <v>0.02367566704473636</v>
      </c>
      <c r="AW29" s="33">
        <f>IF('IO model'!$D$49=0,0,'Z domestic'!AW29/'IO model'!$D$49)</f>
        <v>0.009406652009664012</v>
      </c>
      <c r="AX29" s="33">
        <f>IF('IO model'!$D$50=0,0,'Z domestic'!AX29/'IO model'!$D$50)</f>
        <v>0.006718192111336658</v>
      </c>
      <c r="AY29" s="33">
        <f>IF('IO model'!$D$51=0,0,'Z domestic'!AY29/'IO model'!$D$51)</f>
        <v>0.011222512127047956</v>
      </c>
      <c r="AZ29" s="33">
        <f>IF('IO model'!$D$52=0,0,'Z domestic'!AZ29/'IO model'!$D$52)</f>
        <v>0.006538427715768114</v>
      </c>
      <c r="BA29" s="33">
        <f>IF('IO model'!$D$53=0,0,'Z domestic'!BA29/'IO model'!$D$53)</f>
        <v>0.005565505801463323</v>
      </c>
      <c r="BB29" s="33">
        <f>IF('IO model'!$D$54=0,0,'Z domestic'!BB29/'IO model'!$D$54)</f>
        <v>0.005385227244622551</v>
      </c>
      <c r="BC29" s="33">
        <f>IF('IO model'!$D$55=0,0,'Z domestic'!BC29/'IO model'!$D$55)</f>
        <v>0.01226142878814663</v>
      </c>
      <c r="BD29" s="33">
        <f>IF('IO model'!$D$56=0,0,'Z domestic'!BD29/'IO model'!$D$56)</f>
        <v>0.025186854040219614</v>
      </c>
      <c r="BE29" s="33">
        <f>IF('IO model'!$D$57=0,0,'Z domestic'!BE29/'IO model'!$D$57)</f>
        <v>0.01260222254606581</v>
      </c>
      <c r="BF29" s="33">
        <f>IF('IO model'!$D$58=0,0,'Z domestic'!BF29/'IO model'!$D$58)</f>
        <v>0.009294142973322064</v>
      </c>
      <c r="BG29" s="33">
        <f>IF('IO model'!$D$59=0,0,'Z domestic'!BG29/'IO model'!$D$59)</f>
        <v>0.011671814097875334</v>
      </c>
      <c r="BH29" s="33">
        <f>IF('IO model'!$D$60=0,0,'Z domestic'!BH29/'IO model'!$D$60)</f>
        <v>0.015976946482531798</v>
      </c>
      <c r="BI29" s="33">
        <f>IF('IO model'!$D$61=0,0,'Z domestic'!BI29/'IO model'!$D$61)</f>
        <v>0.017645547529324873</v>
      </c>
      <c r="BJ29" s="33">
        <f>IF('IO model'!$D$62=0,0,'Z domestic'!BJ29/'IO model'!$D$62)</f>
        <v>0.014315414144609148</v>
      </c>
      <c r="BK29" s="33">
        <f>IF('IO model'!$D$63=0,0,'Z domestic'!BK29/'IO model'!$D$63)</f>
        <v>0.009810967036400562</v>
      </c>
      <c r="BL29" s="33">
        <f>IF('IO model'!$D$64=0,0,'Z domestic'!BL29/'IO model'!$D$64)</f>
        <v>0.008652819538802705</v>
      </c>
      <c r="BM29" s="33">
        <f>IF('IO model'!$D$65=0,0,'Z domestic'!BM29/'IO model'!$D$65)</f>
        <v>0</v>
      </c>
      <c r="BN29" s="33">
        <f>IF('IO model'!$D$66=0,0,'Z domestic'!BN29/'IO model'!$D$66)</f>
        <v>0</v>
      </c>
    </row>
    <row r="30" spans="1:66" x14ac:dyDescent="0.25">
      <c r="A30" s="30" t="s">
        <v>314</v>
      </c>
      <c r="B30" s="31" t="s">
        <v>315</v>
      </c>
      <c r="C30" s="33">
        <f>IF('IO model'!$D$3=0,0,'Z domestic'!C30/'IO model'!$D$3)</f>
        <v>0.005210589115336306</v>
      </c>
      <c r="D30" s="33">
        <f>IF('IO model'!$D$4=0,0,'Z domestic'!D30/'IO model'!$D$4)</f>
        <v>0.00639230361520638</v>
      </c>
      <c r="E30" s="33">
        <f>IF('IO model'!$D$5=0,0,'Z domestic'!E30/'IO model'!$D$5)</f>
        <v>0.010268835814007154</v>
      </c>
      <c r="F30" s="33">
        <f>IF('IO model'!$D$6=0,0,'Z domestic'!F30/'IO model'!$D$6)</f>
        <v>0.0043584286519629</v>
      </c>
      <c r="G30" s="33">
        <f>IF('IO model'!$D$7=0,0,'Z domestic'!G30/'IO model'!$D$7)</f>
        <v>0.004005085823267641</v>
      </c>
      <c r="H30" s="33">
        <f>IF('IO model'!$D$8=0,0,'Z domestic'!H30/'IO model'!$D$8)</f>
        <v>0.004464136711057708</v>
      </c>
      <c r="I30" s="33">
        <f>IF('IO model'!$D$9=0,0,'Z domestic'!I30/'IO model'!$D$9)</f>
        <v>0.0048445615934834055</v>
      </c>
      <c r="J30" s="33">
        <f>IF('IO model'!$D$10=0,0,'Z domestic'!J30/'IO model'!$D$10)</f>
        <v>0.003244568363015059</v>
      </c>
      <c r="K30" s="33">
        <f>IF('IO model'!$D$11=0,0,'Z domestic'!K30/'IO model'!$D$11)</f>
        <v>0.004930331347268485</v>
      </c>
      <c r="L30" s="33">
        <f>IF('IO model'!$D$12=0,0,'Z domestic'!L30/'IO model'!$D$12)</f>
        <v>0.0017370578901129508</v>
      </c>
      <c r="M30" s="33">
        <f>IF('IO model'!$D$13=0,0,'Z domestic'!M30/'IO model'!$D$13)</f>
        <v>0.003110263301587752</v>
      </c>
      <c r="N30" s="33">
        <f>IF('IO model'!$D$14=0,0,'Z domestic'!N30/'IO model'!$D$14)</f>
        <v>0.0025014572771550085</v>
      </c>
      <c r="O30" s="33">
        <f>IF('IO model'!$D$15=0,0,'Z domestic'!O30/'IO model'!$D$15)</f>
        <v>0.0036615796756542234</v>
      </c>
      <c r="P30" s="33">
        <f>IF('IO model'!$D$16=0,0,'Z domestic'!P30/'IO model'!$D$16)</f>
        <v>0.006328952001998538</v>
      </c>
      <c r="Q30" s="33">
        <f>IF('IO model'!$D$17=0,0,'Z domestic'!Q30/'IO model'!$D$17)</f>
        <v>0.0024985894899118735</v>
      </c>
      <c r="R30" s="33">
        <f>IF('IO model'!$D$18=0,0,'Z domestic'!R30/'IO model'!$D$18)</f>
        <v>0.0033370808430152887</v>
      </c>
      <c r="S30" s="33">
        <f>IF('IO model'!$D$19=0,0,'Z domestic'!S30/'IO model'!$D$19)</f>
        <v>0.003169824192843781</v>
      </c>
      <c r="T30" s="33">
        <f>IF('IO model'!$D$20=0,0,'Z domestic'!T30/'IO model'!$D$20)</f>
        <v>0.0038654499522333802</v>
      </c>
      <c r="U30" s="33">
        <f>IF('IO model'!$D$21=0,0,'Z domestic'!U30/'IO model'!$D$21)</f>
        <v>0.0057935662081538145</v>
      </c>
      <c r="V30" s="33">
        <f>IF('IO model'!$D$22=0,0,'Z domestic'!V30/'IO model'!$D$22)</f>
        <v>0.03407958415868943</v>
      </c>
      <c r="W30" s="33">
        <f>IF('IO model'!$D$23=0,0,'Z domestic'!W30/'IO model'!$D$23)</f>
        <v>0.008393904882513912</v>
      </c>
      <c r="X30" s="33">
        <f>IF('IO model'!$D$24=0,0,'Z domestic'!X30/'IO model'!$D$24)</f>
        <v>0.003926292983675507</v>
      </c>
      <c r="Y30" s="33">
        <f>IF('IO model'!$D$25=0,0,'Z domestic'!Y30/'IO model'!$D$25)</f>
        <v>0.0070894982245843065</v>
      </c>
      <c r="Z30" s="33">
        <f>IF('IO model'!$D$26=0,0,'Z domestic'!Z30/'IO model'!$D$26)</f>
        <v>0.001346701051207231</v>
      </c>
      <c r="AA30" s="33">
        <f>IF('IO model'!$D$27=0,0,'Z domestic'!AA30/'IO model'!$D$27)</f>
        <v>0.004497357891330719</v>
      </c>
      <c r="AB30" s="33">
        <f>IF('IO model'!$D$28=0,0,'Z domestic'!AB30/'IO model'!$D$28)</f>
        <v>0.0088577652341315</v>
      </c>
      <c r="AC30" s="33">
        <f>IF('IO model'!$D$29=0,0,'Z domestic'!AC30/'IO model'!$D$29)</f>
        <v>0.004011999633376147</v>
      </c>
      <c r="AD30" s="33">
        <f>IF('IO model'!$D$30=0,0,'Z domestic'!AD30/'IO model'!$D$30)</f>
        <v>0.04379969363820509</v>
      </c>
      <c r="AE30" s="33">
        <f>IF('IO model'!$D$31=0,0,'Z domestic'!AE30/'IO model'!$D$31)</f>
        <v>0.005359668169355096</v>
      </c>
      <c r="AF30" s="33">
        <f>IF('IO model'!$D$32=0,0,'Z domestic'!AF30/'IO model'!$D$32)</f>
        <v>0.006039463310679696</v>
      </c>
      <c r="AG30" s="33">
        <f>IF('IO model'!$D$33=0,0,'Z domestic'!AG30/'IO model'!$D$33)</f>
        <v>0.026420070364074382</v>
      </c>
      <c r="AH30" s="33">
        <f>IF('IO model'!$D$34=0,0,'Z domestic'!AH30/'IO model'!$D$34)</f>
        <v>0.0018652657649713645</v>
      </c>
      <c r="AI30" s="33">
        <f>IF('IO model'!$D$35=0,0,'Z domestic'!AI30/'IO model'!$D$35)</f>
        <v>0.007389856030672964</v>
      </c>
      <c r="AJ30" s="33">
        <f>IF('IO model'!$D$36=0,0,'Z domestic'!AJ30/'IO model'!$D$36)</f>
        <v>0.008306188109445979</v>
      </c>
      <c r="AK30" s="33">
        <f>IF('IO model'!$D$37=0,0,'Z domestic'!AK30/'IO model'!$D$37)</f>
        <v>0.033422053626744844</v>
      </c>
      <c r="AL30" s="33">
        <f>IF('IO model'!$D$38=0,0,'Z domestic'!AL30/'IO model'!$D$38)</f>
        <v>0.0036631249886636347</v>
      </c>
      <c r="AM30" s="33">
        <f>IF('IO model'!$D$39=0,0,'Z domestic'!AM30/'IO model'!$D$39)</f>
        <v>0.0024361014784709365</v>
      </c>
      <c r="AN30" s="33">
        <f>IF('IO model'!$D$40=0,0,'Z domestic'!AN30/'IO model'!$D$40)</f>
        <v>0.00527933970879322</v>
      </c>
      <c r="AO30" s="33">
        <f>IF('IO model'!$D$41=0,0,'Z domestic'!AO30/'IO model'!$D$41)</f>
        <v>0.004192792972788373</v>
      </c>
      <c r="AP30" s="33">
        <f>IF('IO model'!$D$42=0,0,'Z domestic'!AP30/'IO model'!$D$42)</f>
        <v>0.001824622175387259</v>
      </c>
      <c r="AQ30" s="33">
        <f>IF('IO model'!$D$43=0,0,'Z domestic'!AQ30/'IO model'!$D$43)</f>
        <v>0.0009218095317646193</v>
      </c>
      <c r="AR30" s="33">
        <f>IF('IO model'!$D$44=0,0,'Z domestic'!AR30/'IO model'!$D$44)</f>
        <v>0.0013774156183377242</v>
      </c>
      <c r="AS30" s="33">
        <f>IF('IO model'!$D$45=0,0,'Z domestic'!AS30/'IO model'!$D$45)</f>
        <v>0.0028071065826793915</v>
      </c>
      <c r="AT30" s="33">
        <f>IF('IO model'!$D$46=0,0,'Z domestic'!AT30/'IO model'!$D$46)</f>
        <v>0.00044615978211013085</v>
      </c>
      <c r="AU30" s="33">
        <f>IF('IO model'!$D$47=0,0,'Z domestic'!AU30/'IO model'!$D$47)</f>
        <v>0.0021228408040480013</v>
      </c>
      <c r="AV30" s="33">
        <f>IF('IO model'!$D$48=0,0,'Z domestic'!AV30/'IO model'!$D$48)</f>
        <v>0.002759254642206761</v>
      </c>
      <c r="AW30" s="33">
        <f>IF('IO model'!$D$49=0,0,'Z domestic'!AW30/'IO model'!$D$49)</f>
        <v>0.004009839928102231</v>
      </c>
      <c r="AX30" s="33">
        <f>IF('IO model'!$D$50=0,0,'Z domestic'!AX30/'IO model'!$D$50)</f>
        <v>0.0036961639702198755</v>
      </c>
      <c r="AY30" s="33">
        <f>IF('IO model'!$D$51=0,0,'Z domestic'!AY30/'IO model'!$D$51)</f>
        <v>0.004906738177434043</v>
      </c>
      <c r="AZ30" s="33">
        <f>IF('IO model'!$D$52=0,0,'Z domestic'!AZ30/'IO model'!$D$52)</f>
        <v>0.02060948243011292</v>
      </c>
      <c r="BA30" s="33">
        <f>IF('IO model'!$D$53=0,0,'Z domestic'!BA30/'IO model'!$D$53)</f>
        <v>0.0018107968493766555</v>
      </c>
      <c r="BB30" s="33">
        <f>IF('IO model'!$D$54=0,0,'Z domestic'!BB30/'IO model'!$D$54)</f>
        <v>0.003145770522303217</v>
      </c>
      <c r="BC30" s="33">
        <f>IF('IO model'!$D$55=0,0,'Z domestic'!BC30/'IO model'!$D$55)</f>
        <v>0.0033871376218792826</v>
      </c>
      <c r="BD30" s="33">
        <f>IF('IO model'!$D$56=0,0,'Z domestic'!BD30/'IO model'!$D$56)</f>
        <v>0.0022987568030295924</v>
      </c>
      <c r="BE30" s="33">
        <f>IF('IO model'!$D$57=0,0,'Z domestic'!BE30/'IO model'!$D$57)</f>
        <v>0.001151751127709978</v>
      </c>
      <c r="BF30" s="33">
        <f>IF('IO model'!$D$58=0,0,'Z domestic'!BF30/'IO model'!$D$58)</f>
        <v>0.0024234185390122945</v>
      </c>
      <c r="BG30" s="33">
        <f>IF('IO model'!$D$59=0,0,'Z domestic'!BG30/'IO model'!$D$59)</f>
        <v>0.0024921977041460885</v>
      </c>
      <c r="BH30" s="33">
        <f>IF('IO model'!$D$60=0,0,'Z domestic'!BH30/'IO model'!$D$60)</f>
        <v>0.003040983449159539</v>
      </c>
      <c r="BI30" s="33">
        <f>IF('IO model'!$D$61=0,0,'Z domestic'!BI30/'IO model'!$D$61)</f>
        <v>0.004423237976406666</v>
      </c>
      <c r="BJ30" s="33">
        <f>IF('IO model'!$D$62=0,0,'Z domestic'!BJ30/'IO model'!$D$62)</f>
        <v>0.004784840337584289</v>
      </c>
      <c r="BK30" s="33">
        <f>IF('IO model'!$D$63=0,0,'Z domestic'!BK30/'IO model'!$D$63)</f>
        <v>0.007351976253710358</v>
      </c>
      <c r="BL30" s="33">
        <f>IF('IO model'!$D$64=0,0,'Z domestic'!BL30/'IO model'!$D$64)</f>
        <v>0.0030486947841754284</v>
      </c>
      <c r="BM30" s="33">
        <f>IF('IO model'!$D$65=0,0,'Z domestic'!BM30/'IO model'!$D$65)</f>
        <v>0</v>
      </c>
      <c r="BN30" s="33">
        <f>IF('IO model'!$D$66=0,0,'Z domestic'!BN30/'IO model'!$D$66)</f>
        <v>0</v>
      </c>
    </row>
    <row r="31" spans="1:66" x14ac:dyDescent="0.25">
      <c r="A31" s="30" t="s">
        <v>317</v>
      </c>
      <c r="B31" s="31" t="s">
        <v>318</v>
      </c>
      <c r="C31" s="33">
        <f>IF('IO model'!$D$3=0,0,'Z domestic'!C31/'IO model'!$D$3)</f>
        <v>0.0439555298354583</v>
      </c>
      <c r="D31" s="33">
        <f>IF('IO model'!$D$4=0,0,'Z domestic'!D31/'IO model'!$D$4)</f>
        <v>0.03386223560891015</v>
      </c>
      <c r="E31" s="33">
        <f>IF('IO model'!$D$5=0,0,'Z domestic'!E31/'IO model'!$D$5)</f>
        <v>0.0408174346235552</v>
      </c>
      <c r="F31" s="33">
        <f>IF('IO model'!$D$6=0,0,'Z domestic'!F31/'IO model'!$D$6)</f>
        <v>0.01983006994419522</v>
      </c>
      <c r="G31" s="33">
        <f>IF('IO model'!$D$7=0,0,'Z domestic'!G31/'IO model'!$D$7)</f>
        <v>0.06873763862400224</v>
      </c>
      <c r="H31" s="33">
        <f>IF('IO model'!$D$8=0,0,'Z domestic'!H31/'IO model'!$D$8)</f>
        <v>0.06632789292747238</v>
      </c>
      <c r="I31" s="33">
        <f>IF('IO model'!$D$9=0,0,'Z domestic'!I31/'IO model'!$D$9)</f>
        <v>0.05931660168968442</v>
      </c>
      <c r="J31" s="33">
        <f>IF('IO model'!$D$10=0,0,'Z domestic'!J31/'IO model'!$D$10)</f>
        <v>0.04781355904087743</v>
      </c>
      <c r="K31" s="33">
        <f>IF('IO model'!$D$11=0,0,'Z domestic'!K31/'IO model'!$D$11)</f>
        <v>0.04378156983001161</v>
      </c>
      <c r="L31" s="33">
        <f>IF('IO model'!$D$12=0,0,'Z domestic'!L31/'IO model'!$D$12)</f>
        <v>0.02280804582732319</v>
      </c>
      <c r="M31" s="33">
        <f>IF('IO model'!$D$13=0,0,'Z domestic'!M31/'IO model'!$D$13)</f>
        <v>0.054197563256754705</v>
      </c>
      <c r="N31" s="33">
        <f>IF('IO model'!$D$14=0,0,'Z domestic'!N31/'IO model'!$D$14)</f>
        <v>0.044486379100896346</v>
      </c>
      <c r="O31" s="33">
        <f>IF('IO model'!$D$15=0,0,'Z domestic'!O31/'IO model'!$D$15)</f>
        <v>0.04779533047690506</v>
      </c>
      <c r="P31" s="33">
        <f>IF('IO model'!$D$16=0,0,'Z domestic'!P31/'IO model'!$D$16)</f>
        <v>0.053819418317315945</v>
      </c>
      <c r="Q31" s="33">
        <f>IF('IO model'!$D$17=0,0,'Z domestic'!Q31/'IO model'!$D$17)</f>
        <v>0.04242675280711375</v>
      </c>
      <c r="R31" s="33">
        <f>IF('IO model'!$D$18=0,0,'Z domestic'!R31/'IO model'!$D$18)</f>
        <v>0.0423808307120231</v>
      </c>
      <c r="S31" s="33">
        <f>IF('IO model'!$D$19=0,0,'Z domestic'!S31/'IO model'!$D$19)</f>
        <v>0.04936193724131083</v>
      </c>
      <c r="T31" s="33">
        <f>IF('IO model'!$D$20=0,0,'Z domestic'!T31/'IO model'!$D$20)</f>
        <v>0.05256015337225085</v>
      </c>
      <c r="U31" s="33">
        <f>IF('IO model'!$D$21=0,0,'Z domestic'!U31/'IO model'!$D$21)</f>
        <v>0.04916723338547905</v>
      </c>
      <c r="V31" s="33">
        <f>IF('IO model'!$D$22=0,0,'Z domestic'!V31/'IO model'!$D$22)</f>
        <v>0.039602534522149055</v>
      </c>
      <c r="W31" s="33">
        <f>IF('IO model'!$D$23=0,0,'Z domestic'!W31/'IO model'!$D$23)</f>
        <v>0.0397672557460524</v>
      </c>
      <c r="X31" s="33">
        <f>IF('IO model'!$D$24=0,0,'Z domestic'!X31/'IO model'!$D$24)</f>
        <v>0.06439649094484617</v>
      </c>
      <c r="Y31" s="33">
        <f>IF('IO model'!$D$25=0,0,'Z domestic'!Y31/'IO model'!$D$25)</f>
        <v>0.0513793988523966</v>
      </c>
      <c r="Z31" s="33">
        <f>IF('IO model'!$D$26=0,0,'Z domestic'!Z31/'IO model'!$D$26)</f>
        <v>0.016397750593144036</v>
      </c>
      <c r="AA31" s="33">
        <f>IF('IO model'!$D$27=0,0,'Z domestic'!AA31/'IO model'!$D$27)</f>
        <v>0.016281718489628994</v>
      </c>
      <c r="AB31" s="33">
        <f>IF('IO model'!$D$28=0,0,'Z domestic'!AB31/'IO model'!$D$28)</f>
        <v>0.030018631993361838</v>
      </c>
      <c r="AC31" s="33">
        <f>IF('IO model'!$D$29=0,0,'Z domestic'!AC31/'IO model'!$D$29)</f>
        <v>0.04048715618757536</v>
      </c>
      <c r="AD31" s="33">
        <f>IF('IO model'!$D$30=0,0,'Z domestic'!AD31/'IO model'!$D$30)</f>
        <v>0.02816603598212635</v>
      </c>
      <c r="AE31" s="33">
        <f>IF('IO model'!$D$31=0,0,'Z domestic'!AE31/'IO model'!$D$31)</f>
        <v>0.052041168806085544</v>
      </c>
      <c r="AF31" s="33">
        <f>IF('IO model'!$D$32=0,0,'Z domestic'!AF31/'IO model'!$D$32)</f>
        <v>0.02466236111647637</v>
      </c>
      <c r="AG31" s="33">
        <f>IF('IO model'!$D$33=0,0,'Z domestic'!AG31/'IO model'!$D$33)</f>
        <v>0.017598271021610417</v>
      </c>
      <c r="AH31" s="33">
        <f>IF('IO model'!$D$34=0,0,'Z domestic'!AH31/'IO model'!$D$34)</f>
        <v>0.016733326210395284</v>
      </c>
      <c r="AI31" s="33">
        <f>IF('IO model'!$D$35=0,0,'Z domestic'!AI31/'IO model'!$D$35)</f>
        <v>0.023963253181655694</v>
      </c>
      <c r="AJ31" s="33">
        <f>IF('IO model'!$D$36=0,0,'Z domestic'!AJ31/'IO model'!$D$36)</f>
        <v>0.013810816615881818</v>
      </c>
      <c r="AK31" s="33">
        <f>IF('IO model'!$D$37=0,0,'Z domestic'!AK31/'IO model'!$D$37)</f>
        <v>0.011965817882273131</v>
      </c>
      <c r="AL31" s="33">
        <f>IF('IO model'!$D$38=0,0,'Z domestic'!AL31/'IO model'!$D$38)</f>
        <v>0.04578089454154384</v>
      </c>
      <c r="AM31" s="33">
        <f>IF('IO model'!$D$39=0,0,'Z domestic'!AM31/'IO model'!$D$39)</f>
        <v>0.034383780652356435</v>
      </c>
      <c r="AN31" s="33">
        <f>IF('IO model'!$D$40=0,0,'Z domestic'!AN31/'IO model'!$D$40)</f>
        <v>0.021449381846163827</v>
      </c>
      <c r="AO31" s="33">
        <f>IF('IO model'!$D$41=0,0,'Z domestic'!AO31/'IO model'!$D$41)</f>
        <v>0.025114940258943737</v>
      </c>
      <c r="AP31" s="33">
        <f>IF('IO model'!$D$42=0,0,'Z domestic'!AP31/'IO model'!$D$42)</f>
        <v>0.02134516738660907</v>
      </c>
      <c r="AQ31" s="33">
        <f>IF('IO model'!$D$43=0,0,'Z domestic'!AQ31/'IO model'!$D$43)</f>
        <v>0.0029962404983332044</v>
      </c>
      <c r="AR31" s="33">
        <f>IF('IO model'!$D$44=0,0,'Z domestic'!AR31/'IO model'!$D$44)</f>
        <v>0.0031464200778641136</v>
      </c>
      <c r="AS31" s="33">
        <f>IF('IO model'!$D$45=0,0,'Z domestic'!AS31/'IO model'!$D$45)</f>
        <v>0.0169566711743978</v>
      </c>
      <c r="AT31" s="33">
        <f>IF('IO model'!$D$46=0,0,'Z domestic'!AT31/'IO model'!$D$46)</f>
        <v>0.0031164791922990392</v>
      </c>
      <c r="AU31" s="33">
        <f>IF('IO model'!$D$47=0,0,'Z domestic'!AU31/'IO model'!$D$47)</f>
        <v>0.011896180456283784</v>
      </c>
      <c r="AV31" s="33">
        <f>IF('IO model'!$D$48=0,0,'Z domestic'!AV31/'IO model'!$D$48)</f>
        <v>0.01531360680721701</v>
      </c>
      <c r="AW31" s="33">
        <f>IF('IO model'!$D$49=0,0,'Z domestic'!AW31/'IO model'!$D$49)</f>
        <v>0.014096539940196497</v>
      </c>
      <c r="AX31" s="33">
        <f>IF('IO model'!$D$50=0,0,'Z domestic'!AX31/'IO model'!$D$50)</f>
        <v>0.0204719529958214</v>
      </c>
      <c r="AY31" s="33">
        <f>IF('IO model'!$D$51=0,0,'Z domestic'!AY31/'IO model'!$D$51)</f>
        <v>0.02385959047631923</v>
      </c>
      <c r="AZ31" s="33">
        <f>IF('IO model'!$D$52=0,0,'Z domestic'!AZ31/'IO model'!$D$52)</f>
        <v>0.01889928595700977</v>
      </c>
      <c r="BA31" s="33">
        <f>IF('IO model'!$D$53=0,0,'Z domestic'!BA31/'IO model'!$D$53)</f>
        <v>0.004957469676559993</v>
      </c>
      <c r="BB31" s="33">
        <f>IF('IO model'!$D$54=0,0,'Z domestic'!BB31/'IO model'!$D$54)</f>
        <v>0.013570772656448828</v>
      </c>
      <c r="BC31" s="33">
        <f>IF('IO model'!$D$55=0,0,'Z domestic'!BC31/'IO model'!$D$55)</f>
        <v>0.020349154289110133</v>
      </c>
      <c r="BD31" s="33">
        <f>IF('IO model'!$D$56=0,0,'Z domestic'!BD31/'IO model'!$D$56)</f>
        <v>0.008835776852972424</v>
      </c>
      <c r="BE31" s="33">
        <f>IF('IO model'!$D$57=0,0,'Z domestic'!BE31/'IO model'!$D$57)</f>
        <v>0.007053059135721718</v>
      </c>
      <c r="BF31" s="33">
        <f>IF('IO model'!$D$58=0,0,'Z domestic'!BF31/'IO model'!$D$58)</f>
        <v>0.032994530465149656</v>
      </c>
      <c r="BG31" s="33">
        <f>IF('IO model'!$D$59=0,0,'Z domestic'!BG31/'IO model'!$D$59)</f>
        <v>0.016709325242036235</v>
      </c>
      <c r="BH31" s="33">
        <f>IF('IO model'!$D$60=0,0,'Z domestic'!BH31/'IO model'!$D$60)</f>
        <v>0.018335803477753855</v>
      </c>
      <c r="BI31" s="33">
        <f>IF('IO model'!$D$61=0,0,'Z domestic'!BI31/'IO model'!$D$61)</f>
        <v>0.019737192478739722</v>
      </c>
      <c r="BJ31" s="33">
        <f>IF('IO model'!$D$62=0,0,'Z domestic'!BJ31/'IO model'!$D$62)</f>
        <v>0.013444711227409317</v>
      </c>
      <c r="BK31" s="33">
        <f>IF('IO model'!$D$63=0,0,'Z domestic'!BK31/'IO model'!$D$63)</f>
        <v>0.03825027339478207</v>
      </c>
      <c r="BL31" s="33">
        <f>IF('IO model'!$D$64=0,0,'Z domestic'!BL31/'IO model'!$D$64)</f>
        <v>0.016896176242987553</v>
      </c>
      <c r="BM31" s="33">
        <f>IF('IO model'!$D$65=0,0,'Z domestic'!BM31/'IO model'!$D$65)</f>
        <v>0</v>
      </c>
      <c r="BN31" s="33">
        <f>IF('IO model'!$D$66=0,0,'Z domestic'!BN31/'IO model'!$D$66)</f>
        <v>0</v>
      </c>
    </row>
    <row r="32" spans="1:66" x14ac:dyDescent="0.25">
      <c r="A32" s="30" t="s">
        <v>319</v>
      </c>
      <c r="B32" s="31" t="s">
        <v>320</v>
      </c>
      <c r="C32" s="33">
        <f>IF('IO model'!$D$3=0,0,'Z domestic'!C32/'IO model'!$D$3)</f>
        <v>0.016691062935390476</v>
      </c>
      <c r="D32" s="33">
        <f>IF('IO model'!$D$4=0,0,'Z domestic'!D32/'IO model'!$D$4)</f>
        <v>0.010939934443659817</v>
      </c>
      <c r="E32" s="33">
        <f>IF('IO model'!$D$5=0,0,'Z domestic'!E32/'IO model'!$D$5)</f>
        <v>0.0255940382383483</v>
      </c>
      <c r="F32" s="33">
        <f>IF('IO model'!$D$6=0,0,'Z domestic'!F32/'IO model'!$D$6)</f>
        <v>0.008622288491801895</v>
      </c>
      <c r="G32" s="33">
        <f>IF('IO model'!$D$7=0,0,'Z domestic'!G32/'IO model'!$D$7)</f>
        <v>0.021066139247957427</v>
      </c>
      <c r="H32" s="33">
        <f>IF('IO model'!$D$8=0,0,'Z domestic'!H32/'IO model'!$D$8)</f>
        <v>0.018488947912988638</v>
      </c>
      <c r="I32" s="33">
        <f>IF('IO model'!$D$9=0,0,'Z domestic'!I32/'IO model'!$D$9)</f>
        <v>0.016470830511629383</v>
      </c>
      <c r="J32" s="33">
        <f>IF('IO model'!$D$10=0,0,'Z domestic'!J32/'IO model'!$D$10)</f>
        <v>0.011299723783533446</v>
      </c>
      <c r="K32" s="33">
        <f>IF('IO model'!$D$11=0,0,'Z domestic'!K32/'IO model'!$D$11)</f>
        <v>0.015764833999383</v>
      </c>
      <c r="L32" s="33">
        <f>IF('IO model'!$D$12=0,0,'Z domestic'!L32/'IO model'!$D$12)</f>
        <v>0.0046022758268658235</v>
      </c>
      <c r="M32" s="33">
        <f>IF('IO model'!$D$13=0,0,'Z domestic'!M32/'IO model'!$D$13)</f>
        <v>0.013470716296616721</v>
      </c>
      <c r="N32" s="33">
        <f>IF('IO model'!$D$14=0,0,'Z domestic'!N32/'IO model'!$D$14)</f>
        <v>0.00910804949844369</v>
      </c>
      <c r="O32" s="33">
        <f>IF('IO model'!$D$15=0,0,'Z domestic'!O32/'IO model'!$D$15)</f>
        <v>0.013383656697195715</v>
      </c>
      <c r="P32" s="33">
        <f>IF('IO model'!$D$16=0,0,'Z domestic'!P32/'IO model'!$D$16)</f>
        <v>0.014321972170971248</v>
      </c>
      <c r="Q32" s="33">
        <f>IF('IO model'!$D$17=0,0,'Z domestic'!Q32/'IO model'!$D$17)</f>
        <v>0.00791117362385868</v>
      </c>
      <c r="R32" s="33">
        <f>IF('IO model'!$D$18=0,0,'Z domestic'!R32/'IO model'!$D$18)</f>
        <v>0.010451216271412921</v>
      </c>
      <c r="S32" s="33">
        <f>IF('IO model'!$D$19=0,0,'Z domestic'!S32/'IO model'!$D$19)</f>
        <v>0.017088454563257464</v>
      </c>
      <c r="T32" s="33">
        <f>IF('IO model'!$D$20=0,0,'Z domestic'!T32/'IO model'!$D$20)</f>
        <v>0.014842300075082231</v>
      </c>
      <c r="U32" s="33">
        <f>IF('IO model'!$D$21=0,0,'Z domestic'!U32/'IO model'!$D$21)</f>
        <v>0.009902920877617334</v>
      </c>
      <c r="V32" s="33">
        <f>IF('IO model'!$D$22=0,0,'Z domestic'!V32/'IO model'!$D$22)</f>
        <v>0.01165088625650737</v>
      </c>
      <c r="W32" s="33">
        <f>IF('IO model'!$D$23=0,0,'Z domestic'!W32/'IO model'!$D$23)</f>
        <v>0.01683654549425358</v>
      </c>
      <c r="X32" s="33">
        <f>IF('IO model'!$D$24=0,0,'Z domestic'!X32/'IO model'!$D$24)</f>
        <v>0.019876478744157707</v>
      </c>
      <c r="Y32" s="33">
        <f>IF('IO model'!$D$25=0,0,'Z domestic'!Y32/'IO model'!$D$25)</f>
        <v>0.012049389684382707</v>
      </c>
      <c r="Z32" s="33">
        <f>IF('IO model'!$D$26=0,0,'Z domestic'!Z32/'IO model'!$D$26)</f>
        <v>0.00444209547112169</v>
      </c>
      <c r="AA32" s="33">
        <f>IF('IO model'!$D$27=0,0,'Z domestic'!AA32/'IO model'!$D$27)</f>
        <v>0.007744578581172676</v>
      </c>
      <c r="AB32" s="33">
        <f>IF('IO model'!$D$28=0,0,'Z domestic'!AB32/'IO model'!$D$28)</f>
        <v>0.006642291872790547</v>
      </c>
      <c r="AC32" s="33">
        <f>IF('IO model'!$D$29=0,0,'Z domestic'!AC32/'IO model'!$D$29)</f>
        <v>0.009498039910626572</v>
      </c>
      <c r="AD32" s="33">
        <f>IF('IO model'!$D$30=0,0,'Z domestic'!AD32/'IO model'!$D$30)</f>
        <v>0.007436768879982532</v>
      </c>
      <c r="AE32" s="33">
        <f>IF('IO model'!$D$31=0,0,'Z domestic'!AE32/'IO model'!$D$31)</f>
        <v>0.005832932185198575</v>
      </c>
      <c r="AF32" s="33">
        <f>IF('IO model'!$D$32=0,0,'Z domestic'!AF32/'IO model'!$D$32)</f>
        <v>0.005770749302588121</v>
      </c>
      <c r="AG32" s="33">
        <f>IF('IO model'!$D$33=0,0,'Z domestic'!AG32/'IO model'!$D$33)</f>
        <v>0.0071738150118486515</v>
      </c>
      <c r="AH32" s="33">
        <f>IF('IO model'!$D$34=0,0,'Z domestic'!AH32/'IO model'!$D$34)</f>
        <v>0.0062051088629516684</v>
      </c>
      <c r="AI32" s="33">
        <f>IF('IO model'!$D$35=0,0,'Z domestic'!AI32/'IO model'!$D$35)</f>
        <v>0.008548949887538793</v>
      </c>
      <c r="AJ32" s="33">
        <f>IF('IO model'!$D$36=0,0,'Z domestic'!AJ32/'IO model'!$D$36)</f>
        <v>0.004312724108074901</v>
      </c>
      <c r="AK32" s="33">
        <f>IF('IO model'!$D$37=0,0,'Z domestic'!AK32/'IO model'!$D$37)</f>
        <v>0.007044091332292687</v>
      </c>
      <c r="AL32" s="33">
        <f>IF('IO model'!$D$38=0,0,'Z domestic'!AL32/'IO model'!$D$38)</f>
        <v>0.018822592879624074</v>
      </c>
      <c r="AM32" s="33">
        <f>IF('IO model'!$D$39=0,0,'Z domestic'!AM32/'IO model'!$D$39)</f>
        <v>0.0052924541858378055</v>
      </c>
      <c r="AN32" s="33">
        <f>IF('IO model'!$D$40=0,0,'Z domestic'!AN32/'IO model'!$D$40)</f>
        <v>0.009221316224973693</v>
      </c>
      <c r="AO32" s="33">
        <f>IF('IO model'!$D$41=0,0,'Z domestic'!AO32/'IO model'!$D$41)</f>
        <v>0.007642743140174846</v>
      </c>
      <c r="AP32" s="33">
        <f>IF('IO model'!$D$42=0,0,'Z domestic'!AP32/'IO model'!$D$42)</f>
        <v>0.003714289550384356</v>
      </c>
      <c r="AQ32" s="33">
        <f>IF('IO model'!$D$43=0,0,'Z domestic'!AQ32/'IO model'!$D$43)</f>
        <v>0.0016011826773150125</v>
      </c>
      <c r="AR32" s="33">
        <f>IF('IO model'!$D$44=0,0,'Z domestic'!AR32/'IO model'!$D$44)</f>
        <v>0.0024150886583558105</v>
      </c>
      <c r="AS32" s="33">
        <f>IF('IO model'!$D$45=0,0,'Z domestic'!AS32/'IO model'!$D$45)</f>
        <v>0.00350189678045208</v>
      </c>
      <c r="AT32" s="33">
        <f>IF('IO model'!$D$46=0,0,'Z domestic'!AT32/'IO model'!$D$46)</f>
        <v>0.001146556659446921</v>
      </c>
      <c r="AU32" s="33">
        <f>IF('IO model'!$D$47=0,0,'Z domestic'!AU32/'IO model'!$D$47)</f>
        <v>0.003358871740801773</v>
      </c>
      <c r="AV32" s="33">
        <f>IF('IO model'!$D$48=0,0,'Z domestic'!AV32/'IO model'!$D$48)</f>
        <v>0.005000689088890682</v>
      </c>
      <c r="AW32" s="33">
        <f>IF('IO model'!$D$49=0,0,'Z domestic'!AW32/'IO model'!$D$49)</f>
        <v>0.005396404867189068</v>
      </c>
      <c r="AX32" s="33">
        <f>IF('IO model'!$D$50=0,0,'Z domestic'!AX32/'IO model'!$D$50)</f>
        <v>0.01357074806490005</v>
      </c>
      <c r="AY32" s="33">
        <f>IF('IO model'!$D$51=0,0,'Z domestic'!AY32/'IO model'!$D$51)</f>
        <v>0.010274961686271088</v>
      </c>
      <c r="AZ32" s="33">
        <f>IF('IO model'!$D$52=0,0,'Z domestic'!AZ32/'IO model'!$D$52)</f>
        <v>0.004789961491402062</v>
      </c>
      <c r="BA32" s="33">
        <f>IF('IO model'!$D$53=0,0,'Z domestic'!BA32/'IO model'!$D$53)</f>
        <v>0.002775667734021983</v>
      </c>
      <c r="BB32" s="33">
        <f>IF('IO model'!$D$54=0,0,'Z domestic'!BB32/'IO model'!$D$54)</f>
        <v>0.008363457363759732</v>
      </c>
      <c r="BC32" s="33">
        <f>IF('IO model'!$D$55=0,0,'Z domestic'!BC32/'IO model'!$D$55)</f>
        <v>0.005638386034329932</v>
      </c>
      <c r="BD32" s="33">
        <f>IF('IO model'!$D$56=0,0,'Z domestic'!BD32/'IO model'!$D$56)</f>
        <v>0.004130578630443799</v>
      </c>
      <c r="BE32" s="33">
        <f>IF('IO model'!$D$57=0,0,'Z domestic'!BE32/'IO model'!$D$57)</f>
        <v>0.0031957784164274557</v>
      </c>
      <c r="BF32" s="33">
        <f>IF('IO model'!$D$58=0,0,'Z domestic'!BF32/'IO model'!$D$58)</f>
        <v>0.015418826043277893</v>
      </c>
      <c r="BG32" s="33">
        <f>IF('IO model'!$D$59=0,0,'Z domestic'!BG32/'IO model'!$D$59)</f>
        <v>0.012286518082772757</v>
      </c>
      <c r="BH32" s="33">
        <f>IF('IO model'!$D$60=0,0,'Z domestic'!BH32/'IO model'!$D$60)</f>
        <v>0.009422771763892597</v>
      </c>
      <c r="BI32" s="33">
        <f>IF('IO model'!$D$61=0,0,'Z domestic'!BI32/'IO model'!$D$61)</f>
        <v>0.007130554578531201</v>
      </c>
      <c r="BJ32" s="33">
        <f>IF('IO model'!$D$62=0,0,'Z domestic'!BJ32/'IO model'!$D$62)</f>
        <v>0.0067907926329561635</v>
      </c>
      <c r="BK32" s="33">
        <f>IF('IO model'!$D$63=0,0,'Z domestic'!BK32/'IO model'!$D$63)</f>
        <v>0.019543821277925325</v>
      </c>
      <c r="BL32" s="33">
        <f>IF('IO model'!$D$64=0,0,'Z domestic'!BL32/'IO model'!$D$64)</f>
        <v>0.00935399812347214</v>
      </c>
      <c r="BM32" s="33">
        <f>IF('IO model'!$D$65=0,0,'Z domestic'!BM32/'IO model'!$D$65)</f>
        <v>0</v>
      </c>
      <c r="BN32" s="33">
        <f>IF('IO model'!$D$66=0,0,'Z domestic'!BN32/'IO model'!$D$66)</f>
        <v>0</v>
      </c>
    </row>
    <row r="33" spans="1:66" x14ac:dyDescent="0.25">
      <c r="A33" s="30" t="s">
        <v>321</v>
      </c>
      <c r="B33" s="31" t="s">
        <v>322</v>
      </c>
      <c r="C33" s="33">
        <f>IF('IO model'!$D$3=0,0,'Z domestic'!C33/'IO model'!$D$3)</f>
        <v>0.007667149354917266</v>
      </c>
      <c r="D33" s="33">
        <f>IF('IO model'!$D$4=0,0,'Z domestic'!D33/'IO model'!$D$4)</f>
        <v>0.03394710336732847</v>
      </c>
      <c r="E33" s="33">
        <f>IF('IO model'!$D$5=0,0,'Z domestic'!E33/'IO model'!$D$5)</f>
        <v>0.00756079517303633</v>
      </c>
      <c r="F33" s="33">
        <f>IF('IO model'!$D$6=0,0,'Z domestic'!F33/'IO model'!$D$6)</f>
        <v>0.027254180767825306</v>
      </c>
      <c r="G33" s="33">
        <f>IF('IO model'!$D$7=0,0,'Z domestic'!G33/'IO model'!$D$7)</f>
        <v>0.02293219196628287</v>
      </c>
      <c r="H33" s="33">
        <f>IF('IO model'!$D$8=0,0,'Z domestic'!H33/'IO model'!$D$8)</f>
        <v>0.014947941095353783</v>
      </c>
      <c r="I33" s="33">
        <f>IF('IO model'!$D$9=0,0,'Z domestic'!I33/'IO model'!$D$9)</f>
        <v>0.02620464835769758</v>
      </c>
      <c r="J33" s="33">
        <f>IF('IO model'!$D$10=0,0,'Z domestic'!J33/'IO model'!$D$10)</f>
        <v>0.03201483794867242</v>
      </c>
      <c r="K33" s="33">
        <f>IF('IO model'!$D$11=0,0,'Z domestic'!K33/'IO model'!$D$11)</f>
        <v>0.01277223091806807</v>
      </c>
      <c r="L33" s="33">
        <f>IF('IO model'!$D$12=0,0,'Z domestic'!L33/'IO model'!$D$12)</f>
        <v>0.025293047011138155</v>
      </c>
      <c r="M33" s="33">
        <f>IF('IO model'!$D$13=0,0,'Z domestic'!M33/'IO model'!$D$13)</f>
        <v>0.020664017655869702</v>
      </c>
      <c r="N33" s="33">
        <f>IF('IO model'!$D$14=0,0,'Z domestic'!N33/'IO model'!$D$14)</f>
        <v>0.006147206791261398</v>
      </c>
      <c r="O33" s="33">
        <f>IF('IO model'!$D$15=0,0,'Z domestic'!O33/'IO model'!$D$15)</f>
        <v>0.019696125883898442</v>
      </c>
      <c r="P33" s="33">
        <f>IF('IO model'!$D$16=0,0,'Z domestic'!P33/'IO model'!$D$16)</f>
        <v>0.038460178243032966</v>
      </c>
      <c r="Q33" s="33">
        <f>IF('IO model'!$D$17=0,0,'Z domestic'!Q33/'IO model'!$D$17)</f>
        <v>0.02370173472874501</v>
      </c>
      <c r="R33" s="33">
        <f>IF('IO model'!$D$18=0,0,'Z domestic'!R33/'IO model'!$D$18)</f>
        <v>0.01109485785888298</v>
      </c>
      <c r="S33" s="33">
        <f>IF('IO model'!$D$19=0,0,'Z domestic'!S33/'IO model'!$D$19)</f>
        <v>0.006290371215392044</v>
      </c>
      <c r="T33" s="33">
        <f>IF('IO model'!$D$20=0,0,'Z domestic'!T33/'IO model'!$D$20)</f>
        <v>0.01221429240646969</v>
      </c>
      <c r="U33" s="33">
        <f>IF('IO model'!$D$21=0,0,'Z domestic'!U33/'IO model'!$D$21)</f>
        <v>0.009718162530146613</v>
      </c>
      <c r="V33" s="33">
        <f>IF('IO model'!$D$22=0,0,'Z domestic'!V33/'IO model'!$D$22)</f>
        <v>0.01360049014584843</v>
      </c>
      <c r="W33" s="33">
        <f>IF('IO model'!$D$23=0,0,'Z domestic'!W33/'IO model'!$D$23)</f>
        <v>0.00616708513435671</v>
      </c>
      <c r="X33" s="33">
        <f>IF('IO model'!$D$24=0,0,'Z domestic'!X33/'IO model'!$D$24)</f>
        <v>0.015912326481280013</v>
      </c>
      <c r="Y33" s="33">
        <f>IF('IO model'!$D$25=0,0,'Z domestic'!Y33/'IO model'!$D$25)</f>
        <v>0.006435451059390158</v>
      </c>
      <c r="Z33" s="33">
        <f>IF('IO model'!$D$26=0,0,'Z domestic'!Z33/'IO model'!$D$26)</f>
        <v>0.012306661741323208</v>
      </c>
      <c r="AA33" s="33">
        <f>IF('IO model'!$D$27=0,0,'Z domestic'!AA33/'IO model'!$D$27)</f>
        <v>0.0033655347009292637</v>
      </c>
      <c r="AB33" s="33">
        <f>IF('IO model'!$D$28=0,0,'Z domestic'!AB33/'IO model'!$D$28)</f>
        <v>0.013878014110225993</v>
      </c>
      <c r="AC33" s="33">
        <f>IF('IO model'!$D$29=0,0,'Z domestic'!AC33/'IO model'!$D$29)</f>
        <v>0.008196632428786967</v>
      </c>
      <c r="AD33" s="33">
        <f>IF('IO model'!$D$30=0,0,'Z domestic'!AD33/'IO model'!$D$30)</f>
        <v>0.016042517483619144</v>
      </c>
      <c r="AE33" s="33">
        <f>IF('IO model'!$D$31=0,0,'Z domestic'!AE33/'IO model'!$D$31)</f>
        <v>0.038477822692751386</v>
      </c>
      <c r="AF33" s="33">
        <f>IF('IO model'!$D$32=0,0,'Z domestic'!AF33/'IO model'!$D$32)</f>
        <v>0.018864758255974716</v>
      </c>
      <c r="AG33" s="33">
        <f>IF('IO model'!$D$33=0,0,'Z domestic'!AG33/'IO model'!$D$33)</f>
        <v>0.09405088664794677</v>
      </c>
      <c r="AH33" s="33">
        <f>IF('IO model'!$D$34=0,0,'Z domestic'!AH33/'IO model'!$D$34)</f>
        <v>0.009861836456484214</v>
      </c>
      <c r="AI33" s="33">
        <f>IF('IO model'!$D$35=0,0,'Z domestic'!AI33/'IO model'!$D$35)</f>
        <v>0.010975960823639946</v>
      </c>
      <c r="AJ33" s="33">
        <f>IF('IO model'!$D$36=0,0,'Z domestic'!AJ33/'IO model'!$D$36)</f>
        <v>0.07990823115155102</v>
      </c>
      <c r="AK33" s="33">
        <f>IF('IO model'!$D$37=0,0,'Z domestic'!AK33/'IO model'!$D$37)</f>
        <v>0.034625142338962286</v>
      </c>
      <c r="AL33" s="33">
        <f>IF('IO model'!$D$38=0,0,'Z domestic'!AL33/'IO model'!$D$38)</f>
        <v>0.004581300251084321</v>
      </c>
      <c r="AM33" s="33">
        <f>IF('IO model'!$D$39=0,0,'Z domestic'!AM33/'IO model'!$D$39)</f>
        <v>0.0069924381891781255</v>
      </c>
      <c r="AN33" s="33">
        <f>IF('IO model'!$D$40=0,0,'Z domestic'!AN33/'IO model'!$D$40)</f>
        <v>0.005013953078716687</v>
      </c>
      <c r="AO33" s="33">
        <f>IF('IO model'!$D$41=0,0,'Z domestic'!AO33/'IO model'!$D$41)</f>
        <v>0.0033215934355695677</v>
      </c>
      <c r="AP33" s="33">
        <f>IF('IO model'!$D$42=0,0,'Z domestic'!AP33/'IO model'!$D$42)</f>
        <v>0.0033318201479365516</v>
      </c>
      <c r="AQ33" s="33">
        <f>IF('IO model'!$D$43=0,0,'Z domestic'!AQ33/'IO model'!$D$43)</f>
        <v>0.00105027804685194</v>
      </c>
      <c r="AR33" s="33">
        <f>IF('IO model'!$D$44=0,0,'Z domestic'!AR33/'IO model'!$D$44)</f>
        <v>0.0010997389989334128</v>
      </c>
      <c r="AS33" s="33">
        <f>IF('IO model'!$D$45=0,0,'Z domestic'!AS33/'IO model'!$D$45)</f>
        <v>0.002954544724509102</v>
      </c>
      <c r="AT33" s="33">
        <f>IF('IO model'!$D$46=0,0,'Z domestic'!AT33/'IO model'!$D$46)</f>
        <v>0.0006004282526888145</v>
      </c>
      <c r="AU33" s="33">
        <f>IF('IO model'!$D$47=0,0,'Z domestic'!AU33/'IO model'!$D$47)</f>
        <v>0.002733536739908437</v>
      </c>
      <c r="AV33" s="33">
        <f>IF('IO model'!$D$48=0,0,'Z domestic'!AV33/'IO model'!$D$48)</f>
        <v>0.002997202165300159</v>
      </c>
      <c r="AW33" s="33">
        <f>IF('IO model'!$D$49=0,0,'Z domestic'!AW33/'IO model'!$D$49)</f>
        <v>0.004331132068172572</v>
      </c>
      <c r="AX33" s="33">
        <f>IF('IO model'!$D$50=0,0,'Z domestic'!AX33/'IO model'!$D$50)</f>
        <v>0.006447726963406122</v>
      </c>
      <c r="AY33" s="33">
        <f>IF('IO model'!$D$51=0,0,'Z domestic'!AY33/'IO model'!$D$51)</f>
        <v>0.0061904170819624986</v>
      </c>
      <c r="AZ33" s="33">
        <f>IF('IO model'!$D$52=0,0,'Z domestic'!AZ33/'IO model'!$D$52)</f>
        <v>0.006836443225602627</v>
      </c>
      <c r="BA33" s="33">
        <f>IF('IO model'!$D$53=0,0,'Z domestic'!BA33/'IO model'!$D$53)</f>
        <v>0.001322135048430335</v>
      </c>
      <c r="BB33" s="33">
        <f>IF('IO model'!$D$54=0,0,'Z domestic'!BB33/'IO model'!$D$54)</f>
        <v>0.06500727205130884</v>
      </c>
      <c r="BC33" s="33">
        <f>IF('IO model'!$D$55=0,0,'Z domestic'!BC33/'IO model'!$D$55)</f>
        <v>0.0037866107999744232</v>
      </c>
      <c r="BD33" s="33">
        <f>IF('IO model'!$D$56=0,0,'Z domestic'!BD33/'IO model'!$D$56)</f>
        <v>0.007193499440972752</v>
      </c>
      <c r="BE33" s="33">
        <f>IF('IO model'!$D$57=0,0,'Z domestic'!BE33/'IO model'!$D$57)</f>
        <v>0.011625113957169052</v>
      </c>
      <c r="BF33" s="33">
        <f>IF('IO model'!$D$58=0,0,'Z domestic'!BF33/'IO model'!$D$58)</f>
        <v>0.003459520658257722</v>
      </c>
      <c r="BG33" s="33">
        <f>IF('IO model'!$D$59=0,0,'Z domestic'!BG33/'IO model'!$D$59)</f>
        <v>0.003873391266371357</v>
      </c>
      <c r="BH33" s="33">
        <f>IF('IO model'!$D$60=0,0,'Z domestic'!BH33/'IO model'!$D$60)</f>
        <v>0.0034830782014555516</v>
      </c>
      <c r="BI33" s="33">
        <f>IF('IO model'!$D$61=0,0,'Z domestic'!BI33/'IO model'!$D$61)</f>
        <v>0.005184634193303341</v>
      </c>
      <c r="BJ33" s="33">
        <f>IF('IO model'!$D$62=0,0,'Z domestic'!BJ33/'IO model'!$D$62)</f>
        <v>0.01088436156600003</v>
      </c>
      <c r="BK33" s="33">
        <f>IF('IO model'!$D$63=0,0,'Z domestic'!BK33/'IO model'!$D$63)</f>
        <v>0.008964224339946883</v>
      </c>
      <c r="BL33" s="33">
        <f>IF('IO model'!$D$64=0,0,'Z domestic'!BL33/'IO model'!$D$64)</f>
        <v>0.003452323303792252</v>
      </c>
      <c r="BM33" s="33">
        <f>IF('IO model'!$D$65=0,0,'Z domestic'!BM33/'IO model'!$D$65)</f>
        <v>0</v>
      </c>
      <c r="BN33" s="33">
        <f>IF('IO model'!$D$66=0,0,'Z domestic'!BN33/'IO model'!$D$66)</f>
        <v>0</v>
      </c>
    </row>
    <row r="34" spans="1:66" x14ac:dyDescent="0.25">
      <c r="A34" s="30" t="s">
        <v>134</v>
      </c>
      <c r="B34" s="31" t="s">
        <v>324</v>
      </c>
      <c r="C34" s="33">
        <f>IF('IO model'!$D$3=0,0,'Z domestic'!C34/'IO model'!$D$3)</f>
        <v>0.00042577817114397115</v>
      </c>
      <c r="D34" s="33">
        <f>IF('IO model'!$D$4=0,0,'Z domestic'!D34/'IO model'!$D$4)</f>
        <v>0.003045631632295224</v>
      </c>
      <c r="E34" s="33">
        <f>IF('IO model'!$D$5=0,0,'Z domestic'!E34/'IO model'!$D$5)</f>
        <v>0.003413895845634896</v>
      </c>
      <c r="F34" s="33">
        <f>IF('IO model'!$D$6=0,0,'Z domestic'!F34/'IO model'!$D$6)</f>
        <v>0.0030638458840531275</v>
      </c>
      <c r="G34" s="33">
        <f>IF('IO model'!$D$7=0,0,'Z domestic'!G34/'IO model'!$D$7)</f>
        <v>0.0017700313154858606</v>
      </c>
      <c r="H34" s="33">
        <f>IF('IO model'!$D$8=0,0,'Z domestic'!H34/'IO model'!$D$8)</f>
        <v>0.001135247751902034</v>
      </c>
      <c r="I34" s="33">
        <f>IF('IO model'!$D$9=0,0,'Z domestic'!I34/'IO model'!$D$9)</f>
        <v>0.00219116980632503</v>
      </c>
      <c r="J34" s="33">
        <f>IF('IO model'!$D$10=0,0,'Z domestic'!J34/'IO model'!$D$10)</f>
        <v>0.003615786078170022</v>
      </c>
      <c r="K34" s="33">
        <f>IF('IO model'!$D$11=0,0,'Z domestic'!K34/'IO model'!$D$11)</f>
        <v>0.0007989752644650775</v>
      </c>
      <c r="L34" s="33">
        <f>IF('IO model'!$D$12=0,0,'Z domestic'!L34/'IO model'!$D$12)</f>
        <v>0.0039011708288155824</v>
      </c>
      <c r="M34" s="33">
        <f>IF('IO model'!$D$13=0,0,'Z domestic'!M34/'IO model'!$D$13)</f>
        <v>0.0027649936611267513</v>
      </c>
      <c r="N34" s="33">
        <f>IF('IO model'!$D$14=0,0,'Z domestic'!N34/'IO model'!$D$14)</f>
        <v>0.0015237494462885055</v>
      </c>
      <c r="O34" s="33">
        <f>IF('IO model'!$D$15=0,0,'Z domestic'!O34/'IO model'!$D$15)</f>
        <v>0.0014487680146552879</v>
      </c>
      <c r="P34" s="33">
        <f>IF('IO model'!$D$16=0,0,'Z domestic'!P34/'IO model'!$D$16)</f>
        <v>0.0025467052729478126</v>
      </c>
      <c r="Q34" s="33">
        <f>IF('IO model'!$D$17=0,0,'Z domestic'!Q34/'IO model'!$D$17)</f>
        <v>0.003012929013596523</v>
      </c>
      <c r="R34" s="33">
        <f>IF('IO model'!$D$18=0,0,'Z domestic'!R34/'IO model'!$D$18)</f>
        <v>0.0011544910999711536</v>
      </c>
      <c r="S34" s="33">
        <f>IF('IO model'!$D$19=0,0,'Z domestic'!S34/'IO model'!$D$19)</f>
        <v>0.0019332991371899405</v>
      </c>
      <c r="T34" s="33">
        <f>IF('IO model'!$D$20=0,0,'Z domestic'!T34/'IO model'!$D$20)</f>
        <v>0.0017684420554933697</v>
      </c>
      <c r="U34" s="33">
        <f>IF('IO model'!$D$21=0,0,'Z domestic'!U34/'IO model'!$D$21)</f>
        <v>0.0016233425214756266</v>
      </c>
      <c r="V34" s="33">
        <f>IF('IO model'!$D$22=0,0,'Z domestic'!V34/'IO model'!$D$22)</f>
        <v>0.001436886998922172</v>
      </c>
      <c r="W34" s="33">
        <f>IF('IO model'!$D$23=0,0,'Z domestic'!W34/'IO model'!$D$23)</f>
        <v>0.0007097827632352315</v>
      </c>
      <c r="X34" s="33">
        <f>IF('IO model'!$D$24=0,0,'Z domestic'!X34/'IO model'!$D$24)</f>
        <v>0.001184709708619272</v>
      </c>
      <c r="Y34" s="33">
        <f>IF('IO model'!$D$25=0,0,'Z domestic'!Y34/'IO model'!$D$25)</f>
        <v>0.0007079766586664492</v>
      </c>
      <c r="Z34" s="33">
        <f>IF('IO model'!$D$26=0,0,'Z domestic'!Z34/'IO model'!$D$26)</f>
        <v>0.0006756721160645218</v>
      </c>
      <c r="AA34" s="33">
        <f>IF('IO model'!$D$27=0,0,'Z domestic'!AA34/'IO model'!$D$27)</f>
        <v>0.0003606439133143176</v>
      </c>
      <c r="AB34" s="33">
        <f>IF('IO model'!$D$28=0,0,'Z domestic'!AB34/'IO model'!$D$28)</f>
        <v>0.0010839994660846808</v>
      </c>
      <c r="AC34" s="33">
        <f>IF('IO model'!$D$29=0,0,'Z domestic'!AC34/'IO model'!$D$29)</f>
        <v>0.0005504717808275433</v>
      </c>
      <c r="AD34" s="33">
        <f>IF('IO model'!$D$30=0,0,'Z domestic'!AD34/'IO model'!$D$30)</f>
        <v>0.0012607947240590009</v>
      </c>
      <c r="AE34" s="33">
        <f>IF('IO model'!$D$31=0,0,'Z domestic'!AE34/'IO model'!$D$31)</f>
        <v>0.003958259713855984</v>
      </c>
      <c r="AF34" s="33">
        <f>IF('IO model'!$D$32=0,0,'Z domestic'!AF34/'IO model'!$D$32)</f>
        <v>0.0005569659868910029</v>
      </c>
      <c r="AG34" s="33">
        <f>IF('IO model'!$D$33=0,0,'Z domestic'!AG34/'IO model'!$D$33)</f>
        <v>0.0046455674596072236</v>
      </c>
      <c r="AH34" s="33">
        <f>IF('IO model'!$D$34=0,0,'Z domestic'!AH34/'IO model'!$D$34)</f>
        <v>0.09612061622854162</v>
      </c>
      <c r="AI34" s="33">
        <f>IF('IO model'!$D$35=0,0,'Z domestic'!AI34/'IO model'!$D$35)</f>
        <v>0.0018126658842361337</v>
      </c>
      <c r="AJ34" s="33">
        <f>IF('IO model'!$D$36=0,0,'Z domestic'!AJ34/'IO model'!$D$36)</f>
        <v>0.009842809956352483</v>
      </c>
      <c r="AK34" s="33">
        <f>IF('IO model'!$D$37=0,0,'Z domestic'!AK34/'IO model'!$D$37)</f>
        <v>0.001795634130893006</v>
      </c>
      <c r="AL34" s="33">
        <f>IF('IO model'!$D$38=0,0,'Z domestic'!AL34/'IO model'!$D$38)</f>
        <v>0.00047114220214028354</v>
      </c>
      <c r="AM34" s="33">
        <f>IF('IO model'!$D$39=0,0,'Z domestic'!AM34/'IO model'!$D$39)</f>
        <v>0.0006019082117090126</v>
      </c>
      <c r="AN34" s="33">
        <f>IF('IO model'!$D$40=0,0,'Z domestic'!AN34/'IO model'!$D$40)</f>
        <v>0.00038649100930359764</v>
      </c>
      <c r="AO34" s="33">
        <f>IF('IO model'!$D$41=0,0,'Z domestic'!AO34/'IO model'!$D$41)</f>
        <v>0.0005572773039742963</v>
      </c>
      <c r="AP34" s="33">
        <f>IF('IO model'!$D$42=0,0,'Z domestic'!AP34/'IO model'!$D$42)</f>
        <v>0.00029184157202907633</v>
      </c>
      <c r="AQ34" s="33">
        <f>IF('IO model'!$D$43=0,0,'Z domestic'!AQ34/'IO model'!$D$43)</f>
        <v>0.00007537938058761642</v>
      </c>
      <c r="AR34" s="33">
        <f>IF('IO model'!$D$44=0,0,'Z domestic'!AR34/'IO model'!$D$44)</f>
        <v>0.000052095523748205635</v>
      </c>
      <c r="AS34" s="33">
        <f>IF('IO model'!$D$45=0,0,'Z domestic'!AS34/'IO model'!$D$45)</f>
        <v>0.00018148703732851084</v>
      </c>
      <c r="AT34" s="33">
        <f>IF('IO model'!$D$46=0,0,'Z domestic'!AT34/'IO model'!$D$46)</f>
        <v>0.00004144809200300323</v>
      </c>
      <c r="AU34" s="33">
        <f>IF('IO model'!$D$47=0,0,'Z domestic'!AU34/'IO model'!$D$47)</f>
        <v>0.0002590938136545791</v>
      </c>
      <c r="AV34" s="33">
        <f>IF('IO model'!$D$48=0,0,'Z domestic'!AV34/'IO model'!$D$48)</f>
        <v>0.00023415641916407494</v>
      </c>
      <c r="AW34" s="33">
        <f>IF('IO model'!$D$49=0,0,'Z domestic'!AW34/'IO model'!$D$49)</f>
        <v>0.0002431069805094985</v>
      </c>
      <c r="AX34" s="33">
        <f>IF('IO model'!$D$50=0,0,'Z domestic'!AX34/'IO model'!$D$50)</f>
        <v>0.00040540814464962594</v>
      </c>
      <c r="AY34" s="33">
        <f>IF('IO model'!$D$51=0,0,'Z domestic'!AY34/'IO model'!$D$51)</f>
        <v>0.0004313751033886911</v>
      </c>
      <c r="AZ34" s="33">
        <f>IF('IO model'!$D$52=0,0,'Z domestic'!AZ34/'IO model'!$D$52)</f>
        <v>0.0010460398678526488</v>
      </c>
      <c r="BA34" s="33">
        <f>IF('IO model'!$D$53=0,0,'Z domestic'!BA34/'IO model'!$D$53)</f>
        <v>0.0001648911525161574</v>
      </c>
      <c r="BB34" s="33">
        <f>IF('IO model'!$D$54=0,0,'Z domestic'!BB34/'IO model'!$D$54)</f>
        <v>0.018322537614815036</v>
      </c>
      <c r="BC34" s="33">
        <f>IF('IO model'!$D$55=0,0,'Z domestic'!BC34/'IO model'!$D$55)</f>
        <v>0.000373614773079175</v>
      </c>
      <c r="BD34" s="33">
        <f>IF('IO model'!$D$56=0,0,'Z domestic'!BD34/'IO model'!$D$56)</f>
        <v>0.000307670332769828</v>
      </c>
      <c r="BE34" s="33">
        <f>IF('IO model'!$D$57=0,0,'Z domestic'!BE34/'IO model'!$D$57)</f>
        <v>0.0002389287856656285</v>
      </c>
      <c r="BF34" s="33">
        <f>IF('IO model'!$D$58=0,0,'Z domestic'!BF34/'IO model'!$D$58)</f>
        <v>0.00041938415907894947</v>
      </c>
      <c r="BG34" s="33">
        <f>IF('IO model'!$D$59=0,0,'Z domestic'!BG34/'IO model'!$D$59)</f>
        <v>0.0003421169792933467</v>
      </c>
      <c r="BH34" s="33">
        <f>IF('IO model'!$D$60=0,0,'Z domestic'!BH34/'IO model'!$D$60)</f>
        <v>0.0002858559355912024</v>
      </c>
      <c r="BI34" s="33">
        <f>IF('IO model'!$D$61=0,0,'Z domestic'!BI34/'IO model'!$D$61)</f>
        <v>0.0003289044380445285</v>
      </c>
      <c r="BJ34" s="33">
        <f>IF('IO model'!$D$62=0,0,'Z domestic'!BJ34/'IO model'!$D$62)</f>
        <v>0.00030135292510747203</v>
      </c>
      <c r="BK34" s="33">
        <f>IF('IO model'!$D$63=0,0,'Z domestic'!BK34/'IO model'!$D$63)</f>
        <v>0.0004311826277144196</v>
      </c>
      <c r="BL34" s="33">
        <f>IF('IO model'!$D$64=0,0,'Z domestic'!BL34/'IO model'!$D$64)</f>
        <v>0.00023655495367819087</v>
      </c>
      <c r="BM34" s="33">
        <f>IF('IO model'!$D$65=0,0,'Z domestic'!BM34/'IO model'!$D$65)</f>
        <v>0</v>
      </c>
      <c r="BN34" s="33">
        <f>IF('IO model'!$D$66=0,0,'Z domestic'!BN34/'IO model'!$D$66)</f>
        <v>0</v>
      </c>
    </row>
    <row r="35" spans="1:66" x14ac:dyDescent="0.25">
      <c r="A35" s="30" t="s">
        <v>137</v>
      </c>
      <c r="B35" s="31" t="s">
        <v>325</v>
      </c>
      <c r="C35" s="33">
        <f>IF('IO model'!$D$3=0,0,'Z domestic'!C35/'IO model'!$D$3)</f>
        <v>0.0004114633658820582</v>
      </c>
      <c r="D35" s="33">
        <f>IF('IO model'!$D$4=0,0,'Z domestic'!D35/'IO model'!$D$4)</f>
        <v>0.0005428333981851109</v>
      </c>
      <c r="E35" s="33">
        <f>IF('IO model'!$D$5=0,0,'Z domestic'!E35/'IO model'!$D$5)</f>
        <v>0.004207982950881979</v>
      </c>
      <c r="F35" s="33">
        <f>IF('IO model'!$D$6=0,0,'Z domestic'!F35/'IO model'!$D$6)</f>
        <v>0.0008244931387113301</v>
      </c>
      <c r="G35" s="33">
        <f>IF('IO model'!$D$7=0,0,'Z domestic'!G35/'IO model'!$D$7)</f>
        <v>0.0008379982811800992</v>
      </c>
      <c r="H35" s="33">
        <f>IF('IO model'!$D$8=0,0,'Z domestic'!H35/'IO model'!$D$8)</f>
        <v>0.0009613374579936373</v>
      </c>
      <c r="I35" s="33">
        <f>IF('IO model'!$D$9=0,0,'Z domestic'!I35/'IO model'!$D$9)</f>
        <v>0.0005589661163566045</v>
      </c>
      <c r="J35" s="33">
        <f>IF('IO model'!$D$10=0,0,'Z domestic'!J35/'IO model'!$D$10)</f>
        <v>0.0007684386035937283</v>
      </c>
      <c r="K35" s="33">
        <f>IF('IO model'!$D$11=0,0,'Z domestic'!K35/'IO model'!$D$11)</f>
        <v>0.001413134186616169</v>
      </c>
      <c r="L35" s="33">
        <f>IF('IO model'!$D$12=0,0,'Z domestic'!L35/'IO model'!$D$12)</f>
        <v>0.00038462506311689955</v>
      </c>
      <c r="M35" s="33">
        <f>IF('IO model'!$D$13=0,0,'Z domestic'!M35/'IO model'!$D$13)</f>
        <v>0.0014675929537258312</v>
      </c>
      <c r="N35" s="33">
        <f>IF('IO model'!$D$14=0,0,'Z domestic'!N35/'IO model'!$D$14)</f>
        <v>0.0012855794957471194</v>
      </c>
      <c r="O35" s="33">
        <f>IF('IO model'!$D$15=0,0,'Z domestic'!O35/'IO model'!$D$15)</f>
        <v>0.0009081076354194492</v>
      </c>
      <c r="P35" s="33">
        <f>IF('IO model'!$D$16=0,0,'Z domestic'!P35/'IO model'!$D$16)</f>
        <v>0.0010267334450989186</v>
      </c>
      <c r="Q35" s="33">
        <f>IF('IO model'!$D$17=0,0,'Z domestic'!Q35/'IO model'!$D$17)</f>
        <v>0.0005548668557942166</v>
      </c>
      <c r="R35" s="33">
        <f>IF('IO model'!$D$18=0,0,'Z domestic'!R35/'IO model'!$D$18)</f>
        <v>0.0012844033468082624</v>
      </c>
      <c r="S35" s="33">
        <f>IF('IO model'!$D$19=0,0,'Z domestic'!S35/'IO model'!$D$19)</f>
        <v>0.006112667015777121</v>
      </c>
      <c r="T35" s="33">
        <f>IF('IO model'!$D$20=0,0,'Z domestic'!T35/'IO model'!$D$20)</f>
        <v>0.0030261277321767966</v>
      </c>
      <c r="U35" s="33">
        <f>IF('IO model'!$D$21=0,0,'Z domestic'!U35/'IO model'!$D$21)</f>
        <v>0.003287433116845481</v>
      </c>
      <c r="V35" s="33">
        <f>IF('IO model'!$D$22=0,0,'Z domestic'!V35/'IO model'!$D$22)</f>
        <v>0.0017263045093214037</v>
      </c>
      <c r="W35" s="33">
        <f>IF('IO model'!$D$23=0,0,'Z domestic'!W35/'IO model'!$D$23)</f>
        <v>0.0024488787850805637</v>
      </c>
      <c r="X35" s="33">
        <f>IF('IO model'!$D$24=0,0,'Z domestic'!X35/'IO model'!$D$24)</f>
        <v>0.0017697427211964102</v>
      </c>
      <c r="Y35" s="33">
        <f>IF('IO model'!$D$25=0,0,'Z domestic'!Y35/'IO model'!$D$25)</f>
        <v>0.002511168068225269</v>
      </c>
      <c r="Z35" s="33">
        <f>IF('IO model'!$D$26=0,0,'Z domestic'!Z35/'IO model'!$D$26)</f>
        <v>0.0006110247509223632</v>
      </c>
      <c r="AA35" s="33">
        <f>IF('IO model'!$D$27=0,0,'Z domestic'!AA35/'IO model'!$D$27)</f>
        <v>0.0005174456147553252</v>
      </c>
      <c r="AB35" s="33">
        <f>IF('IO model'!$D$28=0,0,'Z domestic'!AB35/'IO model'!$D$28)</f>
        <v>0.0006040949103283717</v>
      </c>
      <c r="AC35" s="33">
        <f>IF('IO model'!$D$29=0,0,'Z domestic'!AC35/'IO model'!$D$29)</f>
        <v>0.0004821936541665882</v>
      </c>
      <c r="AD35" s="33">
        <f>IF('IO model'!$D$30=0,0,'Z domestic'!AD35/'IO model'!$D$30)</f>
        <v>0.0006451665309954395</v>
      </c>
      <c r="AE35" s="33">
        <f>IF('IO model'!$D$31=0,0,'Z domestic'!AE35/'IO model'!$D$31)</f>
        <v>0.0012332326321014282</v>
      </c>
      <c r="AF35" s="33">
        <f>IF('IO model'!$D$32=0,0,'Z domestic'!AF35/'IO model'!$D$32)</f>
        <v>0.000961821288590726</v>
      </c>
      <c r="AG35" s="33">
        <f>IF('IO model'!$D$33=0,0,'Z domestic'!AG35/'IO model'!$D$33)</f>
        <v>0.0007989324428735459</v>
      </c>
      <c r="AH35" s="33">
        <f>IF('IO model'!$D$34=0,0,'Z domestic'!AH35/'IO model'!$D$34)</f>
        <v>0.0021411723412024636</v>
      </c>
      <c r="AI35" s="33">
        <f>IF('IO model'!$D$35=0,0,'Z domestic'!AI35/'IO model'!$D$35)</f>
        <v>0.07100019297141176</v>
      </c>
      <c r="AJ35" s="33">
        <f>IF('IO model'!$D$36=0,0,'Z domestic'!AJ35/'IO model'!$D$36)</f>
        <v>0.0041900280670671575</v>
      </c>
      <c r="AK35" s="33">
        <f>IF('IO model'!$D$37=0,0,'Z domestic'!AK35/'IO model'!$D$37)</f>
        <v>0.015082219137971017</v>
      </c>
      <c r="AL35" s="33">
        <f>IF('IO model'!$D$38=0,0,'Z domestic'!AL35/'IO model'!$D$38)</f>
        <v>0.000618275563210396</v>
      </c>
      <c r="AM35" s="33">
        <f>IF('IO model'!$D$39=0,0,'Z domestic'!AM35/'IO model'!$D$39)</f>
        <v>0.0007550965628872074</v>
      </c>
      <c r="AN35" s="33">
        <f>IF('IO model'!$D$40=0,0,'Z domestic'!AN35/'IO model'!$D$40)</f>
        <v>0.002125410827774507</v>
      </c>
      <c r="AO35" s="33">
        <f>IF('IO model'!$D$41=0,0,'Z domestic'!AO35/'IO model'!$D$41)</f>
        <v>0.0007942435780978115</v>
      </c>
      <c r="AP35" s="33">
        <f>IF('IO model'!$D$42=0,0,'Z domestic'!AP35/'IO model'!$D$42)</f>
        <v>0.0009148058477902412</v>
      </c>
      <c r="AQ35" s="33">
        <f>IF('IO model'!$D$43=0,0,'Z domestic'!AQ35/'IO model'!$D$43)</f>
        <v>0.0015260429767928578</v>
      </c>
      <c r="AR35" s="33">
        <f>IF('IO model'!$D$44=0,0,'Z domestic'!AR35/'IO model'!$D$44)</f>
        <v>0.001980876206827704</v>
      </c>
      <c r="AS35" s="33">
        <f>IF('IO model'!$D$45=0,0,'Z domestic'!AS35/'IO model'!$D$45)</f>
        <v>0.004683971643051938</v>
      </c>
      <c r="AT35" s="33">
        <f>IF('IO model'!$D$46=0,0,'Z domestic'!AT35/'IO model'!$D$46)</f>
        <v>0.00006331030071396946</v>
      </c>
      <c r="AU35" s="33">
        <f>IF('IO model'!$D$47=0,0,'Z domestic'!AU35/'IO model'!$D$47)</f>
        <v>0.0015240501319191409</v>
      </c>
      <c r="AV35" s="33">
        <f>IF('IO model'!$D$48=0,0,'Z domestic'!AV35/'IO model'!$D$48)</f>
        <v>0.001538073164737738</v>
      </c>
      <c r="AW35" s="33">
        <f>IF('IO model'!$D$49=0,0,'Z domestic'!AW35/'IO model'!$D$49)</f>
        <v>0.0017180374384749984</v>
      </c>
      <c r="AX35" s="33">
        <f>IF('IO model'!$D$50=0,0,'Z domestic'!AX35/'IO model'!$D$50)</f>
        <v>0.0013112057706953617</v>
      </c>
      <c r="AY35" s="33">
        <f>IF('IO model'!$D$51=0,0,'Z domestic'!AY35/'IO model'!$D$51)</f>
        <v>0.0013961313887451655</v>
      </c>
      <c r="AZ35" s="33">
        <f>IF('IO model'!$D$52=0,0,'Z domestic'!AZ35/'IO model'!$D$52)</f>
        <v>0.0014889918824700654</v>
      </c>
      <c r="BA35" s="33">
        <f>IF('IO model'!$D$53=0,0,'Z domestic'!BA35/'IO model'!$D$53)</f>
        <v>0.0004671915987957793</v>
      </c>
      <c r="BB35" s="33">
        <f>IF('IO model'!$D$54=0,0,'Z domestic'!BB35/'IO model'!$D$54)</f>
        <v>0.07981225901108079</v>
      </c>
      <c r="BC35" s="33">
        <f>IF('IO model'!$D$55=0,0,'Z domestic'!BC35/'IO model'!$D$55)</f>
        <v>0.000856775152862353</v>
      </c>
      <c r="BD35" s="33">
        <f>IF('IO model'!$D$56=0,0,'Z domestic'!BD35/'IO model'!$D$56)</f>
        <v>0.0013172745197593267</v>
      </c>
      <c r="BE35" s="33">
        <f>IF('IO model'!$D$57=0,0,'Z domestic'!BE35/'IO model'!$D$57)</f>
        <v>0.0006749526378754656</v>
      </c>
      <c r="BF35" s="33">
        <f>IF('IO model'!$D$58=0,0,'Z domestic'!BF35/'IO model'!$D$58)</f>
        <v>0.0006053164516591986</v>
      </c>
      <c r="BG35" s="33">
        <f>IF('IO model'!$D$59=0,0,'Z domestic'!BG35/'IO model'!$D$59)</f>
        <v>0.0005599283822828036</v>
      </c>
      <c r="BH35" s="33">
        <f>IF('IO model'!$D$60=0,0,'Z domestic'!BH35/'IO model'!$D$60)</f>
        <v>0.001486887286349964</v>
      </c>
      <c r="BI35" s="33">
        <f>IF('IO model'!$D$61=0,0,'Z domestic'!BI35/'IO model'!$D$61)</f>
        <v>0.0014578308810834883</v>
      </c>
      <c r="BJ35" s="33">
        <f>IF('IO model'!$D$62=0,0,'Z domestic'!BJ35/'IO model'!$D$62)</f>
        <v>0.0036150848992854375</v>
      </c>
      <c r="BK35" s="33">
        <f>IF('IO model'!$D$63=0,0,'Z domestic'!BK35/'IO model'!$D$63)</f>
        <v>0.0007998750195281987</v>
      </c>
      <c r="BL35" s="33">
        <f>IF('IO model'!$D$64=0,0,'Z domestic'!BL35/'IO model'!$D$64)</f>
        <v>0.0008157433155987838</v>
      </c>
      <c r="BM35" s="33">
        <f>IF('IO model'!$D$65=0,0,'Z domestic'!BM35/'IO model'!$D$65)</f>
        <v>0</v>
      </c>
      <c r="BN35" s="33">
        <f>IF('IO model'!$D$66=0,0,'Z domestic'!BN35/'IO model'!$D$66)</f>
        <v>0</v>
      </c>
    </row>
    <row r="36" spans="1:66" x14ac:dyDescent="0.25">
      <c r="A36" s="30" t="s">
        <v>326</v>
      </c>
      <c r="B36" s="31" t="s">
        <v>327</v>
      </c>
      <c r="C36" s="33">
        <f>IF('IO model'!$D$3=0,0,'Z domestic'!C36/'IO model'!$D$3)</f>
        <v>0.00255274874810918</v>
      </c>
      <c r="D36" s="33">
        <f>IF('IO model'!$D$4=0,0,'Z domestic'!D36/'IO model'!$D$4)</f>
        <v>0.006746186155026173</v>
      </c>
      <c r="E36" s="33">
        <f>IF('IO model'!$D$5=0,0,'Z domestic'!E36/'IO model'!$D$5)</f>
        <v>0.014598986011850222</v>
      </c>
      <c r="F36" s="33">
        <f>IF('IO model'!$D$6=0,0,'Z domestic'!F36/'IO model'!$D$6)</f>
        <v>0.01611342381334504</v>
      </c>
      <c r="G36" s="33">
        <f>IF('IO model'!$D$7=0,0,'Z domestic'!G36/'IO model'!$D$7)</f>
        <v>0.017690453485908027</v>
      </c>
      <c r="H36" s="33">
        <f>IF('IO model'!$D$8=0,0,'Z domestic'!H36/'IO model'!$D$8)</f>
        <v>0.010550557830442734</v>
      </c>
      <c r="I36" s="33">
        <f>IF('IO model'!$D$9=0,0,'Z domestic'!I36/'IO model'!$D$9)</f>
        <v>0.011566864624403624</v>
      </c>
      <c r="J36" s="33">
        <f>IF('IO model'!$D$10=0,0,'Z domestic'!J36/'IO model'!$D$10)</f>
        <v>0.02037841790417113</v>
      </c>
      <c r="K36" s="33">
        <f>IF('IO model'!$D$11=0,0,'Z domestic'!K36/'IO model'!$D$11)</f>
        <v>0.007251908939566477</v>
      </c>
      <c r="L36" s="33">
        <f>IF('IO model'!$D$12=0,0,'Z domestic'!L36/'IO model'!$D$12)</f>
        <v>0.013441672454104445</v>
      </c>
      <c r="M36" s="33">
        <f>IF('IO model'!$D$13=0,0,'Z domestic'!M36/'IO model'!$D$13)</f>
        <v>0.01265599971004284</v>
      </c>
      <c r="N36" s="33">
        <f>IF('IO model'!$D$14=0,0,'Z domestic'!N36/'IO model'!$D$14)</f>
        <v>0.0037472072218511393</v>
      </c>
      <c r="O36" s="33">
        <f>IF('IO model'!$D$15=0,0,'Z domestic'!O36/'IO model'!$D$15)</f>
        <v>0.010290485134081814</v>
      </c>
      <c r="P36" s="33">
        <f>IF('IO model'!$D$16=0,0,'Z domestic'!P36/'IO model'!$D$16)</f>
        <v>0.018438687948278822</v>
      </c>
      <c r="Q36" s="33">
        <f>IF('IO model'!$D$17=0,0,'Z domestic'!Q36/'IO model'!$D$17)</f>
        <v>0.010002503158747945</v>
      </c>
      <c r="R36" s="33">
        <f>IF('IO model'!$D$18=0,0,'Z domestic'!R36/'IO model'!$D$18)</f>
        <v>0.006370499808571424</v>
      </c>
      <c r="S36" s="33">
        <f>IF('IO model'!$D$19=0,0,'Z domestic'!S36/'IO model'!$D$19)</f>
        <v>0.005680661978782222</v>
      </c>
      <c r="T36" s="33">
        <f>IF('IO model'!$D$20=0,0,'Z domestic'!T36/'IO model'!$D$20)</f>
        <v>0.0077057254284786676</v>
      </c>
      <c r="U36" s="33">
        <f>IF('IO model'!$D$21=0,0,'Z domestic'!U36/'IO model'!$D$21)</f>
        <v>0.009907350016084098</v>
      </c>
      <c r="V36" s="33">
        <f>IF('IO model'!$D$22=0,0,'Z domestic'!V36/'IO model'!$D$22)</f>
        <v>0.009834445950932184</v>
      </c>
      <c r="W36" s="33">
        <f>IF('IO model'!$D$23=0,0,'Z domestic'!W36/'IO model'!$D$23)</f>
        <v>0.005301567898031662</v>
      </c>
      <c r="X36" s="33">
        <f>IF('IO model'!$D$24=0,0,'Z domestic'!X36/'IO model'!$D$24)</f>
        <v>0.008416903525270353</v>
      </c>
      <c r="Y36" s="33">
        <f>IF('IO model'!$D$25=0,0,'Z domestic'!Y36/'IO model'!$D$25)</f>
        <v>0.004879605446959937</v>
      </c>
      <c r="Z36" s="33">
        <f>IF('IO model'!$D$26=0,0,'Z domestic'!Z36/'IO model'!$D$26)</f>
        <v>0.007526506982317247</v>
      </c>
      <c r="AA36" s="33">
        <f>IF('IO model'!$D$27=0,0,'Z domestic'!AA36/'IO model'!$D$27)</f>
        <v>0.0026399704642613283</v>
      </c>
      <c r="AB36" s="33">
        <f>IF('IO model'!$D$28=0,0,'Z domestic'!AB36/'IO model'!$D$28)</f>
        <v>0.009261297882090031</v>
      </c>
      <c r="AC36" s="33">
        <f>IF('IO model'!$D$29=0,0,'Z domestic'!AC36/'IO model'!$D$29)</f>
        <v>0.0041545343458561715</v>
      </c>
      <c r="AD36" s="33">
        <f>IF('IO model'!$D$30=0,0,'Z domestic'!AD36/'IO model'!$D$30)</f>
        <v>0.01355071252624912</v>
      </c>
      <c r="AE36" s="33">
        <f>IF('IO model'!$D$31=0,0,'Z domestic'!AE36/'IO model'!$D$31)</f>
        <v>0.04833063366879983</v>
      </c>
      <c r="AF36" s="33">
        <f>IF('IO model'!$D$32=0,0,'Z domestic'!AF36/'IO model'!$D$32)</f>
        <v>0.01821393863810352</v>
      </c>
      <c r="AG36" s="33">
        <f>IF('IO model'!$D$33=0,0,'Z domestic'!AG36/'IO model'!$D$33)</f>
        <v>0.09628994370822247</v>
      </c>
      <c r="AH36" s="33">
        <f>IF('IO model'!$D$34=0,0,'Z domestic'!AH36/'IO model'!$D$34)</f>
        <v>0.13153749475970597</v>
      </c>
      <c r="AI36" s="33">
        <f>IF('IO model'!$D$35=0,0,'Z domestic'!AI36/'IO model'!$D$35)</f>
        <v>0.08515164073151983</v>
      </c>
      <c r="AJ36" s="33">
        <f>IF('IO model'!$D$36=0,0,'Z domestic'!AJ36/'IO model'!$D$36)</f>
        <v>0.18884715245024827</v>
      </c>
      <c r="AK36" s="33">
        <f>IF('IO model'!$D$37=0,0,'Z domestic'!AK36/'IO model'!$D$37)</f>
        <v>0.11427750646365988</v>
      </c>
      <c r="AL36" s="33">
        <f>IF('IO model'!$D$38=0,0,'Z domestic'!AL36/'IO model'!$D$38)</f>
        <v>0.0024367132209689607</v>
      </c>
      <c r="AM36" s="33">
        <f>IF('IO model'!$D$39=0,0,'Z domestic'!AM36/'IO model'!$D$39)</f>
        <v>0.0072983630084926905</v>
      </c>
      <c r="AN36" s="33">
        <f>IF('IO model'!$D$40=0,0,'Z domestic'!AN36/'IO model'!$D$40)</f>
        <v>0.0022615808235561343</v>
      </c>
      <c r="AO36" s="33">
        <f>IF('IO model'!$D$41=0,0,'Z domestic'!AO36/'IO model'!$D$41)</f>
        <v>0.004901078196547263</v>
      </c>
      <c r="AP36" s="33">
        <f>IF('IO model'!$D$42=0,0,'Z domestic'!AP36/'IO model'!$D$42)</f>
        <v>0.0030798040189042937</v>
      </c>
      <c r="AQ36" s="33">
        <f>IF('IO model'!$D$43=0,0,'Z domestic'!AQ36/'IO model'!$D$43)</f>
        <v>0.0005915304015587832</v>
      </c>
      <c r="AR36" s="33">
        <f>IF('IO model'!$D$44=0,0,'Z domestic'!AR36/'IO model'!$D$44)</f>
        <v>0.0006568024166340758</v>
      </c>
      <c r="AS36" s="33">
        <f>IF('IO model'!$D$45=0,0,'Z domestic'!AS36/'IO model'!$D$45)</f>
        <v>0.002469829787644106</v>
      </c>
      <c r="AT36" s="33">
        <f>IF('IO model'!$D$46=0,0,'Z domestic'!AT36/'IO model'!$D$46)</f>
        <v>0.0005954962142811345</v>
      </c>
      <c r="AU36" s="33">
        <f>IF('IO model'!$D$47=0,0,'Z domestic'!AU36/'IO model'!$D$47)</f>
        <v>0.0034418558383677903</v>
      </c>
      <c r="AV36" s="33">
        <f>IF('IO model'!$D$48=0,0,'Z domestic'!AV36/'IO model'!$D$48)</f>
        <v>0.00241292614795742</v>
      </c>
      <c r="AW36" s="33">
        <f>IF('IO model'!$D$49=0,0,'Z domestic'!AW36/'IO model'!$D$49)</f>
        <v>0.0016264142046146346</v>
      </c>
      <c r="AX36" s="33">
        <f>IF('IO model'!$D$50=0,0,'Z domestic'!AX36/'IO model'!$D$50)</f>
        <v>0.004278214235038267</v>
      </c>
      <c r="AY36" s="33">
        <f>IF('IO model'!$D$51=0,0,'Z domestic'!AY36/'IO model'!$D$51)</f>
        <v>0.007524484531331229</v>
      </c>
      <c r="AZ36" s="33">
        <f>IF('IO model'!$D$52=0,0,'Z domestic'!AZ36/'IO model'!$D$52)</f>
        <v>0.007015578231514082</v>
      </c>
      <c r="BA36" s="33">
        <f>IF('IO model'!$D$53=0,0,'Z domestic'!BA36/'IO model'!$D$53)</f>
        <v>0.0012268073508819315</v>
      </c>
      <c r="BB36" s="33">
        <f>IF('IO model'!$D$54=0,0,'Z domestic'!BB36/'IO model'!$D$54)</f>
        <v>0.008826188001075447</v>
      </c>
      <c r="BC36" s="33">
        <f>IF('IO model'!$D$55=0,0,'Z domestic'!BC36/'IO model'!$D$55)</f>
        <v>0.0042142931471778914</v>
      </c>
      <c r="BD36" s="33">
        <f>IF('IO model'!$D$56=0,0,'Z domestic'!BD36/'IO model'!$D$56)</f>
        <v>0.002470202963575313</v>
      </c>
      <c r="BE36" s="33">
        <f>IF('IO model'!$D$57=0,0,'Z domestic'!BE36/'IO model'!$D$57)</f>
        <v>0.0013402676341305534</v>
      </c>
      <c r="BF36" s="33">
        <f>IF('IO model'!$D$58=0,0,'Z domestic'!BF36/'IO model'!$D$58)</f>
        <v>0.0009543780198051379</v>
      </c>
      <c r="BG36" s="33">
        <f>IF('IO model'!$D$59=0,0,'Z domestic'!BG36/'IO model'!$D$59)</f>
        <v>0.0008644217153358038</v>
      </c>
      <c r="BH36" s="33">
        <f>IF('IO model'!$D$60=0,0,'Z domestic'!BH36/'IO model'!$D$60)</f>
        <v>0.001999682285311281</v>
      </c>
      <c r="BI36" s="33">
        <f>IF('IO model'!$D$61=0,0,'Z domestic'!BI36/'IO model'!$D$61)</f>
        <v>0.0028594787976611497</v>
      </c>
      <c r="BJ36" s="33">
        <f>IF('IO model'!$D$62=0,0,'Z domestic'!BJ36/'IO model'!$D$62)</f>
        <v>0.0020318318404669825</v>
      </c>
      <c r="BK36" s="33">
        <f>IF('IO model'!$D$63=0,0,'Z domestic'!BK36/'IO model'!$D$63)</f>
        <v>0.007070770192157475</v>
      </c>
      <c r="BL36" s="33">
        <f>IF('IO model'!$D$64=0,0,'Z domestic'!BL36/'IO model'!$D$64)</f>
        <v>0.00231569266313673</v>
      </c>
      <c r="BM36" s="33">
        <f>IF('IO model'!$D$65=0,0,'Z domestic'!BM36/'IO model'!$D$65)</f>
        <v>0</v>
      </c>
      <c r="BN36" s="33">
        <f>IF('IO model'!$D$66=0,0,'Z domestic'!BN36/'IO model'!$D$66)</f>
        <v>0</v>
      </c>
    </row>
    <row r="37" spans="1:66" x14ac:dyDescent="0.25">
      <c r="A37" s="30" t="s">
        <v>328</v>
      </c>
      <c r="B37" s="31" t="s">
        <v>329</v>
      </c>
      <c r="C37" s="33">
        <f>IF('IO model'!$D$3=0,0,'Z domestic'!C37/'IO model'!$D$3)</f>
        <v>0.00037899319784893867</v>
      </c>
      <c r="D37" s="33">
        <f>IF('IO model'!$D$4=0,0,'Z domestic'!D37/'IO model'!$D$4)</f>
        <v>0.0006341062704463244</v>
      </c>
      <c r="E37" s="33">
        <f>IF('IO model'!$D$5=0,0,'Z domestic'!E37/'IO model'!$D$5)</f>
        <v>0.00038686294871011743</v>
      </c>
      <c r="F37" s="33">
        <f>IF('IO model'!$D$6=0,0,'Z domestic'!F37/'IO model'!$D$6)</f>
        <v>0.0009860864487482946</v>
      </c>
      <c r="G37" s="33">
        <f>IF('IO model'!$D$7=0,0,'Z domestic'!G37/'IO model'!$D$7)</f>
        <v>0.0009990640672458853</v>
      </c>
      <c r="H37" s="33">
        <f>IF('IO model'!$D$8=0,0,'Z domestic'!H37/'IO model'!$D$8)</f>
        <v>0.0017834588473787855</v>
      </c>
      <c r="I37" s="33">
        <f>IF('IO model'!$D$9=0,0,'Z domestic'!I37/'IO model'!$D$9)</f>
        <v>0.0007880969636485326</v>
      </c>
      <c r="J37" s="33">
        <f>IF('IO model'!$D$10=0,0,'Z domestic'!J37/'IO model'!$D$10)</f>
        <v>0.00121990749146939</v>
      </c>
      <c r="K37" s="33">
        <f>IF('IO model'!$D$11=0,0,'Z domestic'!K37/'IO model'!$D$11)</f>
        <v>0.004980089593276097</v>
      </c>
      <c r="L37" s="33">
        <f>IF('IO model'!$D$12=0,0,'Z domestic'!L37/'IO model'!$D$12)</f>
        <v>0.0008509875441359099</v>
      </c>
      <c r="M37" s="33">
        <f>IF('IO model'!$D$13=0,0,'Z domestic'!M37/'IO model'!$D$13)</f>
        <v>0.00418735960124587</v>
      </c>
      <c r="N37" s="33">
        <f>IF('IO model'!$D$14=0,0,'Z domestic'!N37/'IO model'!$D$14)</f>
        <v>0.002949270607890451</v>
      </c>
      <c r="O37" s="33">
        <f>IF('IO model'!$D$15=0,0,'Z domestic'!O37/'IO model'!$D$15)</f>
        <v>0.0017453043968385525</v>
      </c>
      <c r="P37" s="33">
        <f>IF('IO model'!$D$16=0,0,'Z domestic'!P37/'IO model'!$D$16)</f>
        <v>0.0011828691650388422</v>
      </c>
      <c r="Q37" s="33">
        <f>IF('IO model'!$D$17=0,0,'Z domestic'!Q37/'IO model'!$D$17)</f>
        <v>0.0006424774119722508</v>
      </c>
      <c r="R37" s="33">
        <f>IF('IO model'!$D$18=0,0,'Z domestic'!R37/'IO model'!$D$18)</f>
        <v>0.001597664651373606</v>
      </c>
      <c r="S37" s="33">
        <f>IF('IO model'!$D$19=0,0,'Z domestic'!S37/'IO model'!$D$19)</f>
        <v>0.0038369809077773934</v>
      </c>
      <c r="T37" s="33">
        <f>IF('IO model'!$D$20=0,0,'Z domestic'!T37/'IO model'!$D$20)</f>
        <v>0.004578640261669215</v>
      </c>
      <c r="U37" s="33">
        <f>IF('IO model'!$D$21=0,0,'Z domestic'!U37/'IO model'!$D$21)</f>
        <v>0.003970026627980462</v>
      </c>
      <c r="V37" s="33">
        <f>IF('IO model'!$D$22=0,0,'Z domestic'!V37/'IO model'!$D$22)</f>
        <v>0.0017293646752436003</v>
      </c>
      <c r="W37" s="33">
        <f>IF('IO model'!$D$23=0,0,'Z domestic'!W37/'IO model'!$D$23)</f>
        <v>0.0005254664339077554</v>
      </c>
      <c r="X37" s="33">
        <f>IF('IO model'!$D$24=0,0,'Z domestic'!X37/'IO model'!$D$24)</f>
        <v>0.003536985301313431</v>
      </c>
      <c r="Y37" s="33">
        <f>IF('IO model'!$D$25=0,0,'Z domestic'!Y37/'IO model'!$D$25)</f>
        <v>0.0019102394266767714</v>
      </c>
      <c r="Z37" s="33">
        <f>IF('IO model'!$D$26=0,0,'Z domestic'!Z37/'IO model'!$D$26)</f>
        <v>0.0014928719583035205</v>
      </c>
      <c r="AA37" s="33">
        <f>IF('IO model'!$D$27=0,0,'Z domestic'!AA37/'IO model'!$D$27)</f>
        <v>0.005724687572609879</v>
      </c>
      <c r="AB37" s="33">
        <f>IF('IO model'!$D$28=0,0,'Z domestic'!AB37/'IO model'!$D$28)</f>
        <v>0.002434268556653507</v>
      </c>
      <c r="AC37" s="33">
        <f>IF('IO model'!$D$29=0,0,'Z domestic'!AC37/'IO model'!$D$29)</f>
        <v>0.0007630163115867364</v>
      </c>
      <c r="AD37" s="33">
        <f>IF('IO model'!$D$30=0,0,'Z domestic'!AD37/'IO model'!$D$30)</f>
        <v>0.003281217038599469</v>
      </c>
      <c r="AE37" s="33">
        <f>IF('IO model'!$D$31=0,0,'Z domestic'!AE37/'IO model'!$D$31)</f>
        <v>0.006364864824993877</v>
      </c>
      <c r="AF37" s="33">
        <f>IF('IO model'!$D$32=0,0,'Z domestic'!AF37/'IO model'!$D$32)</f>
        <v>0.015694789419484066</v>
      </c>
      <c r="AG37" s="33">
        <f>IF('IO model'!$D$33=0,0,'Z domestic'!AG37/'IO model'!$D$33)</f>
        <v>0.004720681873104818</v>
      </c>
      <c r="AH37" s="33">
        <f>IF('IO model'!$D$34=0,0,'Z domestic'!AH37/'IO model'!$D$34)</f>
        <v>0.0013194599096588327</v>
      </c>
      <c r="AI37" s="33">
        <f>IF('IO model'!$D$35=0,0,'Z domestic'!AI37/'IO model'!$D$35)</f>
        <v>0.0025725303613626945</v>
      </c>
      <c r="AJ37" s="33">
        <f>IF('IO model'!$D$36=0,0,'Z domestic'!AJ37/'IO model'!$D$36)</f>
        <v>0.005816654832944193</v>
      </c>
      <c r="AK37" s="33">
        <f>IF('IO model'!$D$37=0,0,'Z domestic'!AK37/'IO model'!$D$37)</f>
        <v>0.09218788396908519</v>
      </c>
      <c r="AL37" s="33">
        <f>IF('IO model'!$D$38=0,0,'Z domestic'!AL37/'IO model'!$D$38)</f>
        <v>0.0032273578825233627</v>
      </c>
      <c r="AM37" s="33">
        <f>IF('IO model'!$D$39=0,0,'Z domestic'!AM37/'IO model'!$D$39)</f>
        <v>0.006273944152678628</v>
      </c>
      <c r="AN37" s="33">
        <f>IF('IO model'!$D$40=0,0,'Z domestic'!AN37/'IO model'!$D$40)</f>
        <v>0.0025721643032963564</v>
      </c>
      <c r="AO37" s="33">
        <f>IF('IO model'!$D$41=0,0,'Z domestic'!AO37/'IO model'!$D$41)</f>
        <v>0.012030104009608753</v>
      </c>
      <c r="AP37" s="33">
        <f>IF('IO model'!$D$42=0,0,'Z domestic'!AP37/'IO model'!$D$42)</f>
        <v>0.001860456002229499</v>
      </c>
      <c r="AQ37" s="33">
        <f>IF('IO model'!$D$43=0,0,'Z domestic'!AQ37/'IO model'!$D$43)</f>
        <v>0.003052685153749369</v>
      </c>
      <c r="AR37" s="33">
        <f>IF('IO model'!$D$44=0,0,'Z domestic'!AR37/'IO model'!$D$44)</f>
        <v>0.0029288153303417045</v>
      </c>
      <c r="AS37" s="33">
        <f>IF('IO model'!$D$45=0,0,'Z domestic'!AS37/'IO model'!$D$45)</f>
        <v>0.00516965022790275</v>
      </c>
      <c r="AT37" s="33">
        <f>IF('IO model'!$D$46=0,0,'Z domestic'!AT37/'IO model'!$D$46)</f>
        <v>0.00035652946873979206</v>
      </c>
      <c r="AU37" s="33">
        <f>IF('IO model'!$D$47=0,0,'Z domestic'!AU37/'IO model'!$D$47)</f>
        <v>0.0038356114128972984</v>
      </c>
      <c r="AV37" s="33">
        <f>IF('IO model'!$D$48=0,0,'Z domestic'!AV37/'IO model'!$D$48)</f>
        <v>0.0018159387821457733</v>
      </c>
      <c r="AW37" s="33">
        <f>IF('IO model'!$D$49=0,0,'Z domestic'!AW37/'IO model'!$D$49)</f>
        <v>0.0014639356699022565</v>
      </c>
      <c r="AX37" s="33">
        <f>IF('IO model'!$D$50=0,0,'Z domestic'!AX37/'IO model'!$D$50)</f>
        <v>0.0038838100257434166</v>
      </c>
      <c r="AY37" s="33">
        <f>IF('IO model'!$D$51=0,0,'Z domestic'!AY37/'IO model'!$D$51)</f>
        <v>0.004654795453232671</v>
      </c>
      <c r="AZ37" s="33">
        <f>IF('IO model'!$D$52=0,0,'Z domestic'!AZ37/'IO model'!$D$52)</f>
        <v>0.001781579058792109</v>
      </c>
      <c r="BA37" s="33">
        <f>IF('IO model'!$D$53=0,0,'Z domestic'!BA37/'IO model'!$D$53)</f>
        <v>0.00570377390331281</v>
      </c>
      <c r="BB37" s="33">
        <f>IF('IO model'!$D$54=0,0,'Z domestic'!BB37/'IO model'!$D$54)</f>
        <v>0.0025569856768911515</v>
      </c>
      <c r="BC37" s="33">
        <f>IF('IO model'!$D$55=0,0,'Z domestic'!BC37/'IO model'!$D$55)</f>
        <v>0.003316457981502307</v>
      </c>
      <c r="BD37" s="33">
        <f>IF('IO model'!$D$56=0,0,'Z domestic'!BD37/'IO model'!$D$56)</f>
        <v>0.005137468079202976</v>
      </c>
      <c r="BE37" s="33">
        <f>IF('IO model'!$D$57=0,0,'Z domestic'!BE37/'IO model'!$D$57)</f>
        <v>0.0009992433921787256</v>
      </c>
      <c r="BF37" s="33">
        <f>IF('IO model'!$D$58=0,0,'Z domestic'!BF37/'IO model'!$D$58)</f>
        <v>0.001127074994817496</v>
      </c>
      <c r="BG37" s="33">
        <f>IF('IO model'!$D$59=0,0,'Z domestic'!BG37/'IO model'!$D$59)</f>
        <v>0.0021467609913609466</v>
      </c>
      <c r="BH37" s="33">
        <f>IF('IO model'!$D$60=0,0,'Z domestic'!BH37/'IO model'!$D$60)</f>
        <v>0.0038470535453991586</v>
      </c>
      <c r="BI37" s="33">
        <f>IF('IO model'!$D$61=0,0,'Z domestic'!BI37/'IO model'!$D$61)</f>
        <v>0.0025393529478206565</v>
      </c>
      <c r="BJ37" s="33">
        <f>IF('IO model'!$D$62=0,0,'Z domestic'!BJ37/'IO model'!$D$62)</f>
        <v>0.0050712406366368095</v>
      </c>
      <c r="BK37" s="33">
        <f>IF('IO model'!$D$63=0,0,'Z domestic'!BK37/'IO model'!$D$63)</f>
        <v>0.00305264802374629</v>
      </c>
      <c r="BL37" s="33">
        <f>IF('IO model'!$D$64=0,0,'Z domestic'!BL37/'IO model'!$D$64)</f>
        <v>0.0023554720835983088</v>
      </c>
      <c r="BM37" s="33">
        <f>IF('IO model'!$D$65=0,0,'Z domestic'!BM37/'IO model'!$D$65)</f>
        <v>0</v>
      </c>
      <c r="BN37" s="33">
        <f>IF('IO model'!$D$66=0,0,'Z domestic'!BN37/'IO model'!$D$66)</f>
        <v>0</v>
      </c>
    </row>
    <row r="38" spans="1:66" x14ac:dyDescent="0.25">
      <c r="A38" s="30" t="s">
        <v>330</v>
      </c>
      <c r="B38" s="31" t="s">
        <v>331</v>
      </c>
      <c r="C38" s="33">
        <f>IF('IO model'!$D$3=0,0,'Z domestic'!C38/'IO model'!$D$3)</f>
        <v>0.0012879833319804097</v>
      </c>
      <c r="D38" s="33">
        <f>IF('IO model'!$D$4=0,0,'Z domestic'!D38/'IO model'!$D$4)</f>
        <v>0.001199357567081558</v>
      </c>
      <c r="E38" s="33">
        <f>IF('IO model'!$D$5=0,0,'Z domestic'!E38/'IO model'!$D$5)</f>
        <v>0.003420682914910512</v>
      </c>
      <c r="F38" s="33">
        <f>IF('IO model'!$D$6=0,0,'Z domestic'!F38/'IO model'!$D$6)</f>
        <v>0.0036083051616208547</v>
      </c>
      <c r="G38" s="33">
        <f>IF('IO model'!$D$7=0,0,'Z domestic'!G38/'IO model'!$D$7)</f>
        <v>0.002369999529090438</v>
      </c>
      <c r="H38" s="33">
        <f>IF('IO model'!$D$8=0,0,'Z domestic'!H38/'IO model'!$D$8)</f>
        <v>0.003798798086635433</v>
      </c>
      <c r="I38" s="33">
        <f>IF('IO model'!$D$9=0,0,'Z domestic'!I38/'IO model'!$D$9)</f>
        <v>0.005000710022749016</v>
      </c>
      <c r="J38" s="33">
        <f>IF('IO model'!$D$10=0,0,'Z domestic'!J38/'IO model'!$D$10)</f>
        <v>0.0020354208053182765</v>
      </c>
      <c r="K38" s="33">
        <f>IF('IO model'!$D$11=0,0,'Z domestic'!K38/'IO model'!$D$11)</f>
        <v>0.004208125948072294</v>
      </c>
      <c r="L38" s="33">
        <f>IF('IO model'!$D$12=0,0,'Z domestic'!L38/'IO model'!$D$12)</f>
        <v>0.0014589669896549822</v>
      </c>
      <c r="M38" s="33">
        <f>IF('IO model'!$D$13=0,0,'Z domestic'!M38/'IO model'!$D$13)</f>
        <v>0.0029183242682324353</v>
      </c>
      <c r="N38" s="33">
        <f>IF('IO model'!$D$14=0,0,'Z domestic'!N38/'IO model'!$D$14)</f>
        <v>0.002972414806474133</v>
      </c>
      <c r="O38" s="33">
        <f>IF('IO model'!$D$15=0,0,'Z domestic'!O38/'IO model'!$D$15)</f>
        <v>0.0020634223493697485</v>
      </c>
      <c r="P38" s="33">
        <f>IF('IO model'!$D$16=0,0,'Z domestic'!P38/'IO model'!$D$16)</f>
        <v>0.002648663779221835</v>
      </c>
      <c r="Q38" s="33">
        <f>IF('IO model'!$D$17=0,0,'Z domestic'!Q38/'IO model'!$D$17)</f>
        <v>0.0015610969397890993</v>
      </c>
      <c r="R38" s="33">
        <f>IF('IO model'!$D$18=0,0,'Z domestic'!R38/'IO model'!$D$18)</f>
        <v>0.0031185338858976896</v>
      </c>
      <c r="S38" s="33">
        <f>IF('IO model'!$D$19=0,0,'Z domestic'!S38/'IO model'!$D$19)</f>
        <v>0.0023030055754692633</v>
      </c>
      <c r="T38" s="33">
        <f>IF('IO model'!$D$20=0,0,'Z domestic'!T38/'IO model'!$D$20)</f>
        <v>0.002835372682163937</v>
      </c>
      <c r="U38" s="33">
        <f>IF('IO model'!$D$21=0,0,'Z domestic'!U38/'IO model'!$D$21)</f>
        <v>0.0032856614614587753</v>
      </c>
      <c r="V38" s="33">
        <f>IF('IO model'!$D$22=0,0,'Z domestic'!V38/'IO model'!$D$22)</f>
        <v>0.001277109244863256</v>
      </c>
      <c r="W38" s="33">
        <f>IF('IO model'!$D$23=0,0,'Z domestic'!W38/'IO model'!$D$23)</f>
        <v>0.0024239612693861936</v>
      </c>
      <c r="X38" s="33">
        <f>IF('IO model'!$D$24=0,0,'Z domestic'!X38/'IO model'!$D$24)</f>
        <v>0.0032016092336638992</v>
      </c>
      <c r="Y38" s="33">
        <f>IF('IO model'!$D$25=0,0,'Z domestic'!Y38/'IO model'!$D$25)</f>
        <v>0.007534315174502459</v>
      </c>
      <c r="Z38" s="33">
        <f>IF('IO model'!$D$26=0,0,'Z domestic'!Z38/'IO model'!$D$26)</f>
        <v>0.0022515855793158427</v>
      </c>
      <c r="AA38" s="33">
        <f>IF('IO model'!$D$27=0,0,'Z domestic'!AA38/'IO model'!$D$27)</f>
        <v>0.006636988380993923</v>
      </c>
      <c r="AB38" s="33">
        <f>IF('IO model'!$D$28=0,0,'Z domestic'!AB38/'IO model'!$D$28)</f>
        <v>0.00263895903025566</v>
      </c>
      <c r="AC38" s="33">
        <f>IF('IO model'!$D$29=0,0,'Z domestic'!AC38/'IO model'!$D$29)</f>
        <v>0.005683989121513255</v>
      </c>
      <c r="AD38" s="33">
        <f>IF('IO model'!$D$30=0,0,'Z domestic'!AD38/'IO model'!$D$30)</f>
        <v>0.005122440103019876</v>
      </c>
      <c r="AE38" s="33">
        <f>IF('IO model'!$D$31=0,0,'Z domestic'!AE38/'IO model'!$D$31)</f>
        <v>0.007483143267417941</v>
      </c>
      <c r="AF38" s="33">
        <f>IF('IO model'!$D$32=0,0,'Z domestic'!AF38/'IO model'!$D$32)</f>
        <v>0.004048820660431586</v>
      </c>
      <c r="AG38" s="33">
        <f>IF('IO model'!$D$33=0,0,'Z domestic'!AG38/'IO model'!$D$33)</f>
        <v>0.009713588741333674</v>
      </c>
      <c r="AH38" s="33">
        <f>IF('IO model'!$D$34=0,0,'Z domestic'!AH38/'IO model'!$D$34)</f>
        <v>0.0029817648495021882</v>
      </c>
      <c r="AI38" s="33">
        <f>IF('IO model'!$D$35=0,0,'Z domestic'!AI38/'IO model'!$D$35)</f>
        <v>0.025949909683052365</v>
      </c>
      <c r="AJ38" s="33">
        <f>IF('IO model'!$D$36=0,0,'Z domestic'!AJ38/'IO model'!$D$36)</f>
        <v>0.01070988980170539</v>
      </c>
      <c r="AK38" s="33">
        <f>IF('IO model'!$D$37=0,0,'Z domestic'!AK38/'IO model'!$D$37)</f>
        <v>0.0027322158498977235</v>
      </c>
      <c r="AL38" s="33">
        <f>IF('IO model'!$D$38=0,0,'Z domestic'!AL38/'IO model'!$D$38)</f>
        <v>0.010386984398118092</v>
      </c>
      <c r="AM38" s="33">
        <f>IF('IO model'!$D$39=0,0,'Z domestic'!AM38/'IO model'!$D$39)</f>
        <v>0.003946294604245351</v>
      </c>
      <c r="AN38" s="33">
        <f>IF('IO model'!$D$40=0,0,'Z domestic'!AN38/'IO model'!$D$40)</f>
        <v>0.015170496423654405</v>
      </c>
      <c r="AO38" s="33">
        <f>IF('IO model'!$D$41=0,0,'Z domestic'!AO38/'IO model'!$D$41)</f>
        <v>0.00558264663449811</v>
      </c>
      <c r="AP38" s="33">
        <f>IF('IO model'!$D$42=0,0,'Z domestic'!AP38/'IO model'!$D$42)</f>
        <v>0.005252150392484729</v>
      </c>
      <c r="AQ38" s="33">
        <f>IF('IO model'!$D$43=0,0,'Z domestic'!AQ38/'IO model'!$D$43)</f>
        <v>0.00344971518218621</v>
      </c>
      <c r="AR38" s="33">
        <f>IF('IO model'!$D$44=0,0,'Z domestic'!AR38/'IO model'!$D$44)</f>
        <v>0.002736385931616275</v>
      </c>
      <c r="AS38" s="33">
        <f>IF('IO model'!$D$45=0,0,'Z domestic'!AS38/'IO model'!$D$45)</f>
        <v>0.010759772193616155</v>
      </c>
      <c r="AT38" s="33">
        <f>IF('IO model'!$D$46=0,0,'Z domestic'!AT38/'IO model'!$D$46)</f>
        <v>0.0007272385479016642</v>
      </c>
      <c r="AU38" s="33">
        <f>IF('IO model'!$D$47=0,0,'Z domestic'!AU38/'IO model'!$D$47)</f>
        <v>0.00724933555400307</v>
      </c>
      <c r="AV38" s="33">
        <f>IF('IO model'!$D$48=0,0,'Z domestic'!AV38/'IO model'!$D$48)</f>
        <v>0.005178870973568869</v>
      </c>
      <c r="AW38" s="33">
        <f>IF('IO model'!$D$49=0,0,'Z domestic'!AW38/'IO model'!$D$49)</f>
        <v>0.003483718958557386</v>
      </c>
      <c r="AX38" s="33">
        <f>IF('IO model'!$D$50=0,0,'Z domestic'!AX38/'IO model'!$D$50)</f>
        <v>0.006386336587216322</v>
      </c>
      <c r="AY38" s="33">
        <f>IF('IO model'!$D$51=0,0,'Z domestic'!AY38/'IO model'!$D$51)</f>
        <v>0.007274999784926944</v>
      </c>
      <c r="AZ38" s="33">
        <f>IF('IO model'!$D$52=0,0,'Z domestic'!AZ38/'IO model'!$D$52)</f>
        <v>0.0038644306275262105</v>
      </c>
      <c r="BA38" s="33">
        <f>IF('IO model'!$D$53=0,0,'Z domestic'!BA38/'IO model'!$D$53)</f>
        <v>0.004895206090323423</v>
      </c>
      <c r="BB38" s="33">
        <f>IF('IO model'!$D$54=0,0,'Z domestic'!BB38/'IO model'!$D$54)</f>
        <v>0.14668162297186355</v>
      </c>
      <c r="BC38" s="33">
        <f>IF('IO model'!$D$55=0,0,'Z domestic'!BC38/'IO model'!$D$55)</f>
        <v>0.009756611288933355</v>
      </c>
      <c r="BD38" s="33">
        <f>IF('IO model'!$D$56=0,0,'Z domestic'!BD38/'IO model'!$D$56)</f>
        <v>0.005593335275879356</v>
      </c>
      <c r="BE38" s="33">
        <f>IF('IO model'!$D$57=0,0,'Z domestic'!BE38/'IO model'!$D$57)</f>
        <v>0.005863286982278602</v>
      </c>
      <c r="BF38" s="33">
        <f>IF('IO model'!$D$58=0,0,'Z domestic'!BF38/'IO model'!$D$58)</f>
        <v>0.005220774664731865</v>
      </c>
      <c r="BG38" s="33">
        <f>IF('IO model'!$D$59=0,0,'Z domestic'!BG38/'IO model'!$D$59)</f>
        <v>0.012226947309558877</v>
      </c>
      <c r="BH38" s="33">
        <f>IF('IO model'!$D$60=0,0,'Z domestic'!BH38/'IO model'!$D$60)</f>
        <v>0.010548302233953224</v>
      </c>
      <c r="BI38" s="33">
        <f>IF('IO model'!$D$61=0,0,'Z domestic'!BI38/'IO model'!$D$61)</f>
        <v>0.018186308562693456</v>
      </c>
      <c r="BJ38" s="33">
        <f>IF('IO model'!$D$62=0,0,'Z domestic'!BJ38/'IO model'!$D$62)</f>
        <v>0.0229678087214067</v>
      </c>
      <c r="BK38" s="33">
        <f>IF('IO model'!$D$63=0,0,'Z domestic'!BK38/'IO model'!$D$63)</f>
        <v>0.008123730667083268</v>
      </c>
      <c r="BL38" s="33">
        <f>IF('IO model'!$D$64=0,0,'Z domestic'!BL38/'IO model'!$D$64)</f>
        <v>0.008148946879622702</v>
      </c>
      <c r="BM38" s="33">
        <f>IF('IO model'!$D$65=0,0,'Z domestic'!BM38/'IO model'!$D$65)</f>
        <v>0</v>
      </c>
      <c r="BN38" s="33">
        <f>IF('IO model'!$D$66=0,0,'Z domestic'!BN38/'IO model'!$D$66)</f>
        <v>0</v>
      </c>
    </row>
    <row r="39" spans="1:66" x14ac:dyDescent="0.25">
      <c r="A39" s="30" t="s">
        <v>332</v>
      </c>
      <c r="B39" s="31" t="s">
        <v>333</v>
      </c>
      <c r="C39" s="33">
        <f>IF('IO model'!$D$3=0,0,'Z domestic'!C39/'IO model'!$D$3)</f>
        <v>0.0004853068125380237</v>
      </c>
      <c r="D39" s="33">
        <f>IF('IO model'!$D$4=0,0,'Z domestic'!D39/'IO model'!$D$4)</f>
        <v>0.0004771809812954663</v>
      </c>
      <c r="E39" s="33">
        <f>IF('IO model'!$D$5=0,0,'Z domestic'!E39/'IO model'!$D$5)</f>
        <v>0.00025112156319779557</v>
      </c>
      <c r="F39" s="33">
        <f>IF('IO model'!$D$6=0,0,'Z domestic'!F39/'IO model'!$D$6)</f>
        <v>0.0018151703064947656</v>
      </c>
      <c r="G39" s="33">
        <f>IF('IO model'!$D$7=0,0,'Z domestic'!G39/'IO model'!$D$7)</f>
        <v>0.000853597160415342</v>
      </c>
      <c r="H39" s="33">
        <f>IF('IO model'!$D$8=0,0,'Z domestic'!H39/'IO model'!$D$8)</f>
        <v>0.0008006021863510283</v>
      </c>
      <c r="I39" s="33">
        <f>IF('IO model'!$D$9=0,0,'Z domestic'!I39/'IO model'!$D$9)</f>
        <v>0.0006449609034883899</v>
      </c>
      <c r="J39" s="33">
        <f>IF('IO model'!$D$10=0,0,'Z domestic'!J39/'IO model'!$D$10)</f>
        <v>0.001688861271725539</v>
      </c>
      <c r="K39" s="33">
        <f>IF('IO model'!$D$11=0,0,'Z domestic'!K39/'IO model'!$D$11)</f>
        <v>0.005479093717523858</v>
      </c>
      <c r="L39" s="33">
        <f>IF('IO model'!$D$12=0,0,'Z domestic'!L39/'IO model'!$D$12)</f>
        <v>0.0005104455828089129</v>
      </c>
      <c r="M39" s="33">
        <f>IF('IO model'!$D$13=0,0,'Z domestic'!M39/'IO model'!$D$13)</f>
        <v>0.0011342998046728803</v>
      </c>
      <c r="N39" s="33">
        <f>IF('IO model'!$D$14=0,0,'Z domestic'!N39/'IO model'!$D$14)</f>
        <v>0.0014952228759411758</v>
      </c>
      <c r="O39" s="33">
        <f>IF('IO model'!$D$15=0,0,'Z domestic'!O39/'IO model'!$D$15)</f>
        <v>0.000803563145292457</v>
      </c>
      <c r="P39" s="33">
        <f>IF('IO model'!$D$16=0,0,'Z domestic'!P39/'IO model'!$D$16)</f>
        <v>0.0007148382358695293</v>
      </c>
      <c r="Q39" s="33">
        <f>IF('IO model'!$D$17=0,0,'Z domestic'!Q39/'IO model'!$D$17)</f>
        <v>0.000544735022766825</v>
      </c>
      <c r="R39" s="33">
        <f>IF('IO model'!$D$18=0,0,'Z domestic'!R39/'IO model'!$D$18)</f>
        <v>0.0008092317050518424</v>
      </c>
      <c r="S39" s="33">
        <f>IF('IO model'!$D$19=0,0,'Z domestic'!S39/'IO model'!$D$19)</f>
        <v>0.0020938967543706684</v>
      </c>
      <c r="T39" s="33">
        <f>IF('IO model'!$D$20=0,0,'Z domestic'!T39/'IO model'!$D$20)</f>
        <v>0.0017149787353537111</v>
      </c>
      <c r="U39" s="33">
        <f>IF('IO model'!$D$21=0,0,'Z domestic'!U39/'IO model'!$D$21)</f>
        <v>0.0009771944925814461</v>
      </c>
      <c r="V39" s="33">
        <f>IF('IO model'!$D$22=0,0,'Z domestic'!V39/'IO model'!$D$22)</f>
        <v>0.0008846661484167487</v>
      </c>
      <c r="W39" s="33">
        <f>IF('IO model'!$D$23=0,0,'Z domestic'!W39/'IO model'!$D$23)</f>
        <v>0.0011047986738018706</v>
      </c>
      <c r="X39" s="33">
        <f>IF('IO model'!$D$24=0,0,'Z domestic'!X39/'IO model'!$D$24)</f>
        <v>0.0011125627803283186</v>
      </c>
      <c r="Y39" s="33">
        <f>IF('IO model'!$D$25=0,0,'Z domestic'!Y39/'IO model'!$D$25)</f>
        <v>0.0008961216584495148</v>
      </c>
      <c r="Z39" s="33">
        <f>IF('IO model'!$D$26=0,0,'Z domestic'!Z39/'IO model'!$D$26)</f>
        <v>0.0006162929754298044</v>
      </c>
      <c r="AA39" s="33">
        <f>IF('IO model'!$D$27=0,0,'Z domestic'!AA39/'IO model'!$D$27)</f>
        <v>0.0009251300385019451</v>
      </c>
      <c r="AB39" s="33">
        <f>IF('IO model'!$D$28=0,0,'Z domestic'!AB39/'IO model'!$D$28)</f>
        <v>0.0017197439958607803</v>
      </c>
      <c r="AC39" s="33">
        <f>IF('IO model'!$D$29=0,0,'Z domestic'!AC39/'IO model'!$D$29)</f>
        <v>0.0004979850324945748</v>
      </c>
      <c r="AD39" s="33">
        <f>IF('IO model'!$D$30=0,0,'Z domestic'!AD39/'IO model'!$D$30)</f>
        <v>0.0015894087335511459</v>
      </c>
      <c r="AE39" s="33">
        <f>IF('IO model'!$D$31=0,0,'Z domestic'!AE39/'IO model'!$D$31)</f>
        <v>0.0023798808153145754</v>
      </c>
      <c r="AF39" s="33">
        <f>IF('IO model'!$D$32=0,0,'Z domestic'!AF39/'IO model'!$D$32)</f>
        <v>0.002615857712899423</v>
      </c>
      <c r="AG39" s="33">
        <f>IF('IO model'!$D$33=0,0,'Z domestic'!AG39/'IO model'!$D$33)</f>
        <v>0.0008149913864488935</v>
      </c>
      <c r="AH39" s="33">
        <f>IF('IO model'!$D$34=0,0,'Z domestic'!AH39/'IO model'!$D$34)</f>
        <v>0.0008354433964571536</v>
      </c>
      <c r="AI39" s="33">
        <f>IF('IO model'!$D$35=0,0,'Z domestic'!AI39/'IO model'!$D$35)</f>
        <v>0.0016835964809606815</v>
      </c>
      <c r="AJ39" s="33">
        <f>IF('IO model'!$D$36=0,0,'Z domestic'!AJ39/'IO model'!$D$36)</f>
        <v>0.0008814082945862388</v>
      </c>
      <c r="AK39" s="33">
        <f>IF('IO model'!$D$37=0,0,'Z domestic'!AK39/'IO model'!$D$37)</f>
        <v>0.0019285415145211702</v>
      </c>
      <c r="AL39" s="33">
        <f>IF('IO model'!$D$38=0,0,'Z domestic'!AL39/'IO model'!$D$38)</f>
        <v>0.0011939658197710964</v>
      </c>
      <c r="AM39" s="33">
        <f>IF('IO model'!$D$39=0,0,'Z domestic'!AM39/'IO model'!$D$39)</f>
        <v>0.02417845403581264</v>
      </c>
      <c r="AN39" s="33">
        <f>IF('IO model'!$D$40=0,0,'Z domestic'!AN39/'IO model'!$D$40)</f>
        <v>0.00542709864038605</v>
      </c>
      <c r="AO39" s="33">
        <f>IF('IO model'!$D$41=0,0,'Z domestic'!AO39/'IO model'!$D$41)</f>
        <v>0.003824275568544819</v>
      </c>
      <c r="AP39" s="33">
        <f>IF('IO model'!$D$42=0,0,'Z domestic'!AP39/'IO model'!$D$42)</f>
        <v>0.008098807740542046</v>
      </c>
      <c r="AQ39" s="33">
        <f>IF('IO model'!$D$43=0,0,'Z domestic'!AQ39/'IO model'!$D$43)</f>
        <v>0.0038245748045678705</v>
      </c>
      <c r="AR39" s="33">
        <f>IF('IO model'!$D$44=0,0,'Z domestic'!AR39/'IO model'!$D$44)</f>
        <v>0.0030701462488356406</v>
      </c>
      <c r="AS39" s="33">
        <f>IF('IO model'!$D$45=0,0,'Z domestic'!AS39/'IO model'!$D$45)</f>
        <v>0.00847142944330056</v>
      </c>
      <c r="AT39" s="33">
        <f>IF('IO model'!$D$46=0,0,'Z domestic'!AT39/'IO model'!$D$46)</f>
        <v>0.0003348569538137366</v>
      </c>
      <c r="AU39" s="33">
        <f>IF('IO model'!$D$47=0,0,'Z domestic'!AU39/'IO model'!$D$47)</f>
        <v>0.004006429900660716</v>
      </c>
      <c r="AV39" s="33">
        <f>IF('IO model'!$D$48=0,0,'Z domestic'!AV39/'IO model'!$D$48)</f>
        <v>0.0043544173719978355</v>
      </c>
      <c r="AW39" s="33">
        <f>IF('IO model'!$D$49=0,0,'Z domestic'!AW39/'IO model'!$D$49)</f>
        <v>0.004543697970728617</v>
      </c>
      <c r="AX39" s="33">
        <f>IF('IO model'!$D$50=0,0,'Z domestic'!AX39/'IO model'!$D$50)</f>
        <v>0.022027561962291248</v>
      </c>
      <c r="AY39" s="33">
        <f>IF('IO model'!$D$51=0,0,'Z domestic'!AY39/'IO model'!$D$51)</f>
        <v>0.005167898318374491</v>
      </c>
      <c r="AZ39" s="33">
        <f>IF('IO model'!$D$52=0,0,'Z domestic'!AZ39/'IO model'!$D$52)</f>
        <v>0.002280985741939196</v>
      </c>
      <c r="BA39" s="33">
        <f>IF('IO model'!$D$53=0,0,'Z domestic'!BA39/'IO model'!$D$53)</f>
        <v>0.002037092780043361</v>
      </c>
      <c r="BB39" s="33">
        <f>IF('IO model'!$D$54=0,0,'Z domestic'!BB39/'IO model'!$D$54)</f>
        <v>0.0031098690073390668</v>
      </c>
      <c r="BC39" s="33">
        <f>IF('IO model'!$D$55=0,0,'Z domestic'!BC39/'IO model'!$D$55)</f>
        <v>0.0036013705894964096</v>
      </c>
      <c r="BD39" s="33">
        <f>IF('IO model'!$D$56=0,0,'Z domestic'!BD39/'IO model'!$D$56)</f>
        <v>0.003366623448962156</v>
      </c>
      <c r="BE39" s="33">
        <f>IF('IO model'!$D$57=0,0,'Z domestic'!BE39/'IO model'!$D$57)</f>
        <v>0.004859489539663873</v>
      </c>
      <c r="BF39" s="33">
        <f>IF('IO model'!$D$58=0,0,'Z domestic'!BF39/'IO model'!$D$58)</f>
        <v>0.0017439524166414186</v>
      </c>
      <c r="BG39" s="33">
        <f>IF('IO model'!$D$59=0,0,'Z domestic'!BG39/'IO model'!$D$59)</f>
        <v>0.0024560494950132067</v>
      </c>
      <c r="BH39" s="33">
        <f>IF('IO model'!$D$60=0,0,'Z domestic'!BH39/'IO model'!$D$60)</f>
        <v>0.009274388530150598</v>
      </c>
      <c r="BI39" s="33">
        <f>IF('IO model'!$D$61=0,0,'Z domestic'!BI39/'IO model'!$D$61)</f>
        <v>0.005806743477362654</v>
      </c>
      <c r="BJ39" s="33">
        <f>IF('IO model'!$D$62=0,0,'Z domestic'!BJ39/'IO model'!$D$62)</f>
        <v>0.008624789728696104</v>
      </c>
      <c r="BK39" s="33">
        <f>IF('IO model'!$D$63=0,0,'Z domestic'!BK39/'IO model'!$D$63)</f>
        <v>0.0017559756288079988</v>
      </c>
      <c r="BL39" s="33">
        <f>IF('IO model'!$D$64=0,0,'Z domestic'!BL39/'IO model'!$D$64)</f>
        <v>0.0014225120757060715</v>
      </c>
      <c r="BM39" s="33">
        <f>IF('IO model'!$D$65=0,0,'Z domestic'!BM39/'IO model'!$D$65)</f>
        <v>0</v>
      </c>
      <c r="BN39" s="33">
        <f>IF('IO model'!$D$66=0,0,'Z domestic'!BN39/'IO model'!$D$66)</f>
        <v>0</v>
      </c>
    </row>
    <row r="40" spans="1:66" x14ac:dyDescent="0.25">
      <c r="A40" s="30" t="s">
        <v>335</v>
      </c>
      <c r="B40" s="31" t="s">
        <v>336</v>
      </c>
      <c r="C40" s="33">
        <f>IF('IO model'!$D$3=0,0,'Z domestic'!C40/'IO model'!$D$3)</f>
        <v>0.00014489376057789916</v>
      </c>
      <c r="D40" s="33">
        <f>IF('IO model'!$D$4=0,0,'Z domestic'!D40/'IO model'!$D$4)</f>
        <v>0.00017614063067953453</v>
      </c>
      <c r="E40" s="33">
        <f>IF('IO model'!$D$5=0,0,'Z domestic'!E40/'IO model'!$D$5)</f>
        <v>0.0005701138191517521</v>
      </c>
      <c r="F40" s="33">
        <f>IF('IO model'!$D$6=0,0,'Z domestic'!F40/'IO model'!$D$6)</f>
        <v>0.00044254531498759593</v>
      </c>
      <c r="G40" s="33">
        <f>IF('IO model'!$D$7=0,0,'Z domestic'!G40/'IO model'!$D$7)</f>
        <v>0.0015405364837183014</v>
      </c>
      <c r="H40" s="33">
        <f>IF('IO model'!$D$8=0,0,'Z domestic'!H40/'IO model'!$D$8)</f>
        <v>0.000711451202352532</v>
      </c>
      <c r="I40" s="33">
        <f>IF('IO model'!$D$9=0,0,'Z domestic'!I40/'IO model'!$D$9)</f>
        <v>0.00043789450815790685</v>
      </c>
      <c r="J40" s="33">
        <f>IF('IO model'!$D$10=0,0,'Z domestic'!J40/'IO model'!$D$10)</f>
        <v>0.0005599648867494554</v>
      </c>
      <c r="K40" s="33">
        <f>IF('IO model'!$D$11=0,0,'Z domestic'!K40/'IO model'!$D$11)</f>
        <v>0.0013335209930039904</v>
      </c>
      <c r="L40" s="33">
        <f>IF('IO model'!$D$12=0,0,'Z domestic'!L40/'IO model'!$D$12)</f>
        <v>0.00026541700869337143</v>
      </c>
      <c r="M40" s="33">
        <f>IF('IO model'!$D$13=0,0,'Z domestic'!M40/'IO model'!$D$13)</f>
        <v>0.0008782235081191944</v>
      </c>
      <c r="N40" s="33">
        <f>IF('IO model'!$D$14=0,0,'Z domestic'!N40/'IO model'!$D$14)</f>
        <v>0.0014588918665365575</v>
      </c>
      <c r="O40" s="33">
        <f>IF('IO model'!$D$15=0,0,'Z domestic'!O40/'IO model'!$D$15)</f>
        <v>0.00043107084668984967</v>
      </c>
      <c r="P40" s="33">
        <f>IF('IO model'!$D$16=0,0,'Z domestic'!P40/'IO model'!$D$16)</f>
        <v>0.0004962482279536365</v>
      </c>
      <c r="Q40" s="33">
        <f>IF('IO model'!$D$17=0,0,'Z domestic'!Q40/'IO model'!$D$17)</f>
        <v>0.0001938954712693002</v>
      </c>
      <c r="R40" s="33">
        <f>IF('IO model'!$D$18=0,0,'Z domestic'!R40/'IO model'!$D$18)</f>
        <v>0.00038109725611575496</v>
      </c>
      <c r="S40" s="33">
        <f>IF('IO model'!$D$19=0,0,'Z domestic'!S40/'IO model'!$D$19)</f>
        <v>0.00076443444489523</v>
      </c>
      <c r="T40" s="33">
        <f>IF('IO model'!$D$20=0,0,'Z domestic'!T40/'IO model'!$D$20)</f>
        <v>0.0005821273158895844</v>
      </c>
      <c r="U40" s="33">
        <f>IF('IO model'!$D$21=0,0,'Z domestic'!U40/'IO model'!$D$21)</f>
        <v>0.0003826775635283984</v>
      </c>
      <c r="V40" s="33">
        <f>IF('IO model'!$D$22=0,0,'Z domestic'!V40/'IO model'!$D$22)</f>
        <v>0.0004205409835503098</v>
      </c>
      <c r="W40" s="33">
        <f>IF('IO model'!$D$23=0,0,'Z domestic'!W40/'IO model'!$D$23)</f>
        <v>0.0012685946960869238</v>
      </c>
      <c r="X40" s="33">
        <f>IF('IO model'!$D$24=0,0,'Z domestic'!X40/'IO model'!$D$24)</f>
        <v>0.0007564712580209884</v>
      </c>
      <c r="Y40" s="33">
        <f>IF('IO model'!$D$25=0,0,'Z domestic'!Y40/'IO model'!$D$25)</f>
        <v>0.0006877024130001706</v>
      </c>
      <c r="Z40" s="33">
        <f>IF('IO model'!$D$26=0,0,'Z domestic'!Z40/'IO model'!$D$26)</f>
        <v>0.00047244365879442116</v>
      </c>
      <c r="AA40" s="33">
        <f>IF('IO model'!$D$27=0,0,'Z domestic'!AA40/'IO model'!$D$27)</f>
        <v>0.0008453037177683411</v>
      </c>
      <c r="AB40" s="33">
        <f>IF('IO model'!$D$28=0,0,'Z domestic'!AB40/'IO model'!$D$28)</f>
        <v>0.0005683170796483315</v>
      </c>
      <c r="AC40" s="33">
        <f>IF('IO model'!$D$29=0,0,'Z domestic'!AC40/'IO model'!$D$29)</f>
        <v>0.0005204970235313391</v>
      </c>
      <c r="AD40" s="33">
        <f>IF('IO model'!$D$30=0,0,'Z domestic'!AD40/'IO model'!$D$30)</f>
        <v>0.0014732246043524248</v>
      </c>
      <c r="AE40" s="33">
        <f>IF('IO model'!$D$31=0,0,'Z domestic'!AE40/'IO model'!$D$31)</f>
        <v>0.0026618192992764805</v>
      </c>
      <c r="AF40" s="33">
        <f>IF('IO model'!$D$32=0,0,'Z domestic'!AF40/'IO model'!$D$32)</f>
        <v>0.0029068753405205113</v>
      </c>
      <c r="AG40" s="33">
        <f>IF('IO model'!$D$33=0,0,'Z domestic'!AG40/'IO model'!$D$33)</f>
        <v>0.0007982849048261528</v>
      </c>
      <c r="AH40" s="33">
        <f>IF('IO model'!$D$34=0,0,'Z domestic'!AH40/'IO model'!$D$34)</f>
        <v>0.0006749627440303558</v>
      </c>
      <c r="AI40" s="33">
        <f>IF('IO model'!$D$35=0,0,'Z domestic'!AI40/'IO model'!$D$35)</f>
        <v>0.0012989190437475682</v>
      </c>
      <c r="AJ40" s="33">
        <f>IF('IO model'!$D$36=0,0,'Z domestic'!AJ40/'IO model'!$D$36)</f>
        <v>0.0006511793287497134</v>
      </c>
      <c r="AK40" s="33">
        <f>IF('IO model'!$D$37=0,0,'Z domestic'!AK40/'IO model'!$D$37)</f>
        <v>0.0009414273006994944</v>
      </c>
      <c r="AL40" s="33">
        <f>IF('IO model'!$D$38=0,0,'Z domestic'!AL40/'IO model'!$D$38)</f>
        <v>0.002276060714930691</v>
      </c>
      <c r="AM40" s="33">
        <f>IF('IO model'!$D$39=0,0,'Z domestic'!AM40/'IO model'!$D$39)</f>
        <v>0.00847371080027583</v>
      </c>
      <c r="AN40" s="33">
        <f>IF('IO model'!$D$40=0,0,'Z domestic'!AN40/'IO model'!$D$40)</f>
        <v>0.14330008853946957</v>
      </c>
      <c r="AO40" s="33">
        <f>IF('IO model'!$D$41=0,0,'Z domestic'!AO40/'IO model'!$D$41)</f>
        <v>0.022934908616976547</v>
      </c>
      <c r="AP40" s="33">
        <f>IF('IO model'!$D$42=0,0,'Z domestic'!AP40/'IO model'!$D$42)</f>
        <v>0.0054979069416382165</v>
      </c>
      <c r="AQ40" s="33">
        <f>IF('IO model'!$D$43=0,0,'Z domestic'!AQ40/'IO model'!$D$43)</f>
        <v>0.0005802654384820965</v>
      </c>
      <c r="AR40" s="33">
        <f>IF('IO model'!$D$44=0,0,'Z domestic'!AR40/'IO model'!$D$44)</f>
        <v>0.0005498694994667064</v>
      </c>
      <c r="AS40" s="33">
        <f>IF('IO model'!$D$45=0,0,'Z domestic'!AS40/'IO model'!$D$45)</f>
        <v>0.0006639534622266051</v>
      </c>
      <c r="AT40" s="33">
        <f>IF('IO model'!$D$46=0,0,'Z domestic'!AT40/'IO model'!$D$46)</f>
        <v>0.00020852089306316386</v>
      </c>
      <c r="AU40" s="33">
        <f>IF('IO model'!$D$47=0,0,'Z domestic'!AU40/'IO model'!$D$47)</f>
        <v>0.003225797348424387</v>
      </c>
      <c r="AV40" s="33">
        <f>IF('IO model'!$D$48=0,0,'Z domestic'!AV40/'IO model'!$D$48)</f>
        <v>0.002244110520045796</v>
      </c>
      <c r="AW40" s="33">
        <f>IF('IO model'!$D$49=0,0,'Z domestic'!AW40/'IO model'!$D$49)</f>
        <v>0.0023801680085058937</v>
      </c>
      <c r="AX40" s="33">
        <f>IF('IO model'!$D$50=0,0,'Z domestic'!AX40/'IO model'!$D$50)</f>
        <v>0.06309424870631365</v>
      </c>
      <c r="AY40" s="33">
        <f>IF('IO model'!$D$51=0,0,'Z domestic'!AY40/'IO model'!$D$51)</f>
        <v>0.0037502596239048173</v>
      </c>
      <c r="AZ40" s="33">
        <f>IF('IO model'!$D$52=0,0,'Z domestic'!AZ40/'IO model'!$D$52)</f>
        <v>0.0038663305442555745</v>
      </c>
      <c r="BA40" s="33">
        <f>IF('IO model'!$D$53=0,0,'Z domestic'!BA40/'IO model'!$D$53)</f>
        <v>0.0008081384089463756</v>
      </c>
      <c r="BB40" s="33">
        <f>IF('IO model'!$D$54=0,0,'Z domestic'!BB40/'IO model'!$D$54)</f>
        <v>0.00201367608376701</v>
      </c>
      <c r="BC40" s="33">
        <f>IF('IO model'!$D$55=0,0,'Z domestic'!BC40/'IO model'!$D$55)</f>
        <v>0.0026497812849088464</v>
      </c>
      <c r="BD40" s="33">
        <f>IF('IO model'!$D$56=0,0,'Z domestic'!BD40/'IO model'!$D$56)</f>
        <v>0.0009969354085813294</v>
      </c>
      <c r="BE40" s="33">
        <f>IF('IO model'!$D$57=0,0,'Z domestic'!BE40/'IO model'!$D$57)</f>
        <v>0.0007210226829838648</v>
      </c>
      <c r="BF40" s="33">
        <f>IF('IO model'!$D$58=0,0,'Z domestic'!BF40/'IO model'!$D$58)</f>
        <v>0.000517134155092408</v>
      </c>
      <c r="BG40" s="33">
        <f>IF('IO model'!$D$59=0,0,'Z domestic'!BG40/'IO model'!$D$59)</f>
        <v>0.0006270607706724415</v>
      </c>
      <c r="BH40" s="33">
        <f>IF('IO model'!$D$60=0,0,'Z domestic'!BH40/'IO model'!$D$60)</f>
        <v>0.006063200783463472</v>
      </c>
      <c r="BI40" s="33">
        <f>IF('IO model'!$D$61=0,0,'Z domestic'!BI40/'IO model'!$D$61)</f>
        <v>0.009501358632834377</v>
      </c>
      <c r="BJ40" s="33">
        <f>IF('IO model'!$D$62=0,0,'Z domestic'!BJ40/'IO model'!$D$62)</f>
        <v>0.004450131554354234</v>
      </c>
      <c r="BK40" s="33">
        <f>IF('IO model'!$D$63=0,0,'Z domestic'!BK40/'IO model'!$D$63)</f>
        <v>0.0013466645836588034</v>
      </c>
      <c r="BL40" s="33">
        <f>IF('IO model'!$D$64=0,0,'Z domestic'!BL40/'IO model'!$D$64)</f>
        <v>0.0013572738261490819</v>
      </c>
      <c r="BM40" s="33">
        <f>IF('IO model'!$D$65=0,0,'Z domestic'!BM40/'IO model'!$D$65)</f>
        <v>0</v>
      </c>
      <c r="BN40" s="33">
        <f>IF('IO model'!$D$66=0,0,'Z domestic'!BN40/'IO model'!$D$66)</f>
        <v>0</v>
      </c>
    </row>
    <row r="41" spans="1:66" x14ac:dyDescent="0.25">
      <c r="A41" s="30" t="s">
        <v>337</v>
      </c>
      <c r="B41" s="31" t="s">
        <v>338</v>
      </c>
      <c r="C41" s="33">
        <f>IF('IO model'!$D$3=0,0,'Z domestic'!C41/'IO model'!$D$3)</f>
        <v>0.0009196389526799671</v>
      </c>
      <c r="D41" s="33">
        <f>IF('IO model'!$D$4=0,0,'Z domestic'!D41/'IO model'!$D$4)</f>
        <v>0.0011273000363490211</v>
      </c>
      <c r="E41" s="33">
        <f>IF('IO model'!$D$5=0,0,'Z domestic'!E41/'IO model'!$D$5)</f>
        <v>0.0028030596108294475</v>
      </c>
      <c r="F41" s="33">
        <f>IF('IO model'!$D$6=0,0,'Z domestic'!F41/'IO model'!$D$6)</f>
        <v>0.00262221871287256</v>
      </c>
      <c r="G41" s="33">
        <f>IF('IO model'!$D$7=0,0,'Z domestic'!G41/'IO model'!$D$7)</f>
        <v>0.002397812625085352</v>
      </c>
      <c r="H41" s="33">
        <f>IF('IO model'!$D$8=0,0,'Z domestic'!H41/'IO model'!$D$8)</f>
        <v>0.004407044947905962</v>
      </c>
      <c r="I41" s="33">
        <f>IF('IO model'!$D$9=0,0,'Z domestic'!I41/'IO model'!$D$9)</f>
        <v>0.001988063697244037</v>
      </c>
      <c r="J41" s="33">
        <f>IF('IO model'!$D$10=0,0,'Z domestic'!J41/'IO model'!$D$10)</f>
        <v>0.003100654248806432</v>
      </c>
      <c r="K41" s="33">
        <f>IF('IO model'!$D$11=0,0,'Z domestic'!K41/'IO model'!$D$11)</f>
        <v>0.003932323098772962</v>
      </c>
      <c r="L41" s="33">
        <f>IF('IO model'!$D$12=0,0,'Z domestic'!L41/'IO model'!$D$12)</f>
        <v>0.0011066695345173447</v>
      </c>
      <c r="M41" s="33">
        <f>IF('IO model'!$D$13=0,0,'Z domestic'!M41/'IO model'!$D$13)</f>
        <v>0.0024783457943998873</v>
      </c>
      <c r="N41" s="33">
        <f>IF('IO model'!$D$14=0,0,'Z domestic'!N41/'IO model'!$D$14)</f>
        <v>0.0017481943488325913</v>
      </c>
      <c r="O41" s="33">
        <f>IF('IO model'!$D$15=0,0,'Z domestic'!O41/'IO model'!$D$15)</f>
        <v>0.002977976427880138</v>
      </c>
      <c r="P41" s="33">
        <f>IF('IO model'!$D$16=0,0,'Z domestic'!P41/'IO model'!$D$16)</f>
        <v>0.004516272728093595</v>
      </c>
      <c r="Q41" s="33">
        <f>IF('IO model'!$D$17=0,0,'Z domestic'!Q41/'IO model'!$D$17)</f>
        <v>0.002876844589601164</v>
      </c>
      <c r="R41" s="33">
        <f>IF('IO model'!$D$18=0,0,'Z domestic'!R41/'IO model'!$D$18)</f>
        <v>0.003049737991636659</v>
      </c>
      <c r="S41" s="33">
        <f>IF('IO model'!$D$19=0,0,'Z domestic'!S41/'IO model'!$D$19)</f>
        <v>0.0028588418435176654</v>
      </c>
      <c r="T41" s="33">
        <f>IF('IO model'!$D$20=0,0,'Z domestic'!T41/'IO model'!$D$20)</f>
        <v>0.002372629479207571</v>
      </c>
      <c r="U41" s="33">
        <f>IF('IO model'!$D$21=0,0,'Z domestic'!U41/'IO model'!$D$21)</f>
        <v>0.002320868556584268</v>
      </c>
      <c r="V41" s="33">
        <f>IF('IO model'!$D$22=0,0,'Z domestic'!V41/'IO model'!$D$22)</f>
        <v>0.0016558279608102162</v>
      </c>
      <c r="W41" s="33">
        <f>IF('IO model'!$D$23=0,0,'Z domestic'!W41/'IO model'!$D$23)</f>
        <v>0.0021487692945851306</v>
      </c>
      <c r="X41" s="33">
        <f>IF('IO model'!$D$24=0,0,'Z domestic'!X41/'IO model'!$D$24)</f>
        <v>0.0023004869560496626</v>
      </c>
      <c r="Y41" s="33">
        <f>IF('IO model'!$D$25=0,0,'Z domestic'!Y41/'IO model'!$D$25)</f>
        <v>0.002661197486155731</v>
      </c>
      <c r="Z41" s="33">
        <f>IF('IO model'!$D$26=0,0,'Z domestic'!Z41/'IO model'!$D$26)</f>
        <v>0.0017019936836666907</v>
      </c>
      <c r="AA41" s="33">
        <f>IF('IO model'!$D$27=0,0,'Z domestic'!AA41/'IO model'!$D$27)</f>
        <v>0.007040396394701242</v>
      </c>
      <c r="AB41" s="33">
        <f>IF('IO model'!$D$28=0,0,'Z domestic'!AB41/'IO model'!$D$28)</f>
        <v>0.0035678065575259353</v>
      </c>
      <c r="AC41" s="33">
        <f>IF('IO model'!$D$29=0,0,'Z domestic'!AC41/'IO model'!$D$29)</f>
        <v>0.0019723142916385564</v>
      </c>
      <c r="AD41" s="33">
        <f>IF('IO model'!$D$30=0,0,'Z domestic'!AD41/'IO model'!$D$30)</f>
        <v>0.004606257647660305</v>
      </c>
      <c r="AE41" s="33">
        <f>IF('IO model'!$D$31=0,0,'Z domestic'!AE41/'IO model'!$D$31)</f>
        <v>0.005132369806152964</v>
      </c>
      <c r="AF41" s="33">
        <f>IF('IO model'!$D$32=0,0,'Z domestic'!AF41/'IO model'!$D$32)</f>
        <v>0.005106279869564865</v>
      </c>
      <c r="AG41" s="33">
        <f>IF('IO model'!$D$33=0,0,'Z domestic'!AG41/'IO model'!$D$33)</f>
        <v>0.003184980639907459</v>
      </c>
      <c r="AH41" s="33">
        <f>IF('IO model'!$D$34=0,0,'Z domestic'!AH41/'IO model'!$D$34)</f>
        <v>0.0010654370587586607</v>
      </c>
      <c r="AI41" s="33">
        <f>IF('IO model'!$D$35=0,0,'Z domestic'!AI41/'IO model'!$D$35)</f>
        <v>0.003488037354203771</v>
      </c>
      <c r="AJ41" s="33">
        <f>IF('IO model'!$D$36=0,0,'Z domestic'!AJ41/'IO model'!$D$36)</f>
        <v>0.0029579205441583327</v>
      </c>
      <c r="AK41" s="33">
        <f>IF('IO model'!$D$37=0,0,'Z domestic'!AK41/'IO model'!$D$37)</f>
        <v>0.021337172879971483</v>
      </c>
      <c r="AL41" s="33">
        <f>IF('IO model'!$D$38=0,0,'Z domestic'!AL41/'IO model'!$D$38)</f>
        <v>0.006315468571874705</v>
      </c>
      <c r="AM41" s="33">
        <f>IF('IO model'!$D$39=0,0,'Z domestic'!AM41/'IO model'!$D$39)</f>
        <v>0.008291601934420927</v>
      </c>
      <c r="AN41" s="33">
        <f>IF('IO model'!$D$40=0,0,'Z domestic'!AN41/'IO model'!$D$40)</f>
        <v>0.014717369033436397</v>
      </c>
      <c r="AO41" s="33">
        <f>IF('IO model'!$D$41=0,0,'Z domestic'!AO41/'IO model'!$D$41)</f>
        <v>0.15208588401197842</v>
      </c>
      <c r="AP41" s="33">
        <f>IF('IO model'!$D$42=0,0,'Z domestic'!AP41/'IO model'!$D$42)</f>
        <v>0.008248311909240809</v>
      </c>
      <c r="AQ41" s="33">
        <f>IF('IO model'!$D$43=0,0,'Z domestic'!AQ41/'IO model'!$D$43)</f>
        <v>0.008000640425134913</v>
      </c>
      <c r="AR41" s="33">
        <f>IF('IO model'!$D$44=0,0,'Z domestic'!AR41/'IO model'!$D$44)</f>
        <v>0.006003448275002549</v>
      </c>
      <c r="AS41" s="33">
        <f>IF('IO model'!$D$45=0,0,'Z domestic'!AS41/'IO model'!$D$45)</f>
        <v>0.014730323111169646</v>
      </c>
      <c r="AT41" s="33">
        <f>IF('IO model'!$D$46=0,0,'Z domestic'!AT41/'IO model'!$D$46)</f>
        <v>0.0012447706165844724</v>
      </c>
      <c r="AU41" s="33">
        <f>IF('IO model'!$D$47=0,0,'Z domestic'!AU41/'IO model'!$D$47)</f>
        <v>0.006428225105079385</v>
      </c>
      <c r="AV41" s="33">
        <f>IF('IO model'!$D$48=0,0,'Z domestic'!AV41/'IO model'!$D$48)</f>
        <v>0.005439565120238205</v>
      </c>
      <c r="AW41" s="33">
        <f>IF('IO model'!$D$49=0,0,'Z domestic'!AW41/'IO model'!$D$49)</f>
        <v>0.004428049088878202</v>
      </c>
      <c r="AX41" s="33">
        <f>IF('IO model'!$D$50=0,0,'Z domestic'!AX41/'IO model'!$D$50)</f>
        <v>0.011112816399338603</v>
      </c>
      <c r="AY41" s="33">
        <f>IF('IO model'!$D$51=0,0,'Z domestic'!AY41/'IO model'!$D$51)</f>
        <v>0.008594319367513153</v>
      </c>
      <c r="AZ41" s="33">
        <f>IF('IO model'!$D$52=0,0,'Z domestic'!AZ41/'IO model'!$D$52)</f>
        <v>0.004222700639349121</v>
      </c>
      <c r="BA41" s="33">
        <f>IF('IO model'!$D$53=0,0,'Z domestic'!BA41/'IO model'!$D$53)</f>
        <v>0.008637032921119767</v>
      </c>
      <c r="BB41" s="33">
        <f>IF('IO model'!$D$54=0,0,'Z domestic'!BB41/'IO model'!$D$54)</f>
        <v>0.02129757648817763</v>
      </c>
      <c r="BC41" s="33">
        <f>IF('IO model'!$D$55=0,0,'Z domestic'!BC41/'IO model'!$D$55)</f>
        <v>0.005115576100188938</v>
      </c>
      <c r="BD41" s="33">
        <f>IF('IO model'!$D$56=0,0,'Z domestic'!BD41/'IO model'!$D$56)</f>
        <v>0.005736311489342982</v>
      </c>
      <c r="BE41" s="33">
        <f>IF('IO model'!$D$57=0,0,'Z domestic'!BE41/'IO model'!$D$57)</f>
        <v>0.002394900988589033</v>
      </c>
      <c r="BF41" s="33">
        <f>IF('IO model'!$D$58=0,0,'Z domestic'!BF41/'IO model'!$D$58)</f>
        <v>0.0028699909106855255</v>
      </c>
      <c r="BG41" s="33">
        <f>IF('IO model'!$D$59=0,0,'Z domestic'!BG41/'IO model'!$D$59)</f>
        <v>0.004330407910408508</v>
      </c>
      <c r="BH41" s="33">
        <f>IF('IO model'!$D$60=0,0,'Z domestic'!BH41/'IO model'!$D$60)</f>
        <v>0.009646219457057018</v>
      </c>
      <c r="BI41" s="33">
        <f>IF('IO model'!$D$61=0,0,'Z domestic'!BI41/'IO model'!$D$61)</f>
        <v>0.00775910149394014</v>
      </c>
      <c r="BJ41" s="33">
        <f>IF('IO model'!$D$62=0,0,'Z domestic'!BJ41/'IO model'!$D$62)</f>
        <v>0.007338863887970326</v>
      </c>
      <c r="BK41" s="33">
        <f>IF('IO model'!$D$63=0,0,'Z domestic'!BK41/'IO model'!$D$63)</f>
        <v>0.005374160287455085</v>
      </c>
      <c r="BL41" s="33">
        <f>IF('IO model'!$D$64=0,0,'Z domestic'!BL41/'IO model'!$D$64)</f>
        <v>0.005930846394685046</v>
      </c>
      <c r="BM41" s="33">
        <f>IF('IO model'!$D$65=0,0,'Z domestic'!BM41/'IO model'!$D$65)</f>
        <v>0</v>
      </c>
      <c r="BN41" s="33">
        <f>IF('IO model'!$D$66=0,0,'Z domestic'!BN41/'IO model'!$D$66)</f>
        <v>0</v>
      </c>
    </row>
    <row r="42" spans="1:66" x14ac:dyDescent="0.25">
      <c r="A42" s="30" t="s">
        <v>339</v>
      </c>
      <c r="B42" s="31" t="s">
        <v>340</v>
      </c>
      <c r="C42" s="33">
        <f>IF('IO model'!$D$3=0,0,'Z domestic'!C42/'IO model'!$D$3)</f>
        <v>0.001630491233491058</v>
      </c>
      <c r="D42" s="33">
        <f>IF('IO model'!$D$4=0,0,'Z domestic'!D42/'IO model'!$D$4)</f>
        <v>0.0020448325943433236</v>
      </c>
      <c r="E42" s="33">
        <f>IF('IO model'!$D$5=0,0,'Z domestic'!E42/'IO model'!$D$5)</f>
        <v>0.00213792682181907</v>
      </c>
      <c r="F42" s="33">
        <f>IF('IO model'!$D$6=0,0,'Z domestic'!F42/'IO model'!$D$6)</f>
        <v>0.006377426883617928</v>
      </c>
      <c r="G42" s="33">
        <f>IF('IO model'!$D$7=0,0,'Z domestic'!G42/'IO model'!$D$7)</f>
        <v>0.004970891902710084</v>
      </c>
      <c r="H42" s="33">
        <f>IF('IO model'!$D$8=0,0,'Z domestic'!H42/'IO model'!$D$8)</f>
        <v>0.00775306143600716</v>
      </c>
      <c r="I42" s="33">
        <f>IF('IO model'!$D$9=0,0,'Z domestic'!I42/'IO model'!$D$9)</f>
        <v>0.003988008253236544</v>
      </c>
      <c r="J42" s="33">
        <f>IF('IO model'!$D$10=0,0,'Z domestic'!J42/'IO model'!$D$10)</f>
        <v>0.008004494065672359</v>
      </c>
      <c r="K42" s="33">
        <f>IF('IO model'!$D$11=0,0,'Z domestic'!K42/'IO model'!$D$11)</f>
        <v>0.014343169827736951</v>
      </c>
      <c r="L42" s="33">
        <f>IF('IO model'!$D$12=0,0,'Z domestic'!L42/'IO model'!$D$12)</f>
        <v>0.004667849440778304</v>
      </c>
      <c r="M42" s="33">
        <f>IF('IO model'!$D$13=0,0,'Z domestic'!M42/'IO model'!$D$13)</f>
        <v>0.011611366005517066</v>
      </c>
      <c r="N42" s="33">
        <f>IF('IO model'!$D$14=0,0,'Z domestic'!N42/'IO model'!$D$14)</f>
        <v>0.010499392599346477</v>
      </c>
      <c r="O42" s="33">
        <f>IF('IO model'!$D$15=0,0,'Z domestic'!O42/'IO model'!$D$15)</f>
        <v>0.0066008774449887175</v>
      </c>
      <c r="P42" s="33">
        <f>IF('IO model'!$D$16=0,0,'Z domestic'!P42/'IO model'!$D$16)</f>
        <v>0.00673640979644417</v>
      </c>
      <c r="Q42" s="33">
        <f>IF('IO model'!$D$17=0,0,'Z domestic'!Q42/'IO model'!$D$17)</f>
        <v>0.005561780341859967</v>
      </c>
      <c r="R42" s="33">
        <f>IF('IO model'!$D$18=0,0,'Z domestic'!R42/'IO model'!$D$18)</f>
        <v>0.00839341908074926</v>
      </c>
      <c r="S42" s="33">
        <f>IF('IO model'!$D$19=0,0,'Z domestic'!S42/'IO model'!$D$19)</f>
        <v>0.012744148591349536</v>
      </c>
      <c r="T42" s="33">
        <f>IF('IO model'!$D$20=0,0,'Z domestic'!T42/'IO model'!$D$20)</f>
        <v>0.01206947428686809</v>
      </c>
      <c r="U42" s="33">
        <f>IF('IO model'!$D$21=0,0,'Z domestic'!U42/'IO model'!$D$21)</f>
        <v>0.01098945181692118</v>
      </c>
      <c r="V42" s="33">
        <f>IF('IO model'!$D$22=0,0,'Z domestic'!V42/'IO model'!$D$22)</f>
        <v>0.009849654048242493</v>
      </c>
      <c r="W42" s="33">
        <f>IF('IO model'!$D$23=0,0,'Z domestic'!W42/'IO model'!$D$23)</f>
        <v>0.014011705369431485</v>
      </c>
      <c r="X42" s="33">
        <f>IF('IO model'!$D$24=0,0,'Z domestic'!X42/'IO model'!$D$24)</f>
        <v>0.007497565934077708</v>
      </c>
      <c r="Y42" s="33">
        <f>IF('IO model'!$D$25=0,0,'Z domestic'!Y42/'IO model'!$D$25)</f>
        <v>0.010604241453290367</v>
      </c>
      <c r="Z42" s="33">
        <f>IF('IO model'!$D$26=0,0,'Z domestic'!Z42/'IO model'!$D$26)</f>
        <v>0.00865997887888432</v>
      </c>
      <c r="AA42" s="33">
        <f>IF('IO model'!$D$27=0,0,'Z domestic'!AA42/'IO model'!$D$27)</f>
        <v>0.01088346355001903</v>
      </c>
      <c r="AB42" s="33">
        <f>IF('IO model'!$D$28=0,0,'Z domestic'!AB42/'IO model'!$D$28)</f>
        <v>0.013824691381808625</v>
      </c>
      <c r="AC42" s="33">
        <f>IF('IO model'!$D$29=0,0,'Z domestic'!AC42/'IO model'!$D$29)</f>
        <v>0.004206402632896922</v>
      </c>
      <c r="AD42" s="33">
        <f>IF('IO model'!$D$30=0,0,'Z domestic'!AD42/'IO model'!$D$30)</f>
        <v>0.013234898463194122</v>
      </c>
      <c r="AE42" s="33">
        <f>IF('IO model'!$D$31=0,0,'Z domestic'!AE42/'IO model'!$D$31)</f>
        <v>0.01925999006378198</v>
      </c>
      <c r="AF42" s="33">
        <f>IF('IO model'!$D$32=0,0,'Z domestic'!AF42/'IO model'!$D$32)</f>
        <v>0.015589783978739119</v>
      </c>
      <c r="AG42" s="33">
        <f>IF('IO model'!$D$33=0,0,'Z domestic'!AG42/'IO model'!$D$33)</f>
        <v>0.00854465305817974</v>
      </c>
      <c r="AH42" s="33">
        <f>IF('IO model'!$D$34=0,0,'Z domestic'!AH42/'IO model'!$D$34)</f>
        <v>0.00991590213083121</v>
      </c>
      <c r="AI42" s="33">
        <f>IF('IO model'!$D$35=0,0,'Z domestic'!AI42/'IO model'!$D$35)</f>
        <v>0.018064022220183544</v>
      </c>
      <c r="AJ42" s="33">
        <f>IF('IO model'!$D$36=0,0,'Z domestic'!AJ42/'IO model'!$D$36)</f>
        <v>0.011687841239669603</v>
      </c>
      <c r="AK42" s="33">
        <f>IF('IO model'!$D$37=0,0,'Z domestic'!AK42/'IO model'!$D$37)</f>
        <v>0.026923436348092744</v>
      </c>
      <c r="AL42" s="33">
        <f>IF('IO model'!$D$38=0,0,'Z domestic'!AL42/'IO model'!$D$38)</f>
        <v>0.005433119043619636</v>
      </c>
      <c r="AM42" s="33">
        <f>IF('IO model'!$D$39=0,0,'Z domestic'!AM42/'IO model'!$D$39)</f>
        <v>0.04516571003026713</v>
      </c>
      <c r="AN42" s="33">
        <f>IF('IO model'!$D$40=0,0,'Z domestic'!AN42/'IO model'!$D$40)</f>
        <v>0.02752546089197721</v>
      </c>
      <c r="AO42" s="33">
        <f>IF('IO model'!$D$41=0,0,'Z domestic'!AO42/'IO model'!$D$41)</f>
        <v>0.04154953872888504</v>
      </c>
      <c r="AP42" s="33">
        <f>IF('IO model'!$D$42=0,0,'Z domestic'!AP42/'IO model'!$D$42)</f>
        <v>0.18249206394133627</v>
      </c>
      <c r="AQ42" s="33">
        <f>IF('IO model'!$D$43=0,0,'Z domestic'!AQ42/'IO model'!$D$43)</f>
        <v>0.02565427564669576</v>
      </c>
      <c r="AR42" s="33">
        <f>IF('IO model'!$D$44=0,0,'Z domestic'!AR42/'IO model'!$D$44)</f>
        <v>0.017754104641212645</v>
      </c>
      <c r="AS42" s="33">
        <f>IF('IO model'!$D$45=0,0,'Z domestic'!AS42/'IO model'!$D$45)</f>
        <v>0.02556879322362737</v>
      </c>
      <c r="AT42" s="33">
        <f>IF('IO model'!$D$46=0,0,'Z domestic'!AT42/'IO model'!$D$46)</f>
        <v>0.0022828698545086607</v>
      </c>
      <c r="AU42" s="33">
        <f>IF('IO model'!$D$47=0,0,'Z domestic'!AU42/'IO model'!$D$47)</f>
        <v>0.038817597426064346</v>
      </c>
      <c r="AV42" s="33">
        <f>IF('IO model'!$D$48=0,0,'Z domestic'!AV42/'IO model'!$D$48)</f>
        <v>0.02270782051219152</v>
      </c>
      <c r="AW42" s="33">
        <f>IF('IO model'!$D$49=0,0,'Z domestic'!AW42/'IO model'!$D$49)</f>
        <v>0.030829792943707905</v>
      </c>
      <c r="AX42" s="33">
        <f>IF('IO model'!$D$50=0,0,'Z domestic'!AX42/'IO model'!$D$50)</f>
        <v>0.03743191314999232</v>
      </c>
      <c r="AY42" s="33">
        <f>IF('IO model'!$D$51=0,0,'Z domestic'!AY42/'IO model'!$D$51)</f>
        <v>0.022296316597372176</v>
      </c>
      <c r="AZ42" s="33">
        <f>IF('IO model'!$D$52=0,0,'Z domestic'!AZ42/'IO model'!$D$52)</f>
        <v>0.014670885567472557</v>
      </c>
      <c r="BA42" s="33">
        <f>IF('IO model'!$D$53=0,0,'Z domestic'!BA42/'IO model'!$D$53)</f>
        <v>0.015191026829594011</v>
      </c>
      <c r="BB42" s="33">
        <f>IF('IO model'!$D$54=0,0,'Z domestic'!BB42/'IO model'!$D$54)</f>
        <v>0.016732499407625</v>
      </c>
      <c r="BC42" s="33">
        <f>IF('IO model'!$D$55=0,0,'Z domestic'!BC42/'IO model'!$D$55)</f>
        <v>0.018740448061904707</v>
      </c>
      <c r="BD42" s="33">
        <f>IF('IO model'!$D$56=0,0,'Z domestic'!BD42/'IO model'!$D$56)</f>
        <v>0.013918323689515807</v>
      </c>
      <c r="BE42" s="33">
        <f>IF('IO model'!$D$57=0,0,'Z domestic'!BE42/'IO model'!$D$57)</f>
        <v>0.009110007218699482</v>
      </c>
      <c r="BF42" s="33">
        <f>IF('IO model'!$D$58=0,0,'Z domestic'!BF42/'IO model'!$D$58)</f>
        <v>0.008570904625982681</v>
      </c>
      <c r="BG42" s="33">
        <f>IF('IO model'!$D$59=0,0,'Z domestic'!BG42/'IO model'!$D$59)</f>
        <v>0.00886534828983929</v>
      </c>
      <c r="BH42" s="33">
        <f>IF('IO model'!$D$60=0,0,'Z domestic'!BH42/'IO model'!$D$60)</f>
        <v>0.0308183248056616</v>
      </c>
      <c r="BI42" s="33">
        <f>IF('IO model'!$D$61=0,0,'Z domestic'!BI42/'IO model'!$D$61)</f>
        <v>0.008501184816787936</v>
      </c>
      <c r="BJ42" s="33">
        <f>IF('IO model'!$D$62=0,0,'Z domestic'!BJ42/'IO model'!$D$62)</f>
        <v>0.01282877805414576</v>
      </c>
      <c r="BK42" s="33">
        <f>IF('IO model'!$D$63=0,0,'Z domestic'!BK42/'IO model'!$D$63)</f>
        <v>0.016291204499296986</v>
      </c>
      <c r="BL42" s="33">
        <f>IF('IO model'!$D$64=0,0,'Z domestic'!BL42/'IO model'!$D$64)</f>
        <v>0.007929364478674783</v>
      </c>
      <c r="BM42" s="33">
        <f>IF('IO model'!$D$65=0,0,'Z domestic'!BM42/'IO model'!$D$65)</f>
        <v>0</v>
      </c>
      <c r="BN42" s="33">
        <f>IF('IO model'!$D$66=0,0,'Z domestic'!BN42/'IO model'!$D$66)</f>
        <v>0</v>
      </c>
    </row>
    <row r="43" spans="1:66" x14ac:dyDescent="0.25">
      <c r="A43" s="30" t="s">
        <v>341</v>
      </c>
      <c r="B43" s="31" t="s">
        <v>342</v>
      </c>
      <c r="C43" s="33">
        <f>IF('IO model'!$D$3=0,0,'Z domestic'!C43/'IO model'!$D$3)</f>
        <v>0.013635375724359697</v>
      </c>
      <c r="D43" s="33">
        <f>IF('IO model'!$D$4=0,0,'Z domestic'!D43/'IO model'!$D$4)</f>
        <v>0.010264194933234693</v>
      </c>
      <c r="E43" s="33">
        <f>IF('IO model'!$D$5=0,0,'Z domestic'!E43/'IO model'!$D$5)</f>
        <v>0.01677084818004737</v>
      </c>
      <c r="F43" s="33">
        <f>IF('IO model'!$D$6=0,0,'Z domestic'!F43/'IO model'!$D$6)</f>
        <v>0.008628715498451092</v>
      </c>
      <c r="G43" s="33">
        <f>IF('IO model'!$D$7=0,0,'Z domestic'!G43/'IO model'!$D$7)</f>
        <v>0.007937548562548562</v>
      </c>
      <c r="H43" s="33">
        <f>IF('IO model'!$D$8=0,0,'Z domestic'!H43/'IO model'!$D$8)</f>
        <v>0.01125761735870667</v>
      </c>
      <c r="I43" s="33">
        <f>IF('IO model'!$D$9=0,0,'Z domestic'!I43/'IO model'!$D$9)</f>
        <v>0.007573764574560593</v>
      </c>
      <c r="J43" s="33">
        <f>IF('IO model'!$D$10=0,0,'Z domestic'!J43/'IO model'!$D$10)</f>
        <v>0.007294786767254114</v>
      </c>
      <c r="K43" s="33">
        <f>IF('IO model'!$D$11=0,0,'Z domestic'!K43/'IO model'!$D$11)</f>
        <v>0.011123100478958658</v>
      </c>
      <c r="L43" s="33">
        <f>IF('IO model'!$D$12=0,0,'Z domestic'!L43/'IO model'!$D$12)</f>
        <v>0.005639514476064072</v>
      </c>
      <c r="M43" s="33">
        <f>IF('IO model'!$D$13=0,0,'Z domestic'!M43/'IO model'!$D$13)</f>
        <v>0.007774003607130109</v>
      </c>
      <c r="N43" s="33">
        <f>IF('IO model'!$D$14=0,0,'Z domestic'!N43/'IO model'!$D$14)</f>
        <v>0.005439155785753618</v>
      </c>
      <c r="O43" s="33">
        <f>IF('IO model'!$D$15=0,0,'Z domestic'!O43/'IO model'!$D$15)</f>
        <v>0.008434750364294107</v>
      </c>
      <c r="P43" s="33">
        <f>IF('IO model'!$D$16=0,0,'Z domestic'!P43/'IO model'!$D$16)</f>
        <v>0.008636374581255287</v>
      </c>
      <c r="Q43" s="33">
        <f>IF('IO model'!$D$17=0,0,'Z domestic'!Q43/'IO model'!$D$17)</f>
        <v>0.006941894930904874</v>
      </c>
      <c r="R43" s="33">
        <f>IF('IO model'!$D$18=0,0,'Z domestic'!R43/'IO model'!$D$18)</f>
        <v>0.008426857085169158</v>
      </c>
      <c r="S43" s="33">
        <f>IF('IO model'!$D$19=0,0,'Z domestic'!S43/'IO model'!$D$19)</f>
        <v>0.005678874723901037</v>
      </c>
      <c r="T43" s="33">
        <f>IF('IO model'!$D$20=0,0,'Z domestic'!T43/'IO model'!$D$20)</f>
        <v>0.0072139147893298654</v>
      </c>
      <c r="U43" s="33">
        <f>IF('IO model'!$D$21=0,0,'Z domestic'!U43/'IO model'!$D$21)</f>
        <v>0.007551807632645736</v>
      </c>
      <c r="V43" s="33">
        <f>IF('IO model'!$D$22=0,0,'Z domestic'!V43/'IO model'!$D$22)</f>
        <v>0.005752833736827027</v>
      </c>
      <c r="W43" s="33">
        <f>IF('IO model'!$D$23=0,0,'Z domestic'!W43/'IO model'!$D$23)</f>
        <v>0.005249167828262618</v>
      </c>
      <c r="X43" s="33">
        <f>IF('IO model'!$D$24=0,0,'Z domestic'!X43/'IO model'!$D$24)</f>
        <v>0.00782508441547773</v>
      </c>
      <c r="Y43" s="33">
        <f>IF('IO model'!$D$25=0,0,'Z domestic'!Y43/'IO model'!$D$25)</f>
        <v>0.006887566737748171</v>
      </c>
      <c r="Z43" s="33">
        <f>IF('IO model'!$D$26=0,0,'Z domestic'!Z43/'IO model'!$D$26)</f>
        <v>0.007873138296518709</v>
      </c>
      <c r="AA43" s="33">
        <f>IF('IO model'!$D$27=0,0,'Z domestic'!AA43/'IO model'!$D$27)</f>
        <v>0.013899758097738777</v>
      </c>
      <c r="AB43" s="33">
        <f>IF('IO model'!$D$28=0,0,'Z domestic'!AB43/'IO model'!$D$28)</f>
        <v>0.00773936400777755</v>
      </c>
      <c r="AC43" s="33">
        <f>IF('IO model'!$D$29=0,0,'Z domestic'!AC43/'IO model'!$D$29)</f>
        <v>0.010644996992422736</v>
      </c>
      <c r="AD43" s="33">
        <f>IF('IO model'!$D$30=0,0,'Z domestic'!AD43/'IO model'!$D$30)</f>
        <v>0.01541802778917602</v>
      </c>
      <c r="AE43" s="33">
        <f>IF('IO model'!$D$31=0,0,'Z domestic'!AE43/'IO model'!$D$31)</f>
        <v>0.015414585178784967</v>
      </c>
      <c r="AF43" s="33">
        <f>IF('IO model'!$D$32=0,0,'Z domestic'!AF43/'IO model'!$D$32)</f>
        <v>0.019180309865078266</v>
      </c>
      <c r="AG43" s="33">
        <f>IF('IO model'!$D$33=0,0,'Z domestic'!AG43/'IO model'!$D$33)</f>
        <v>0.010302200826413957</v>
      </c>
      <c r="AH43" s="33">
        <f>IF('IO model'!$D$34=0,0,'Z domestic'!AH43/'IO model'!$D$34)</f>
        <v>0.010958597278951848</v>
      </c>
      <c r="AI43" s="33">
        <f>IF('IO model'!$D$35=0,0,'Z domestic'!AI43/'IO model'!$D$35)</f>
        <v>0.01205217187742203</v>
      </c>
      <c r="AJ43" s="33">
        <f>IF('IO model'!$D$36=0,0,'Z domestic'!AJ43/'IO model'!$D$36)</f>
        <v>0.011113033936445119</v>
      </c>
      <c r="AK43" s="33">
        <f>IF('IO model'!$D$37=0,0,'Z domestic'!AK43/'IO model'!$D$37)</f>
        <v>0.008687435752778421</v>
      </c>
      <c r="AL43" s="33">
        <f>IF('IO model'!$D$38=0,0,'Z domestic'!AL43/'IO model'!$D$38)</f>
        <v>0.013347677146144552</v>
      </c>
      <c r="AM43" s="33">
        <f>IF('IO model'!$D$39=0,0,'Z domestic'!AM43/'IO model'!$D$39)</f>
        <v>0.007979802635562654</v>
      </c>
      <c r="AN43" s="33">
        <f>IF('IO model'!$D$40=0,0,'Z domestic'!AN43/'IO model'!$D$40)</f>
        <v>0.010379050912512804</v>
      </c>
      <c r="AO43" s="33">
        <f>IF('IO model'!$D$41=0,0,'Z domestic'!AO43/'IO model'!$D$41)</f>
        <v>0.010656222339414696</v>
      </c>
      <c r="AP43" s="33">
        <f>IF('IO model'!$D$42=0,0,'Z domestic'!AP43/'IO model'!$D$42)</f>
        <v>0.011682281143314984</v>
      </c>
      <c r="AQ43" s="33">
        <f>IF('IO model'!$D$43=0,0,'Z domestic'!AQ43/'IO model'!$D$43)</f>
        <v>0.12180864494837709</v>
      </c>
      <c r="AR43" s="33">
        <f>IF('IO model'!$D$44=0,0,'Z domestic'!AR43/'IO model'!$D$44)</f>
        <v>0.08754216559347396</v>
      </c>
      <c r="AS43" s="33">
        <f>IF('IO model'!$D$45=0,0,'Z domestic'!AS43/'IO model'!$D$45)</f>
        <v>0.06856708756669248</v>
      </c>
      <c r="AT43" s="33">
        <f>IF('IO model'!$D$46=0,0,'Z domestic'!AT43/'IO model'!$D$46)</f>
        <v>0.037821668493417816</v>
      </c>
      <c r="AU43" s="33">
        <f>IF('IO model'!$D$47=0,0,'Z domestic'!AU43/'IO model'!$D$47)</f>
        <v>0.018706344059299853</v>
      </c>
      <c r="AV43" s="33">
        <f>IF('IO model'!$D$48=0,0,'Z domestic'!AV43/'IO model'!$D$48)</f>
        <v>0.010153914359408246</v>
      </c>
      <c r="AW43" s="33">
        <f>IF('IO model'!$D$49=0,0,'Z domestic'!AW43/'IO model'!$D$49)</f>
        <v>0.004121416666225518</v>
      </c>
      <c r="AX43" s="33">
        <f>IF('IO model'!$D$50=0,0,'Z domestic'!AX43/'IO model'!$D$50)</f>
        <v>0.012576339801523752</v>
      </c>
      <c r="AY43" s="33">
        <f>IF('IO model'!$D$51=0,0,'Z domestic'!AY43/'IO model'!$D$51)</f>
        <v>0.012829415111893295</v>
      </c>
      <c r="AZ43" s="33">
        <f>IF('IO model'!$D$52=0,0,'Z domestic'!AZ43/'IO model'!$D$52)</f>
        <v>0.019052907795412626</v>
      </c>
      <c r="BA43" s="33">
        <f>IF('IO model'!$D$53=0,0,'Z domestic'!BA43/'IO model'!$D$53)</f>
        <v>0.008165976685936889</v>
      </c>
      <c r="BB43" s="33">
        <f>IF('IO model'!$D$54=0,0,'Z domestic'!BB43/'IO model'!$D$54)</f>
        <v>0.014919073996213584</v>
      </c>
      <c r="BC43" s="33">
        <f>IF('IO model'!$D$55=0,0,'Z domestic'!BC43/'IO model'!$D$55)</f>
        <v>0.00983857459695366</v>
      </c>
      <c r="BD43" s="33">
        <f>IF('IO model'!$D$56=0,0,'Z domestic'!BD43/'IO model'!$D$56)</f>
        <v>0.016091158403862</v>
      </c>
      <c r="BE43" s="33">
        <f>IF('IO model'!$D$57=0,0,'Z domestic'!BE43/'IO model'!$D$57)</f>
        <v>0.0033889548814337086</v>
      </c>
      <c r="BF43" s="33">
        <f>IF('IO model'!$D$58=0,0,'Z domestic'!BF43/'IO model'!$D$58)</f>
        <v>0.006371768908166032</v>
      </c>
      <c r="BG43" s="33">
        <f>IF('IO model'!$D$59=0,0,'Z domestic'!BG43/'IO model'!$D$59)</f>
        <v>0.006954288376395808</v>
      </c>
      <c r="BH43" s="33">
        <f>IF('IO model'!$D$60=0,0,'Z domestic'!BH43/'IO model'!$D$60)</f>
        <v>0.010570559719014523</v>
      </c>
      <c r="BI43" s="33">
        <f>IF('IO model'!$D$61=0,0,'Z domestic'!BI43/'IO model'!$D$61)</f>
        <v>0.010687053279592766</v>
      </c>
      <c r="BJ43" s="33">
        <f>IF('IO model'!$D$62=0,0,'Z domestic'!BJ43/'IO model'!$D$62)</f>
        <v>0.026501804379394134</v>
      </c>
      <c r="BK43" s="33">
        <f>IF('IO model'!$D$63=0,0,'Z domestic'!BK43/'IO model'!$D$63)</f>
        <v>0.011079518825183566</v>
      </c>
      <c r="BL43" s="33">
        <f>IF('IO model'!$D$64=0,0,'Z domestic'!BL43/'IO model'!$D$64)</f>
        <v>0.016049670175565148</v>
      </c>
      <c r="BM43" s="33">
        <f>IF('IO model'!$D$65=0,0,'Z domestic'!BM43/'IO model'!$D$65)</f>
        <v>0</v>
      </c>
      <c r="BN43" s="33">
        <f>IF('IO model'!$D$66=0,0,'Z domestic'!BN43/'IO model'!$D$66)</f>
        <v>0</v>
      </c>
    </row>
    <row r="44" spans="1:66" x14ac:dyDescent="0.25">
      <c r="A44" s="30" t="s">
        <v>344</v>
      </c>
      <c r="B44" s="31" t="s">
        <v>345</v>
      </c>
      <c r="C44" s="33">
        <f>IF('IO model'!$D$3=0,0,'Z domestic'!C44/'IO model'!$D$3)</f>
        <v>0.006550070832100427</v>
      </c>
      <c r="D44" s="33">
        <f>IF('IO model'!$D$4=0,0,'Z domestic'!D44/'IO model'!$D$4)</f>
        <v>0.0016621270422305166</v>
      </c>
      <c r="E44" s="33">
        <f>IF('IO model'!$D$5=0,0,'Z domestic'!E44/'IO model'!$D$5)</f>
        <v>0.004526975206835936</v>
      </c>
      <c r="F44" s="33">
        <f>IF('IO model'!$D$6=0,0,'Z domestic'!F44/'IO model'!$D$6)</f>
        <v>0.002223744300622318</v>
      </c>
      <c r="G44" s="33">
        <f>IF('IO model'!$D$7=0,0,'Z domestic'!G44/'IO model'!$D$7)</f>
        <v>0.0018447882084245716</v>
      </c>
      <c r="H44" s="33">
        <f>IF('IO model'!$D$8=0,0,'Z domestic'!H44/'IO model'!$D$8)</f>
        <v>0.0019578083086960415</v>
      </c>
      <c r="I44" s="33">
        <f>IF('IO model'!$D$9=0,0,'Z domestic'!I44/'IO model'!$D$9)</f>
        <v>0.002994542159793024</v>
      </c>
      <c r="J44" s="33">
        <f>IF('IO model'!$D$10=0,0,'Z domestic'!J44/'IO model'!$D$10)</f>
        <v>0.0027644063184124436</v>
      </c>
      <c r="K44" s="33">
        <f>IF('IO model'!$D$11=0,0,'Z domestic'!K44/'IO model'!$D$11)</f>
        <v>0.004355979021923482</v>
      </c>
      <c r="L44" s="33">
        <f>IF('IO model'!$D$12=0,0,'Z domestic'!L44/'IO model'!$D$12)</f>
        <v>0.0011413849771768928</v>
      </c>
      <c r="M44" s="33">
        <f>IF('IO model'!$D$13=0,0,'Z domestic'!M44/'IO model'!$D$13)</f>
        <v>0.003471133897961869</v>
      </c>
      <c r="N44" s="33">
        <f>IF('IO model'!$D$14=0,0,'Z domestic'!N44/'IO model'!$D$14)</f>
        <v>0.0014928008086475344</v>
      </c>
      <c r="O44" s="33">
        <f>IF('IO model'!$D$15=0,0,'Z domestic'!O44/'IO model'!$D$15)</f>
        <v>0.0026965751729538644</v>
      </c>
      <c r="P44" s="33">
        <f>IF('IO model'!$D$16=0,0,'Z domestic'!P44/'IO model'!$D$16)</f>
        <v>0.0028096904976177076</v>
      </c>
      <c r="Q44" s="33">
        <f>IF('IO model'!$D$17=0,0,'Z domestic'!Q44/'IO model'!$D$17)</f>
        <v>0.0014061394934878142</v>
      </c>
      <c r="R44" s="33">
        <f>IF('IO model'!$D$18=0,0,'Z domestic'!R44/'IO model'!$D$18)</f>
        <v>0.0019531634352061866</v>
      </c>
      <c r="S44" s="33">
        <f>IF('IO model'!$D$19=0,0,'Z domestic'!S44/'IO model'!$D$19)</f>
        <v>0.0012750786966622507</v>
      </c>
      <c r="T44" s="33">
        <f>IF('IO model'!$D$20=0,0,'Z domestic'!T44/'IO model'!$D$20)</f>
        <v>0.0017201693489595031</v>
      </c>
      <c r="U44" s="33">
        <f>IF('IO model'!$D$21=0,0,'Z domestic'!U44/'IO model'!$D$21)</f>
        <v>0.0017297683914912958</v>
      </c>
      <c r="V44" s="33">
        <f>IF('IO model'!$D$22=0,0,'Z domestic'!V44/'IO model'!$D$22)</f>
        <v>0.0013734581052621032</v>
      </c>
      <c r="W44" s="33">
        <f>IF('IO model'!$D$23=0,0,'Z domestic'!W44/'IO model'!$D$23)</f>
        <v>0.0018845703414139367</v>
      </c>
      <c r="X44" s="33">
        <f>IF('IO model'!$D$24=0,0,'Z domestic'!X44/'IO model'!$D$24)</f>
        <v>0.002291557880766129</v>
      </c>
      <c r="Y44" s="33">
        <f>IF('IO model'!$D$25=0,0,'Z domestic'!Y44/'IO model'!$D$25)</f>
        <v>0.002157990708718696</v>
      </c>
      <c r="Z44" s="33">
        <f>IF('IO model'!$D$26=0,0,'Z domestic'!Z44/'IO model'!$D$26)</f>
        <v>0.0025377662495929395</v>
      </c>
      <c r="AA44" s="33">
        <f>IF('IO model'!$D$27=0,0,'Z domestic'!AA44/'IO model'!$D$27)</f>
        <v>0.004185179958461804</v>
      </c>
      <c r="AB44" s="33">
        <f>IF('IO model'!$D$28=0,0,'Z domestic'!AB44/'IO model'!$D$28)</f>
        <v>0.004815902420095032</v>
      </c>
      <c r="AC44" s="33">
        <f>IF('IO model'!$D$29=0,0,'Z domestic'!AC44/'IO model'!$D$29)</f>
        <v>0.0025181682281508657</v>
      </c>
      <c r="AD44" s="33">
        <f>IF('IO model'!$D$30=0,0,'Z domestic'!AD44/'IO model'!$D$30)</f>
        <v>0.004492042740990377</v>
      </c>
      <c r="AE44" s="33">
        <f>IF('IO model'!$D$31=0,0,'Z domestic'!AE44/'IO model'!$D$31)</f>
        <v>0.002968382718243309</v>
      </c>
      <c r="AF44" s="33">
        <f>IF('IO model'!$D$32=0,0,'Z domestic'!AF44/'IO model'!$D$32)</f>
        <v>0.004559305904223083</v>
      </c>
      <c r="AG44" s="33">
        <f>IF('IO model'!$D$33=0,0,'Z domestic'!AG44/'IO model'!$D$33)</f>
        <v>0.009981151462516482</v>
      </c>
      <c r="AH44" s="33">
        <f>IF('IO model'!$D$34=0,0,'Z domestic'!AH44/'IO model'!$D$34)</f>
        <v>0.00501480584201066</v>
      </c>
      <c r="AI44" s="33">
        <f>IF('IO model'!$D$35=0,0,'Z domestic'!AI44/'IO model'!$D$35)</f>
        <v>0.004333315407027322</v>
      </c>
      <c r="AJ44" s="33">
        <f>IF('IO model'!$D$36=0,0,'Z domestic'!AJ44/'IO model'!$D$36)</f>
        <v>0.005508662730006387</v>
      </c>
      <c r="AK44" s="33">
        <f>IF('IO model'!$D$37=0,0,'Z domestic'!AK44/'IO model'!$D$37)</f>
        <v>0.0022372742910740924</v>
      </c>
      <c r="AL44" s="33">
        <f>IF('IO model'!$D$38=0,0,'Z domestic'!AL44/'IO model'!$D$38)</f>
        <v>0.0026144899773002297</v>
      </c>
      <c r="AM44" s="33">
        <f>IF('IO model'!$D$39=0,0,'Z domestic'!AM44/'IO model'!$D$39)</f>
        <v>0.0020366368694988888</v>
      </c>
      <c r="AN44" s="33">
        <f>IF('IO model'!$D$40=0,0,'Z domestic'!AN44/'IO model'!$D$40)</f>
        <v>0.0020645689147656947</v>
      </c>
      <c r="AO44" s="33">
        <f>IF('IO model'!$D$41=0,0,'Z domestic'!AO44/'IO model'!$D$41)</f>
        <v>0.0033230454347982657</v>
      </c>
      <c r="AP44" s="33">
        <f>IF('IO model'!$D$42=0,0,'Z domestic'!AP44/'IO model'!$D$42)</f>
        <v>0.001736171590143756</v>
      </c>
      <c r="AQ44" s="33">
        <f>IF('IO model'!$D$43=0,0,'Z domestic'!AQ44/'IO model'!$D$43)</f>
        <v>0.003442404940189637</v>
      </c>
      <c r="AR44" s="33">
        <f>IF('IO model'!$D$44=0,0,'Z domestic'!AR44/'IO model'!$D$44)</f>
        <v>0.07212712504246784</v>
      </c>
      <c r="AS44" s="33">
        <f>IF('IO model'!$D$45=0,0,'Z domestic'!AS44/'IO model'!$D$45)</f>
        <v>0.015028732770777056</v>
      </c>
      <c r="AT44" s="33">
        <f>IF('IO model'!$D$46=0,0,'Z domestic'!AT44/'IO model'!$D$46)</f>
        <v>0.0036159429279690966</v>
      </c>
      <c r="AU44" s="33">
        <f>IF('IO model'!$D$47=0,0,'Z domestic'!AU44/'IO model'!$D$47)</f>
        <v>0.003523605315991274</v>
      </c>
      <c r="AV44" s="33">
        <f>IF('IO model'!$D$48=0,0,'Z domestic'!AV44/'IO model'!$D$48)</f>
        <v>0.0029164739522169257</v>
      </c>
      <c r="AW44" s="33">
        <f>IF('IO model'!$D$49=0,0,'Z domestic'!AW44/'IO model'!$D$49)</f>
        <v>0.0011251333118052669</v>
      </c>
      <c r="AX44" s="33">
        <f>IF('IO model'!$D$50=0,0,'Z domestic'!AX44/'IO model'!$D$50)</f>
        <v>0.00195696302967298</v>
      </c>
      <c r="AY44" s="33">
        <f>IF('IO model'!$D$51=0,0,'Z domestic'!AY44/'IO model'!$D$51)</f>
        <v>0.00281438457766411</v>
      </c>
      <c r="AZ44" s="33">
        <f>IF('IO model'!$D$52=0,0,'Z domestic'!AZ44/'IO model'!$D$52)</f>
        <v>0.011012188780068896</v>
      </c>
      <c r="BA44" s="33">
        <f>IF('IO model'!$D$53=0,0,'Z domestic'!BA44/'IO model'!$D$53)</f>
        <v>0.0014196097661937927</v>
      </c>
      <c r="BB44" s="33">
        <f>IF('IO model'!$D$54=0,0,'Z domestic'!BB44/'IO model'!$D$54)</f>
        <v>0.0027835641268871224</v>
      </c>
      <c r="BC44" s="33">
        <f>IF('IO model'!$D$55=0,0,'Z domestic'!BC44/'IO model'!$D$55)</f>
        <v>0.00324593505873149</v>
      </c>
      <c r="BD44" s="33">
        <f>IF('IO model'!$D$56=0,0,'Z domestic'!BD44/'IO model'!$D$56)</f>
        <v>0.0032754360878923653</v>
      </c>
      <c r="BE44" s="33">
        <f>IF('IO model'!$D$57=0,0,'Z domestic'!BE44/'IO model'!$D$57)</f>
        <v>0.0035333076894400258</v>
      </c>
      <c r="BF44" s="33">
        <f>IF('IO model'!$D$58=0,0,'Z domestic'!BF44/'IO model'!$D$58)</f>
        <v>0.0017763231331026454</v>
      </c>
      <c r="BG44" s="33">
        <f>IF('IO model'!$D$59=0,0,'Z domestic'!BG44/'IO model'!$D$59)</f>
        <v>0.002025406289271986</v>
      </c>
      <c r="BH44" s="33">
        <f>IF('IO model'!$D$60=0,0,'Z domestic'!BH44/'IO model'!$D$60)</f>
        <v>0.002622455445751962</v>
      </c>
      <c r="BI44" s="33">
        <f>IF('IO model'!$D$61=0,0,'Z domestic'!BI44/'IO model'!$D$61)</f>
        <v>0.0022900410428260496</v>
      </c>
      <c r="BJ44" s="33">
        <f>IF('IO model'!$D$62=0,0,'Z domestic'!BJ44/'IO model'!$D$62)</f>
        <v>0.0033677914683766345</v>
      </c>
      <c r="BK44" s="33">
        <f>IF('IO model'!$D$63=0,0,'Z domestic'!BK44/'IO model'!$D$63)</f>
        <v>0.003999375097640994</v>
      </c>
      <c r="BL44" s="33">
        <f>IF('IO model'!$D$64=0,0,'Z domestic'!BL44/'IO model'!$D$64)</f>
        <v>0.002311979917226982</v>
      </c>
      <c r="BM44" s="33">
        <f>IF('IO model'!$D$65=0,0,'Z domestic'!BM44/'IO model'!$D$65)</f>
        <v>0</v>
      </c>
      <c r="BN44" s="33">
        <f>IF('IO model'!$D$66=0,0,'Z domestic'!BN44/'IO model'!$D$66)</f>
        <v>0</v>
      </c>
    </row>
    <row r="45" spans="1:66" x14ac:dyDescent="0.25">
      <c r="A45" s="30" t="s">
        <v>346</v>
      </c>
      <c r="B45" s="31" t="s">
        <v>347</v>
      </c>
      <c r="C45" s="33">
        <f>IF('IO model'!$D$3=0,0,'Z domestic'!C45/'IO model'!$D$3)</f>
        <v>0.0012464354825616867</v>
      </c>
      <c r="D45" s="33">
        <f>IF('IO model'!$D$4=0,0,'Z domestic'!D45/'IO model'!$D$4)</f>
        <v>0.0008006392303615206</v>
      </c>
      <c r="E45" s="33">
        <f>IF('IO model'!$D$5=0,0,'Z domestic'!E45/'IO model'!$D$5)</f>
        <v>0.003305302737225039</v>
      </c>
      <c r="F45" s="33">
        <f>IF('IO model'!$D$6=0,0,'Z domestic'!F45/'IO model'!$D$6)</f>
        <v>0.0007997032559215685</v>
      </c>
      <c r="G45" s="33">
        <f>IF('IO model'!$D$7=0,0,'Z domestic'!G45/'IO model'!$D$7)</f>
        <v>0.0015074256551529275</v>
      </c>
      <c r="H45" s="33">
        <f>IF('IO model'!$D$8=0,0,'Z domestic'!H45/'IO model'!$D$8)</f>
        <v>0.0034479033269566224</v>
      </c>
      <c r="I45" s="33">
        <f>IF('IO model'!$D$9=0,0,'Z domestic'!I45/'IO model'!$D$9)</f>
        <v>0.0017306450910271793</v>
      </c>
      <c r="J45" s="33">
        <f>IF('IO model'!$D$10=0,0,'Z domestic'!J45/'IO model'!$D$10)</f>
        <v>0.0009692907006824038</v>
      </c>
      <c r="K45" s="33">
        <f>IF('IO model'!$D$11=0,0,'Z domestic'!K45/'IO model'!$D$11)</f>
        <v>0.001909294982520639</v>
      </c>
      <c r="L45" s="33">
        <f>IF('IO model'!$D$12=0,0,'Z domestic'!L45/'IO model'!$D$12)</f>
        <v>0.0014501503692970017</v>
      </c>
      <c r="M45" s="33">
        <f>IF('IO model'!$D$13=0,0,'Z domestic'!M45/'IO model'!$D$13)</f>
        <v>0.001970763178277166</v>
      </c>
      <c r="N45" s="33">
        <f>IF('IO model'!$D$14=0,0,'Z domestic'!N45/'IO model'!$D$14)</f>
        <v>0.0008910516454717841</v>
      </c>
      <c r="O45" s="33">
        <f>IF('IO model'!$D$15=0,0,'Z domestic'!O45/'IO model'!$D$15)</f>
        <v>0.0012643436862275108</v>
      </c>
      <c r="P45" s="33">
        <f>IF('IO model'!$D$16=0,0,'Z domestic'!P45/'IO model'!$D$16)</f>
        <v>0.0021114064103683154</v>
      </c>
      <c r="Q45" s="33">
        <f>IF('IO model'!$D$17=0,0,'Z domestic'!Q45/'IO model'!$D$17)</f>
        <v>0.0006438680557211086</v>
      </c>
      <c r="R45" s="33">
        <f>IF('IO model'!$D$18=0,0,'Z domestic'!R45/'IO model'!$D$18)</f>
        <v>0.0013309605682732854</v>
      </c>
      <c r="S45" s="33">
        <f>IF('IO model'!$D$19=0,0,'Z domestic'!S45/'IO model'!$D$19)</f>
        <v>0.0009186490089288702</v>
      </c>
      <c r="T45" s="33">
        <f>IF('IO model'!$D$20=0,0,'Z domestic'!T45/'IO model'!$D$20)</f>
        <v>0.0015221474398985344</v>
      </c>
      <c r="U45" s="33">
        <f>IF('IO model'!$D$21=0,0,'Z domestic'!U45/'IO model'!$D$21)</f>
        <v>0.0020041218828039833</v>
      </c>
      <c r="V45" s="33">
        <f>IF('IO model'!$D$22=0,0,'Z domestic'!V45/'IO model'!$D$22)</f>
        <v>0.0006266848879455333</v>
      </c>
      <c r="W45" s="33">
        <f>IF('IO model'!$D$23=0,0,'Z domestic'!W45/'IO model'!$D$23)</f>
        <v>0.0024345878569617336</v>
      </c>
      <c r="X45" s="33">
        <f>IF('IO model'!$D$24=0,0,'Z domestic'!X45/'IO model'!$D$24)</f>
        <v>0.002827659560789502</v>
      </c>
      <c r="Y45" s="33">
        <f>IF('IO model'!$D$25=0,0,'Z domestic'!Y45/'IO model'!$D$25)</f>
        <v>0.0017626429182262628</v>
      </c>
      <c r="Z45" s="33">
        <f>IF('IO model'!$D$26=0,0,'Z domestic'!Z45/'IO model'!$D$26)</f>
        <v>0.0014222420331274882</v>
      </c>
      <c r="AA45" s="33">
        <f>IF('IO model'!$D$27=0,0,'Z domestic'!AA45/'IO model'!$D$27)</f>
        <v>0.0018274525567942887</v>
      </c>
      <c r="AB45" s="33">
        <f>IF('IO model'!$D$28=0,0,'Z domestic'!AB45/'IO model'!$D$28)</f>
        <v>0.001061982339512348</v>
      </c>
      <c r="AC45" s="33">
        <f>IF('IO model'!$D$29=0,0,'Z domestic'!AC45/'IO model'!$D$29)</f>
        <v>0.0016026393619029743</v>
      </c>
      <c r="AD45" s="33">
        <f>IF('IO model'!$D$30=0,0,'Z domestic'!AD45/'IO model'!$D$30)</f>
        <v>0.002350267088113108</v>
      </c>
      <c r="AE45" s="33">
        <f>IF('IO model'!$D$31=0,0,'Z domestic'!AE45/'IO model'!$D$31)</f>
        <v>0.003782821236816297</v>
      </c>
      <c r="AF45" s="33">
        <f>IF('IO model'!$D$32=0,0,'Z domestic'!AF45/'IO model'!$D$32)</f>
        <v>0.002621121367108388</v>
      </c>
      <c r="AG45" s="33">
        <f>IF('IO model'!$D$33=0,0,'Z domestic'!AG45/'IO model'!$D$33)</f>
        <v>0.0035823099857878347</v>
      </c>
      <c r="AH45" s="33">
        <f>IF('IO model'!$D$34=0,0,'Z domestic'!AH45/'IO model'!$D$34)</f>
        <v>0.0042784828485229985</v>
      </c>
      <c r="AI45" s="33">
        <f>IF('IO model'!$D$35=0,0,'Z domestic'!AI45/'IO model'!$D$35)</f>
        <v>0.0038107108623924024</v>
      </c>
      <c r="AJ45" s="33">
        <f>IF('IO model'!$D$36=0,0,'Z domestic'!AJ45/'IO model'!$D$36)</f>
        <v>0.000989914997518257</v>
      </c>
      <c r="AK45" s="33">
        <f>IF('IO model'!$D$37=0,0,'Z domestic'!AK45/'IO model'!$D$37)</f>
        <v>0.0025584671348421553</v>
      </c>
      <c r="AL45" s="33">
        <f>IF('IO model'!$D$38=0,0,'Z domestic'!AL45/'IO model'!$D$38)</f>
        <v>0.0018686838132235494</v>
      </c>
      <c r="AM45" s="33">
        <f>IF('IO model'!$D$39=0,0,'Z domestic'!AM45/'IO model'!$D$39)</f>
        <v>0.0032888047783920377</v>
      </c>
      <c r="AN45" s="33">
        <f>IF('IO model'!$D$40=0,0,'Z domestic'!AN45/'IO model'!$D$40)</f>
        <v>0.0013263537035921064</v>
      </c>
      <c r="AO45" s="33">
        <f>IF('IO model'!$D$41=0,0,'Z domestic'!AO45/'IO model'!$D$41)</f>
        <v>0.008382972346965091</v>
      </c>
      <c r="AP45" s="33">
        <f>IF('IO model'!$D$42=0,0,'Z domestic'!AP45/'IO model'!$D$42)</f>
        <v>0.0017209308739171833</v>
      </c>
      <c r="AQ45" s="33">
        <f>IF('IO model'!$D$43=0,0,'Z domestic'!AQ45/'IO model'!$D$43)</f>
        <v>0.08567999092091912</v>
      </c>
      <c r="AR45" s="33">
        <f>IF('IO model'!$D$44=0,0,'Z domestic'!AR45/'IO model'!$D$44)</f>
        <v>0.22740867642223897</v>
      </c>
      <c r="AS45" s="33">
        <f>IF('IO model'!$D$45=0,0,'Z domestic'!AS45/'IO model'!$D$45)</f>
        <v>0.13009729632496783</v>
      </c>
      <c r="AT45" s="33">
        <f>IF('IO model'!$D$46=0,0,'Z domestic'!AT45/'IO model'!$D$46)</f>
        <v>0.0010220226896530008</v>
      </c>
      <c r="AU45" s="33">
        <f>IF('IO model'!$D$47=0,0,'Z domestic'!AU45/'IO model'!$D$47)</f>
        <v>0.004317377751901712</v>
      </c>
      <c r="AV45" s="33">
        <f>IF('IO model'!$D$48=0,0,'Z domestic'!AV45/'IO model'!$D$48)</f>
        <v>0.0029006405181591643</v>
      </c>
      <c r="AW45" s="33">
        <f>IF('IO model'!$D$49=0,0,'Z domestic'!AW45/'IO model'!$D$49)</f>
        <v>0.0012200142606473324</v>
      </c>
      <c r="AX45" s="33">
        <f>IF('IO model'!$D$50=0,0,'Z domestic'!AX45/'IO model'!$D$50)</f>
        <v>0.0018150701790456108</v>
      </c>
      <c r="AY45" s="33">
        <f>IF('IO model'!$D$51=0,0,'Z domestic'!AY45/'IO model'!$D$51)</f>
        <v>0.002258267101073276</v>
      </c>
      <c r="AZ45" s="33">
        <f>IF('IO model'!$D$52=0,0,'Z domestic'!AZ45/'IO model'!$D$52)</f>
        <v>0.0060563916998609265</v>
      </c>
      <c r="BA45" s="33">
        <f>IF('IO model'!$D$53=0,0,'Z domestic'!BA45/'IO model'!$D$53)</f>
        <v>0.0010971273298926618</v>
      </c>
      <c r="BB45" s="33">
        <f>IF('IO model'!$D$54=0,0,'Z domestic'!BB45/'IO model'!$D$54)</f>
        <v>0.0031298142934302617</v>
      </c>
      <c r="BC45" s="33">
        <f>IF('IO model'!$D$55=0,0,'Z domestic'!BC45/'IO model'!$D$55)</f>
        <v>0.002910402663948556</v>
      </c>
      <c r="BD45" s="33">
        <f>IF('IO model'!$D$56=0,0,'Z domestic'!BD45/'IO model'!$D$56)</f>
        <v>0.0004899058375642645</v>
      </c>
      <c r="BE45" s="33">
        <f>IF('IO model'!$D$57=0,0,'Z domestic'!BE45/'IO model'!$D$57)</f>
        <v>0.00048484750920977276</v>
      </c>
      <c r="BF45" s="33">
        <f>IF('IO model'!$D$58=0,0,'Z domestic'!BF45/'IO model'!$D$58)</f>
        <v>0.00047184704437817926</v>
      </c>
      <c r="BG45" s="33">
        <f>IF('IO model'!$D$59=0,0,'Z domestic'!BG45/'IO model'!$D$59)</f>
        <v>0.0007819816669562211</v>
      </c>
      <c r="BH45" s="33">
        <f>IF('IO model'!$D$60=0,0,'Z domestic'!BH45/'IO model'!$D$60)</f>
        <v>0.0013721084908377714</v>
      </c>
      <c r="BI45" s="33">
        <f>IF('IO model'!$D$61=0,0,'Z domestic'!BI45/'IO model'!$D$61)</f>
        <v>0.0017802976877783908</v>
      </c>
      <c r="BJ45" s="33">
        <f>IF('IO model'!$D$62=0,0,'Z domestic'!BJ45/'IO model'!$D$62)</f>
        <v>0.002987649705979613</v>
      </c>
      <c r="BK45" s="33">
        <f>IF('IO model'!$D$63=0,0,'Z domestic'!BK45/'IO model'!$D$63)</f>
        <v>0.006573972816747383</v>
      </c>
      <c r="BL45" s="33">
        <f>IF('IO model'!$D$64=0,0,'Z domestic'!BL45/'IO model'!$D$64)</f>
        <v>0.001236344387945881</v>
      </c>
      <c r="BM45" s="33">
        <f>IF('IO model'!$D$65=0,0,'Z domestic'!BM45/'IO model'!$D$65)</f>
        <v>0</v>
      </c>
      <c r="BN45" s="33">
        <f>IF('IO model'!$D$66=0,0,'Z domestic'!BN45/'IO model'!$D$66)</f>
        <v>0</v>
      </c>
    </row>
    <row r="46" spans="1:66" x14ac:dyDescent="0.25">
      <c r="A46" s="30" t="s">
        <v>348</v>
      </c>
      <c r="B46" s="31" t="s">
        <v>349</v>
      </c>
      <c r="C46" s="33">
        <f>IF('IO model'!$D$3=0,0,'Z domestic'!C46/'IO model'!$D$3)</f>
        <v>0.0036504499125836736</v>
      </c>
      <c r="D46" s="33">
        <f>IF('IO model'!$D$4=0,0,'Z domestic'!D46/'IO model'!$D$4)</f>
        <v>0.003160923681467283</v>
      </c>
      <c r="E46" s="33">
        <f>IF('IO model'!$D$5=0,0,'Z domestic'!E46/'IO model'!$D$5)</f>
        <v>0.0027555501259001348</v>
      </c>
      <c r="F46" s="33">
        <f>IF('IO model'!$D$6=0,0,'Z domestic'!F46/'IO model'!$D$6)</f>
        <v>0.006226851299265302</v>
      </c>
      <c r="G46" s="33">
        <f>IF('IO model'!$D$7=0,0,'Z domestic'!G46/'IO model'!$D$7)</f>
        <v>0.00737216276989004</v>
      </c>
      <c r="H46" s="33">
        <f>IF('IO model'!$D$8=0,0,'Z domestic'!H46/'IO model'!$D$8)</f>
        <v>0.011890018427464476</v>
      </c>
      <c r="I46" s="33">
        <f>IF('IO model'!$D$9=0,0,'Z domestic'!I46/'IO model'!$D$9)</f>
        <v>0.008705840686736266</v>
      </c>
      <c r="J46" s="33">
        <f>IF('IO model'!$D$10=0,0,'Z domestic'!J46/'IO model'!$D$10)</f>
        <v>0.007441839195479752</v>
      </c>
      <c r="K46" s="33">
        <f>IF('IO model'!$D$11=0,0,'Z domestic'!K46/'IO model'!$D$11)</f>
        <v>0.01889391684117594</v>
      </c>
      <c r="L46" s="33">
        <f>IF('IO model'!$D$12=0,0,'Z domestic'!L46/'IO model'!$D$12)</f>
        <v>0.002439632324889522</v>
      </c>
      <c r="M46" s="33">
        <f>IF('IO model'!$D$13=0,0,'Z domestic'!M46/'IO model'!$D$13)</f>
        <v>0.0056647228505940575</v>
      </c>
      <c r="N46" s="33">
        <f>IF('IO model'!$D$14=0,0,'Z domestic'!N46/'IO model'!$D$14)</f>
        <v>0.004250997218928511</v>
      </c>
      <c r="O46" s="33">
        <f>IF('IO model'!$D$15=0,0,'Z domestic'!O46/'IO model'!$D$15)</f>
        <v>0.008946261609553518</v>
      </c>
      <c r="P46" s="33">
        <f>IF('IO model'!$D$16=0,0,'Z domestic'!P46/'IO model'!$D$16)</f>
        <v>0.008529525076525315</v>
      </c>
      <c r="Q46" s="33">
        <f>IF('IO model'!$D$17=0,0,'Z domestic'!Q46/'IO model'!$D$17)</f>
        <v>0.003711230838915775</v>
      </c>
      <c r="R46" s="33">
        <f>IF('IO model'!$D$18=0,0,'Z domestic'!R46/'IO model'!$D$18)</f>
        <v>0.01076975726088667</v>
      </c>
      <c r="S46" s="33">
        <f>IF('IO model'!$D$19=0,0,'Z domestic'!S46/'IO model'!$D$19)</f>
        <v>0.007081614483505043</v>
      </c>
      <c r="T46" s="33">
        <f>IF('IO model'!$D$20=0,0,'Z domestic'!T46/'IO model'!$D$20)</f>
        <v>0.007283469011647481</v>
      </c>
      <c r="U46" s="33">
        <f>IF('IO model'!$D$21=0,0,'Z domestic'!U46/'IO model'!$D$21)</f>
        <v>0.007968273195334875</v>
      </c>
      <c r="V46" s="33">
        <f>IF('IO model'!$D$22=0,0,'Z domestic'!V46/'IO model'!$D$22)</f>
        <v>0.007522258765961197</v>
      </c>
      <c r="W46" s="33">
        <f>IF('IO model'!$D$23=0,0,'Z domestic'!W46/'IO model'!$D$23)</f>
        <v>0.0056408858323402965</v>
      </c>
      <c r="X46" s="33">
        <f>IF('IO model'!$D$24=0,0,'Z domestic'!X46/'IO model'!$D$24)</f>
        <v>0.010721676437456114</v>
      </c>
      <c r="Y46" s="33">
        <f>IF('IO model'!$D$25=0,0,'Z domestic'!Y46/'IO model'!$D$25)</f>
        <v>0.011034055461415473</v>
      </c>
      <c r="Z46" s="33">
        <f>IF('IO model'!$D$26=0,0,'Z domestic'!Z46/'IO model'!$D$26)</f>
        <v>0.007628299794833905</v>
      </c>
      <c r="AA46" s="33">
        <f>IF('IO model'!$D$27=0,0,'Z domestic'!AA46/'IO model'!$D$27)</f>
        <v>0.016747847183912715</v>
      </c>
      <c r="AB46" s="33">
        <f>IF('IO model'!$D$28=0,0,'Z domestic'!AB46/'IO model'!$D$28)</f>
        <v>0.00944362721151716</v>
      </c>
      <c r="AC46" s="33">
        <f>IF('IO model'!$D$29=0,0,'Z domestic'!AC46/'IO model'!$D$29)</f>
        <v>0.01723053775497974</v>
      </c>
      <c r="AD46" s="33">
        <f>IF('IO model'!$D$30=0,0,'Z domestic'!AD46/'IO model'!$D$30)</f>
        <v>0.03819774784942438</v>
      </c>
      <c r="AE46" s="33">
        <f>IF('IO model'!$D$31=0,0,'Z domestic'!AE46/'IO model'!$D$31)</f>
        <v>0.022504921015237267</v>
      </c>
      <c r="AF46" s="33">
        <f>IF('IO model'!$D$32=0,0,'Z domestic'!AF46/'IO model'!$D$32)</f>
        <v>0.06886046257885334</v>
      </c>
      <c r="AG46" s="33">
        <f>IF('IO model'!$D$33=0,0,'Z domestic'!AG46/'IO model'!$D$33)</f>
        <v>0.010938212696563412</v>
      </c>
      <c r="AH46" s="33">
        <f>IF('IO model'!$D$34=0,0,'Z domestic'!AH46/'IO model'!$D$34)</f>
        <v>0.0030190959103608287</v>
      </c>
      <c r="AI46" s="33">
        <f>IF('IO model'!$D$35=0,0,'Z domestic'!AI46/'IO model'!$D$35)</f>
        <v>0.01082031830792543</v>
      </c>
      <c r="AJ46" s="33">
        <f>IF('IO model'!$D$36=0,0,'Z domestic'!AJ46/'IO model'!$D$36)</f>
        <v>0.01751159074165166</v>
      </c>
      <c r="AK46" s="33">
        <f>IF('IO model'!$D$37=0,0,'Z domestic'!AK46/'IO model'!$D$37)</f>
        <v>0.013159907657057416</v>
      </c>
      <c r="AL46" s="33">
        <f>IF('IO model'!$D$38=0,0,'Z domestic'!AL46/'IO model'!$D$38)</f>
        <v>0.04982323154656428</v>
      </c>
      <c r="AM46" s="33">
        <f>IF('IO model'!$D$39=0,0,'Z domestic'!AM46/'IO model'!$D$39)</f>
        <v>0.010447084043919417</v>
      </c>
      <c r="AN46" s="33">
        <f>IF('IO model'!$D$40=0,0,'Z domestic'!AN46/'IO model'!$D$40)</f>
        <v>0.017266934911900907</v>
      </c>
      <c r="AO46" s="33">
        <f>IF('IO model'!$D$41=0,0,'Z domestic'!AO46/'IO model'!$D$41)</f>
        <v>0.03178193991743353</v>
      </c>
      <c r="AP46" s="33">
        <f>IF('IO model'!$D$42=0,0,'Z domestic'!AP46/'IO model'!$D$42)</f>
        <v>0.011571241639378525</v>
      </c>
      <c r="AQ46" s="33">
        <f>IF('IO model'!$D$43=0,0,'Z domestic'!AQ46/'IO model'!$D$43)</f>
        <v>0.018571010672114432</v>
      </c>
      <c r="AR46" s="33">
        <f>IF('IO model'!$D$44=0,0,'Z domestic'!AR46/'IO model'!$D$44)</f>
        <v>0.018110049176678855</v>
      </c>
      <c r="AS46" s="33">
        <f>IF('IO model'!$D$45=0,0,'Z domestic'!AS46/'IO model'!$D$45)</f>
        <v>0.02376580784216731</v>
      </c>
      <c r="AT46" s="33">
        <f>IF('IO model'!$D$46=0,0,'Z domestic'!AT46/'IO model'!$D$46)</f>
        <v>0.019906323518197513</v>
      </c>
      <c r="AU46" s="33">
        <f>IF('IO model'!$D$47=0,0,'Z domestic'!AU46/'IO model'!$D$47)</f>
        <v>0.027400890443177412</v>
      </c>
      <c r="AV46" s="33">
        <f>IF('IO model'!$D$48=0,0,'Z domestic'!AV46/'IO model'!$D$48)</f>
        <v>0.027883346394058043</v>
      </c>
      <c r="AW46" s="33">
        <f>IF('IO model'!$D$49=0,0,'Z domestic'!AW46/'IO model'!$D$49)</f>
        <v>0.012943716051046765</v>
      </c>
      <c r="AX46" s="33">
        <f>IF('IO model'!$D$50=0,0,'Z domestic'!AX46/'IO model'!$D$50)</f>
        <v>0.022336830461209677</v>
      </c>
      <c r="AY46" s="33">
        <f>IF('IO model'!$D$51=0,0,'Z domestic'!AY46/'IO model'!$D$51)</f>
        <v>0.023207611865642016</v>
      </c>
      <c r="AZ46" s="33">
        <f>IF('IO model'!$D$52=0,0,'Z domestic'!AZ46/'IO model'!$D$52)</f>
        <v>0.014527577562743392</v>
      </c>
      <c r="BA46" s="33">
        <f>IF('IO model'!$D$53=0,0,'Z domestic'!BA46/'IO model'!$D$53)</f>
        <v>0.019361398895315157</v>
      </c>
      <c r="BB46" s="33">
        <f>IF('IO model'!$D$54=0,0,'Z domestic'!BB46/'IO model'!$D$54)</f>
        <v>0.01722315344546839</v>
      </c>
      <c r="BC46" s="33">
        <f>IF('IO model'!$D$55=0,0,'Z domestic'!BC46/'IO model'!$D$55)</f>
        <v>0.025203011987016258</v>
      </c>
      <c r="BD46" s="33">
        <f>IF('IO model'!$D$56=0,0,'Z domestic'!BD46/'IO model'!$D$56)</f>
        <v>0.0148068087862294</v>
      </c>
      <c r="BE46" s="33">
        <f>IF('IO model'!$D$57=0,0,'Z domestic'!BE46/'IO model'!$D$57)</f>
        <v>0.010313865156049306</v>
      </c>
      <c r="BF46" s="33">
        <f>IF('IO model'!$D$58=0,0,'Z domestic'!BF46/'IO model'!$D$58)</f>
        <v>0.011556824161630336</v>
      </c>
      <c r="BG46" s="33">
        <f>IF('IO model'!$D$59=0,0,'Z domestic'!BG46/'IO model'!$D$59)</f>
        <v>0.021844399664928228</v>
      </c>
      <c r="BH46" s="33">
        <f>IF('IO model'!$D$60=0,0,'Z domestic'!BH46/'IO model'!$D$60)</f>
        <v>0.016865936621156652</v>
      </c>
      <c r="BI46" s="33">
        <f>IF('IO model'!$D$61=0,0,'Z domestic'!BI46/'IO model'!$D$61)</f>
        <v>0.02852690022783362</v>
      </c>
      <c r="BJ46" s="33">
        <f>IF('IO model'!$D$62=0,0,'Z domestic'!BJ46/'IO model'!$D$62)</f>
        <v>0.02078645062039021</v>
      </c>
      <c r="BK46" s="33">
        <f>IF('IO model'!$D$63=0,0,'Z domestic'!BK46/'IO model'!$D$63)</f>
        <v>0.023971254491485707</v>
      </c>
      <c r="BL46" s="33">
        <f>IF('IO model'!$D$64=0,0,'Z domestic'!BL46/'IO model'!$D$64)</f>
        <v>0.0314193774573737</v>
      </c>
      <c r="BM46" s="33">
        <f>IF('IO model'!$D$65=0,0,'Z domestic'!BM46/'IO model'!$D$65)</f>
        <v>0</v>
      </c>
      <c r="BN46" s="33">
        <f>IF('IO model'!$D$66=0,0,'Z domestic'!BN46/'IO model'!$D$66)</f>
        <v>0</v>
      </c>
    </row>
    <row r="47" spans="1:66" x14ac:dyDescent="0.25">
      <c r="A47" s="30" t="s">
        <v>350</v>
      </c>
      <c r="B47" s="31" t="s">
        <v>351</v>
      </c>
      <c r="C47" s="33">
        <f>IF('IO model'!$D$3=0,0,'Z domestic'!C47/'IO model'!$D$3)</f>
        <v>0.006526852916248788</v>
      </c>
      <c r="D47" s="33">
        <f>IF('IO model'!$D$4=0,0,'Z domestic'!D47/'IO model'!$D$4)</f>
        <v>0.004542826993071267</v>
      </c>
      <c r="E47" s="33">
        <f>IF('IO model'!$D$5=0,0,'Z domestic'!E47/'IO model'!$D$5)</f>
        <v>0.012223511765384588</v>
      </c>
      <c r="F47" s="33">
        <f>IF('IO model'!$D$6=0,0,'Z domestic'!F47/'IO model'!$D$6)</f>
        <v>0.012988062294221019</v>
      </c>
      <c r="G47" s="33">
        <f>IF('IO model'!$D$7=0,0,'Z domestic'!G47/'IO model'!$D$7)</f>
        <v>0.01788161333615879</v>
      </c>
      <c r="H47" s="33">
        <f>IF('IO model'!$D$8=0,0,'Z domestic'!H47/'IO model'!$D$8)</f>
        <v>0.015714727391222625</v>
      </c>
      <c r="I47" s="33">
        <f>IF('IO model'!$D$9=0,0,'Z domestic'!I47/'IO model'!$D$9)</f>
        <v>0.011379033905142092</v>
      </c>
      <c r="J47" s="33">
        <f>IF('IO model'!$D$10=0,0,'Z domestic'!J47/'IO model'!$D$10)</f>
        <v>0.01618742369974046</v>
      </c>
      <c r="K47" s="33">
        <f>IF('IO model'!$D$11=0,0,'Z domestic'!K47/'IO model'!$D$11)</f>
        <v>0.022972671349628448</v>
      </c>
      <c r="L47" s="33">
        <f>IF('IO model'!$D$12=0,0,'Z domestic'!L47/'IO model'!$D$12)</f>
        <v>0.01358512621451242</v>
      </c>
      <c r="M47" s="33">
        <f>IF('IO model'!$D$13=0,0,'Z domestic'!M47/'IO model'!$D$13)</f>
        <v>0.020640852600119924</v>
      </c>
      <c r="N47" s="33">
        <f>IF('IO model'!$D$14=0,0,'Z domestic'!N47/'IO model'!$D$14)</f>
        <v>0.023399053886691397</v>
      </c>
      <c r="O47" s="33">
        <f>IF('IO model'!$D$15=0,0,'Z domestic'!O47/'IO model'!$D$15)</f>
        <v>0.015836668433365782</v>
      </c>
      <c r="P47" s="33">
        <f>IF('IO model'!$D$16=0,0,'Z domestic'!P47/'IO model'!$D$16)</f>
        <v>0.01775470062574682</v>
      </c>
      <c r="Q47" s="33">
        <f>IF('IO model'!$D$17=0,0,'Z domestic'!Q47/'IO model'!$D$17)</f>
        <v>0.012785975953782952</v>
      </c>
      <c r="R47" s="33">
        <f>IF('IO model'!$D$18=0,0,'Z domestic'!R47/'IO model'!$D$18)</f>
        <v>0.016038722809022757</v>
      </c>
      <c r="S47" s="33">
        <f>IF('IO model'!$D$19=0,0,'Z domestic'!S47/'IO model'!$D$19)</f>
        <v>0.019392736749356144</v>
      </c>
      <c r="T47" s="33">
        <f>IF('IO model'!$D$20=0,0,'Z domestic'!T47/'IO model'!$D$20)</f>
        <v>0.021182115533196707</v>
      </c>
      <c r="U47" s="33">
        <f>IF('IO model'!$D$21=0,0,'Z domestic'!U47/'IO model'!$D$21)</f>
        <v>0.02274704279079255</v>
      </c>
      <c r="V47" s="33">
        <f>IF('IO model'!$D$22=0,0,'Z domestic'!V47/'IO model'!$D$22)</f>
        <v>0.01699180311374664</v>
      </c>
      <c r="W47" s="33">
        <f>IF('IO model'!$D$23=0,0,'Z domestic'!W47/'IO model'!$D$23)</f>
        <v>0.018828847447640237</v>
      </c>
      <c r="X47" s="33">
        <f>IF('IO model'!$D$24=0,0,'Z domestic'!X47/'IO model'!$D$24)</f>
        <v>0.014773690801123776</v>
      </c>
      <c r="Y47" s="33">
        <f>IF('IO model'!$D$25=0,0,'Z domestic'!Y47/'IO model'!$D$25)</f>
        <v>0.02033506840327745</v>
      </c>
      <c r="Z47" s="33">
        <f>IF('IO model'!$D$26=0,0,'Z domestic'!Z47/'IO model'!$D$26)</f>
        <v>0.01222522749130988</v>
      </c>
      <c r="AA47" s="33">
        <f>IF('IO model'!$D$27=0,0,'Z domestic'!AA47/'IO model'!$D$27)</f>
        <v>0.016789185814292618</v>
      </c>
      <c r="AB47" s="33">
        <f>IF('IO model'!$D$28=0,0,'Z domestic'!AB47/'IO model'!$D$28)</f>
        <v>0.018207819657716246</v>
      </c>
      <c r="AC47" s="33">
        <f>IF('IO model'!$D$29=0,0,'Z domestic'!AC47/'IO model'!$D$29)</f>
        <v>0.01588179736890899</v>
      </c>
      <c r="AD47" s="33">
        <f>IF('IO model'!$D$30=0,0,'Z domestic'!AD47/'IO model'!$D$30)</f>
        <v>0.0261170599409184</v>
      </c>
      <c r="AE47" s="33">
        <f>IF('IO model'!$D$31=0,0,'Z domestic'!AE47/'IO model'!$D$31)</f>
        <v>0.036022308148493117</v>
      </c>
      <c r="AF47" s="33">
        <f>IF('IO model'!$D$32=0,0,'Z domestic'!AF47/'IO model'!$D$32)</f>
        <v>0.029920037955407566</v>
      </c>
      <c r="AG47" s="33">
        <f>IF('IO model'!$D$33=0,0,'Z domestic'!AG47/'IO model'!$D$33)</f>
        <v>0.015143454283943363</v>
      </c>
      <c r="AH47" s="33">
        <f>IF('IO model'!$D$34=0,0,'Z domestic'!AH47/'IO model'!$D$34)</f>
        <v>0.014109853726605334</v>
      </c>
      <c r="AI47" s="33">
        <f>IF('IO model'!$D$35=0,0,'Z domestic'!AI47/'IO model'!$D$35)</f>
        <v>0.017046018936506077</v>
      </c>
      <c r="AJ47" s="33">
        <f>IF('IO model'!$D$36=0,0,'Z domestic'!AJ47/'IO model'!$D$36)</f>
        <v>0.020880584756533215</v>
      </c>
      <c r="AK47" s="33">
        <f>IF('IO model'!$D$37=0,0,'Z domestic'!AK47/'IO model'!$D$37)</f>
        <v>0.029398836368167296</v>
      </c>
      <c r="AL47" s="33">
        <f>IF('IO model'!$D$38=0,0,'Z domestic'!AL47/'IO model'!$D$38)</f>
        <v>0.019380257609560563</v>
      </c>
      <c r="AM47" s="33">
        <f>IF('IO model'!$D$39=0,0,'Z domestic'!AM47/'IO model'!$D$39)</f>
        <v>0.036204869310905476</v>
      </c>
      <c r="AN47" s="33">
        <f>IF('IO model'!$D$40=0,0,'Z domestic'!AN47/'IO model'!$D$40)</f>
        <v>0.03038850748413474</v>
      </c>
      <c r="AO47" s="33">
        <f>IF('IO model'!$D$41=0,0,'Z domestic'!AO47/'IO model'!$D$41)</f>
        <v>0.030235270339024404</v>
      </c>
      <c r="AP47" s="33">
        <f>IF('IO model'!$D$42=0,0,'Z domestic'!AP47/'IO model'!$D$42)</f>
        <v>0.04261385903643837</v>
      </c>
      <c r="AQ47" s="33">
        <f>IF('IO model'!$D$43=0,0,'Z domestic'!AQ47/'IO model'!$D$43)</f>
        <v>0.03598340790778837</v>
      </c>
      <c r="AR47" s="33">
        <f>IF('IO model'!$D$44=0,0,'Z domestic'!AR47/'IO model'!$D$44)</f>
        <v>0.02806378386489462</v>
      </c>
      <c r="AS47" s="33">
        <f>IF('IO model'!$D$45=0,0,'Z domestic'!AS47/'IO model'!$D$45)</f>
        <v>0.044455330097617554</v>
      </c>
      <c r="AT47" s="33">
        <f>IF('IO model'!$D$46=0,0,'Z domestic'!AT47/'IO model'!$D$46)</f>
        <v>0.01424173513663833</v>
      </c>
      <c r="AU47" s="33">
        <f>IF('IO model'!$D$47=0,0,'Z domestic'!AU47/'IO model'!$D$47)</f>
        <v>0.1826655479834159</v>
      </c>
      <c r="AV47" s="33">
        <f>IF('IO model'!$D$48=0,0,'Z domestic'!AV47/'IO model'!$D$48)</f>
        <v>0.08054445604571803</v>
      </c>
      <c r="AW47" s="33">
        <f>IF('IO model'!$D$49=0,0,'Z domestic'!AW47/'IO model'!$D$49)</f>
        <v>0.024380738923056436</v>
      </c>
      <c r="AX47" s="33">
        <f>IF('IO model'!$D$50=0,0,'Z domestic'!AX47/'IO model'!$D$50)</f>
        <v>0.045991816547022994</v>
      </c>
      <c r="AY47" s="33">
        <f>IF('IO model'!$D$51=0,0,'Z domestic'!AY47/'IO model'!$D$51)</f>
        <v>0.06012766736678068</v>
      </c>
      <c r="AZ47" s="33">
        <f>IF('IO model'!$D$52=0,0,'Z domestic'!AZ47/'IO model'!$D$52)</f>
        <v>0.03465746672702973</v>
      </c>
      <c r="BA47" s="33">
        <f>IF('IO model'!$D$53=0,0,'Z domestic'!BA47/'IO model'!$D$53)</f>
        <v>0.030844521813510686</v>
      </c>
      <c r="BB47" s="33">
        <f>IF('IO model'!$D$54=0,0,'Z domestic'!BB47/'IO model'!$D$54)</f>
        <v>0.035848061597425936</v>
      </c>
      <c r="BC47" s="33">
        <f>IF('IO model'!$D$55=0,0,'Z domestic'!BC47/'IO model'!$D$55)</f>
        <v>0.0641639491833759</v>
      </c>
      <c r="BD47" s="33">
        <f>IF('IO model'!$D$56=0,0,'Z domestic'!BD47/'IO model'!$D$56)</f>
        <v>0.014272979876271977</v>
      </c>
      <c r="BE47" s="33">
        <f>IF('IO model'!$D$57=0,0,'Z domestic'!BE47/'IO model'!$D$57)</f>
        <v>0.007809137416247836</v>
      </c>
      <c r="BF47" s="33">
        <f>IF('IO model'!$D$58=0,0,'Z domestic'!BF47/'IO model'!$D$58)</f>
        <v>0.013622331010508524</v>
      </c>
      <c r="BG47" s="33">
        <f>IF('IO model'!$D$59=0,0,'Z domestic'!BG47/'IO model'!$D$59)</f>
        <v>0.01393568790964128</v>
      </c>
      <c r="BH47" s="33">
        <f>IF('IO model'!$D$60=0,0,'Z domestic'!BH47/'IO model'!$D$60)</f>
        <v>0.024206542478628447</v>
      </c>
      <c r="BI47" s="33">
        <f>IF('IO model'!$D$61=0,0,'Z domestic'!BI47/'IO model'!$D$61)</f>
        <v>0.023832696495529063</v>
      </c>
      <c r="BJ47" s="33">
        <f>IF('IO model'!$D$62=0,0,'Z domestic'!BJ47/'IO model'!$D$62)</f>
        <v>0.03247537848834702</v>
      </c>
      <c r="BK47" s="33">
        <f>IF('IO model'!$D$63=0,0,'Z domestic'!BK47/'IO model'!$D$63)</f>
        <v>0.023187002030932668</v>
      </c>
      <c r="BL47" s="33">
        <f>IF('IO model'!$D$64=0,0,'Z domestic'!BL47/'IO model'!$D$64)</f>
        <v>0.02020635441766376</v>
      </c>
      <c r="BM47" s="33">
        <f>IF('IO model'!$D$65=0,0,'Z domestic'!BM47/'IO model'!$D$65)</f>
        <v>0</v>
      </c>
      <c r="BN47" s="33">
        <f>IF('IO model'!$D$66=0,0,'Z domestic'!BN47/'IO model'!$D$66)</f>
        <v>0</v>
      </c>
    </row>
    <row r="48" spans="1:66" x14ac:dyDescent="0.25">
      <c r="A48" s="30" t="s">
        <v>353</v>
      </c>
      <c r="B48" s="31" t="s">
        <v>354</v>
      </c>
      <c r="C48" s="33">
        <f>IF('IO model'!$D$3=0,0,'Z domestic'!C48/'IO model'!$D$3)</f>
        <v>0.002549781044579271</v>
      </c>
      <c r="D48" s="33">
        <f>IF('IO model'!$D$4=0,0,'Z domestic'!D48/'IO model'!$D$4)</f>
        <v>0.001722975623737992</v>
      </c>
      <c r="E48" s="33">
        <f>IF('IO model'!$D$5=0,0,'Z domestic'!E48/'IO model'!$D$5)</f>
        <v>0.0015338776562892377</v>
      </c>
      <c r="F48" s="33">
        <f>IF('IO model'!$D$6=0,0,'Z domestic'!F48/'IO model'!$D$6)</f>
        <v>0.01194413278562995</v>
      </c>
      <c r="G48" s="33">
        <f>IF('IO model'!$D$7=0,0,'Z domestic'!G48/'IO model'!$D$7)</f>
        <v>0.0031140366367639087</v>
      </c>
      <c r="H48" s="33">
        <f>IF('IO model'!$D$8=0,0,'Z domestic'!H48/'IO model'!$D$8)</f>
        <v>0.004351270686980794</v>
      </c>
      <c r="I48" s="33">
        <f>IF('IO model'!$D$9=0,0,'Z domestic'!I48/'IO model'!$D$9)</f>
        <v>0.004665217201899353</v>
      </c>
      <c r="J48" s="33">
        <f>IF('IO model'!$D$10=0,0,'Z domestic'!J48/'IO model'!$D$10)</f>
        <v>0.005193461367578616</v>
      </c>
      <c r="K48" s="33">
        <f>IF('IO model'!$D$11=0,0,'Z domestic'!K48/'IO model'!$D$11)</f>
        <v>0.0041796926646393735</v>
      </c>
      <c r="L48" s="33">
        <f>IF('IO model'!$D$12=0,0,'Z domestic'!L48/'IO model'!$D$12)</f>
        <v>0.007110787998302069</v>
      </c>
      <c r="M48" s="33">
        <f>IF('IO model'!$D$13=0,0,'Z domestic'!M48/'IO model'!$D$13)</f>
        <v>0.009957822264139942</v>
      </c>
      <c r="N48" s="33">
        <f>IF('IO model'!$D$14=0,0,'Z domestic'!N48/'IO model'!$D$14)</f>
        <v>0.00871163781805108</v>
      </c>
      <c r="O48" s="33">
        <f>IF('IO model'!$D$15=0,0,'Z domestic'!O48/'IO model'!$D$15)</f>
        <v>0.009331366514203618</v>
      </c>
      <c r="P48" s="33">
        <f>IF('IO model'!$D$16=0,0,'Z domestic'!P48/'IO model'!$D$16)</f>
        <v>0.009395231803228361</v>
      </c>
      <c r="Q48" s="33">
        <f>IF('IO model'!$D$17=0,0,'Z domestic'!Q48/'IO model'!$D$17)</f>
        <v>0.004971948728951615</v>
      </c>
      <c r="R48" s="33">
        <f>IF('IO model'!$D$18=0,0,'Z domestic'!R48/'IO model'!$D$18)</f>
        <v>0.007747217646050884</v>
      </c>
      <c r="S48" s="33">
        <f>IF('IO model'!$D$19=0,0,'Z domestic'!S48/'IO model'!$D$19)</f>
        <v>0.00979798658077971</v>
      </c>
      <c r="T48" s="33">
        <f>IF('IO model'!$D$20=0,0,'Z domestic'!T48/'IO model'!$D$20)</f>
        <v>0.012334974172804356</v>
      </c>
      <c r="U48" s="33">
        <f>IF('IO model'!$D$21=0,0,'Z domestic'!U48/'IO model'!$D$21)</f>
        <v>0.008712241910937871</v>
      </c>
      <c r="V48" s="33">
        <f>IF('IO model'!$D$22=0,0,'Z domestic'!V48/'IO model'!$D$22)</f>
        <v>0.008059271519156311</v>
      </c>
      <c r="W48" s="33">
        <f>IF('IO model'!$D$23=0,0,'Z domestic'!W48/'IO model'!$D$23)</f>
        <v>0.0181000101135799</v>
      </c>
      <c r="X48" s="33">
        <f>IF('IO model'!$D$24=0,0,'Z domestic'!X48/'IO model'!$D$24)</f>
        <v>0.003643777041704496</v>
      </c>
      <c r="Y48" s="33">
        <f>IF('IO model'!$D$25=0,0,'Z domestic'!Y48/'IO model'!$D$25)</f>
        <v>0.011057573586388357</v>
      </c>
      <c r="Z48" s="33">
        <f>IF('IO model'!$D$26=0,0,'Z domestic'!Z48/'IO model'!$D$26)</f>
        <v>0.007186126103972069</v>
      </c>
      <c r="AA48" s="33">
        <f>IF('IO model'!$D$27=0,0,'Z domestic'!AA48/'IO model'!$D$27)</f>
        <v>0.019818309592130264</v>
      </c>
      <c r="AB48" s="33">
        <f>IF('IO model'!$D$28=0,0,'Z domestic'!AB48/'IO model'!$D$28)</f>
        <v>0.02356279766123073</v>
      </c>
      <c r="AC48" s="33">
        <f>IF('IO model'!$D$29=0,0,'Z domestic'!AC48/'IO model'!$D$29)</f>
        <v>0.02220832654228476</v>
      </c>
      <c r="AD48" s="33">
        <f>IF('IO model'!$D$30=0,0,'Z domestic'!AD48/'IO model'!$D$30)</f>
        <v>0.004450689067885746</v>
      </c>
      <c r="AE48" s="33">
        <f>IF('IO model'!$D$31=0,0,'Z domestic'!AE48/'IO model'!$D$31)</f>
        <v>0.004677773079748701</v>
      </c>
      <c r="AF48" s="33">
        <f>IF('IO model'!$D$32=0,0,'Z domestic'!AF48/'IO model'!$D$32)</f>
        <v>0.0035929346772483363</v>
      </c>
      <c r="AG48" s="33">
        <f>IF('IO model'!$D$33=0,0,'Z domestic'!AG48/'IO model'!$D$33)</f>
        <v>0.007135092236614546</v>
      </c>
      <c r="AH48" s="33">
        <f>IF('IO model'!$D$34=0,0,'Z domestic'!AH48/'IO model'!$D$34)</f>
        <v>0.003985841658803544</v>
      </c>
      <c r="AI48" s="33">
        <f>IF('IO model'!$D$35=0,0,'Z domestic'!AI48/'IO model'!$D$35)</f>
        <v>0.008418615097956716</v>
      </c>
      <c r="AJ48" s="33">
        <f>IF('IO model'!$D$36=0,0,'Z domestic'!AJ48/'IO model'!$D$36)</f>
        <v>0.008006125342491668</v>
      </c>
      <c r="AK48" s="33">
        <f>IF('IO model'!$D$37=0,0,'Z domestic'!AK48/'IO model'!$D$37)</f>
        <v>0.003628648463431434</v>
      </c>
      <c r="AL48" s="33">
        <f>IF('IO model'!$D$38=0,0,'Z domestic'!AL48/'IO model'!$D$38)</f>
        <v>0.003109290683134789</v>
      </c>
      <c r="AM48" s="33">
        <f>IF('IO model'!$D$39=0,0,'Z domestic'!AM48/'IO model'!$D$39)</f>
        <v>0.004754713366067741</v>
      </c>
      <c r="AN48" s="33">
        <f>IF('IO model'!$D$40=0,0,'Z domestic'!AN48/'IO model'!$D$40)</f>
        <v>0.00408046429912434</v>
      </c>
      <c r="AO48" s="33">
        <f>IF('IO model'!$D$41=0,0,'Z domestic'!AO48/'IO model'!$D$41)</f>
        <v>0.010236884962166709</v>
      </c>
      <c r="AP48" s="33">
        <f>IF('IO model'!$D$42=0,0,'Z domestic'!AP48/'IO model'!$D$42)</f>
        <v>0.008394005898882926</v>
      </c>
      <c r="AQ48" s="33">
        <f>IF('IO model'!$D$43=0,0,'Z domestic'!AQ48/'IO model'!$D$43)</f>
        <v>0.002666800248356484</v>
      </c>
      <c r="AR48" s="33">
        <f>IF('IO model'!$D$44=0,0,'Z domestic'!AR48/'IO model'!$D$44)</f>
        <v>0.003096069380270154</v>
      </c>
      <c r="AS48" s="33">
        <f>IF('IO model'!$D$45=0,0,'Z domestic'!AS48/'IO model'!$D$45)</f>
        <v>0.0043890953593925175</v>
      </c>
      <c r="AT48" s="33">
        <f>IF('IO model'!$D$46=0,0,'Z domestic'!AT48/'IO model'!$D$46)</f>
        <v>0.0040453622335608515</v>
      </c>
      <c r="AU48" s="33">
        <f>IF('IO model'!$D$47=0,0,'Z domestic'!AU48/'IO model'!$D$47)</f>
        <v>0.009973348082926247</v>
      </c>
      <c r="AV48" s="33">
        <f>IF('IO model'!$D$48=0,0,'Z domestic'!AV48/'IO model'!$D$48)</f>
        <v>0.10452341140480023</v>
      </c>
      <c r="AW48" s="33">
        <f>IF('IO model'!$D$49=0,0,'Z domestic'!AW48/'IO model'!$D$49)</f>
        <v>0.014578681757488367</v>
      </c>
      <c r="AX48" s="33">
        <f>IF('IO model'!$D$50=0,0,'Z domestic'!AX48/'IO model'!$D$50)</f>
        <v>0.013520361624065025</v>
      </c>
      <c r="AY48" s="33">
        <f>IF('IO model'!$D$51=0,0,'Z domestic'!AY48/'IO model'!$D$51)</f>
        <v>0.020360659082166513</v>
      </c>
      <c r="AZ48" s="33">
        <f>IF('IO model'!$D$52=0,0,'Z domestic'!AZ48/'IO model'!$D$52)</f>
        <v>0.009149727551941008</v>
      </c>
      <c r="BA48" s="33">
        <f>IF('IO model'!$D$53=0,0,'Z domestic'!BA48/'IO model'!$D$53)</f>
        <v>0.006315674664603237</v>
      </c>
      <c r="BB48" s="33">
        <f>IF('IO model'!$D$54=0,0,'Z domestic'!BB48/'IO model'!$D$54)</f>
        <v>0.0019865504946829852</v>
      </c>
      <c r="BC48" s="33">
        <f>IF('IO model'!$D$55=0,0,'Z domestic'!BC48/'IO model'!$D$55)</f>
        <v>0.012839089884442706</v>
      </c>
      <c r="BD48" s="33">
        <f>IF('IO model'!$D$56=0,0,'Z domestic'!BD48/'IO model'!$D$56)</f>
        <v>0.006500336279497198</v>
      </c>
      <c r="BE48" s="33">
        <f>IF('IO model'!$D$57=0,0,'Z domestic'!BE48/'IO model'!$D$57)</f>
        <v>0.0021567135599711257</v>
      </c>
      <c r="BF48" s="33">
        <f>IF('IO model'!$D$58=0,0,'Z domestic'!BF48/'IO model'!$D$58)</f>
        <v>0.0023947951715010125</v>
      </c>
      <c r="BG48" s="33">
        <f>IF('IO model'!$D$59=0,0,'Z domestic'!BG48/'IO model'!$D$59)</f>
        <v>0.0014097801561823947</v>
      </c>
      <c r="BH48" s="33">
        <f>IF('IO model'!$D$60=0,0,'Z domestic'!BH48/'IO model'!$D$60)</f>
        <v>0.006675063412011359</v>
      </c>
      <c r="BI48" s="33">
        <f>IF('IO model'!$D$61=0,0,'Z domestic'!BI48/'IO model'!$D$61)</f>
        <v>0.005892188402548599</v>
      </c>
      <c r="BJ48" s="33">
        <f>IF('IO model'!$D$62=0,0,'Z domestic'!BJ48/'IO model'!$D$62)</f>
        <v>0.004489813523500066</v>
      </c>
      <c r="BK48" s="33">
        <f>IF('IO model'!$D$63=0,0,'Z domestic'!BK48/'IO model'!$D$63)</f>
        <v>0.005264802374628964</v>
      </c>
      <c r="BL48" s="33">
        <f>IF('IO model'!$D$64=0,0,'Z domestic'!BL48/'IO model'!$D$64)</f>
        <v>0.006479272004782017</v>
      </c>
      <c r="BM48" s="33">
        <f>IF('IO model'!$D$65=0,0,'Z domestic'!BM48/'IO model'!$D$65)</f>
        <v>0</v>
      </c>
      <c r="BN48" s="33">
        <f>IF('IO model'!$D$66=0,0,'Z domestic'!BN48/'IO model'!$D$66)</f>
        <v>0</v>
      </c>
    </row>
    <row r="49" spans="1:66" x14ac:dyDescent="0.25">
      <c r="A49" s="30" t="s">
        <v>355</v>
      </c>
      <c r="B49" s="31" t="s">
        <v>356</v>
      </c>
      <c r="C49" s="33">
        <f>IF('IO model'!$D$3=0,0,'Z domestic'!C49/'IO model'!$D$3)</f>
        <v>0.0009287166340655706</v>
      </c>
      <c r="D49" s="33">
        <f>IF('IO model'!$D$4=0,0,'Z domestic'!D49/'IO model'!$D$4)</f>
        <v>0.0003170531352231622</v>
      </c>
      <c r="E49" s="33">
        <f>IF('IO model'!$D$5=0,0,'Z domestic'!E49/'IO model'!$D$5)</f>
        <v>0.00027148277102464384</v>
      </c>
      <c r="F49" s="33">
        <f>IF('IO model'!$D$6=0,0,'Z domestic'!F49/'IO model'!$D$6)</f>
        <v>0.0006151563507088988</v>
      </c>
      <c r="G49" s="33">
        <f>IF('IO model'!$D$7=0,0,'Z domestic'!G49/'IO model'!$D$7)</f>
        <v>0.0005170439829530738</v>
      </c>
      <c r="H49" s="33">
        <f>IF('IO model'!$D$8=0,0,'Z domestic'!H49/'IO model'!$D$8)</f>
        <v>0.0004923066653315977</v>
      </c>
      <c r="I49" s="33">
        <f>IF('IO model'!$D$9=0,0,'Z domestic'!I49/'IO model'!$D$9)</f>
        <v>0.0006330800447399196</v>
      </c>
      <c r="J49" s="33">
        <f>IF('IO model'!$D$10=0,0,'Z domestic'!J49/'IO model'!$D$10)</f>
        <v>0.0007002923563672131</v>
      </c>
      <c r="K49" s="33">
        <f>IF('IO model'!$D$11=0,0,'Z domestic'!K49/'IO model'!$D$11)</f>
        <v>0.0015951072005868628</v>
      </c>
      <c r="L49" s="33">
        <f>IF('IO model'!$D$12=0,0,'Z domestic'!L49/'IO model'!$D$12)</f>
        <v>0.0003741553264417976</v>
      </c>
      <c r="M49" s="33">
        <f>IF('IO model'!$D$13=0,0,'Z domestic'!M49/'IO model'!$D$13)</f>
        <v>0.0010474702419645229</v>
      </c>
      <c r="N49" s="33">
        <f>IF('IO model'!$D$14=0,0,'Z domestic'!N49/'IO model'!$D$14)</f>
        <v>0.00465951923578933</v>
      </c>
      <c r="O49" s="33">
        <f>IF('IO model'!$D$15=0,0,'Z domestic'!O49/'IO model'!$D$15)</f>
        <v>0.0012060454182746573</v>
      </c>
      <c r="P49" s="33">
        <f>IF('IO model'!$D$16=0,0,'Z domestic'!P49/'IO model'!$D$16)</f>
        <v>0.0007690154495354305</v>
      </c>
      <c r="Q49" s="33">
        <f>IF('IO model'!$D$17=0,0,'Z domestic'!Q49/'IO model'!$D$17)</f>
        <v>0.0003824270309358636</v>
      </c>
      <c r="R49" s="33">
        <f>IF('IO model'!$D$18=0,0,'Z domestic'!R49/'IO model'!$D$18)</f>
        <v>0.0005993242323298145</v>
      </c>
      <c r="S49" s="33">
        <f>IF('IO model'!$D$19=0,0,'Z domestic'!S49/'IO model'!$D$19)</f>
        <v>0.0020561090797399087</v>
      </c>
      <c r="T49" s="33">
        <f>IF('IO model'!$D$20=0,0,'Z domestic'!T49/'IO model'!$D$20)</f>
        <v>0.0010194365121775693</v>
      </c>
      <c r="U49" s="33">
        <f>IF('IO model'!$D$21=0,0,'Z domestic'!U49/'IO model'!$D$21)</f>
        <v>0.0015131202470598745</v>
      </c>
      <c r="V49" s="33">
        <f>IF('IO model'!$D$22=0,0,'Z domestic'!V49/'IO model'!$D$22)</f>
        <v>0.0016871714784375603</v>
      </c>
      <c r="W49" s="33">
        <f>IF('IO model'!$D$23=0,0,'Z domestic'!W49/'IO model'!$D$23)</f>
        <v>0.0006463896718363183</v>
      </c>
      <c r="X49" s="33">
        <f>IF('IO model'!$D$24=0,0,'Z domestic'!X49/'IO model'!$D$24)</f>
        <v>0.0006193206616659083</v>
      </c>
      <c r="Y49" s="33">
        <f>IF('IO model'!$D$25=0,0,'Z domestic'!Y49/'IO model'!$D$25)</f>
        <v>0.0006921627470467519</v>
      </c>
      <c r="Z49" s="33">
        <f>IF('IO model'!$D$26=0,0,'Z domestic'!Z49/'IO model'!$D$26)</f>
        <v>0.0006080781168758284</v>
      </c>
      <c r="AA49" s="33">
        <f>IF('IO model'!$D$27=0,0,'Z domestic'!AA49/'IO model'!$D$27)</f>
        <v>0.0007312661167203355</v>
      </c>
      <c r="AB49" s="33">
        <f>IF('IO model'!$D$28=0,0,'Z domestic'!AB49/'IO model'!$D$28)</f>
        <v>0.0013698780939223098</v>
      </c>
      <c r="AC49" s="33">
        <f>IF('IO model'!$D$29=0,0,'Z domestic'!AC49/'IO model'!$D$29)</f>
        <v>0.0012269859730092774</v>
      </c>
      <c r="AD49" s="33">
        <f>IF('IO model'!$D$30=0,0,'Z domestic'!AD49/'IO model'!$D$30)</f>
        <v>0.0007967966657124142</v>
      </c>
      <c r="AE49" s="33">
        <f>IF('IO model'!$D$31=0,0,'Z domestic'!AE49/'IO model'!$D$31)</f>
        <v>0.0013437611422156947</v>
      </c>
      <c r="AF49" s="33">
        <f>IF('IO model'!$D$32=0,0,'Z domestic'!AF49/'IO model'!$D$32)</f>
        <v>0.0009680663020589898</v>
      </c>
      <c r="AG49" s="33">
        <f>IF('IO model'!$D$33=0,0,'Z domestic'!AG49/'IO model'!$D$33)</f>
        <v>0.0007516621654138531</v>
      </c>
      <c r="AH49" s="33">
        <f>IF('IO model'!$D$34=0,0,'Z domestic'!AH49/'IO model'!$D$34)</f>
        <v>0.0010165204962542358</v>
      </c>
      <c r="AI49" s="33">
        <f>IF('IO model'!$D$35=0,0,'Z domestic'!AI49/'IO model'!$D$35)</f>
        <v>0.002346026212477342</v>
      </c>
      <c r="AJ49" s="33">
        <f>IF('IO model'!$D$36=0,0,'Z domestic'!AJ49/'IO model'!$D$36)</f>
        <v>0.0008284069435386762</v>
      </c>
      <c r="AK49" s="33">
        <f>IF('IO model'!$D$37=0,0,'Z domestic'!AK49/'IO model'!$D$37)</f>
        <v>0.0008002132055945702</v>
      </c>
      <c r="AL49" s="33">
        <f>IF('IO model'!$D$38=0,0,'Z domestic'!AL49/'IO model'!$D$38)</f>
        <v>0.0005074185744715058</v>
      </c>
      <c r="AM49" s="33">
        <f>IF('IO model'!$D$39=0,0,'Z domestic'!AM49/'IO model'!$D$39)</f>
        <v>0.000999113405471942</v>
      </c>
      <c r="AN49" s="33">
        <f>IF('IO model'!$D$40=0,0,'Z domestic'!AN49/'IO model'!$D$40)</f>
        <v>0.002111504104801064</v>
      </c>
      <c r="AO49" s="33">
        <f>IF('IO model'!$D$41=0,0,'Z domestic'!AO49/'IO model'!$D$41)</f>
        <v>0.0009339259038985601</v>
      </c>
      <c r="AP49" s="33">
        <f>IF('IO model'!$D$42=0,0,'Z domestic'!AP49/'IO model'!$D$42)</f>
        <v>0.001634294659653034</v>
      </c>
      <c r="AQ49" s="33">
        <f>IF('IO model'!$D$43=0,0,'Z domestic'!AQ49/'IO model'!$D$43)</f>
        <v>0.00048643069285395074</v>
      </c>
      <c r="AR49" s="33">
        <f>IF('IO model'!$D$44=0,0,'Z domestic'!AR49/'IO model'!$D$44)</f>
        <v>0.0005241956289113707</v>
      </c>
      <c r="AS49" s="33">
        <f>IF('IO model'!$D$45=0,0,'Z domestic'!AS49/'IO model'!$D$45)</f>
        <v>0.0009437325941082564</v>
      </c>
      <c r="AT49" s="33">
        <f>IF('IO model'!$D$46=0,0,'Z domestic'!AT49/'IO model'!$D$46)</f>
        <v>0.0001980877348930715</v>
      </c>
      <c r="AU49" s="33">
        <f>IF('IO model'!$D$47=0,0,'Z domestic'!AU49/'IO model'!$D$47)</f>
        <v>0.0013905348038479929</v>
      </c>
      <c r="AV49" s="33">
        <f>IF('IO model'!$D$48=0,0,'Z domestic'!AV49/'IO model'!$D$48)</f>
        <v>0.0013837529342029381</v>
      </c>
      <c r="AW49" s="33">
        <f>IF('IO model'!$D$49=0,0,'Z domestic'!AW49/'IO model'!$D$49)</f>
        <v>0.027584294393187464</v>
      </c>
      <c r="AX49" s="33">
        <f>IF('IO model'!$D$50=0,0,'Z domestic'!AX49/'IO model'!$D$50)</f>
        <v>0.0014803188824634912</v>
      </c>
      <c r="AY49" s="33">
        <f>IF('IO model'!$D$51=0,0,'Z domestic'!AY49/'IO model'!$D$51)</f>
        <v>0.001618578379381499</v>
      </c>
      <c r="AZ49" s="33">
        <f>IF('IO model'!$D$52=0,0,'Z domestic'!AZ49/'IO model'!$D$52)</f>
        <v>0.008545554032003282</v>
      </c>
      <c r="BA49" s="33">
        <f>IF('IO model'!$D$53=0,0,'Z domestic'!BA49/'IO model'!$D$53)</f>
        <v>0.0004508742451613679</v>
      </c>
      <c r="BB49" s="33">
        <f>IF('IO model'!$D$54=0,0,'Z domestic'!BB49/'IO model'!$D$54)</f>
        <v>0.0007826530262184773</v>
      </c>
      <c r="BC49" s="33">
        <f>IF('IO model'!$D$55=0,0,'Z domestic'!BC49/'IO model'!$D$55)</f>
        <v>0.0011484266179212224</v>
      </c>
      <c r="BD49" s="33">
        <f>IF('IO model'!$D$56=0,0,'Z domestic'!BD49/'IO model'!$D$56)</f>
        <v>0.0007400794067893237</v>
      </c>
      <c r="BE49" s="33">
        <f>IF('IO model'!$D$57=0,0,'Z domestic'!BE49/'IO model'!$D$57)</f>
        <v>0.001541069485913369</v>
      </c>
      <c r="BF49" s="33">
        <f>IF('IO model'!$D$58=0,0,'Z domestic'!BF49/'IO model'!$D$58)</f>
        <v>0.0006820972397187096</v>
      </c>
      <c r="BG49" s="33">
        <f>IF('IO model'!$D$59=0,0,'Z domestic'!BG49/'IO model'!$D$59)</f>
        <v>0.0007148492785665833</v>
      </c>
      <c r="BH49" s="33">
        <f>IF('IO model'!$D$60=0,0,'Z domestic'!BH49/'IO model'!$D$60)</f>
        <v>0.0008811345556620422</v>
      </c>
      <c r="BI49" s="33">
        <f>IF('IO model'!$D$61=0,0,'Z domestic'!BI49/'IO model'!$D$61)</f>
        <v>0.0010838630235915777</v>
      </c>
      <c r="BJ49" s="33">
        <f>IF('IO model'!$D$62=0,0,'Z domestic'!BJ49/'IO model'!$D$62)</f>
        <v>0.0010840653889839405</v>
      </c>
      <c r="BK49" s="33">
        <f>IF('IO model'!$D$63=0,0,'Z domestic'!BK49/'IO model'!$D$63)</f>
        <v>0.0005780346820809249</v>
      </c>
      <c r="BL49" s="33">
        <f>IF('IO model'!$D$64=0,0,'Z domestic'!BL49/'IO model'!$D$64)</f>
        <v>0.0007552785964971834</v>
      </c>
      <c r="BM49" s="33">
        <f>IF('IO model'!$D$65=0,0,'Z domestic'!BM49/'IO model'!$D$65)</f>
        <v>0</v>
      </c>
      <c r="BN49" s="33">
        <f>IF('IO model'!$D$66=0,0,'Z domestic'!BN49/'IO model'!$D$66)</f>
        <v>0</v>
      </c>
    </row>
    <row r="50" spans="1:66" x14ac:dyDescent="0.25">
      <c r="A50" s="30" t="s">
        <v>357</v>
      </c>
      <c r="B50" s="31" t="s">
        <v>358</v>
      </c>
      <c r="C50" s="33">
        <f>IF('IO model'!$D$3=0,0,'Z domestic'!C50/'IO model'!$D$3)</f>
        <v>0.0004736105692142656</v>
      </c>
      <c r="D50" s="33">
        <f>IF('IO model'!$D$4=0,0,'Z domestic'!D50/'IO model'!$D$4)</f>
        <v>0.000738189370393322</v>
      </c>
      <c r="E50" s="33">
        <f>IF('IO model'!$D$5=0,0,'Z domestic'!E50/'IO model'!$D$5)</f>
        <v>0.0010927181533741915</v>
      </c>
      <c r="F50" s="33">
        <f>IF('IO model'!$D$6=0,0,'Z domestic'!F50/'IO model'!$D$6)</f>
        <v>0.0015837980671236575</v>
      </c>
      <c r="G50" s="33">
        <f>IF('IO model'!$D$7=0,0,'Z domestic'!G50/'IO model'!$D$7)</f>
        <v>0.010898907489816579</v>
      </c>
      <c r="H50" s="33">
        <f>IF('IO model'!$D$8=0,0,'Z domestic'!H50/'IO model'!$D$8)</f>
        <v>0.005223457160975936</v>
      </c>
      <c r="I50" s="33">
        <f>IF('IO model'!$D$9=0,0,'Z domestic'!I50/'IO model'!$D$9)</f>
        <v>0.0014347551326724182</v>
      </c>
      <c r="J50" s="33">
        <f>IF('IO model'!$D$10=0,0,'Z domestic'!J50/'IO model'!$D$10)</f>
        <v>0.0033813091880419478</v>
      </c>
      <c r="K50" s="33">
        <f>IF('IO model'!$D$11=0,0,'Z domestic'!K50/'IO model'!$D$11)</f>
        <v>0.002728173545388761</v>
      </c>
      <c r="L50" s="33">
        <f>IF('IO model'!$D$12=0,0,'Z domestic'!L50/'IO model'!$D$12)</f>
        <v>0.00203572090473954</v>
      </c>
      <c r="M50" s="33">
        <f>IF('IO model'!$D$13=0,0,'Z domestic'!M50/'IO model'!$D$13)</f>
        <v>0.0058895972353215096</v>
      </c>
      <c r="N50" s="33">
        <f>IF('IO model'!$D$14=0,0,'Z domestic'!N50/'IO model'!$D$14)</f>
        <v>0.012033906789162278</v>
      </c>
      <c r="O50" s="33">
        <f>IF('IO model'!$D$15=0,0,'Z domestic'!O50/'IO model'!$D$15)</f>
        <v>0.0028277462758477846</v>
      </c>
      <c r="P50" s="33">
        <f>IF('IO model'!$D$16=0,0,'Z domestic'!P50/'IO model'!$D$16)</f>
        <v>0.002711494297848262</v>
      </c>
      <c r="Q50" s="33">
        <f>IF('IO model'!$D$17=0,0,'Z domestic'!Q50/'IO model'!$D$17)</f>
        <v>0.000783925747570347</v>
      </c>
      <c r="R50" s="33">
        <f>IF('IO model'!$D$18=0,0,'Z domestic'!R50/'IO model'!$D$18)</f>
        <v>0.0018120518567451892</v>
      </c>
      <c r="S50" s="33">
        <f>IF('IO model'!$D$19=0,0,'Z domestic'!S50/'IO model'!$D$19)</f>
        <v>0.002992119993228858</v>
      </c>
      <c r="T50" s="33">
        <f>IF('IO model'!$D$20=0,0,'Z domestic'!T50/'IO model'!$D$20)</f>
        <v>0.0033051232134881222</v>
      </c>
      <c r="U50" s="33">
        <f>IF('IO model'!$D$21=0,0,'Z domestic'!U50/'IO model'!$D$21)</f>
        <v>0.00176216437570534</v>
      </c>
      <c r="V50" s="33">
        <f>IF('IO model'!$D$22=0,0,'Z domestic'!V50/'IO model'!$D$22)</f>
        <v>0.003394002204617715</v>
      </c>
      <c r="W50" s="33">
        <f>IF('IO model'!$D$23=0,0,'Z domestic'!W50/'IO model'!$D$23)</f>
        <v>0.0011700239354724288</v>
      </c>
      <c r="X50" s="33">
        <f>IF('IO model'!$D$24=0,0,'Z domestic'!X50/'IO model'!$D$24)</f>
        <v>0.00574675285248239</v>
      </c>
      <c r="Y50" s="33">
        <f>IF('IO model'!$D$25=0,0,'Z domestic'!Y50/'IO model'!$D$25)</f>
        <v>0.0014556908388388046</v>
      </c>
      <c r="Z50" s="33">
        <f>IF('IO model'!$D$26=0,0,'Z domestic'!Z50/'IO model'!$D$26)</f>
        <v>0.00118847573210239</v>
      </c>
      <c r="AA50" s="33">
        <f>IF('IO model'!$D$27=0,0,'Z domestic'!AA50/'IO model'!$D$27)</f>
        <v>0.002277901080933911</v>
      </c>
      <c r="AB50" s="33">
        <f>IF('IO model'!$D$28=0,0,'Z domestic'!AB50/'IO model'!$D$28)</f>
        <v>0.0019994303068499412</v>
      </c>
      <c r="AC50" s="33">
        <f>IF('IO model'!$D$29=0,0,'Z domestic'!AC50/'IO model'!$D$29)</f>
        <v>0.0010535281959183121</v>
      </c>
      <c r="AD50" s="33">
        <f>IF('IO model'!$D$30=0,0,'Z domestic'!AD50/'IO model'!$D$30)</f>
        <v>0.011961549945514073</v>
      </c>
      <c r="AE50" s="33">
        <f>IF('IO model'!$D$31=0,0,'Z domestic'!AE50/'IO model'!$D$31)</f>
        <v>0.010052420472240432</v>
      </c>
      <c r="AF50" s="33">
        <f>IF('IO model'!$D$32=0,0,'Z domestic'!AF50/'IO model'!$D$32)</f>
        <v>0.011092838994720555</v>
      </c>
      <c r="AG50" s="33">
        <f>IF('IO model'!$D$33=0,0,'Z domestic'!AG50/'IO model'!$D$33)</f>
        <v>0.0012378337313965555</v>
      </c>
      <c r="AH50" s="33">
        <f>IF('IO model'!$D$34=0,0,'Z domestic'!AH50/'IO model'!$D$34)</f>
        <v>0.0005423731140841512</v>
      </c>
      <c r="AI50" s="33">
        <f>IF('IO model'!$D$35=0,0,'Z domestic'!AI50/'IO model'!$D$35)</f>
        <v>0.0038613263146572855</v>
      </c>
      <c r="AJ50" s="33">
        <f>IF('IO model'!$D$36=0,0,'Z domestic'!AJ50/'IO model'!$D$36)</f>
        <v>0.0016296872113443477</v>
      </c>
      <c r="AK50" s="33">
        <f>IF('IO model'!$D$37=0,0,'Z domestic'!AK50/'IO model'!$D$37)</f>
        <v>0.0037712470104491504</v>
      </c>
      <c r="AL50" s="33">
        <f>IF('IO model'!$D$38=0,0,'Z domestic'!AL50/'IO model'!$D$38)</f>
        <v>0.0028900552155678373</v>
      </c>
      <c r="AM50" s="33">
        <f>IF('IO model'!$D$39=0,0,'Z domestic'!AM50/'IO model'!$D$39)</f>
        <v>0.009359853445291878</v>
      </c>
      <c r="AN50" s="33">
        <f>IF('IO model'!$D$40=0,0,'Z domestic'!AN50/'IO model'!$D$40)</f>
        <v>0.011079602082299984</v>
      </c>
      <c r="AO50" s="33">
        <f>IF('IO model'!$D$41=0,0,'Z domestic'!AO50/'IO model'!$D$41)</f>
        <v>0.0072524457475008205</v>
      </c>
      <c r="AP50" s="33">
        <f>IF('IO model'!$D$42=0,0,'Z domestic'!AP50/'IO model'!$D$42)</f>
        <v>0.0055194072377435606</v>
      </c>
      <c r="AQ50" s="33">
        <f>IF('IO model'!$D$43=0,0,'Z domestic'!AQ50/'IO model'!$D$43)</f>
        <v>0.004051671666592566</v>
      </c>
      <c r="AR50" s="33">
        <f>IF('IO model'!$D$44=0,0,'Z domestic'!AR50/'IO model'!$D$44)</f>
        <v>0.005393257642774762</v>
      </c>
      <c r="AS50" s="33">
        <f>IF('IO model'!$D$45=0,0,'Z domestic'!AS50/'IO model'!$D$45)</f>
        <v>0.003415168461728721</v>
      </c>
      <c r="AT50" s="33">
        <f>IF('IO model'!$D$46=0,0,'Z domestic'!AT50/'IO model'!$D$46)</f>
        <v>0.0005457490191882851</v>
      </c>
      <c r="AU50" s="33">
        <f>IF('IO model'!$D$47=0,0,'Z domestic'!AU50/'IO model'!$D$47)</f>
        <v>0.005054710419010608</v>
      </c>
      <c r="AV50" s="33">
        <f>IF('IO model'!$D$48=0,0,'Z domestic'!AV50/'IO model'!$D$48)</f>
        <v>0.002149332921812718</v>
      </c>
      <c r="AW50" s="33">
        <f>IF('IO model'!$D$49=0,0,'Z domestic'!AW50/'IO model'!$D$49)</f>
        <v>0.0014851108172833183</v>
      </c>
      <c r="AX50" s="33">
        <f>IF('IO model'!$D$50=0,0,'Z domestic'!AX50/'IO model'!$D$50)</f>
        <v>0.09627285126443903</v>
      </c>
      <c r="AY50" s="33">
        <f>IF('IO model'!$D$51=0,0,'Z domestic'!AY50/'IO model'!$D$51)</f>
        <v>0.005593742971719736</v>
      </c>
      <c r="AZ50" s="33">
        <f>IF('IO model'!$D$52=0,0,'Z domestic'!AZ50/'IO model'!$D$52)</f>
        <v>0.00398195404807115</v>
      </c>
      <c r="BA50" s="33">
        <f>IF('IO model'!$D$53=0,0,'Z domestic'!BA50/'IO model'!$D$53)</f>
        <v>0.004465802047312596</v>
      </c>
      <c r="BB50" s="33">
        <f>IF('IO model'!$D$54=0,0,'Z domestic'!BB50/'IO model'!$D$54)</f>
        <v>0.02137975106687335</v>
      </c>
      <c r="BC50" s="33">
        <f>IF('IO model'!$D$55=0,0,'Z domestic'!BC50/'IO model'!$D$55)</f>
        <v>0.003583348064788312</v>
      </c>
      <c r="BD50" s="33">
        <f>IF('IO model'!$D$56=0,0,'Z domestic'!BD50/'IO model'!$D$56)</f>
        <v>0.0019427084428219749</v>
      </c>
      <c r="BE50" s="33">
        <f>IF('IO model'!$D$57=0,0,'Z domestic'!BE50/'IO model'!$D$57)</f>
        <v>0.0008724713370183722</v>
      </c>
      <c r="BF50" s="33">
        <f>IF('IO model'!$D$58=0,0,'Z domestic'!BF50/'IO model'!$D$58)</f>
        <v>0.000922724880802411</v>
      </c>
      <c r="BG50" s="33">
        <f>IF('IO model'!$D$59=0,0,'Z domestic'!BG50/'IO model'!$D$59)</f>
        <v>0.0006838650993098274</v>
      </c>
      <c r="BH50" s="33">
        <f>IF('IO model'!$D$60=0,0,'Z domestic'!BH50/'IO model'!$D$60)</f>
        <v>0.008285457919387751</v>
      </c>
      <c r="BI50" s="33">
        <f>IF('IO model'!$D$61=0,0,'Z domestic'!BI50/'IO model'!$D$61)</f>
        <v>0.006402516996809861</v>
      </c>
      <c r="BJ50" s="33">
        <f>IF('IO model'!$D$62=0,0,'Z domestic'!BJ50/'IO model'!$D$62)</f>
        <v>0.004324759535893492</v>
      </c>
      <c r="BK50" s="33">
        <f>IF('IO model'!$D$63=0,0,'Z domestic'!BK50/'IO model'!$D$63)</f>
        <v>0.002974535228870489</v>
      </c>
      <c r="BL50" s="33">
        <f>IF('IO model'!$D$64=0,0,'Z domestic'!BL50/'IO model'!$D$64)</f>
        <v>0.0026190770431903736</v>
      </c>
      <c r="BM50" s="33">
        <f>IF('IO model'!$D$65=0,0,'Z domestic'!BM50/'IO model'!$D$65)</f>
        <v>0</v>
      </c>
      <c r="BN50" s="33">
        <f>IF('IO model'!$D$66=0,0,'Z domestic'!BN50/'IO model'!$D$66)</f>
        <v>0</v>
      </c>
    </row>
    <row r="51" spans="1:66" x14ac:dyDescent="0.25">
      <c r="A51" s="30" t="s">
        <v>359</v>
      </c>
      <c r="B51" s="31" t="s">
        <v>360</v>
      </c>
      <c r="C51" s="33">
        <f>IF('IO model'!$D$3=0,0,'Z domestic'!C51/'IO model'!$D$3)</f>
        <v>0.011862958433820648</v>
      </c>
      <c r="D51" s="33">
        <f>IF('IO model'!$D$4=0,0,'Z domestic'!D51/'IO model'!$D$4)</f>
        <v>0.0016268989160946098</v>
      </c>
      <c r="E51" s="33">
        <f>IF('IO model'!$D$5=0,0,'Z domestic'!E51/'IO model'!$D$5)</f>
        <v>0.0027691242644513666</v>
      </c>
      <c r="F51" s="33">
        <f>IF('IO model'!$D$6=0,0,'Z domestic'!F51/'IO model'!$D$6)</f>
        <v>0.002557030502573557</v>
      </c>
      <c r="G51" s="33">
        <f>IF('IO model'!$D$7=0,0,'Z domestic'!G51/'IO model'!$D$7)</f>
        <v>0.0020245432177250357</v>
      </c>
      <c r="H51" s="33">
        <f>IF('IO model'!$D$8=0,0,'Z domestic'!H51/'IO model'!$D$8)</f>
        <v>0.007174238791130223</v>
      </c>
      <c r="I51" s="33">
        <f>IF('IO model'!$D$9=0,0,'Z domestic'!I51/'IO model'!$D$9)</f>
        <v>0.0013685617767880834</v>
      </c>
      <c r="J51" s="33">
        <f>IF('IO model'!$D$10=0,0,'Z domestic'!J51/'IO model'!$D$10)</f>
        <v>0.0018175321464229718</v>
      </c>
      <c r="K51" s="33">
        <f>IF('IO model'!$D$11=0,0,'Z domestic'!K51/'IO model'!$D$11)</f>
        <v>0.003529992138197131</v>
      </c>
      <c r="L51" s="33">
        <f>IF('IO model'!$D$12=0,0,'Z domestic'!L51/'IO model'!$D$12)</f>
        <v>0.0009617463373830401</v>
      </c>
      <c r="M51" s="33">
        <f>IF('IO model'!$D$13=0,0,'Z domestic'!M51/'IO model'!$D$13)</f>
        <v>0.0024796064777059977</v>
      </c>
      <c r="N51" s="33">
        <f>IF('IO model'!$D$14=0,0,'Z domestic'!N51/'IO model'!$D$14)</f>
        <v>0.0018222019605827395</v>
      </c>
      <c r="O51" s="33">
        <f>IF('IO model'!$D$15=0,0,'Z domestic'!O51/'IO model'!$D$15)</f>
        <v>0.0021091080112751095</v>
      </c>
      <c r="P51" s="33">
        <f>IF('IO model'!$D$16=0,0,'Z domestic'!P51/'IO model'!$D$16)</f>
        <v>0.0021208121766297565</v>
      </c>
      <c r="Q51" s="33">
        <f>IF('IO model'!$D$17=0,0,'Z domestic'!Q51/'IO model'!$D$17)</f>
        <v>0.0013268727998029261</v>
      </c>
      <c r="R51" s="33">
        <f>IF('IO model'!$D$18=0,0,'Z domestic'!R51/'IO model'!$D$18)</f>
        <v>0.0019144457458778858</v>
      </c>
      <c r="S51" s="33">
        <f>IF('IO model'!$D$19=0,0,'Z domestic'!S51/'IO model'!$D$19)</f>
        <v>0.0032106757329851427</v>
      </c>
      <c r="T51" s="33">
        <f>IF('IO model'!$D$20=0,0,'Z domestic'!T51/'IO model'!$D$20)</f>
        <v>0.0033406789166877983</v>
      </c>
      <c r="U51" s="33">
        <f>IF('IO model'!$D$21=0,0,'Z domestic'!U51/'IO model'!$D$21)</f>
        <v>0.0027096203671527997</v>
      </c>
      <c r="V51" s="33">
        <f>IF('IO model'!$D$22=0,0,'Z domestic'!V51/'IO model'!$D$22)</f>
        <v>0.0026465798611964367</v>
      </c>
      <c r="W51" s="33">
        <f>IF('IO model'!$D$23=0,0,'Z domestic'!W51/'IO model'!$D$23)</f>
        <v>0.002208864479495083</v>
      </c>
      <c r="X51" s="33">
        <f>IF('IO model'!$D$24=0,0,'Z domestic'!X51/'IO model'!$D$24)</f>
        <v>0.004146662561673123</v>
      </c>
      <c r="Y51" s="33">
        <f>IF('IO model'!$D$25=0,0,'Z domestic'!Y51/'IO model'!$D$25)</f>
        <v>0.002113387368252883</v>
      </c>
      <c r="Z51" s="33">
        <f>IF('IO model'!$D$26=0,0,'Z domestic'!Z51/'IO model'!$D$26)</f>
        <v>0.0014482259879014775</v>
      </c>
      <c r="AA51" s="33">
        <f>IF('IO model'!$D$27=0,0,'Z domestic'!AA51/'IO model'!$D$27)</f>
        <v>0.003010592667667346</v>
      </c>
      <c r="AB51" s="33">
        <f>IF('IO model'!$D$28=0,0,'Z domestic'!AB51/'IO model'!$D$28)</f>
        <v>0.0037174542146972576</v>
      </c>
      <c r="AC51" s="33">
        <f>IF('IO model'!$D$29=0,0,'Z domestic'!AC51/'IO model'!$D$29)</f>
        <v>0.0019949912056865787</v>
      </c>
      <c r="AD51" s="33">
        <f>IF('IO model'!$D$30=0,0,'Z domestic'!AD51/'IO model'!$D$30)</f>
        <v>0.0040593060902883605</v>
      </c>
      <c r="AE51" s="33">
        <f>IF('IO model'!$D$31=0,0,'Z domestic'!AE51/'IO model'!$D$31)</f>
        <v>0.006440612032900727</v>
      </c>
      <c r="AF51" s="33">
        <f>IF('IO model'!$D$32=0,0,'Z domestic'!AF51/'IO model'!$D$32)</f>
        <v>0.0030225865186396255</v>
      </c>
      <c r="AG51" s="33">
        <f>IF('IO model'!$D$33=0,0,'Z domestic'!AG51/'IO model'!$D$33)</f>
        <v>0.0018415982067858361</v>
      </c>
      <c r="AH51" s="33">
        <f>IF('IO model'!$D$34=0,0,'Z domestic'!AH51/'IO model'!$D$34)</f>
        <v>0.0007191592873457572</v>
      </c>
      <c r="AI51" s="33">
        <f>IF('IO model'!$D$35=0,0,'Z domestic'!AI51/'IO model'!$D$35)</f>
        <v>0.00377907620472685</v>
      </c>
      <c r="AJ51" s="33">
        <f>IF('IO model'!$D$36=0,0,'Z domestic'!AJ51/'IO model'!$D$36)</f>
        <v>0.002362524789608285</v>
      </c>
      <c r="AK51" s="33">
        <f>IF('IO model'!$D$37=0,0,'Z domestic'!AK51/'IO model'!$D$37)</f>
        <v>0.0019070825098728727</v>
      </c>
      <c r="AL51" s="33">
        <f>IF('IO model'!$D$38=0,0,'Z domestic'!AL51/'IO model'!$D$38)</f>
        <v>0.002554217122650528</v>
      </c>
      <c r="AM51" s="33">
        <f>IF('IO model'!$D$39=0,0,'Z domestic'!AM51/'IO model'!$D$39)</f>
        <v>0.006819818867201516</v>
      </c>
      <c r="AN51" s="33">
        <f>IF('IO model'!$D$40=0,0,'Z domestic'!AN51/'IO model'!$D$40)</f>
        <v>0.006213407935176127</v>
      </c>
      <c r="AO51" s="33">
        <f>IF('IO model'!$D$41=0,0,'Z domestic'!AO51/'IO model'!$D$41)</f>
        <v>0.005359038753278616</v>
      </c>
      <c r="AP51" s="33">
        <f>IF('IO model'!$D$42=0,0,'Z domestic'!AP51/'IO model'!$D$42)</f>
        <v>0.005244802190018346</v>
      </c>
      <c r="AQ51" s="33">
        <f>IF('IO model'!$D$43=0,0,'Z domestic'!AQ51/'IO model'!$D$43)</f>
        <v>0.003987077888950713</v>
      </c>
      <c r="AR51" s="33">
        <f>IF('IO model'!$D$44=0,0,'Z domestic'!AR51/'IO model'!$D$44)</f>
        <v>0.00645336416191887</v>
      </c>
      <c r="AS51" s="33">
        <f>IF('IO model'!$D$45=0,0,'Z domestic'!AS51/'IO model'!$D$45)</f>
        <v>0.0075395818410173565</v>
      </c>
      <c r="AT51" s="33">
        <f>IF('IO model'!$D$46=0,0,'Z domestic'!AT51/'IO model'!$D$46)</f>
        <v>0.001339522662147402</v>
      </c>
      <c r="AU51" s="33">
        <f>IF('IO model'!$D$47=0,0,'Z domestic'!AU51/'IO model'!$D$47)</f>
        <v>0.008643045094846149</v>
      </c>
      <c r="AV51" s="33">
        <f>IF('IO model'!$D$48=0,0,'Z domestic'!AV51/'IO model'!$D$48)</f>
        <v>0.008583951320441497</v>
      </c>
      <c r="AW51" s="33">
        <f>IF('IO model'!$D$49=0,0,'Z domestic'!AW51/'IO model'!$D$49)</f>
        <v>0.003811526528591132</v>
      </c>
      <c r="AX51" s="33">
        <f>IF('IO model'!$D$50=0,0,'Z domestic'!AX51/'IO model'!$D$50)</f>
        <v>0.014924811268029801</v>
      </c>
      <c r="AY51" s="33">
        <f>IF('IO model'!$D$51=0,0,'Z domestic'!AY51/'IO model'!$D$51)</f>
        <v>0.038233230139232154</v>
      </c>
      <c r="AZ51" s="33">
        <f>IF('IO model'!$D$52=0,0,'Z domestic'!AZ51/'IO model'!$D$52)</f>
        <v>0.004630368486135493</v>
      </c>
      <c r="BA51" s="33">
        <f>IF('IO model'!$D$53=0,0,'Z domestic'!BA51/'IO model'!$D$53)</f>
        <v>0.0034781727483876954</v>
      </c>
      <c r="BB51" s="33">
        <f>IF('IO model'!$D$54=0,0,'Z domestic'!BB51/'IO model'!$D$54)</f>
        <v>0.0038630030101425763</v>
      </c>
      <c r="BC51" s="33">
        <f>IF('IO model'!$D$55=0,0,'Z domestic'!BC51/'IO model'!$D$55)</f>
        <v>0.007146792993594638</v>
      </c>
      <c r="BD51" s="33">
        <f>IF('IO model'!$D$56=0,0,'Z domestic'!BD51/'IO model'!$D$56)</f>
        <v>0.003064452201325544</v>
      </c>
      <c r="BE51" s="33">
        <f>IF('IO model'!$D$57=0,0,'Z domestic'!BE51/'IO model'!$D$57)</f>
        <v>0.002266116678584864</v>
      </c>
      <c r="BF51" s="33">
        <f>IF('IO model'!$D$58=0,0,'Z domestic'!BF51/'IO model'!$D$58)</f>
        <v>0.0018623526972939358</v>
      </c>
      <c r="BG51" s="33">
        <f>IF('IO model'!$D$59=0,0,'Z domestic'!BG51/'IO model'!$D$59)</f>
        <v>0.0021438101171460176</v>
      </c>
      <c r="BH51" s="33">
        <f>IF('IO model'!$D$60=0,0,'Z domestic'!BH51/'IO model'!$D$60)</f>
        <v>0.007472841504012455</v>
      </c>
      <c r="BI51" s="33">
        <f>IF('IO model'!$D$61=0,0,'Z domestic'!BI51/'IO model'!$D$61)</f>
        <v>0.00841047273867957</v>
      </c>
      <c r="BJ51" s="33">
        <f>IF('IO model'!$D$62=0,0,'Z domestic'!BJ51/'IO model'!$D$62)</f>
        <v>0.005328310784581543</v>
      </c>
      <c r="BK51" s="33">
        <f>IF('IO model'!$D$63=0,0,'Z domestic'!BK51/'IO model'!$D$63)</f>
        <v>0.0032276206842680832</v>
      </c>
      <c r="BL51" s="33">
        <f>IF('IO model'!$D$64=0,0,'Z domestic'!BL51/'IO model'!$D$64)</f>
        <v>0.003741387092479727</v>
      </c>
      <c r="BM51" s="33">
        <f>IF('IO model'!$D$65=0,0,'Z domestic'!BM51/'IO model'!$D$65)</f>
        <v>0</v>
      </c>
      <c r="BN51" s="33">
        <f>IF('IO model'!$D$66=0,0,'Z domestic'!BN51/'IO model'!$D$66)</f>
        <v>0</v>
      </c>
    </row>
    <row r="52" spans="1:66" x14ac:dyDescent="0.25">
      <c r="A52" s="30" t="s">
        <v>361</v>
      </c>
      <c r="B52" s="31" t="s">
        <v>362</v>
      </c>
      <c r="C52" s="33">
        <f>IF('IO model'!$D$3=0,0,'Z domestic'!C52/'IO model'!$D$3)</f>
        <v>0.00595373699338464</v>
      </c>
      <c r="D52" s="33">
        <f>IF('IO model'!$D$4=0,0,'Z domestic'!D52/'IO model'!$D$4)</f>
        <v>0.0033802988305863396</v>
      </c>
      <c r="E52" s="33">
        <f>IF('IO model'!$D$5=0,0,'Z domestic'!E52/'IO model'!$D$5)</f>
        <v>0.005959046823990932</v>
      </c>
      <c r="F52" s="33">
        <f>IF('IO model'!$D$6=0,0,'Z domestic'!F52/'IO model'!$D$6)</f>
        <v>0.0066537881695334184</v>
      </c>
      <c r="G52" s="33">
        <f>IF('IO model'!$D$7=0,0,'Z domestic'!G52/'IO model'!$D$7)</f>
        <v>0.0047310223446587075</v>
      </c>
      <c r="H52" s="33">
        <f>IF('IO model'!$D$8=0,0,'Z domestic'!H52/'IO model'!$D$8)</f>
        <v>0.004263437205208876</v>
      </c>
      <c r="I52" s="33">
        <f>IF('IO model'!$D$9=0,0,'Z domestic'!I52/'IO model'!$D$9)</f>
        <v>0.004628443115296945</v>
      </c>
      <c r="J52" s="33">
        <f>IF('IO model'!$D$10=0,0,'Z domestic'!J52/'IO model'!$D$10)</f>
        <v>0.005334237167770232</v>
      </c>
      <c r="K52" s="33">
        <f>IF('IO model'!$D$11=0,0,'Z domestic'!K52/'IO model'!$D$11)</f>
        <v>0.012939987290322304</v>
      </c>
      <c r="L52" s="33">
        <f>IF('IO model'!$D$12=0,0,'Z domestic'!L52/'IO model'!$D$12)</f>
        <v>0.002454510371743614</v>
      </c>
      <c r="M52" s="33">
        <f>IF('IO model'!$D$13=0,0,'Z domestic'!M52/'IO model'!$D$13)</f>
        <v>0.007776052217502539</v>
      </c>
      <c r="N52" s="33">
        <f>IF('IO model'!$D$14=0,0,'Z domestic'!N52/'IO model'!$D$14)</f>
        <v>0.017329084130238332</v>
      </c>
      <c r="O52" s="33">
        <f>IF('IO model'!$D$15=0,0,'Z domestic'!O52/'IO model'!$D$15)</f>
        <v>0.006350026724710815</v>
      </c>
      <c r="P52" s="33">
        <f>IF('IO model'!$D$16=0,0,'Z domestic'!P52/'IO model'!$D$16)</f>
        <v>0.007642373202746184</v>
      </c>
      <c r="Q52" s="33">
        <f>IF('IO model'!$D$17=0,0,'Z domestic'!Q52/'IO model'!$D$17)</f>
        <v>0.0031372922974229394</v>
      </c>
      <c r="R52" s="33">
        <f>IF('IO model'!$D$18=0,0,'Z domestic'!R52/'IO model'!$D$18)</f>
        <v>0.005069617445230868</v>
      </c>
      <c r="S52" s="33">
        <f>IF('IO model'!$D$19=0,0,'Z domestic'!S52/'IO model'!$D$19)</f>
        <v>0.005728151894196554</v>
      </c>
      <c r="T52" s="33">
        <f>IF('IO model'!$D$20=0,0,'Z domestic'!T52/'IO model'!$D$20)</f>
        <v>0.00535723230253803</v>
      </c>
      <c r="U52" s="33">
        <f>IF('IO model'!$D$21=0,0,'Z domestic'!U52/'IO model'!$D$21)</f>
        <v>0.004896475848414127</v>
      </c>
      <c r="V52" s="33">
        <f>IF('IO model'!$D$22=0,0,'Z domestic'!V52/'IO model'!$D$22)</f>
        <v>0.004215888585479104</v>
      </c>
      <c r="W52" s="33">
        <f>IF('IO model'!$D$23=0,0,'Z domestic'!W52/'IO model'!$D$23)</f>
        <v>0.004747886041940576</v>
      </c>
      <c r="X52" s="33">
        <f>IF('IO model'!$D$24=0,0,'Z domestic'!X52/'IO model'!$D$24)</f>
        <v>0.005103859432067952</v>
      </c>
      <c r="Y52" s="33">
        <f>IF('IO model'!$D$25=0,0,'Z domestic'!Y52/'IO model'!$D$25)</f>
        <v>0.006299613613426091</v>
      </c>
      <c r="Z52" s="33">
        <f>IF('IO model'!$D$26=0,0,'Z domestic'!Z52/'IO model'!$D$26)</f>
        <v>0.005095980353630015</v>
      </c>
      <c r="AA52" s="33">
        <f>IF('IO model'!$D$27=0,0,'Z domestic'!AA52/'IO model'!$D$27)</f>
        <v>0.011673173937276468</v>
      </c>
      <c r="AB52" s="33">
        <f>IF('IO model'!$D$28=0,0,'Z domestic'!AB52/'IO model'!$D$28)</f>
        <v>0.011810468318042899</v>
      </c>
      <c r="AC52" s="33">
        <f>IF('IO model'!$D$29=0,0,'Z domestic'!AC52/'IO model'!$D$29)</f>
        <v>0.010886361819399327</v>
      </c>
      <c r="AD52" s="33">
        <f>IF('IO model'!$D$30=0,0,'Z domestic'!AD52/'IO model'!$D$30)</f>
        <v>0.006783233153239727</v>
      </c>
      <c r="AE52" s="33">
        <f>IF('IO model'!$D$31=0,0,'Z domestic'!AE52/'IO model'!$D$31)</f>
        <v>0.011353456784827768</v>
      </c>
      <c r="AF52" s="33">
        <f>IF('IO model'!$D$32=0,0,'Z domestic'!AF52/'IO model'!$D$32)</f>
        <v>0.009346465585559672</v>
      </c>
      <c r="AG52" s="33">
        <f>IF('IO model'!$D$33=0,0,'Z domestic'!AG52/'IO model'!$D$33)</f>
        <v>0.013539114017722337</v>
      </c>
      <c r="AH52" s="33">
        <f>IF('IO model'!$D$34=0,0,'Z domestic'!AH52/'IO model'!$D$34)</f>
        <v>0.016856046709309895</v>
      </c>
      <c r="AI52" s="33">
        <f>IF('IO model'!$D$35=0,0,'Z domestic'!AI52/'IO model'!$D$35)</f>
        <v>0.0382260549367465</v>
      </c>
      <c r="AJ52" s="33">
        <f>IF('IO model'!$D$36=0,0,'Z domestic'!AJ52/'IO model'!$D$36)</f>
        <v>0.01080142494340958</v>
      </c>
      <c r="AK52" s="33">
        <f>IF('IO model'!$D$37=0,0,'Z domestic'!AK52/'IO model'!$D$37)</f>
        <v>0.006933335179269217</v>
      </c>
      <c r="AL52" s="33">
        <f>IF('IO model'!$D$38=0,0,'Z domestic'!AL52/'IO model'!$D$38)</f>
        <v>0.007110957593709363</v>
      </c>
      <c r="AM52" s="33">
        <f>IF('IO model'!$D$39=0,0,'Z domestic'!AM52/'IO model'!$D$39)</f>
        <v>0.008313292320428458</v>
      </c>
      <c r="AN52" s="33">
        <f>IF('IO model'!$D$40=0,0,'Z domestic'!AN52/'IO model'!$D$40)</f>
        <v>0.040508545681267175</v>
      </c>
      <c r="AO52" s="33">
        <f>IF('IO model'!$D$41=0,0,'Z domestic'!AO52/'IO model'!$D$41)</f>
        <v>0.016551920007620093</v>
      </c>
      <c r="AP52" s="33">
        <f>IF('IO model'!$D$42=0,0,'Z domestic'!AP52/'IO model'!$D$42)</f>
        <v>0.014992147402401354</v>
      </c>
      <c r="AQ52" s="33">
        <f>IF('IO model'!$D$43=0,0,'Z domestic'!AQ52/'IO model'!$D$43)</f>
        <v>0.0036625510803159505</v>
      </c>
      <c r="AR52" s="33">
        <f>IF('IO model'!$D$44=0,0,'Z domestic'!AR52/'IO model'!$D$44)</f>
        <v>0.006850686003328631</v>
      </c>
      <c r="AS52" s="33">
        <f>IF('IO model'!$D$45=0,0,'Z domestic'!AS52/'IO model'!$D$45)</f>
        <v>0.01054327261280303</v>
      </c>
      <c r="AT52" s="33">
        <f>IF('IO model'!$D$46=0,0,'Z domestic'!AT52/'IO model'!$D$46)</f>
        <v>0.0006673901587623162</v>
      </c>
      <c r="AU52" s="33">
        <f>IF('IO model'!$D$47=0,0,'Z domestic'!AU52/'IO model'!$D$47)</f>
        <v>0.011036620414864048</v>
      </c>
      <c r="AV52" s="33">
        <f>IF('IO model'!$D$48=0,0,'Z domestic'!AV52/'IO model'!$D$48)</f>
        <v>0.007428110634224926</v>
      </c>
      <c r="AW52" s="33">
        <f>IF('IO model'!$D$49=0,0,'Z domestic'!AW52/'IO model'!$D$49)</f>
        <v>0.008411827297126816</v>
      </c>
      <c r="AX52" s="33">
        <f>IF('IO model'!$D$50=0,0,'Z domestic'!AX52/'IO model'!$D$50)</f>
        <v>0.011131349343094015</v>
      </c>
      <c r="AY52" s="33">
        <f>IF('IO model'!$D$51=0,0,'Z domestic'!AY52/'IO model'!$D$51)</f>
        <v>0.009823922760505706</v>
      </c>
      <c r="AZ52" s="33">
        <f>IF('IO model'!$D$52=0,0,'Z domestic'!AZ52/'IO model'!$D$52)</f>
        <v>0.08849676417039322</v>
      </c>
      <c r="BA52" s="33">
        <f>IF('IO model'!$D$53=0,0,'Z domestic'!BA52/'IO model'!$D$53)</f>
        <v>0.0022517948015487745</v>
      </c>
      <c r="BB52" s="33">
        <f>IF('IO model'!$D$54=0,0,'Z domestic'!BB52/'IO model'!$D$54)</f>
        <v>0.008333938340344764</v>
      </c>
      <c r="BC52" s="33">
        <f>IF('IO model'!$D$55=0,0,'Z domestic'!BC52/'IO model'!$D$55)</f>
        <v>0.018544237618995676</v>
      </c>
      <c r="BD52" s="33">
        <f>IF('IO model'!$D$56=0,0,'Z domestic'!BD52/'IO model'!$D$56)</f>
        <v>0.004654801543586237</v>
      </c>
      <c r="BE52" s="33">
        <f>IF('IO model'!$D$57=0,0,'Z domestic'!BE52/'IO model'!$D$57)</f>
        <v>0.003983735050005592</v>
      </c>
      <c r="BF52" s="33">
        <f>IF('IO model'!$D$58=0,0,'Z domestic'!BF52/'IO model'!$D$58)</f>
        <v>0.0038429462135829437</v>
      </c>
      <c r="BG52" s="33">
        <f>IF('IO model'!$D$59=0,0,'Z domestic'!BG52/'IO model'!$D$59)</f>
        <v>0.005012982002249303</v>
      </c>
      <c r="BH52" s="33">
        <f>IF('IO model'!$D$60=0,0,'Z domestic'!BH52/'IO model'!$D$60)</f>
        <v>0.00891783234789409</v>
      </c>
      <c r="BI52" s="33">
        <f>IF('IO model'!$D$61=0,0,'Z domestic'!BI52/'IO model'!$D$61)</f>
        <v>0.012785721099570841</v>
      </c>
      <c r="BJ52" s="33">
        <f>IF('IO model'!$D$62=0,0,'Z domestic'!BJ52/'IO model'!$D$62)</f>
        <v>0.0065009417278909624</v>
      </c>
      <c r="BK52" s="33">
        <f>IF('IO model'!$D$63=0,0,'Z domestic'!BK52/'IO model'!$D$63)</f>
        <v>0.006942665208561162</v>
      </c>
      <c r="BL52" s="33">
        <f>IF('IO model'!$D$64=0,0,'Z domestic'!BL52/'IO model'!$D$64)</f>
        <v>0.01275540376907357</v>
      </c>
      <c r="BM52" s="33">
        <f>IF('IO model'!$D$65=0,0,'Z domestic'!BM52/'IO model'!$D$65)</f>
        <v>0</v>
      </c>
      <c r="BN52" s="33">
        <f>IF('IO model'!$D$66=0,0,'Z domestic'!BN52/'IO model'!$D$66)</f>
        <v>0</v>
      </c>
    </row>
    <row r="53" spans="1:66" x14ac:dyDescent="0.25">
      <c r="A53" s="30" t="s">
        <v>364</v>
      </c>
      <c r="B53" s="31" t="s">
        <v>365</v>
      </c>
      <c r="C53" s="33">
        <f>IF('IO model'!$D$3=0,0,'Z domestic'!C53/'IO model'!$D$3)</f>
        <v>0.006236541682705358</v>
      </c>
      <c r="D53" s="33">
        <f>IF('IO model'!$D$4=0,0,'Z domestic'!D53/'IO model'!$D$4)</f>
        <v>0.0023106448188233487</v>
      </c>
      <c r="E53" s="33">
        <f>IF('IO model'!$D$5=0,0,'Z domestic'!E53/'IO model'!$D$5)</f>
        <v>0.001839295773691962</v>
      </c>
      <c r="F53" s="33">
        <f>IF('IO model'!$D$6=0,0,'Z domestic'!F53/'IO model'!$D$6)</f>
        <v>0.00475782120802017</v>
      </c>
      <c r="G53" s="33">
        <f>IF('IO model'!$D$7=0,0,'Z domestic'!G53/'IO model'!$D$7)</f>
        <v>0.009338136610863882</v>
      </c>
      <c r="H53" s="33">
        <f>IF('IO model'!$D$8=0,0,'Z domestic'!H53/'IO model'!$D$8)</f>
        <v>0.004637168670148386</v>
      </c>
      <c r="I53" s="33">
        <f>IF('IO model'!$D$9=0,0,'Z domestic'!I53/'IO model'!$D$9)</f>
        <v>0.005985124033336559</v>
      </c>
      <c r="J53" s="33">
        <f>IF('IO model'!$D$10=0,0,'Z domestic'!J53/'IO model'!$D$10)</f>
        <v>0.005987454813882287</v>
      </c>
      <c r="K53" s="33">
        <f>IF('IO model'!$D$11=0,0,'Z domestic'!K53/'IO model'!$D$11)</f>
        <v>0.00996870917158207</v>
      </c>
      <c r="L53" s="33">
        <f>IF('IO model'!$D$12=0,0,'Z domestic'!L53/'IO model'!$D$12)</f>
        <v>0.0007271874999426004</v>
      </c>
      <c r="M53" s="33">
        <f>IF('IO model'!$D$13=0,0,'Z domestic'!M53/'IO model'!$D$13)</f>
        <v>0.004775310778133133</v>
      </c>
      <c r="N53" s="33">
        <f>IF('IO model'!$D$14=0,0,'Z domestic'!N53/'IO model'!$D$14)</f>
        <v>0.007601254523210674</v>
      </c>
      <c r="O53" s="33">
        <f>IF('IO model'!$D$15=0,0,'Z domestic'!O53/'IO model'!$D$15)</f>
        <v>0.009064259546131168</v>
      </c>
      <c r="P53" s="33">
        <f>IF('IO model'!$D$16=0,0,'Z domestic'!P53/'IO model'!$D$16)</f>
        <v>0.009563783134633387</v>
      </c>
      <c r="Q53" s="33">
        <f>IF('IO model'!$D$17=0,0,'Z domestic'!Q53/'IO model'!$D$17)</f>
        <v>0.0040696195993356705</v>
      </c>
      <c r="R53" s="33">
        <f>IF('IO model'!$D$18=0,0,'Z domestic'!R53/'IO model'!$D$18)</f>
        <v>0.00939351939476252</v>
      </c>
      <c r="S53" s="33">
        <f>IF('IO model'!$D$19=0,0,'Z domestic'!S53/'IO model'!$D$19)</f>
        <v>0.006905697538771304</v>
      </c>
      <c r="T53" s="33">
        <f>IF('IO model'!$D$20=0,0,'Z domestic'!T53/'IO model'!$D$20)</f>
        <v>0.00865794349446123</v>
      </c>
      <c r="U53" s="33">
        <f>IF('IO model'!$D$21=0,0,'Z domestic'!U53/'IO model'!$D$21)</f>
        <v>0.00883587814756725</v>
      </c>
      <c r="V53" s="33">
        <f>IF('IO model'!$D$22=0,0,'Z domestic'!V53/'IO model'!$D$22)</f>
        <v>0.005843989588388208</v>
      </c>
      <c r="W53" s="33">
        <f>IF('IO model'!$D$23=0,0,'Z domestic'!W53/'IO model'!$D$23)</f>
        <v>0.012642707742458419</v>
      </c>
      <c r="X53" s="33">
        <f>IF('IO model'!$D$24=0,0,'Z domestic'!X53/'IO model'!$D$24)</f>
        <v>0.006587157418168596</v>
      </c>
      <c r="Y53" s="33">
        <f>IF('IO model'!$D$25=0,0,'Z domestic'!Y53/'IO model'!$D$25)</f>
        <v>0.01596353555271446</v>
      </c>
      <c r="Z53" s="33">
        <f>IF('IO model'!$D$26=0,0,'Z domestic'!Z53/'IO model'!$D$26)</f>
        <v>0.002418204340856268</v>
      </c>
      <c r="AA53" s="33">
        <f>IF('IO model'!$D$27=0,0,'Z domestic'!AA53/'IO model'!$D$27)</f>
        <v>0.005046163846374245</v>
      </c>
      <c r="AB53" s="33">
        <f>IF('IO model'!$D$28=0,0,'Z domestic'!AB53/'IO model'!$D$28)</f>
        <v>0.0076550796951178396</v>
      </c>
      <c r="AC53" s="33">
        <f>IF('IO model'!$D$29=0,0,'Z domestic'!AC53/'IO model'!$D$29)</f>
        <v>0.007460457337282527</v>
      </c>
      <c r="AD53" s="33">
        <f>IF('IO model'!$D$30=0,0,'Z domestic'!AD53/'IO model'!$D$30)</f>
        <v>0.004395550837079574</v>
      </c>
      <c r="AE53" s="33">
        <f>IF('IO model'!$D$31=0,0,'Z domestic'!AE53/'IO model'!$D$31)</f>
        <v>0.007983869192345252</v>
      </c>
      <c r="AF53" s="33">
        <f>IF('IO model'!$D$32=0,0,'Z domestic'!AF53/'IO model'!$D$32)</f>
        <v>0.0066980445881471605</v>
      </c>
      <c r="AG53" s="33">
        <f>IF('IO model'!$D$33=0,0,'Z domestic'!AG53/'IO model'!$D$33)</f>
        <v>0.009298257837735772</v>
      </c>
      <c r="AH53" s="33">
        <f>IF('IO model'!$D$34=0,0,'Z domestic'!AH53/'IO model'!$D$34)</f>
        <v>0.009582926231678281</v>
      </c>
      <c r="AI53" s="33">
        <f>IF('IO model'!$D$35=0,0,'Z domestic'!AI53/'IO model'!$D$35)</f>
        <v>0.007444267641857713</v>
      </c>
      <c r="AJ53" s="33">
        <f>IF('IO model'!$D$36=0,0,'Z domestic'!AJ53/'IO model'!$D$36)</f>
        <v>0.015088552598485133</v>
      </c>
      <c r="AK53" s="33">
        <f>IF('IO model'!$D$37=0,0,'Z domestic'!AK53/'IO model'!$D$37)</f>
        <v>0.0177389823586215</v>
      </c>
      <c r="AL53" s="33">
        <f>IF('IO model'!$D$38=0,0,'Z domestic'!AL53/'IO model'!$D$38)</f>
        <v>0.005839144030829961</v>
      </c>
      <c r="AM53" s="33">
        <f>IF('IO model'!$D$39=0,0,'Z domestic'!AM53/'IO model'!$D$39)</f>
        <v>0.0033484533399127507</v>
      </c>
      <c r="AN53" s="33">
        <f>IF('IO model'!$D$40=0,0,'Z domestic'!AN53/'IO model'!$D$40)</f>
        <v>0.0024979951141046617</v>
      </c>
      <c r="AO53" s="33">
        <f>IF('IO model'!$D$41=0,0,'Z domestic'!AO53/'IO model'!$D$41)</f>
        <v>0.005976719225166748</v>
      </c>
      <c r="AP53" s="33">
        <f>IF('IO model'!$D$42=0,0,'Z domestic'!AP53/'IO model'!$D$42)</f>
        <v>0.005834109884112496</v>
      </c>
      <c r="AQ53" s="33">
        <f>IF('IO model'!$D$43=0,0,'Z domestic'!AQ53/'IO model'!$D$43)</f>
        <v>0.0029010875123450216</v>
      </c>
      <c r="AR53" s="33">
        <f>IF('IO model'!$D$44=0,0,'Z domestic'!AR53/'IO model'!$D$44)</f>
        <v>0.0017979187215110394</v>
      </c>
      <c r="AS53" s="33">
        <f>IF('IO model'!$D$45=0,0,'Z domestic'!AS53/'IO model'!$D$45)</f>
        <v>0.005343749297340011</v>
      </c>
      <c r="AT53" s="33">
        <f>IF('IO model'!$D$46=0,0,'Z domestic'!AT53/'IO model'!$D$46)</f>
        <v>0.0008319020937261816</v>
      </c>
      <c r="AU53" s="33">
        <f>IF('IO model'!$D$47=0,0,'Z domestic'!AU53/'IO model'!$D$47)</f>
        <v>0.006907963139892493</v>
      </c>
      <c r="AV53" s="33">
        <f>IF('IO model'!$D$48=0,0,'Z domestic'!AV53/'IO model'!$D$48)</f>
        <v>0.0096898386372364</v>
      </c>
      <c r="AW53" s="33">
        <f>IF('IO model'!$D$49=0,0,'Z domestic'!AW53/'IO model'!$D$49)</f>
        <v>0.005818278957319454</v>
      </c>
      <c r="AX53" s="33">
        <f>IF('IO model'!$D$50=0,0,'Z domestic'!AX53/'IO model'!$D$50)</f>
        <v>0.0053704996076228305</v>
      </c>
      <c r="AY53" s="33">
        <f>IF('IO model'!$D$51=0,0,'Z domestic'!AY53/'IO model'!$D$51)</f>
        <v>0.00691797850990012</v>
      </c>
      <c r="AZ53" s="33">
        <f>IF('IO model'!$D$52=0,0,'Z domestic'!AZ53/'IO model'!$D$52)</f>
        <v>0.009032746964747316</v>
      </c>
      <c r="BA53" s="33">
        <f>IF('IO model'!$D$53=0,0,'Z domestic'!BA53/'IO model'!$D$53)</f>
        <v>0.03813880829213559</v>
      </c>
      <c r="BB53" s="33">
        <f>IF('IO model'!$D$54=0,0,'Z domestic'!BB53/'IO model'!$D$54)</f>
        <v>0.004662410076677657</v>
      </c>
      <c r="BC53" s="33">
        <f>IF('IO model'!$D$55=0,0,'Z domestic'!BC53/'IO model'!$D$55)</f>
        <v>0.014281048578696687</v>
      </c>
      <c r="BD53" s="33">
        <f>IF('IO model'!$D$56=0,0,'Z domestic'!BD53/'IO model'!$D$56)</f>
        <v>0.003273487045060339</v>
      </c>
      <c r="BE53" s="33">
        <f>IF('IO model'!$D$57=0,0,'Z domestic'!BE53/'IO model'!$D$57)</f>
        <v>0.003415961459600701</v>
      </c>
      <c r="BF53" s="33">
        <f>IF('IO model'!$D$58=0,0,'Z domestic'!BF53/'IO model'!$D$58)</f>
        <v>0.005397537912009058</v>
      </c>
      <c r="BG53" s="33">
        <f>IF('IO model'!$D$59=0,0,'Z domestic'!BG53/'IO model'!$D$59)</f>
        <v>0.007514585617955478</v>
      </c>
      <c r="BH53" s="33">
        <f>IF('IO model'!$D$60=0,0,'Z domestic'!BH53/'IO model'!$D$60)</f>
        <v>0.0028175357559951184</v>
      </c>
      <c r="BI53" s="33">
        <f>IF('IO model'!$D$61=0,0,'Z domestic'!BI53/'IO model'!$D$61)</f>
        <v>0.0029443384836334925</v>
      </c>
      <c r="BJ53" s="33">
        <f>IF('IO model'!$D$62=0,0,'Z domestic'!BJ53/'IO model'!$D$62)</f>
        <v>0.004178108780354551</v>
      </c>
      <c r="BK53" s="33">
        <f>IF('IO model'!$D$63=0,0,'Z domestic'!BK53/'IO model'!$D$63)</f>
        <v>0.0067926886423996255</v>
      </c>
      <c r="BL53" s="33">
        <f>IF('IO model'!$D$64=0,0,'Z domestic'!BL53/'IO model'!$D$64)</f>
        <v>0.0031340879400996186</v>
      </c>
      <c r="BM53" s="33">
        <f>IF('IO model'!$D$65=0,0,'Z domestic'!BM53/'IO model'!$D$65)</f>
        <v>0</v>
      </c>
      <c r="BN53" s="33">
        <f>IF('IO model'!$D$66=0,0,'Z domestic'!BN53/'IO model'!$D$66)</f>
        <v>0</v>
      </c>
    </row>
    <row r="54" spans="1:66" x14ac:dyDescent="0.25">
      <c r="A54" s="30" t="s">
        <v>366</v>
      </c>
      <c r="B54" s="31" t="s">
        <v>367</v>
      </c>
      <c r="C54" s="33">
        <f>IF('IO model'!$D$3=0,0,'Z domestic'!C54/'IO model'!$D$3)</f>
        <v>0.00012010470756336702</v>
      </c>
      <c r="D54" s="33">
        <f>IF('IO model'!$D$4=0,0,'Z domestic'!D54/'IO model'!$D$4)</f>
        <v>0.00035388253981979214</v>
      </c>
      <c r="E54" s="33">
        <f>IF('IO model'!$D$5=0,0,'Z domestic'!E54/'IO model'!$D$5)</f>
        <v>0.000997699183515566</v>
      </c>
      <c r="F54" s="33">
        <f>IF('IO model'!$D$6=0,0,'Z domestic'!F54/'IO model'!$D$6)</f>
        <v>0.0004976339434092883</v>
      </c>
      <c r="G54" s="33">
        <f>IF('IO model'!$D$7=0,0,'Z domestic'!G54/'IO model'!$D$7)</f>
        <v>0.00023207011843375474</v>
      </c>
      <c r="H54" s="33">
        <f>IF('IO model'!$D$8=0,0,'Z domestic'!H54/'IO model'!$D$8)</f>
        <v>0.0004584907748494095</v>
      </c>
      <c r="I54" s="33">
        <f>IF('IO model'!$D$9=0,0,'Z domestic'!I54/'IO model'!$D$9)</f>
        <v>0.00031682289995920907</v>
      </c>
      <c r="J54" s="33">
        <f>IF('IO model'!$D$10=0,0,'Z domestic'!J54/'IO model'!$D$10)</f>
        <v>0.000311141418257904</v>
      </c>
      <c r="K54" s="33">
        <f>IF('IO model'!$D$11=0,0,'Z domestic'!K54/'IO model'!$D$11)</f>
        <v>0.0005189074226508066</v>
      </c>
      <c r="L54" s="33">
        <f>IF('IO model'!$D$12=0,0,'Z domestic'!L54/'IO model'!$D$12)</f>
        <v>0.00013867809104740168</v>
      </c>
      <c r="M54" s="33">
        <f>IF('IO model'!$D$13=0,0,'Z domestic'!M54/'IO model'!$D$13)</f>
        <v>0.0003589795714149516</v>
      </c>
      <c r="N54" s="33">
        <f>IF('IO model'!$D$14=0,0,'Z domestic'!N54/'IO model'!$D$14)</f>
        <v>0.0004074455425080885</v>
      </c>
      <c r="O54" s="33">
        <f>IF('IO model'!$D$15=0,0,'Z domestic'!O54/'IO model'!$D$15)</f>
        <v>0.000272152010491446</v>
      </c>
      <c r="P54" s="33">
        <f>IF('IO model'!$D$16=0,0,'Z domestic'!P54/'IO model'!$D$16)</f>
        <v>0.0005929395051212517</v>
      </c>
      <c r="Q54" s="33">
        <f>IF('IO model'!$D$17=0,0,'Z domestic'!Q54/'IO model'!$D$17)</f>
        <v>0.00017959170699533543</v>
      </c>
      <c r="R54" s="33">
        <f>IF('IO model'!$D$18=0,0,'Z domestic'!R54/'IO model'!$D$18)</f>
        <v>0.0004020560052976038</v>
      </c>
      <c r="S54" s="33">
        <f>IF('IO model'!$D$19=0,0,'Z domestic'!S54/'IO model'!$D$19)</f>
        <v>0.00033676988404035015</v>
      </c>
      <c r="T54" s="33">
        <f>IF('IO model'!$D$20=0,0,'Z domestic'!T54/'IO model'!$D$20)</f>
        <v>0.0008982356844823236</v>
      </c>
      <c r="U54" s="33">
        <f>IF('IO model'!$D$21=0,0,'Z domestic'!U54/'IO model'!$D$21)</f>
        <v>0.00035876021580787354</v>
      </c>
      <c r="V54" s="33">
        <f>IF('IO model'!$D$22=0,0,'Z domestic'!V54/'IO model'!$D$22)</f>
        <v>0.0004275886384014285</v>
      </c>
      <c r="W54" s="33">
        <f>IF('IO model'!$D$23=0,0,'Z domestic'!W54/'IO model'!$D$23)</f>
        <v>0.0004899223306378443</v>
      </c>
      <c r="X54" s="33">
        <f>IF('IO model'!$D$24=0,0,'Z domestic'!X54/'IO model'!$D$24)</f>
        <v>0.0003746639988970806</v>
      </c>
      <c r="Y54" s="33">
        <f>IF('IO model'!$D$25=0,0,'Z domestic'!Y54/'IO model'!$D$25)</f>
        <v>0.0004675241050643849</v>
      </c>
      <c r="Z54" s="33">
        <f>IF('IO model'!$D$26=0,0,'Z domestic'!Z54/'IO model'!$D$26)</f>
        <v>0.00034350609627332036</v>
      </c>
      <c r="AA54" s="33">
        <f>IF('IO model'!$D$27=0,0,'Z domestic'!AA54/'IO model'!$D$27)</f>
        <v>0.0006970548364059339</v>
      </c>
      <c r="AB54" s="33">
        <f>IF('IO model'!$D$28=0,0,'Z domestic'!AB54/'IO model'!$D$28)</f>
        <v>0.00042176558090124356</v>
      </c>
      <c r="AC54" s="33">
        <f>IF('IO model'!$D$29=0,0,'Z domestic'!AC54/'IO model'!$D$29)</f>
        <v>0.0002437974413926495</v>
      </c>
      <c r="AD54" s="33">
        <f>IF('IO model'!$D$30=0,0,'Z domestic'!AD54/'IO model'!$D$30)</f>
        <v>0.00038473685156271346</v>
      </c>
      <c r="AE54" s="33">
        <f>IF('IO model'!$D$31=0,0,'Z domestic'!AE54/'IO model'!$D$31)</f>
        <v>0.0006576673309725168</v>
      </c>
      <c r="AF54" s="33">
        <f>IF('IO model'!$D$32=0,0,'Z domestic'!AF54/'IO model'!$D$32)</f>
        <v>0.00029003626836178936</v>
      </c>
      <c r="AG54" s="33">
        <f>IF('IO model'!$D$33=0,0,'Z domestic'!AG54/'IO model'!$D$33)</f>
        <v>0.002828057668184409</v>
      </c>
      <c r="AH54" s="33">
        <f>IF('IO model'!$D$34=0,0,'Z domestic'!AH54/'IO model'!$D$34)</f>
        <v>0.0013216053729265707</v>
      </c>
      <c r="AI54" s="33">
        <f>IF('IO model'!$D$35=0,0,'Z domestic'!AI54/'IO model'!$D$35)</f>
        <v>0.0164626758491533</v>
      </c>
      <c r="AJ54" s="33">
        <f>IF('IO model'!$D$36=0,0,'Z domestic'!AJ54/'IO model'!$D$36)</f>
        <v>0.0013841560181712556</v>
      </c>
      <c r="AK54" s="33">
        <f>IF('IO model'!$D$37=0,0,'Z domestic'!AK54/'IO model'!$D$37)</f>
        <v>0.0004637913907857803</v>
      </c>
      <c r="AL54" s="33">
        <f>IF('IO model'!$D$38=0,0,'Z domestic'!AL54/'IO model'!$D$38)</f>
        <v>0.0018138186165611108</v>
      </c>
      <c r="AM54" s="33">
        <f>IF('IO model'!$D$39=0,0,'Z domestic'!AM54/'IO model'!$D$39)</f>
        <v>0.000309991766690978</v>
      </c>
      <c r="AN54" s="33">
        <f>IF('IO model'!$D$40=0,0,'Z domestic'!AN54/'IO model'!$D$40)</f>
        <v>0.0013953078716687603</v>
      </c>
      <c r="AO54" s="33">
        <f>IF('IO model'!$D$41=0,0,'Z domestic'!AO54/'IO model'!$D$41)</f>
        <v>0.001454322427463927</v>
      </c>
      <c r="AP54" s="33">
        <f>IF('IO model'!$D$42=0,0,'Z domestic'!AP54/'IO model'!$D$42)</f>
        <v>0.0005625457221486796</v>
      </c>
      <c r="AQ54" s="33">
        <f>IF('IO model'!$D$43=0,0,'Z domestic'!AQ54/'IO model'!$D$43)</f>
        <v>0.00034933369541001886</v>
      </c>
      <c r="AR54" s="33">
        <f>IF('IO model'!$D$44=0,0,'Z domestic'!AR54/'IO model'!$D$44)</f>
        <v>0.0006455856770710651</v>
      </c>
      <c r="AS54" s="33">
        <f>IF('IO model'!$D$45=0,0,'Z domestic'!AS54/'IO model'!$D$45)</f>
        <v>0.0005373943600895551</v>
      </c>
      <c r="AT54" s="33">
        <f>IF('IO model'!$D$46=0,0,'Z domestic'!AT54/'IO model'!$D$46)</f>
        <v>0.00007744248768982183</v>
      </c>
      <c r="AU54" s="33">
        <f>IF('IO model'!$D$47=0,0,'Z domestic'!AU54/'IO model'!$D$47)</f>
        <v>0.0006365347675148917</v>
      </c>
      <c r="AV54" s="33">
        <f>IF('IO model'!$D$48=0,0,'Z domestic'!AV54/'IO model'!$D$48)</f>
        <v>0.0003186757361766315</v>
      </c>
      <c r="AW54" s="33">
        <f>IF('IO model'!$D$49=0,0,'Z domestic'!AW54/'IO model'!$D$49)</f>
        <v>0.0005737650511522334</v>
      </c>
      <c r="AX54" s="33">
        <f>IF('IO model'!$D$50=0,0,'Z domestic'!AX54/'IO model'!$D$50)</f>
        <v>0.0007251014244304739</v>
      </c>
      <c r="AY54" s="33">
        <f>IF('IO model'!$D$51=0,0,'Z domestic'!AY54/'IO model'!$D$51)</f>
        <v>0.0005450565765039444</v>
      </c>
      <c r="AZ54" s="33">
        <f>IF('IO model'!$D$52=0,0,'Z domestic'!AZ54/'IO model'!$D$52)</f>
        <v>0.0009133171134727981</v>
      </c>
      <c r="BA54" s="33">
        <f>IF('IO model'!$D$53=0,0,'Z domestic'!BA54/'IO model'!$D$53)</f>
        <v>0.00028340666838714553</v>
      </c>
      <c r="BB54" s="33">
        <f>IF('IO model'!$D$54=0,0,'Z domestic'!BB54/'IO model'!$D$54)</f>
        <v>0.09293944850486144</v>
      </c>
      <c r="BC54" s="33">
        <f>IF('IO model'!$D$55=0,0,'Z domestic'!BC54/'IO model'!$D$55)</f>
        <v>0.00042063005492638653</v>
      </c>
      <c r="BD54" s="33">
        <f>IF('IO model'!$D$56=0,0,'Z domestic'!BD54/'IO model'!$D$56)</f>
        <v>0.00046575162818165587</v>
      </c>
      <c r="BE54" s="33">
        <f>IF('IO model'!$D$57=0,0,'Z domestic'!BE54/'IO model'!$D$57)</f>
        <v>0.0004242680475959698</v>
      </c>
      <c r="BF54" s="33">
        <f>IF('IO model'!$D$58=0,0,'Z domestic'!BF54/'IO model'!$D$58)</f>
        <v>0.00019924734097686211</v>
      </c>
      <c r="BG54" s="33">
        <f>IF('IO model'!$D$59=0,0,'Z domestic'!BG54/'IO model'!$D$59)</f>
        <v>0.00032348958581160657</v>
      </c>
      <c r="BH54" s="33">
        <f>IF('IO model'!$D$60=0,0,'Z domestic'!BH54/'IO model'!$D$60)</f>
        <v>0.0024208288163731296</v>
      </c>
      <c r="BI54" s="33">
        <f>IF('IO model'!$D$61=0,0,'Z domestic'!BI54/'IO model'!$D$61)</f>
        <v>0.006899385089158268</v>
      </c>
      <c r="BJ54" s="33">
        <f>IF('IO model'!$D$62=0,0,'Z domestic'!BJ54/'IO model'!$D$62)</f>
        <v>0.0006538898394030453</v>
      </c>
      <c r="BK54" s="33">
        <f>IF('IO model'!$D$63=0,0,'Z domestic'!BK54/'IO model'!$D$63)</f>
        <v>0.0010529604749257928</v>
      </c>
      <c r="BL54" s="33">
        <f>IF('IO model'!$D$64=0,0,'Z domestic'!BL54/'IO model'!$D$64)</f>
        <v>0.00029914124187107547</v>
      </c>
      <c r="BM54" s="33">
        <f>IF('IO model'!$D$65=0,0,'Z domestic'!BM54/'IO model'!$D$65)</f>
        <v>0</v>
      </c>
      <c r="BN54" s="33">
        <f>IF('IO model'!$D$66=0,0,'Z domestic'!BN54/'IO model'!$D$66)</f>
        <v>0</v>
      </c>
    </row>
    <row r="55" spans="1:66" x14ac:dyDescent="0.25">
      <c r="A55" s="30" t="s">
        <v>368</v>
      </c>
      <c r="B55" s="31" t="s">
        <v>369</v>
      </c>
      <c r="C55" s="33">
        <f>IF('IO model'!$D$3=0,0,'Z domestic'!C55/'IO model'!$D$3)</f>
        <v>0.004208378176206524</v>
      </c>
      <c r="D55" s="33">
        <f>IF('IO model'!$D$4=0,0,'Z domestic'!D55/'IO model'!$D$4)</f>
        <v>0.004152115048654845</v>
      </c>
      <c r="E55" s="33">
        <f>IF('IO model'!$D$5=0,0,'Z domestic'!E55/'IO model'!$D$5)</f>
        <v>0.0036582303395570753</v>
      </c>
      <c r="F55" s="33">
        <f>IF('IO model'!$D$6=0,0,'Z domestic'!F55/'IO model'!$D$6)</f>
        <v>0.011520868490589944</v>
      </c>
      <c r="G55" s="33">
        <f>IF('IO model'!$D$7=0,0,'Z domestic'!G55/'IO model'!$D$7)</f>
        <v>0.008904458336276516</v>
      </c>
      <c r="H55" s="33">
        <f>IF('IO model'!$D$8=0,0,'Z domestic'!H55/'IO model'!$D$8)</f>
        <v>0.010956787683637852</v>
      </c>
      <c r="I55" s="33">
        <f>IF('IO model'!$D$9=0,0,'Z domestic'!I55/'IO model'!$D$9)</f>
        <v>0.007005180620169512</v>
      </c>
      <c r="J55" s="33">
        <f>IF('IO model'!$D$10=0,0,'Z domestic'!J55/'IO model'!$D$10)</f>
        <v>0.010092817878705956</v>
      </c>
      <c r="K55" s="33">
        <f>IF('IO model'!$D$11=0,0,'Z domestic'!K55/'IO model'!$D$11)</f>
        <v>0.014264978298296418</v>
      </c>
      <c r="L55" s="33">
        <f>IF('IO model'!$D$12=0,0,'Z domestic'!L55/'IO model'!$D$12)</f>
        <v>0.006051507798208869</v>
      </c>
      <c r="M55" s="33">
        <f>IF('IO model'!$D$13=0,0,'Z domestic'!M55/'IO model'!$D$13)</f>
        <v>0.014110513074467776</v>
      </c>
      <c r="N55" s="33">
        <f>IF('IO model'!$D$14=0,0,'Z domestic'!N55/'IO model'!$D$14)</f>
        <v>0.011589053762896841</v>
      </c>
      <c r="O55" s="33">
        <f>IF('IO model'!$D$15=0,0,'Z domestic'!O55/'IO model'!$D$15)</f>
        <v>0.008153349109367831</v>
      </c>
      <c r="P55" s="33">
        <f>IF('IO model'!$D$16=0,0,'Z domestic'!P55/'IO model'!$D$16)</f>
        <v>0.010055516594781532</v>
      </c>
      <c r="Q55" s="33">
        <f>IF('IO model'!$D$17=0,0,'Z domestic'!Q55/'IO model'!$D$17)</f>
        <v>0.0075108668875803605</v>
      </c>
      <c r="R55" s="33">
        <f>IF('IO model'!$D$18=0,0,'Z domestic'!R55/'IO model'!$D$18)</f>
        <v>0.007885129415476484</v>
      </c>
      <c r="S55" s="33">
        <f>IF('IO model'!$D$19=0,0,'Z domestic'!S55/'IO model'!$D$19)</f>
        <v>0.007069103699336751</v>
      </c>
      <c r="T55" s="33">
        <f>IF('IO model'!$D$20=0,0,'Z domestic'!T55/'IO model'!$D$20)</f>
        <v>0.009534378601799226</v>
      </c>
      <c r="U55" s="33">
        <f>IF('IO model'!$D$21=0,0,'Z domestic'!U55/'IO model'!$D$21)</f>
        <v>0.009562130309303188</v>
      </c>
      <c r="V55" s="33">
        <f>IF('IO model'!$D$22=0,0,'Z domestic'!V55/'IO model'!$D$22)</f>
        <v>0.008451992812504836</v>
      </c>
      <c r="W55" s="33">
        <f>IF('IO model'!$D$23=0,0,'Z domestic'!W55/'IO model'!$D$23)</f>
        <v>0.009140697485236372</v>
      </c>
      <c r="X55" s="33">
        <f>IF('IO model'!$D$24=0,0,'Z domestic'!X55/'IO model'!$D$24)</f>
        <v>0.00947624901690881</v>
      </c>
      <c r="Y55" s="33">
        <f>IF('IO model'!$D$25=0,0,'Z domestic'!Y55/'IO model'!$D$25)</f>
        <v>0.010369060203561535</v>
      </c>
      <c r="Z55" s="33">
        <f>IF('IO model'!$D$26=0,0,'Z domestic'!Z55/'IO model'!$D$26)</f>
        <v>0.010984337389955494</v>
      </c>
      <c r="AA55" s="33">
        <f>IF('IO model'!$D$27=0,0,'Z domestic'!AA55/'IO model'!$D$27)</f>
        <v>0.026853004106779106</v>
      </c>
      <c r="AB55" s="33">
        <f>IF('IO model'!$D$28=0,0,'Z domestic'!AB55/'IO model'!$D$28)</f>
        <v>0.022837952572357226</v>
      </c>
      <c r="AC55" s="33">
        <f>IF('IO model'!$D$29=0,0,'Z domestic'!AC55/'IO model'!$D$29)</f>
        <v>0.012234772359447562</v>
      </c>
      <c r="AD55" s="33">
        <f>IF('IO model'!$D$30=0,0,'Z domestic'!AD55/'IO model'!$D$30)</f>
        <v>0.015651872964470057</v>
      </c>
      <c r="AE55" s="33">
        <f>IF('IO model'!$D$31=0,0,'Z domestic'!AE55/'IO model'!$D$31)</f>
        <v>0.020955706210227035</v>
      </c>
      <c r="AF55" s="33">
        <f>IF('IO model'!$D$32=0,0,'Z domestic'!AF55/'IO model'!$D$32)</f>
        <v>0.020698204995778815</v>
      </c>
      <c r="AG55" s="33">
        <f>IF('IO model'!$D$33=0,0,'Z domestic'!AG55/'IO model'!$D$33)</f>
        <v>0.012157785855023483</v>
      </c>
      <c r="AH55" s="33">
        <f>IF('IO model'!$D$34=0,0,'Z domestic'!AH55/'IO model'!$D$34)</f>
        <v>0.012855186807632186</v>
      </c>
      <c r="AI55" s="33">
        <f>IF('IO model'!$D$35=0,0,'Z domestic'!AI55/'IO model'!$D$35)</f>
        <v>0.012272349094774272</v>
      </c>
      <c r="AJ55" s="33">
        <f>IF('IO model'!$D$36=0,0,'Z domestic'!AJ55/'IO model'!$D$36)</f>
        <v>0.02141950138109557</v>
      </c>
      <c r="AK55" s="33">
        <f>IF('IO model'!$D$37=0,0,'Z domestic'!AK55/'IO model'!$D$37)</f>
        <v>0.014593507612754955</v>
      </c>
      <c r="AL55" s="33">
        <f>IF('IO model'!$D$38=0,0,'Z domestic'!AL55/'IO model'!$D$38)</f>
        <v>0.015348848580056043</v>
      </c>
      <c r="AM55" s="33">
        <f>IF('IO model'!$D$39=0,0,'Z domestic'!AM55/'IO model'!$D$39)</f>
        <v>0.018919439195069776</v>
      </c>
      <c r="AN55" s="33">
        <f>IF('IO model'!$D$40=0,0,'Z domestic'!AN55/'IO model'!$D$40)</f>
        <v>0.03101257167756799</v>
      </c>
      <c r="AO55" s="33">
        <f>IF('IO model'!$D$41=0,0,'Z domestic'!AO55/'IO model'!$D$41)</f>
        <v>0.01819732553358068</v>
      </c>
      <c r="AP55" s="33">
        <f>IF('IO model'!$D$42=0,0,'Z domestic'!AP55/'IO model'!$D$42)</f>
        <v>0.015971272701409692</v>
      </c>
      <c r="AQ55" s="33">
        <f>IF('IO model'!$D$43=0,0,'Z domestic'!AQ55/'IO model'!$D$43)</f>
        <v>0.01617085449658378</v>
      </c>
      <c r="AR55" s="33">
        <f>IF('IO model'!$D$44=0,0,'Z domestic'!AR55/'IO model'!$D$44)</f>
        <v>0.018817950073544424</v>
      </c>
      <c r="AS55" s="33">
        <f>IF('IO model'!$D$45=0,0,'Z domestic'!AS55/'IO model'!$D$45)</f>
        <v>0.02368614627533993</v>
      </c>
      <c r="AT55" s="33">
        <f>IF('IO model'!$D$46=0,0,'Z domestic'!AT55/'IO model'!$D$46)</f>
        <v>0.009023733348205326</v>
      </c>
      <c r="AU55" s="33">
        <f>IF('IO model'!$D$47=0,0,'Z domestic'!AU55/'IO model'!$D$47)</f>
        <v>0.023893246999300323</v>
      </c>
      <c r="AV55" s="33">
        <f>IF('IO model'!$D$48=0,0,'Z domestic'!AV55/'IO model'!$D$48)</f>
        <v>0.0195596432080589</v>
      </c>
      <c r="AW55" s="33">
        <f>IF('IO model'!$D$49=0,0,'Z domestic'!AW55/'IO model'!$D$49)</f>
        <v>0.014844185528497067</v>
      </c>
      <c r="AX55" s="33">
        <f>IF('IO model'!$D$50=0,0,'Z domestic'!AX55/'IO model'!$D$50)</f>
        <v>0.02626002299243334</v>
      </c>
      <c r="AY55" s="33">
        <f>IF('IO model'!$D$51=0,0,'Z domestic'!AY55/'IO model'!$D$51)</f>
        <v>0.026473035369071515</v>
      </c>
      <c r="AZ55" s="33">
        <f>IF('IO model'!$D$52=0,0,'Z domestic'!AZ55/'IO model'!$D$52)</f>
        <v>0.03718327031038125</v>
      </c>
      <c r="BA55" s="33">
        <f>IF('IO model'!$D$53=0,0,'Z domestic'!BA55/'IO model'!$D$53)</f>
        <v>0.009857399211356534</v>
      </c>
      <c r="BB55" s="33">
        <f>IF('IO model'!$D$54=0,0,'Z domestic'!BB55/'IO model'!$D$54)</f>
        <v>0.022300425472842892</v>
      </c>
      <c r="BC55" s="33">
        <f>IF('IO model'!$D$55=0,0,'Z domestic'!BC55/'IO model'!$D$55)</f>
        <v>0.07291897825135749</v>
      </c>
      <c r="BD55" s="33">
        <f>IF('IO model'!$D$56=0,0,'Z domestic'!BD55/'IO model'!$D$56)</f>
        <v>0.022393388401218267</v>
      </c>
      <c r="BE55" s="33">
        <f>IF('IO model'!$D$57=0,0,'Z domestic'!BE55/'IO model'!$D$57)</f>
        <v>0.010689839087393712</v>
      </c>
      <c r="BF55" s="33">
        <f>IF('IO model'!$D$58=0,0,'Z domestic'!BF55/'IO model'!$D$58)</f>
        <v>0.015260640079092983</v>
      </c>
      <c r="BG55" s="33">
        <f>IF('IO model'!$D$59=0,0,'Z domestic'!BG55/'IO model'!$D$59)</f>
        <v>0.01681537228413525</v>
      </c>
      <c r="BH55" s="33">
        <f>IF('IO model'!$D$60=0,0,'Z domestic'!BH55/'IO model'!$D$60)</f>
        <v>0.021652168751887517</v>
      </c>
      <c r="BI55" s="33">
        <f>IF('IO model'!$D$61=0,0,'Z domestic'!BI55/'IO model'!$D$61)</f>
        <v>0.023551196433786326</v>
      </c>
      <c r="BJ55" s="33">
        <f>IF('IO model'!$D$62=0,0,'Z domestic'!BJ55/'IO model'!$D$62)</f>
        <v>0.01951490230471727</v>
      </c>
      <c r="BK55" s="33">
        <f>IF('IO model'!$D$63=0,0,'Z domestic'!BK55/'IO model'!$D$63)</f>
        <v>0.01784096234963287</v>
      </c>
      <c r="BL55" s="33">
        <f>IF('IO model'!$D$64=0,0,'Z domestic'!BL55/'IO model'!$D$64)</f>
        <v>0.014937967971732215</v>
      </c>
      <c r="BM55" s="33">
        <f>IF('IO model'!$D$65=0,0,'Z domestic'!BM55/'IO model'!$D$65)</f>
        <v>0</v>
      </c>
      <c r="BN55" s="33">
        <f>IF('IO model'!$D$66=0,0,'Z domestic'!BN55/'IO model'!$D$66)</f>
        <v>0</v>
      </c>
    </row>
    <row r="56" spans="1:66" x14ac:dyDescent="0.25">
      <c r="A56" s="30" t="s">
        <v>370</v>
      </c>
      <c r="B56" s="31" t="s">
        <v>371</v>
      </c>
      <c r="C56" s="33">
        <f>IF('IO model'!$D$3=0,0,'Z domestic'!C56/'IO model'!$D$3)</f>
        <v>0.002596566017874304</v>
      </c>
      <c r="D56" s="33">
        <f>IF('IO model'!$D$4=0,0,'Z domestic'!D56/'IO model'!$D$4)</f>
        <v>0.006164922073783708</v>
      </c>
      <c r="E56" s="33">
        <f>IF('IO model'!$D$5=0,0,'Z domestic'!E56/'IO model'!$D$5)</f>
        <v>0.005714712330068753</v>
      </c>
      <c r="F56" s="33">
        <f>IF('IO model'!$D$6=0,0,'Z domestic'!F56/'IO model'!$D$6)</f>
        <v>0.005197612091586682</v>
      </c>
      <c r="G56" s="33">
        <f>IF('IO model'!$D$7=0,0,'Z domestic'!G56/'IO model'!$D$7)</f>
        <v>0.0035719226060135145</v>
      </c>
      <c r="H56" s="33">
        <f>IF('IO model'!$D$8=0,0,'Z domestic'!H56/'IO model'!$D$8)</f>
        <v>0.00324808215592551</v>
      </c>
      <c r="I56" s="33">
        <f>IF('IO model'!$D$9=0,0,'Z domestic'!I56/'IO model'!$D$9)</f>
        <v>0.003971035597881587</v>
      </c>
      <c r="J56" s="33">
        <f>IF('IO model'!$D$10=0,0,'Z domestic'!J56/'IO model'!$D$10)</f>
        <v>0.005398348439832019</v>
      </c>
      <c r="K56" s="33">
        <f>IF('IO model'!$D$11=0,0,'Z domestic'!K56/'IO model'!$D$11)</f>
        <v>0.0057250416192186245</v>
      </c>
      <c r="L56" s="33">
        <f>IF('IO model'!$D$12=0,0,'Z domestic'!L56/'IO model'!$D$12)</f>
        <v>0.0030321826847821286</v>
      </c>
      <c r="M56" s="33">
        <f>IF('IO model'!$D$13=0,0,'Z domestic'!M56/'IO model'!$D$13)</f>
        <v>0.004942508901606032</v>
      </c>
      <c r="N56" s="33">
        <f>IF('IO model'!$D$14=0,0,'Z domestic'!N56/'IO model'!$D$14)</f>
        <v>0.002785377387687395</v>
      </c>
      <c r="O56" s="33">
        <f>IF('IO model'!$D$15=0,0,'Z domestic'!O56/'IO model'!$D$15)</f>
        <v>0.004065743629442756</v>
      </c>
      <c r="P56" s="33">
        <f>IF('IO model'!$D$16=0,0,'Z domestic'!P56/'IO model'!$D$16)</f>
        <v>0.0047435160409700135</v>
      </c>
      <c r="Q56" s="33">
        <f>IF('IO model'!$D$17=0,0,'Z domestic'!Q56/'IO model'!$D$17)</f>
        <v>0.0062624661278915476</v>
      </c>
      <c r="R56" s="33">
        <f>IF('IO model'!$D$18=0,0,'Z domestic'!R56/'IO model'!$D$18)</f>
        <v>0.003176290438986601</v>
      </c>
      <c r="S56" s="33">
        <f>IF('IO model'!$D$19=0,0,'Z domestic'!S56/'IO model'!$D$19)</f>
        <v>0.0025340720993938404</v>
      </c>
      <c r="T56" s="33">
        <f>IF('IO model'!$D$20=0,0,'Z domestic'!T56/'IO model'!$D$20)</f>
        <v>0.0038296347183534142</v>
      </c>
      <c r="U56" s="33">
        <f>IF('IO model'!$D$21=0,0,'Z domestic'!U56/'IO model'!$D$21)</f>
        <v>0.0024641195492807453</v>
      </c>
      <c r="V56" s="33">
        <f>IF('IO model'!$D$22=0,0,'Z domestic'!V56/'IO model'!$D$22)</f>
        <v>0.0025041430473633</v>
      </c>
      <c r="W56" s="33">
        <f>IF('IO model'!$D$23=0,0,'Z domestic'!W56/'IO model'!$D$23)</f>
        <v>0.00229241144388209</v>
      </c>
      <c r="X56" s="33">
        <f>IF('IO model'!$D$24=0,0,'Z domestic'!X56/'IO model'!$D$24)</f>
        <v>0.0028858771316381425</v>
      </c>
      <c r="Y56" s="33">
        <f>IF('IO model'!$D$25=0,0,'Z domestic'!Y56/'IO model'!$D$25)</f>
        <v>0.002505896764352037</v>
      </c>
      <c r="Z56" s="33">
        <f>IF('IO model'!$D$26=0,0,'Z domestic'!Z56/'IO model'!$D$26)</f>
        <v>0.013469957146118846</v>
      </c>
      <c r="AA56" s="33">
        <f>IF('IO model'!$D$27=0,0,'Z domestic'!AA56/'IO model'!$D$27)</f>
        <v>0.014870503176659925</v>
      </c>
      <c r="AB56" s="33">
        <f>IF('IO model'!$D$28=0,0,'Z domestic'!AB56/'IO model'!$D$28)</f>
        <v>0.02354250062267186</v>
      </c>
      <c r="AC56" s="33">
        <f>IF('IO model'!$D$29=0,0,'Z domestic'!AC56/'IO model'!$D$29)</f>
        <v>0.005495894427173112</v>
      </c>
      <c r="AD56" s="33">
        <f>IF('IO model'!$D$30=0,0,'Z domestic'!AD56/'IO model'!$D$30)</f>
        <v>0.0037474304722909467</v>
      </c>
      <c r="AE56" s="33">
        <f>IF('IO model'!$D$31=0,0,'Z domestic'!AE56/'IO model'!$D$31)</f>
        <v>0.0032326752234344033</v>
      </c>
      <c r="AF56" s="33">
        <f>IF('IO model'!$D$32=0,0,'Z domestic'!AF56/'IO model'!$D$32)</f>
        <v>0.003838988207897926</v>
      </c>
      <c r="AG56" s="33">
        <f>IF('IO model'!$D$33=0,0,'Z domestic'!AG56/'IO model'!$D$33)</f>
        <v>0.00581256052861898</v>
      </c>
      <c r="AH56" s="33">
        <f>IF('IO model'!$D$34=0,0,'Z domestic'!AH56/'IO model'!$D$34)</f>
        <v>0.0031851547672837447</v>
      </c>
      <c r="AI56" s="33">
        <f>IF('IO model'!$D$35=0,0,'Z domestic'!AI56/'IO model'!$D$35)</f>
        <v>0.0040245611482115345</v>
      </c>
      <c r="AJ56" s="33">
        <f>IF('IO model'!$D$36=0,0,'Z domestic'!AJ56/'IO model'!$D$36)</f>
        <v>0.008560900639021013</v>
      </c>
      <c r="AK56" s="33">
        <f>IF('IO model'!$D$37=0,0,'Z domestic'!AK56/'IO model'!$D$37)</f>
        <v>0.0027522904026332277</v>
      </c>
      <c r="AL56" s="33">
        <f>IF('IO model'!$D$38=0,0,'Z domestic'!AL56/'IO model'!$D$38)</f>
        <v>0.003738156243236908</v>
      </c>
      <c r="AM56" s="33">
        <f>IF('IO model'!$D$39=0,0,'Z domestic'!AM56/'IO model'!$D$39)</f>
        <v>0.0025757333383944238</v>
      </c>
      <c r="AN56" s="33">
        <f>IF('IO model'!$D$40=0,0,'Z domestic'!AN56/'IO model'!$D$40)</f>
        <v>0.004787389383607682</v>
      </c>
      <c r="AO56" s="33">
        <f>IF('IO model'!$D$41=0,0,'Z domestic'!AO56/'IO model'!$D$41)</f>
        <v>0.004919373386828858</v>
      </c>
      <c r="AP56" s="33">
        <f>IF('IO model'!$D$42=0,0,'Z domestic'!AP56/'IO model'!$D$42)</f>
        <v>0.003508267725678719</v>
      </c>
      <c r="AQ56" s="33">
        <f>IF('IO model'!$D$43=0,0,'Z domestic'!AQ56/'IO model'!$D$43)</f>
        <v>0.0022448434931116546</v>
      </c>
      <c r="AR56" s="33">
        <f>IF('IO model'!$D$44=0,0,'Z domestic'!AR56/'IO model'!$D$44)</f>
        <v>0.0022520720433733873</v>
      </c>
      <c r="AS56" s="33">
        <f>IF('IO model'!$D$45=0,0,'Z domestic'!AS56/'IO model'!$D$45)</f>
        <v>0.0033734103823434</v>
      </c>
      <c r="AT56" s="33">
        <f>IF('IO model'!$D$46=0,0,'Z domestic'!AT56/'IO model'!$D$46)</f>
        <v>0.002268073739285621</v>
      </c>
      <c r="AU56" s="33">
        <f>IF('IO model'!$D$47=0,0,'Z domestic'!AU56/'IO model'!$D$47)</f>
        <v>0.008086584249318445</v>
      </c>
      <c r="AV56" s="33">
        <f>IF('IO model'!$D$48=0,0,'Z domestic'!AV56/'IO model'!$D$48)</f>
        <v>0.010265417416153045</v>
      </c>
      <c r="AW56" s="33">
        <f>IF('IO model'!$D$49=0,0,'Z domestic'!AW56/'IO model'!$D$49)</f>
        <v>0.004315657922009489</v>
      </c>
      <c r="AX56" s="33">
        <f>IF('IO model'!$D$50=0,0,'Z domestic'!AX56/'IO model'!$D$50)</f>
        <v>0.009790606693288467</v>
      </c>
      <c r="AY56" s="33">
        <f>IF('IO model'!$D$51=0,0,'Z domestic'!AY56/'IO model'!$D$51)</f>
        <v>0.010732145556529188</v>
      </c>
      <c r="AZ56" s="33">
        <f>IF('IO model'!$D$52=0,0,'Z domestic'!AZ56/'IO model'!$D$52)</f>
        <v>0.003791962375134758</v>
      </c>
      <c r="BA56" s="33">
        <f>IF('IO model'!$D$53=0,0,'Z domestic'!BA56/'IO model'!$D$53)</f>
        <v>0.003244576948989806</v>
      </c>
      <c r="BB56" s="33">
        <f>IF('IO model'!$D$54=0,0,'Z domestic'!BB56/'IO model'!$D$54)</f>
        <v>0.0029239789409691327</v>
      </c>
      <c r="BC56" s="33">
        <f>IF('IO model'!$D$55=0,0,'Z domestic'!BC56/'IO model'!$D$55)</f>
        <v>0.007864559629795402</v>
      </c>
      <c r="BD56" s="33">
        <f>IF('IO model'!$D$56=0,0,'Z domestic'!BD56/'IO model'!$D$56)</f>
        <v>0.01279247301933047</v>
      </c>
      <c r="BE56" s="33">
        <f>IF('IO model'!$D$57=0,0,'Z domestic'!BE56/'IO model'!$D$57)</f>
        <v>0.003724789624051487</v>
      </c>
      <c r="BF56" s="33">
        <f>IF('IO model'!$D$58=0,0,'Z domestic'!BF56/'IO model'!$D$58)</f>
        <v>0.002625217266508268</v>
      </c>
      <c r="BG56" s="33">
        <f>IF('IO model'!$D$59=0,0,'Z domestic'!BG56/'IO model'!$D$59)</f>
        <v>0.003734515748631255</v>
      </c>
      <c r="BH56" s="33">
        <f>IF('IO model'!$D$60=0,0,'Z domestic'!BH56/'IO model'!$D$60)</f>
        <v>0.008735844675922286</v>
      </c>
      <c r="BI56" s="33">
        <f>IF('IO model'!$D$61=0,0,'Z domestic'!BI56/'IO model'!$D$61)</f>
        <v>0.007738032882250455</v>
      </c>
      <c r="BJ56" s="33">
        <f>IF('IO model'!$D$62=0,0,'Z domestic'!BJ56/'IO model'!$D$62)</f>
        <v>0.008194039078113094</v>
      </c>
      <c r="BK56" s="33">
        <f>IF('IO model'!$D$63=0,0,'Z domestic'!BK56/'IO model'!$D$63)</f>
        <v>0.0026964536791126387</v>
      </c>
      <c r="BL56" s="33">
        <f>IF('IO model'!$D$64=0,0,'Z domestic'!BL56/'IO model'!$D$64)</f>
        <v>0.002462611322708162</v>
      </c>
      <c r="BM56" s="33">
        <f>IF('IO model'!$D$65=0,0,'Z domestic'!BM56/'IO model'!$D$65)</f>
        <v>0</v>
      </c>
      <c r="BN56" s="33">
        <f>IF('IO model'!$D$66=0,0,'Z domestic'!BN56/'IO model'!$D$66)</f>
        <v>0</v>
      </c>
    </row>
    <row r="57" spans="1:66" x14ac:dyDescent="0.25">
      <c r="A57" s="30" t="s">
        <v>373</v>
      </c>
      <c r="B57" s="31" t="s">
        <v>374</v>
      </c>
      <c r="C57" s="33">
        <f>IF('IO model'!$D$3=0,0,'Z domestic'!C57/'IO model'!$D$3)</f>
        <v>0.0005043350292886152</v>
      </c>
      <c r="D57" s="33">
        <f>IF('IO model'!$D$4=0,0,'Z domestic'!D57/'IO model'!$D$4)</f>
        <v>0.0008935133810834569</v>
      </c>
      <c r="E57" s="33">
        <f>IF('IO model'!$D$5=0,0,'Z domestic'!E57/'IO model'!$D$5)</f>
        <v>0.0012284595388865134</v>
      </c>
      <c r="F57" s="33">
        <f>IF('IO model'!$D$6=0,0,'Z domestic'!F57/'IO model'!$D$6)</f>
        <v>0.001146761614978231</v>
      </c>
      <c r="G57" s="33">
        <f>IF('IO model'!$D$7=0,0,'Z domestic'!G57/'IO model'!$D$7)</f>
        <v>0.0009231299004026274</v>
      </c>
      <c r="H57" s="33">
        <f>IF('IO model'!$D$8=0,0,'Z domestic'!H57/'IO model'!$D$8)</f>
        <v>0.0013873298445874372</v>
      </c>
      <c r="I57" s="33">
        <f>IF('IO model'!$D$9=0,0,'Z domestic'!I57/'IO model'!$D$9)</f>
        <v>0.0007417050390116484</v>
      </c>
      <c r="J57" s="33">
        <f>IF('IO model'!$D$10=0,0,'Z domestic'!J57/'IO model'!$D$10)</f>
        <v>0.0007688869341675868</v>
      </c>
      <c r="K57" s="33">
        <f>IF('IO model'!$D$11=0,0,'Z domestic'!K57/'IO model'!$D$11)</f>
        <v>0.0010747781137644102</v>
      </c>
      <c r="L57" s="33">
        <f>IF('IO model'!$D$12=0,0,'Z domestic'!L57/'IO model'!$D$12)</f>
        <v>0.0007901895995840027</v>
      </c>
      <c r="M57" s="33">
        <f>IF('IO model'!$D$13=0,0,'Z domestic'!M57/'IO model'!$D$13)</f>
        <v>0.0013339605232781232</v>
      </c>
      <c r="N57" s="33">
        <f>IF('IO model'!$D$14=0,0,'Z domestic'!N57/'IO model'!$D$14)</f>
        <v>0.00201865852995586</v>
      </c>
      <c r="O57" s="33">
        <f>IF('IO model'!$D$15=0,0,'Z domestic'!O57/'IO model'!$D$15)</f>
        <v>0.0008458854455851535</v>
      </c>
      <c r="P57" s="33">
        <f>IF('IO model'!$D$16=0,0,'Z domestic'!P57/'IO model'!$D$16)</f>
        <v>0.0010387728259135635</v>
      </c>
      <c r="Q57" s="33">
        <f>IF('IO model'!$D$17=0,0,'Z domestic'!Q57/'IO model'!$D$17)</f>
        <v>0.0005618200745385051</v>
      </c>
      <c r="R57" s="33">
        <f>IF('IO model'!$D$18=0,0,'Z domestic'!R57/'IO model'!$D$18)</f>
        <v>0.0012004083596290971</v>
      </c>
      <c r="S57" s="33">
        <f>IF('IO model'!$D$19=0,0,'Z domestic'!S57/'IO model'!$D$19)</f>
        <v>0.002050747315096355</v>
      </c>
      <c r="T57" s="33">
        <f>IF('IO model'!$D$20=0,0,'Z domestic'!T57/'IO model'!$D$20)</f>
        <v>0.001957639921424492</v>
      </c>
      <c r="U57" s="33">
        <f>IF('IO model'!$D$21=0,0,'Z domestic'!U57/'IO model'!$D$21)</f>
        <v>0.0016682666402099459</v>
      </c>
      <c r="V57" s="33">
        <f>IF('IO model'!$D$22=0,0,'Z domestic'!V57/'IO model'!$D$22)</f>
        <v>0.0025092433239002937</v>
      </c>
      <c r="W57" s="33">
        <f>IF('IO model'!$D$23=0,0,'Z domestic'!W57/'IO model'!$D$23)</f>
        <v>0.002312931750924513</v>
      </c>
      <c r="X57" s="33">
        <f>IF('IO model'!$D$24=0,0,'Z domestic'!X57/'IO model'!$D$24)</f>
        <v>0.0010732748490807696</v>
      </c>
      <c r="Y57" s="33">
        <f>IF('IO model'!$D$25=0,0,'Z domestic'!Y57/'IO model'!$D$25)</f>
        <v>0.002067567573047093</v>
      </c>
      <c r="Z57" s="33">
        <f>IF('IO model'!$D$26=0,0,'Z domestic'!Z57/'IO model'!$D$26)</f>
        <v>0.0008052347221712511</v>
      </c>
      <c r="AA57" s="33">
        <f>IF('IO model'!$D$27=0,0,'Z domestic'!AA57/'IO model'!$D$27)</f>
        <v>0.0016749272653925815</v>
      </c>
      <c r="AB57" s="33">
        <f>IF('IO model'!$D$28=0,0,'Z domestic'!AB57/'IO model'!$D$28)</f>
        <v>0.0015367266312282667</v>
      </c>
      <c r="AC57" s="33">
        <f>IF('IO model'!$D$29=0,0,'Z domestic'!AC57/'IO model'!$D$29)</f>
        <v>0.0009353608583517076</v>
      </c>
      <c r="AD57" s="33">
        <f>IF('IO model'!$D$30=0,0,'Z domestic'!AD57/'IO model'!$D$30)</f>
        <v>0.002056852931323118</v>
      </c>
      <c r="AE57" s="33">
        <f>IF('IO model'!$D$31=0,0,'Z domestic'!AE57/'IO model'!$D$31)</f>
        <v>0.0017821303768886017</v>
      </c>
      <c r="AF57" s="33">
        <f>IF('IO model'!$D$32=0,0,'Z domestic'!AF57/'IO model'!$D$32)</f>
        <v>0.001647166909493607</v>
      </c>
      <c r="AG57" s="33">
        <f>IF('IO model'!$D$33=0,0,'Z domestic'!AG57/'IO model'!$D$33)</f>
        <v>0.0020789856549601284</v>
      </c>
      <c r="AH57" s="33">
        <f>IF('IO model'!$D$34=0,0,'Z domestic'!AH57/'IO model'!$D$34)</f>
        <v>0.003696204117658922</v>
      </c>
      <c r="AI57" s="33">
        <f>IF('IO model'!$D$35=0,0,'Z domestic'!AI57/'IO model'!$D$35)</f>
        <v>0.004183367129692606</v>
      </c>
      <c r="AJ57" s="33">
        <f>IF('IO model'!$D$36=0,0,'Z domestic'!AJ57/'IO model'!$D$36)</f>
        <v>0.0016671081127401337</v>
      </c>
      <c r="AK57" s="33">
        <f>IF('IO model'!$D$37=0,0,'Z domestic'!AK57/'IO model'!$D$37)</f>
        <v>0.0029239624398196057</v>
      </c>
      <c r="AL57" s="33">
        <f>IF('IO model'!$D$38=0,0,'Z domestic'!AL57/'IO model'!$D$38)</f>
        <v>0.0010428893747519382</v>
      </c>
      <c r="AM57" s="33">
        <f>IF('IO model'!$D$39=0,0,'Z domestic'!AM57/'IO model'!$D$39)</f>
        <v>0.001523749617029122</v>
      </c>
      <c r="AN57" s="33">
        <f>IF('IO model'!$D$40=0,0,'Z domestic'!AN57/'IO model'!$D$40)</f>
        <v>0.0019399878547952697</v>
      </c>
      <c r="AO57" s="33">
        <f>IF('IO model'!$D$41=0,0,'Z domestic'!AO57/'IO model'!$D$41)</f>
        <v>0.0030947911560469388</v>
      </c>
      <c r="AP57" s="33">
        <f>IF('IO model'!$D$42=0,0,'Z domestic'!AP57/'IO model'!$D$42)</f>
        <v>0.003527862932255742</v>
      </c>
      <c r="AQ57" s="33">
        <f>IF('IO model'!$D$43=0,0,'Z domestic'!AQ57/'IO model'!$D$43)</f>
        <v>0.002721447303281687</v>
      </c>
      <c r="AR57" s="33">
        <f>IF('IO model'!$D$44=0,0,'Z domestic'!AR57/'IO model'!$D$44)</f>
        <v>0.0020536603835476855</v>
      </c>
      <c r="AS57" s="33">
        <f>IF('IO model'!$D$45=0,0,'Z domestic'!AS57/'IO model'!$D$45)</f>
        <v>0.0016857415431858847</v>
      </c>
      <c r="AT57" s="33">
        <f>IF('IO model'!$D$46=0,0,'Z domestic'!AT57/'IO model'!$D$46)</f>
        <v>0.0005890466255941682</v>
      </c>
      <c r="AU57" s="33">
        <f>IF('IO model'!$D$47=0,0,'Z domestic'!AU57/'IO model'!$D$47)</f>
        <v>0.003964188261198312</v>
      </c>
      <c r="AV57" s="33">
        <f>IF('IO model'!$D$48=0,0,'Z domestic'!AV57/'IO model'!$D$48)</f>
        <v>0.002234298251052254</v>
      </c>
      <c r="AW57" s="33">
        <f>IF('IO model'!$D$49=0,0,'Z domestic'!AW57/'IO model'!$D$49)</f>
        <v>0.014878391535804935</v>
      </c>
      <c r="AX57" s="33">
        <f>IF('IO model'!$D$50=0,0,'Z domestic'!AX57/'IO model'!$D$50)</f>
        <v>0.00401817386797015</v>
      </c>
      <c r="AY57" s="33">
        <f>IF('IO model'!$D$51=0,0,'Z domestic'!AY57/'IO model'!$D$51)</f>
        <v>0.004350620700843209</v>
      </c>
      <c r="AZ57" s="33">
        <f>IF('IO model'!$D$52=0,0,'Z domestic'!AZ57/'IO model'!$D$52)</f>
        <v>0.0014260232137254325</v>
      </c>
      <c r="BA57" s="33">
        <f>IF('IO model'!$D$53=0,0,'Z domestic'!BA57/'IO model'!$D$53)</f>
        <v>0.004616522866409396</v>
      </c>
      <c r="BB57" s="33">
        <f>IF('IO model'!$D$54=0,0,'Z domestic'!BB57/'IO model'!$D$54)</f>
        <v>0.0017041252436316692</v>
      </c>
      <c r="BC57" s="33">
        <f>IF('IO model'!$D$55=0,0,'Z domestic'!BC57/'IO model'!$D$55)</f>
        <v>0.002868245627892223</v>
      </c>
      <c r="BD57" s="33">
        <f>IF('IO model'!$D$56=0,0,'Z domestic'!BD57/'IO model'!$D$56)</f>
        <v>0.00585958844846863</v>
      </c>
      <c r="BE57" s="33">
        <f>IF('IO model'!$D$57=0,0,'Z domestic'!BE57/'IO model'!$D$57)</f>
        <v>0.026907342230747595</v>
      </c>
      <c r="BF57" s="33">
        <f>IF('IO model'!$D$58=0,0,'Z domestic'!BF57/'IO model'!$D$58)</f>
        <v>0.003978010237438408</v>
      </c>
      <c r="BG57" s="33">
        <f>IF('IO model'!$D$59=0,0,'Z domestic'!BG57/'IO model'!$D$59)</f>
        <v>0.004078661453947366</v>
      </c>
      <c r="BH57" s="33">
        <f>IF('IO model'!$D$60=0,0,'Z domestic'!BH57/'IO model'!$D$60)</f>
        <v>0.0033578252953262765</v>
      </c>
      <c r="BI57" s="33">
        <f>IF('IO model'!$D$61=0,0,'Z domestic'!BI57/'IO model'!$D$61)</f>
        <v>0.006118675978212714</v>
      </c>
      <c r="BJ57" s="33">
        <f>IF('IO model'!$D$62=0,0,'Z domestic'!BJ57/'IO model'!$D$62)</f>
        <v>0.0077673141345448804</v>
      </c>
      <c r="BK57" s="33">
        <f>IF('IO model'!$D$63=0,0,'Z domestic'!BK57/'IO model'!$D$63)</f>
        <v>0.0036463052648023748</v>
      </c>
      <c r="BL57" s="33">
        <f>IF('IO model'!$D$64=0,0,'Z domestic'!BL57/'IO model'!$D$64)</f>
        <v>0.0011366306406555226</v>
      </c>
      <c r="BM57" s="33">
        <f>IF('IO model'!$D$65=0,0,'Z domestic'!BM57/'IO model'!$D$65)</f>
        <v>0</v>
      </c>
      <c r="BN57" s="33">
        <f>IF('IO model'!$D$66=0,0,'Z domestic'!BN57/'IO model'!$D$66)</f>
        <v>0</v>
      </c>
    </row>
    <row r="58" spans="1:66" x14ac:dyDescent="0.25">
      <c r="A58" s="30" t="s">
        <v>376</v>
      </c>
      <c r="B58" s="31" t="s">
        <v>377</v>
      </c>
      <c r="C58" s="33">
        <f>IF('IO model'!$D$3=0,0,'Z domestic'!C58/'IO model'!$D$3)</f>
        <v>0.00043869641003886823</v>
      </c>
      <c r="D58" s="33">
        <f>IF('IO model'!$D$4=0,0,'Z domestic'!D58/'IO model'!$D$4)</f>
        <v>0.00043875029823811325</v>
      </c>
      <c r="E58" s="33">
        <f>IF('IO model'!$D$5=0,0,'Z domestic'!E58/'IO model'!$D$5)</f>
        <v>0.0010452086684448788</v>
      </c>
      <c r="F58" s="33">
        <f>IF('IO model'!$D$6=0,0,'Z domestic'!F58/'IO model'!$D$6)</f>
        <v>0.0009870045925553228</v>
      </c>
      <c r="G58" s="33">
        <f>IF('IO model'!$D$7=0,0,'Z domestic'!G58/'IO model'!$D$7)</f>
        <v>0.00040461432506887045</v>
      </c>
      <c r="H58" s="33">
        <f>IF('IO model'!$D$8=0,0,'Z domestic'!H58/'IO model'!$D$8)</f>
        <v>0.0004576124400316903</v>
      </c>
      <c r="I58" s="33">
        <f>IF('IO model'!$D$9=0,0,'Z domestic'!I58/'IO model'!$D$9)</f>
        <v>0.0003920683386995212</v>
      </c>
      <c r="J58" s="33">
        <f>IF('IO model'!$D$10=0,0,'Z domestic'!J58/'IO model'!$D$10)</f>
        <v>0.0003604577813823556</v>
      </c>
      <c r="K58" s="33">
        <f>IF('IO model'!$D$11=0,0,'Z domestic'!K58/'IO model'!$D$11)</f>
        <v>0.0006511221906138887</v>
      </c>
      <c r="L58" s="33">
        <f>IF('IO model'!$D$12=0,0,'Z domestic'!L58/'IO model'!$D$12)</f>
        <v>0.00028194817186458487</v>
      </c>
      <c r="M58" s="33">
        <f>IF('IO model'!$D$13=0,0,'Z domestic'!M58/'IO model'!$D$13)</f>
        <v>0.00042311683461332086</v>
      </c>
      <c r="N58" s="33">
        <f>IF('IO model'!$D$14=0,0,'Z domestic'!N58/'IO model'!$D$14)</f>
        <v>0.0015810717055713475</v>
      </c>
      <c r="O58" s="33">
        <f>IF('IO model'!$D$15=0,0,'Z domestic'!O58/'IO model'!$D$15)</f>
        <v>0.00043863841031834504</v>
      </c>
      <c r="P58" s="33">
        <f>IF('IO model'!$D$16=0,0,'Z domestic'!P58/'IO model'!$D$16)</f>
        <v>0.00044545709014185406</v>
      </c>
      <c r="Q58" s="33">
        <f>IF('IO model'!$D$17=0,0,'Z domestic'!Q58/'IO model'!$D$17)</f>
        <v>0.00032024538902265565</v>
      </c>
      <c r="R58" s="33">
        <f>IF('IO model'!$D$18=0,0,'Z domestic'!R58/'IO model'!$D$18)</f>
        <v>0.00039517641587150077</v>
      </c>
      <c r="S58" s="33">
        <f>IF('IO model'!$D$19=0,0,'Z domestic'!S58/'IO model'!$D$19)</f>
        <v>0.0003977918721265092</v>
      </c>
      <c r="T58" s="33">
        <f>IF('IO model'!$D$20=0,0,'Z domestic'!T58/'IO model'!$D$20)</f>
        <v>0.0005655173523510498</v>
      </c>
      <c r="U58" s="33">
        <f>IF('IO model'!$D$21=0,0,'Z domestic'!U58/'IO model'!$D$21)</f>
        <v>0.0004505066554765537</v>
      </c>
      <c r="V58" s="33">
        <f>IF('IO model'!$D$22=0,0,'Z domestic'!V58/'IO model'!$D$22)</f>
        <v>0.0005194863483679902</v>
      </c>
      <c r="W58" s="33">
        <f>IF('IO model'!$D$23=0,0,'Z domestic'!W58/'IO model'!$D$23)</f>
        <v>0.0006320987437174881</v>
      </c>
      <c r="X58" s="33">
        <f>IF('IO model'!$D$24=0,0,'Z domestic'!X58/'IO model'!$D$24)</f>
        <v>0.0008786210078997314</v>
      </c>
      <c r="Y58" s="33">
        <f>IF('IO model'!$D$25=0,0,'Z domestic'!Y58/'IO model'!$D$25)</f>
        <v>0.0006978395358333099</v>
      </c>
      <c r="Z58" s="33">
        <f>IF('IO model'!$D$26=0,0,'Z domestic'!Z58/'IO model'!$D$26)</f>
        <v>0.00024671363244169073</v>
      </c>
      <c r="AA58" s="33">
        <f>IF('IO model'!$D$27=0,0,'Z domestic'!AA58/'IO model'!$D$27)</f>
        <v>0.0011418014804931555</v>
      </c>
      <c r="AB58" s="33">
        <f>IF('IO model'!$D$28=0,0,'Z domestic'!AB58/'IO model'!$D$28)</f>
        <v>0.0015845450780025514</v>
      </c>
      <c r="AC58" s="33">
        <f>IF('IO model'!$D$29=0,0,'Z domestic'!AC58/'IO model'!$D$29)</f>
        <v>0.000427480445181632</v>
      </c>
      <c r="AD58" s="33">
        <f>IF('IO model'!$D$30=0,0,'Z domestic'!AD58/'IO model'!$D$30)</f>
        <v>0.0006813509949619903</v>
      </c>
      <c r="AE58" s="33">
        <f>IF('IO model'!$D$31=0,0,'Z domestic'!AE58/'IO model'!$D$31)</f>
        <v>0.0010383892523620076</v>
      </c>
      <c r="AF58" s="33">
        <f>IF('IO model'!$D$32=0,0,'Z domestic'!AF58/'IO model'!$D$32)</f>
        <v>0.0006570646313394581</v>
      </c>
      <c r="AG58" s="33">
        <f>IF('IO model'!$D$33=0,0,'Z domestic'!AG58/'IO model'!$D$33)</f>
        <v>0.0008051488081285193</v>
      </c>
      <c r="AH58" s="33">
        <f>IF('IO model'!$D$34=0,0,'Z domestic'!AH58/'IO model'!$D$34)</f>
        <v>0.0004994638487293923</v>
      </c>
      <c r="AI58" s="33">
        <f>IF('IO model'!$D$35=0,0,'Z domestic'!AI58/'IO model'!$D$35)</f>
        <v>0.0014425403895491746</v>
      </c>
      <c r="AJ58" s="33">
        <f>IF('IO model'!$D$36=0,0,'Z domestic'!AJ58/'IO model'!$D$36)</f>
        <v>0.0009092305261072691</v>
      </c>
      <c r="AK58" s="33">
        <f>IF('IO model'!$D$37=0,0,'Z domestic'!AK58/'IO model'!$D$37)</f>
        <v>0.0007392973214316618</v>
      </c>
      <c r="AL58" s="33">
        <f>IF('IO model'!$D$38=0,0,'Z domestic'!AL58/'IO model'!$D$38)</f>
        <v>0.0008075435927645989</v>
      </c>
      <c r="AM58" s="33">
        <f>IF('IO model'!$D$39=0,0,'Z domestic'!AM58/'IO model'!$D$39)</f>
        <v>0.0006095902234200136</v>
      </c>
      <c r="AN58" s="33">
        <f>IF('IO model'!$D$40=0,0,'Z domestic'!AN58/'IO model'!$D$40)</f>
        <v>0.0007132989991795033</v>
      </c>
      <c r="AO58" s="33">
        <f>IF('IO model'!$D$41=0,0,'Z domestic'!AO58/'IO model'!$D$41)</f>
        <v>0.0009504786951057174</v>
      </c>
      <c r="AP58" s="33">
        <f>IF('IO model'!$D$42=0,0,'Z domestic'!AP58/'IO model'!$D$42)</f>
        <v>0.0009776738022248541</v>
      </c>
      <c r="AQ58" s="33">
        <f>IF('IO model'!$D$43=0,0,'Z domestic'!AQ58/'IO model'!$D$43)</f>
        <v>0.0006826088264341227</v>
      </c>
      <c r="AR58" s="33">
        <f>IF('IO model'!$D$44=0,0,'Z domestic'!AR58/'IO model'!$D$44)</f>
        <v>0.0011216739563010784</v>
      </c>
      <c r="AS58" s="33">
        <f>IF('IO model'!$D$45=0,0,'Z domestic'!AS58/'IO model'!$D$45)</f>
        <v>0.0012376452297818625</v>
      </c>
      <c r="AT58" s="33">
        <f>IF('IO model'!$D$46=0,0,'Z domestic'!AT58/'IO model'!$D$46)</f>
        <v>0.0001362001375659328</v>
      </c>
      <c r="AU58" s="33">
        <f>IF('IO model'!$D$47=0,0,'Z domestic'!AU58/'IO model'!$D$47)</f>
        <v>0.0007996809742068493</v>
      </c>
      <c r="AV58" s="33">
        <f>IF('IO model'!$D$48=0,0,'Z domestic'!AV58/'IO model'!$D$48)</f>
        <v>0.0008900173989369744</v>
      </c>
      <c r="AW58" s="33">
        <f>IF('IO model'!$D$49=0,0,'Z domestic'!AW58/'IO model'!$D$49)</f>
        <v>0.0029901751388295597</v>
      </c>
      <c r="AX58" s="33">
        <f>IF('IO model'!$D$50=0,0,'Z domestic'!AX58/'IO model'!$D$50)</f>
        <v>0.010256246905143181</v>
      </c>
      <c r="AY58" s="33">
        <f>IF('IO model'!$D$51=0,0,'Z domestic'!AY58/'IO model'!$D$51)</f>
        <v>0.0054702295874161375</v>
      </c>
      <c r="AZ58" s="33">
        <f>IF('IO model'!$D$52=0,0,'Z domestic'!AZ58/'IO model'!$D$52)</f>
        <v>0.0009494155313307125</v>
      </c>
      <c r="BA58" s="33">
        <f>IF('IO model'!$D$53=0,0,'Z domestic'!BA58/'IO model'!$D$53)</f>
        <v>0.001839566920258381</v>
      </c>
      <c r="BB58" s="33">
        <f>IF('IO model'!$D$54=0,0,'Z domestic'!BB58/'IO model'!$D$54)</f>
        <v>0.0012453836635341927</v>
      </c>
      <c r="BC58" s="33">
        <f>IF('IO model'!$D$55=0,0,'Z domestic'!BC58/'IO model'!$D$55)</f>
        <v>0.004487138499497876</v>
      </c>
      <c r="BD58" s="33">
        <f>IF('IO model'!$D$56=0,0,'Z domestic'!BD58/'IO model'!$D$56)</f>
        <v>0.011553925908250481</v>
      </c>
      <c r="BE58" s="33">
        <f>IF('IO model'!$D$57=0,0,'Z domestic'!BE58/'IO model'!$D$57)</f>
        <v>0.0019201147535983355</v>
      </c>
      <c r="BF58" s="33">
        <f>IF('IO model'!$D$58=0,0,'Z domestic'!BF58/'IO model'!$D$58)</f>
        <v>0.047347036405096396</v>
      </c>
      <c r="BG58" s="33">
        <f>IF('IO model'!$D$59=0,0,'Z domestic'!BG58/'IO model'!$D$59)</f>
        <v>0.0157488156850768</v>
      </c>
      <c r="BH58" s="33">
        <f>IF('IO model'!$D$60=0,0,'Z domestic'!BH58/'IO model'!$D$60)</f>
        <v>0.001097163087139363</v>
      </c>
      <c r="BI58" s="33">
        <f>IF('IO model'!$D$61=0,0,'Z domestic'!BI58/'IO model'!$D$61)</f>
        <v>0.0030414881930914853</v>
      </c>
      <c r="BJ58" s="33">
        <f>IF('IO model'!$D$62=0,0,'Z domestic'!BJ58/'IO model'!$D$62)</f>
        <v>0.002237717999223614</v>
      </c>
      <c r="BK58" s="33">
        <f>IF('IO model'!$D$63=0,0,'Z domestic'!BK58/'IO model'!$D$63)</f>
        <v>0.0012529292298078425</v>
      </c>
      <c r="BL58" s="33">
        <f>IF('IO model'!$D$64=0,0,'Z domestic'!BL58/'IO model'!$D$64)</f>
        <v>0.0009446286378943003</v>
      </c>
      <c r="BM58" s="33">
        <f>IF('IO model'!$D$65=0,0,'Z domestic'!BM58/'IO model'!$D$65)</f>
        <v>0</v>
      </c>
      <c r="BN58" s="33">
        <f>IF('IO model'!$D$66=0,0,'Z domestic'!BN58/'IO model'!$D$66)</f>
        <v>0</v>
      </c>
    </row>
    <row r="59" spans="1:66" x14ac:dyDescent="0.25">
      <c r="A59" s="30" t="s">
        <v>379</v>
      </c>
      <c r="B59" s="31" t="s">
        <v>380</v>
      </c>
      <c r="C59" s="33">
        <f>IF('IO model'!$D$3=0,0,'Z domestic'!C59/'IO model'!$D$3)</f>
        <v>0.00006598776084150107</v>
      </c>
      <c r="D59" s="33">
        <f>IF('IO model'!$D$4=0,0,'Z domestic'!D59/'IO model'!$D$4)</f>
        <v>0.00006084858150747556</v>
      </c>
      <c r="E59" s="33">
        <f>IF('IO model'!$D$5=0,0,'Z domestic'!E59/'IO model'!$D$5)</f>
        <v>0.00007465776203177706</v>
      </c>
      <c r="F59" s="33">
        <f>IF('IO model'!$D$6=0,0,'Z domestic'!F59/'IO model'!$D$6)</f>
        <v>0.0000642700664919745</v>
      </c>
      <c r="G59" s="33">
        <f>IF('IO model'!$D$7=0,0,'Z domestic'!G59/'IO model'!$D$7)</f>
        <v>0.00009234242188787642</v>
      </c>
      <c r="H59" s="33">
        <f>IF('IO model'!$D$8=0,0,'Z domestic'!H59/'IO model'!$D$8)</f>
        <v>0.00008563764472761959</v>
      </c>
      <c r="I59" s="33">
        <f>IF('IO model'!$D$9=0,0,'Z domestic'!I59/'IO model'!$D$9)</f>
        <v>0.00013068944623317375</v>
      </c>
      <c r="J59" s="33">
        <f>IF('IO model'!$D$10=0,0,'Z domestic'!J59/'IO model'!$D$10)</f>
        <v>0.00006545626378336308</v>
      </c>
      <c r="K59" s="33">
        <f>IF('IO model'!$D$11=0,0,'Z domestic'!K59/'IO model'!$D$11)</f>
        <v>0.00009667316367193108</v>
      </c>
      <c r="L59" s="33">
        <f>IF('IO model'!$D$12=0,0,'Z domestic'!L59/'IO model'!$D$12)</f>
        <v>0.000022592589667325046</v>
      </c>
      <c r="M59" s="33">
        <f>IF('IO model'!$D$13=0,0,'Z domestic'!M59/'IO model'!$D$13)</f>
        <v>0.00004790596563219722</v>
      </c>
      <c r="N59" s="33">
        <f>IF('IO model'!$D$14=0,0,'Z domestic'!N59/'IO model'!$D$14)</f>
        <v>0.00005436195481283611</v>
      </c>
      <c r="O59" s="33">
        <f>IF('IO model'!$D$15=0,0,'Z domestic'!O59/'IO model'!$D$15)</f>
        <v>0.00005465462620580018</v>
      </c>
      <c r="P59" s="33">
        <f>IF('IO model'!$D$16=0,0,'Z domestic'!P59/'IO model'!$D$16)</f>
        <v>0.000058315750820935284</v>
      </c>
      <c r="Q59" s="33">
        <f>IF('IO model'!$D$17=0,0,'Z domestic'!Q59/'IO model'!$D$17)</f>
        <v>0.00003854069818262729</v>
      </c>
      <c r="R59" s="33">
        <f>IF('IO model'!$D$18=0,0,'Z domestic'!R59/'IO model'!$D$18)</f>
        <v>0.00005951644805837988</v>
      </c>
      <c r="S59" s="33">
        <f>IF('IO model'!$D$19=0,0,'Z domestic'!S59/'IO model'!$D$19)</f>
        <v>0.00007097955099561589</v>
      </c>
      <c r="T59" s="33">
        <f>IF('IO model'!$D$20=0,0,'Z domestic'!T59/'IO model'!$D$20)</f>
        <v>0.00006228736326950525</v>
      </c>
      <c r="U59" s="33">
        <f>IF('IO model'!$D$21=0,0,'Z domestic'!U59/'IO model'!$D$21)</f>
        <v>0.000059350455454635865</v>
      </c>
      <c r="V59" s="33">
        <f>IF('IO model'!$D$22=0,0,'Z domestic'!V59/'IO model'!$D$22)</f>
        <v>0.00007780240026432412</v>
      </c>
      <c r="W59" s="33">
        <f>IF('IO model'!$D$23=0,0,'Z domestic'!W59/'IO model'!$D$23)</f>
        <v>0.0001264197487434976</v>
      </c>
      <c r="X59" s="33">
        <f>IF('IO model'!$D$24=0,0,'Z domestic'!X59/'IO model'!$D$24)</f>
        <v>0.00008286181863119418</v>
      </c>
      <c r="Y59" s="33">
        <f>IF('IO model'!$D$25=0,0,'Z domestic'!Y59/'IO model'!$D$25)</f>
        <v>0.00011313029081783467</v>
      </c>
      <c r="Z59" s="33">
        <f>IF('IO model'!$D$26=0,0,'Z domestic'!Z59/'IO model'!$D$26)</f>
        <v>0.00005107499013993742</v>
      </c>
      <c r="AA59" s="33">
        <f>IF('IO model'!$D$27=0,0,'Z domestic'!AA59/'IO model'!$D$27)</f>
        <v>0.00014112153129690688</v>
      </c>
      <c r="AB59" s="33">
        <f>IF('IO model'!$D$28=0,0,'Z domestic'!AB59/'IO model'!$D$28)</f>
        <v>0.00011627794971013077</v>
      </c>
      <c r="AC59" s="33">
        <f>IF('IO model'!$D$29=0,0,'Z domestic'!AC59/'IO model'!$D$29)</f>
        <v>0.00009128488673149435</v>
      </c>
      <c r="AD59" s="33">
        <f>IF('IO model'!$D$30=0,0,'Z domestic'!AD59/'IO model'!$D$30)</f>
        <v>0.00011741489327921583</v>
      </c>
      <c r="AE59" s="33">
        <f>IF('IO model'!$D$31=0,0,'Z domestic'!AE59/'IO model'!$D$31)</f>
        <v>0.00012789079147718514</v>
      </c>
      <c r="AF59" s="33">
        <f>IF('IO model'!$D$32=0,0,'Z domestic'!AF59/'IO model'!$D$32)</f>
        <v>0.000132037427614718</v>
      </c>
      <c r="AG59" s="33">
        <f>IF('IO model'!$D$33=0,0,'Z domestic'!AG59/'IO model'!$D$33)</f>
        <v>0.00009505858535729985</v>
      </c>
      <c r="AH59" s="33">
        <f>IF('IO model'!$D$34=0,0,'Z domestic'!AH59/'IO model'!$D$34)</f>
        <v>0.00009697493970175487</v>
      </c>
      <c r="AI59" s="33">
        <f>IF('IO model'!$D$35=0,0,'Z domestic'!AI59/'IO model'!$D$35)</f>
        <v>0.00013033478958207454</v>
      </c>
      <c r="AJ59" s="33">
        <f>IF('IO model'!$D$36=0,0,'Z domestic'!AJ59/'IO model'!$D$36)</f>
        <v>0.00011351470460580347</v>
      </c>
      <c r="AK59" s="33">
        <f>IF('IO model'!$D$37=0,0,'Z domestic'!AK59/'IO model'!$D$37)</f>
        <v>0.00007891375902922232</v>
      </c>
      <c r="AL59" s="33">
        <f>IF('IO model'!$D$38=0,0,'Z domestic'!AL59/'IO model'!$D$38)</f>
        <v>0.00014499282978348754</v>
      </c>
      <c r="AM59" s="33">
        <f>IF('IO model'!$D$39=0,0,'Z domestic'!AM59/'IO model'!$D$39)</f>
        <v>0.00010122180136848261</v>
      </c>
      <c r="AN59" s="33">
        <f>IF('IO model'!$D$40=0,0,'Z domestic'!AN59/'IO model'!$D$40)</f>
        <v>0.00016456288851907303</v>
      </c>
      <c r="AO59" s="33">
        <f>IF('IO model'!$D$41=0,0,'Z domestic'!AO59/'IO model'!$D$41)</f>
        <v>0.00012051593598193483</v>
      </c>
      <c r="AP59" s="33">
        <f>IF('IO model'!$D$42=0,0,'Z domestic'!AP59/'IO model'!$D$42)</f>
        <v>0.00015630805987133933</v>
      </c>
      <c r="AQ59" s="33">
        <f>IF('IO model'!$D$43=0,0,'Z domestic'!AQ59/'IO model'!$D$43)</f>
        <v>0.00010234338795202611</v>
      </c>
      <c r="AR59" s="33">
        <f>IF('IO model'!$D$44=0,0,'Z domestic'!AR59/'IO model'!$D$44)</f>
        <v>0.00009422061232929057</v>
      </c>
      <c r="AS59" s="33">
        <f>IF('IO model'!$D$45=0,0,'Z domestic'!AS59/'IO model'!$D$45)</f>
        <v>0.0001593231336547635</v>
      </c>
      <c r="AT59" s="33">
        <f>IF('IO model'!$D$46=0,0,'Z domestic'!AT59/'IO model'!$D$46)</f>
        <v>0.00004590589594840632</v>
      </c>
      <c r="AU59" s="33">
        <f>IF('IO model'!$D$47=0,0,'Z domestic'!AU59/'IO model'!$D$47)</f>
        <v>0.00017602152894980936</v>
      </c>
      <c r="AV59" s="33">
        <f>IF('IO model'!$D$48=0,0,'Z domestic'!AV59/'IO model'!$D$48)</f>
        <v>0.00009477759823307795</v>
      </c>
      <c r="AW59" s="33">
        <f>IF('IO model'!$D$49=0,0,'Z domestic'!AW59/'IO model'!$D$49)</f>
        <v>0.00033391578562443677</v>
      </c>
      <c r="AX59" s="33">
        <f>IF('IO model'!$D$50=0,0,'Z domestic'!AX59/'IO model'!$D$50)</f>
        <v>0.010622851698804912</v>
      </c>
      <c r="AY59" s="33">
        <f>IF('IO model'!$D$51=0,0,'Z domestic'!AY59/'IO model'!$D$51)</f>
        <v>0.0024229516134780756</v>
      </c>
      <c r="AZ59" s="33">
        <f>IF('IO model'!$D$52=0,0,'Z domestic'!AZ59/'IO model'!$D$52)</f>
        <v>0.00020057692328570513</v>
      </c>
      <c r="BA59" s="33">
        <f>IF('IO model'!$D$53=0,0,'Z domestic'!BA59/'IO model'!$D$53)</f>
        <v>0.00018679075870970955</v>
      </c>
      <c r="BB59" s="33">
        <f>IF('IO model'!$D$54=0,0,'Z domestic'!BB59/'IO model'!$D$54)</f>
        <v>0.0005217686841456516</v>
      </c>
      <c r="BC59" s="33">
        <f>IF('IO model'!$D$55=0,0,'Z domestic'!BC59/'IO model'!$D$55)</f>
        <v>0.0031526880830678537</v>
      </c>
      <c r="BD59" s="33">
        <f>IF('IO model'!$D$56=0,0,'Z domestic'!BD59/'IO model'!$D$56)</f>
        <v>0.0008125420349371497</v>
      </c>
      <c r="BE59" s="33">
        <f>IF('IO model'!$D$57=0,0,'Z domestic'!BE59/'IO model'!$D$57)</f>
        <v>0.0005533700820491618</v>
      </c>
      <c r="BF59" s="33">
        <f>IF('IO model'!$D$58=0,0,'Z domestic'!BF59/'IO model'!$D$58)</f>
        <v>0.0027724003763295113</v>
      </c>
      <c r="BG59" s="33">
        <f>IF('IO model'!$D$59=0,0,'Z domestic'!BG59/'IO model'!$D$59)</f>
        <v>0.010151376158633095</v>
      </c>
      <c r="BH59" s="33">
        <f>IF('IO model'!$D$60=0,0,'Z domestic'!BH59/'IO model'!$D$60)</f>
        <v>0.002920967598338805</v>
      </c>
      <c r="BI59" s="33">
        <f>IF('IO model'!$D$61=0,0,'Z domestic'!BI59/'IO model'!$D$61)</f>
        <v>0.00038625788097756015</v>
      </c>
      <c r="BJ59" s="33">
        <f>IF('IO model'!$D$62=0,0,'Z domestic'!BJ59/'IO model'!$D$62)</f>
        <v>0.0005313933259528706</v>
      </c>
      <c r="BK59" s="33">
        <f>IF('IO model'!$D$63=0,0,'Z domestic'!BK59/'IO model'!$D$63)</f>
        <v>0.0002155913138572098</v>
      </c>
      <c r="BL59" s="33">
        <f>IF('IO model'!$D$64=0,0,'Z domestic'!BL59/'IO model'!$D$64)</f>
        <v>0.00024928436822589623</v>
      </c>
      <c r="BM59" s="33">
        <f>IF('IO model'!$D$65=0,0,'Z domestic'!BM59/'IO model'!$D$65)</f>
        <v>0</v>
      </c>
      <c r="BN59" s="33">
        <f>IF('IO model'!$D$66=0,0,'Z domestic'!BN59/'IO model'!$D$66)</f>
        <v>0</v>
      </c>
    </row>
    <row r="60" spans="1:66" x14ac:dyDescent="0.25">
      <c r="A60" s="30" t="s">
        <v>381</v>
      </c>
      <c r="B60" s="31" t="s">
        <v>382</v>
      </c>
      <c r="C60" s="33">
        <f>IF('IO model'!$D$3=0,0,'Z domestic'!C60/'IO model'!$D$3)</f>
        <v>0.0002714575875887147</v>
      </c>
      <c r="D60" s="33">
        <f>IF('IO model'!$D$4=0,0,'Z domestic'!D60/'IO model'!$D$4)</f>
        <v>0.0001281022768578433</v>
      </c>
      <c r="E60" s="33">
        <f>IF('IO model'!$D$5=0,0,'Z domestic'!E60/'IO model'!$D$5)</f>
        <v>0.001065569876271727</v>
      </c>
      <c r="F60" s="33">
        <f>IF('IO model'!$D$6=0,0,'Z domestic'!F60/'IO model'!$D$6)</f>
        <v>0.00032410476388095716</v>
      </c>
      <c r="G60" s="33">
        <f>IF('IO model'!$D$7=0,0,'Z domestic'!G60/'IO model'!$D$7)</f>
        <v>0.0007625791716700807</v>
      </c>
      <c r="H60" s="33">
        <f>IF('IO model'!$D$8=0,0,'Z domestic'!H60/'IO model'!$D$8)</f>
        <v>0.0013495614474255129</v>
      </c>
      <c r="I60" s="33">
        <f>IF('IO model'!$D$9=0,0,'Z domestic'!I60/'IO model'!$D$9)</f>
        <v>0.0003473736795981328</v>
      </c>
      <c r="J60" s="33">
        <f>IF('IO model'!$D$10=0,0,'Z domestic'!J60/'IO model'!$D$10)</f>
        <v>0.0008419648177065471</v>
      </c>
      <c r="K60" s="33">
        <f>IF('IO model'!$D$11=0,0,'Z domestic'!K60/'IO model'!$D$11)</f>
        <v>0.002704005254470778</v>
      </c>
      <c r="L60" s="33">
        <f>IF('IO model'!$D$12=0,0,'Z domestic'!L60/'IO model'!$D$12)</f>
        <v>0.00027919297800271597</v>
      </c>
      <c r="M60" s="33">
        <f>IF('IO model'!$D$13=0,0,'Z domestic'!M60/'IO model'!$D$13)</f>
        <v>0.00038025360220556546</v>
      </c>
      <c r="N60" s="33">
        <f>IF('IO model'!$D$14=0,0,'Z domestic'!N60/'IO model'!$D$14)</f>
        <v>0.0007398069989132994</v>
      </c>
      <c r="O60" s="33">
        <f>IF('IO model'!$D$15=0,0,'Z domestic'!O60/'IO model'!$D$15)</f>
        <v>0.00036856837672116533</v>
      </c>
      <c r="P60" s="33">
        <f>IF('IO model'!$D$16=0,0,'Z domestic'!P60/'IO model'!$D$16)</f>
        <v>0.0003638150389925447</v>
      </c>
      <c r="Q60" s="33">
        <f>IF('IO model'!$D$17=0,0,'Z domestic'!Q60/'IO model'!$D$17)</f>
        <v>0.000318656081881104</v>
      </c>
      <c r="R60" s="33">
        <f>IF('IO model'!$D$18=0,0,'Z domestic'!R60/'IO model'!$D$18)</f>
        <v>0.0002916625935764154</v>
      </c>
      <c r="S60" s="33">
        <f>IF('IO model'!$D$19=0,0,'Z domestic'!S60/'IO model'!$D$19)</f>
        <v>0.00021804509550451786</v>
      </c>
      <c r="T60" s="33">
        <f>IF('IO model'!$D$20=0,0,'Z domestic'!T60/'IO model'!$D$20)</f>
        <v>0.00038644118295122216</v>
      </c>
      <c r="U60" s="33">
        <f>IF('IO model'!$D$21=0,0,'Z domestic'!U60/'IO model'!$D$21)</f>
        <v>0.00021323138047134636</v>
      </c>
      <c r="V60" s="33">
        <f>IF('IO model'!$D$22=0,0,'Z domestic'!V60/'IO model'!$D$22)</f>
        <v>0.00017201841774770114</v>
      </c>
      <c r="W60" s="33">
        <f>IF('IO model'!$D$23=0,0,'Z domestic'!W60/'IO model'!$D$23)</f>
        <v>0.0004155362176090618</v>
      </c>
      <c r="X60" s="33">
        <f>IF('IO model'!$D$24=0,0,'Z domestic'!X60/'IO model'!$D$24)</f>
        <v>0.0006457507245051685</v>
      </c>
      <c r="Y60" s="33">
        <f>IF('IO model'!$D$25=0,0,'Z domestic'!Y60/'IO model'!$D$25)</f>
        <v>0.0005348346006764299</v>
      </c>
      <c r="Z60" s="33">
        <f>IF('IO model'!$D$26=0,0,'Z domestic'!Z60/'IO model'!$D$26)</f>
        <v>0.00023555213984117993</v>
      </c>
      <c r="AA60" s="33">
        <f>IF('IO model'!$D$27=0,0,'Z domestic'!AA60/'IO model'!$D$27)</f>
        <v>0.00041623724382522023</v>
      </c>
      <c r="AB60" s="33">
        <f>IF('IO model'!$D$28=0,0,'Z domestic'!AB60/'IO model'!$D$28)</f>
        <v>0.0004448147602816542</v>
      </c>
      <c r="AC60" s="33">
        <f>IF('IO model'!$D$29=0,0,'Z domestic'!AC60/'IO model'!$D$29)</f>
        <v>0.000528372097318925</v>
      </c>
      <c r="AD60" s="33">
        <f>IF('IO model'!$D$30=0,0,'Z domestic'!AD60/'IO model'!$D$30)</f>
        <v>0.0008408580197941326</v>
      </c>
      <c r="AE60" s="33">
        <f>IF('IO model'!$D$31=0,0,'Z domestic'!AE60/'IO model'!$D$31)</f>
        <v>0.00038128931620527246</v>
      </c>
      <c r="AF60" s="33">
        <f>IF('IO model'!$D$32=0,0,'Z domestic'!AF60/'IO model'!$D$32)</f>
        <v>0.0005242242734216777</v>
      </c>
      <c r="AG60" s="33">
        <f>IF('IO model'!$D$33=0,0,'Z domestic'!AG60/'IO model'!$D$33)</f>
        <v>0.00040160309699317006</v>
      </c>
      <c r="AH60" s="33">
        <f>IF('IO model'!$D$34=0,0,'Z domestic'!AH60/'IO model'!$D$34)</f>
        <v>0.00030551396932588257</v>
      </c>
      <c r="AI60" s="33">
        <f>IF('IO model'!$D$35=0,0,'Z domestic'!AI60/'IO model'!$D$35)</f>
        <v>0.0016975157303335243</v>
      </c>
      <c r="AJ60" s="33">
        <f>IF('IO model'!$D$36=0,0,'Z domestic'!AJ60/'IO model'!$D$36)</f>
        <v>0.0006801144495315848</v>
      </c>
      <c r="AK60" s="33">
        <f>IF('IO model'!$D$37=0,0,'Z domestic'!AK60/'IO model'!$D$37)</f>
        <v>0.00036134194923907064</v>
      </c>
      <c r="AL60" s="33">
        <f>IF('IO model'!$D$38=0,0,'Z domestic'!AL60/'IO model'!$D$38)</f>
        <v>0.005503193278371251</v>
      </c>
      <c r="AM60" s="33">
        <f>IF('IO model'!$D$39=0,0,'Z domestic'!AM60/'IO model'!$D$39)</f>
        <v>0.008040806846208838</v>
      </c>
      <c r="AN60" s="33">
        <f>IF('IO model'!$D$40=0,0,'Z domestic'!AN60/'IO model'!$D$40)</f>
        <v>0.020944683691585964</v>
      </c>
      <c r="AO60" s="33">
        <f>IF('IO model'!$D$41=0,0,'Z domestic'!AO60/'IO model'!$D$41)</f>
        <v>0.001039050648056296</v>
      </c>
      <c r="AP60" s="33">
        <f>IF('IO model'!$D$42=0,0,'Z domestic'!AP60/'IO model'!$D$42)</f>
        <v>0.0006995307310898998</v>
      </c>
      <c r="AQ60" s="33">
        <f>IF('IO model'!$D$43=0,0,'Z domestic'!AQ60/'IO model'!$D$43)</f>
        <v>0.000538800787157271</v>
      </c>
      <c r="AR60" s="33">
        <f>IF('IO model'!$D$44=0,0,'Z domestic'!AR60/'IO model'!$D$44)</f>
        <v>0.0001647614411366695</v>
      </c>
      <c r="AS60" s="33">
        <f>IF('IO model'!$D$45=0,0,'Z domestic'!AS60/'IO model'!$D$45)</f>
        <v>0.00030194303555539857</v>
      </c>
      <c r="AT60" s="33">
        <f>IF('IO model'!$D$46=0,0,'Z domestic'!AT60/'IO model'!$D$46)</f>
        <v>0.00012889692684686817</v>
      </c>
      <c r="AU60" s="33">
        <f>IF('IO model'!$D$47=0,0,'Z domestic'!AU60/'IO model'!$D$47)</f>
        <v>0.0009101794590636183</v>
      </c>
      <c r="AV60" s="33">
        <f>IF('IO model'!$D$48=0,0,'Z domestic'!AV60/'IO model'!$D$48)</f>
        <v>0.0004330778723967938</v>
      </c>
      <c r="AW60" s="33">
        <f>IF('IO model'!$D$49=0,0,'Z domestic'!AW60/'IO model'!$D$49)</f>
        <v>0.0005615486199708516</v>
      </c>
      <c r="AX60" s="33">
        <f>IF('IO model'!$D$50=0,0,'Z domestic'!AX60/'IO model'!$D$50)</f>
        <v>0.0028419110939938777</v>
      </c>
      <c r="AY60" s="33">
        <f>IF('IO model'!$D$51=0,0,'Z domestic'!AY60/'IO model'!$D$51)</f>
        <v>0.0030368315683004434</v>
      </c>
      <c r="AZ60" s="33">
        <f>IF('IO model'!$D$52=0,0,'Z domestic'!AZ60/'IO model'!$D$52)</f>
        <v>0.0005667180187016946</v>
      </c>
      <c r="BA60" s="33">
        <f>IF('IO model'!$D$53=0,0,'Z domestic'!BA60/'IO model'!$D$53)</f>
        <v>0.0007454454186667949</v>
      </c>
      <c r="BB60" s="33">
        <f>IF('IO model'!$D$54=0,0,'Z domestic'!BB60/'IO model'!$D$54)</f>
        <v>0.00465762320801577</v>
      </c>
      <c r="BC60" s="33">
        <f>IF('IO model'!$D$55=0,0,'Z domestic'!BC60/'IO model'!$D$55)</f>
        <v>0.001590526984891169</v>
      </c>
      <c r="BD60" s="33">
        <f>IF('IO model'!$D$56=0,0,'Z domestic'!BD60/'IO model'!$D$56)</f>
        <v>0.0011067778939005124</v>
      </c>
      <c r="BE60" s="33">
        <f>IF('IO model'!$D$57=0,0,'Z domestic'!BE60/'IO model'!$D$57)</f>
        <v>0.0011891367045450696</v>
      </c>
      <c r="BF60" s="33">
        <f>IF('IO model'!$D$58=0,0,'Z domestic'!BF60/'IO model'!$D$58)</f>
        <v>0.00020187845832469583</v>
      </c>
      <c r="BG60" s="33">
        <f>IF('IO model'!$D$59=0,0,'Z domestic'!BG60/'IO model'!$D$59)</f>
        <v>0.0005654612714357958</v>
      </c>
      <c r="BH60" s="33">
        <f>IF('IO model'!$D$60=0,0,'Z domestic'!BH60/'IO model'!$D$60)</f>
        <v>0.08500395397675793</v>
      </c>
      <c r="BI60" s="33">
        <f>IF('IO model'!$D$61=0,0,'Z domestic'!BI60/'IO model'!$D$61)</f>
        <v>0.017393894667475856</v>
      </c>
      <c r="BJ60" s="33">
        <f>IF('IO model'!$D$62=0,0,'Z domestic'!BJ60/'IO model'!$D$62)</f>
        <v>0.004109096660100931</v>
      </c>
      <c r="BK60" s="33">
        <f>IF('IO model'!$D$63=0,0,'Z domestic'!BK60/'IO model'!$D$63)</f>
        <v>0.0017559756288079988</v>
      </c>
      <c r="BL60" s="33">
        <f>IF('IO model'!$D$64=0,0,'Z domestic'!BL60/'IO model'!$D$64)</f>
        <v>0.0009191698087988897</v>
      </c>
      <c r="BM60" s="33">
        <f>IF('IO model'!$D$65=0,0,'Z domestic'!BM60/'IO model'!$D$65)</f>
        <v>0</v>
      </c>
      <c r="BN60" s="33">
        <f>IF('IO model'!$D$66=0,0,'Z domestic'!BN60/'IO model'!$D$66)</f>
        <v>0</v>
      </c>
    </row>
    <row r="61" spans="1:66" x14ac:dyDescent="0.25">
      <c r="A61" s="30" t="s">
        <v>384</v>
      </c>
      <c r="B61" s="31" t="s">
        <v>385</v>
      </c>
      <c r="C61" s="33">
        <f>IF('IO model'!$D$3=0,0,'Z domestic'!C61/'IO model'!$D$3)</f>
        <v>0.00015955770743156608</v>
      </c>
      <c r="D61" s="33">
        <f>IF('IO model'!$D$4=0,0,'Z domestic'!D61/'IO model'!$D$4)</f>
        <v>0.0004563643613060667</v>
      </c>
      <c r="E61" s="33">
        <f>IF('IO model'!$D$5=0,0,'Z domestic'!E61/'IO model'!$D$5)</f>
        <v>0.0011062922919254235</v>
      </c>
      <c r="F61" s="33">
        <f>IF('IO model'!$D$6=0,0,'Z domestic'!F61/'IO model'!$D$6)</f>
        <v>0.0005251782576201346</v>
      </c>
      <c r="G61" s="33">
        <f>IF('IO model'!$D$7=0,0,'Z domestic'!G61/'IO model'!$D$7)</f>
        <v>0.0007778837324291869</v>
      </c>
      <c r="H61" s="33">
        <f>IF('IO model'!$D$8=0,0,'Z domestic'!H61/'IO model'!$D$8)</f>
        <v>0.0007751304766371722</v>
      </c>
      <c r="I61" s="33">
        <f>IF('IO model'!$D$9=0,0,'Z domestic'!I61/'IO model'!$D$9)</f>
        <v>0.0003762271937015608</v>
      </c>
      <c r="J61" s="33">
        <f>IF('IO model'!$D$10=0,0,'Z domestic'!J61/'IO model'!$D$10)</f>
        <v>0.0005084068707557105</v>
      </c>
      <c r="K61" s="33">
        <f>IF('IO model'!$D$11=0,0,'Z domestic'!K61/'IO model'!$D$11)</f>
        <v>0.0012112578742424307</v>
      </c>
      <c r="L61" s="33">
        <f>IF('IO model'!$D$12=0,0,'Z domestic'!L61/'IO model'!$D$12)</f>
        <v>0.00024998792306690554</v>
      </c>
      <c r="M61" s="33">
        <f>IF('IO model'!$D$13=0,0,'Z domestic'!M61/'IO model'!$D$13)</f>
        <v>0.0003249411221499693</v>
      </c>
      <c r="N61" s="33">
        <f>IF('IO model'!$D$14=0,0,'Z domestic'!N61/'IO model'!$D$14)</f>
        <v>0.000556268121772932</v>
      </c>
      <c r="O61" s="33">
        <f>IF('IO model'!$D$15=0,0,'Z domestic'!O61/'IO model'!$D$15)</f>
        <v>0.0003256855161596913</v>
      </c>
      <c r="P61" s="33">
        <f>IF('IO model'!$D$16=0,0,'Z domestic'!P61/'IO model'!$D$16)</f>
        <v>0.0003679535761475788</v>
      </c>
      <c r="Q61" s="33">
        <f>IF('IO model'!$D$17=0,0,'Z domestic'!Q61/'IO model'!$D$17)</f>
        <v>0.00025786508371675377</v>
      </c>
      <c r="R61" s="33">
        <f>IF('IO model'!$D$18=0,0,'Z domestic'!R61/'IO model'!$D$18)</f>
        <v>0.00030174199203791515</v>
      </c>
      <c r="S61" s="33">
        <f>IF('IO model'!$D$19=0,0,'Z domestic'!S61/'IO model'!$D$19)</f>
        <v>0.00029719495452840605</v>
      </c>
      <c r="T61" s="33">
        <f>IF('IO model'!$D$20=0,0,'Z domestic'!T61/'IO model'!$D$20)</f>
        <v>0.0003695716887323978</v>
      </c>
      <c r="U61" s="33">
        <f>IF('IO model'!$D$21=0,0,'Z domestic'!U61/'IO model'!$D$21)</f>
        <v>0.0003506612197543625</v>
      </c>
      <c r="V61" s="33">
        <f>IF('IO model'!$D$22=0,0,'Z domestic'!V61/'IO model'!$D$22)</f>
        <v>0.00030787123823308233</v>
      </c>
      <c r="W61" s="33">
        <f>IF('IO model'!$D$23=0,0,'Z domestic'!W61/'IO model'!$D$23)</f>
        <v>0.0005921574317956294</v>
      </c>
      <c r="X61" s="33">
        <f>IF('IO model'!$D$24=0,0,'Z domestic'!X61/'IO model'!$D$24)</f>
        <v>0.0005628889058739742</v>
      </c>
      <c r="Y61" s="33">
        <f>IF('IO model'!$D$25=0,0,'Z domestic'!Y61/'IO model'!$D$25)</f>
        <v>0.0006033615510284517</v>
      </c>
      <c r="Z61" s="33">
        <f>IF('IO model'!$D$26=0,0,'Z domestic'!Z61/'IO model'!$D$26)</f>
        <v>0.00031368258804475555</v>
      </c>
      <c r="AA61" s="33">
        <f>IF('IO model'!$D$27=0,0,'Z domestic'!AA61/'IO model'!$D$27)</f>
        <v>0.0008894932881744433</v>
      </c>
      <c r="AB61" s="33">
        <f>IF('IO model'!$D$28=0,0,'Z domestic'!AB61/'IO model'!$D$28)</f>
        <v>0.0006188876672441576</v>
      </c>
      <c r="AC61" s="33">
        <f>IF('IO model'!$D$29=0,0,'Z domestic'!AC61/'IO model'!$D$29)</f>
        <v>0.0005714170032573533</v>
      </c>
      <c r="AD61" s="33">
        <f>IF('IO model'!$D$30=0,0,'Z domestic'!AD61/'IO model'!$D$30)</f>
        <v>0.000752243005998498</v>
      </c>
      <c r="AE61" s="33">
        <f>IF('IO model'!$D$31=0,0,'Z domestic'!AE61/'IO model'!$D$31)</f>
        <v>0.002184299822314639</v>
      </c>
      <c r="AF61" s="33">
        <f>IF('IO model'!$D$32=0,0,'Z domestic'!AF61/'IO model'!$D$32)</f>
        <v>0.0008241633488545708</v>
      </c>
      <c r="AG61" s="33">
        <f>IF('IO model'!$D$33=0,0,'Z domestic'!AG61/'IO model'!$D$33)</f>
        <v>0.0006187873580887993</v>
      </c>
      <c r="AH61" s="33">
        <f>IF('IO model'!$D$34=0,0,'Z domestic'!AH61/'IO model'!$D$34)</f>
        <v>0.0005938642325098617</v>
      </c>
      <c r="AI61" s="33">
        <f>IF('IO model'!$D$35=0,0,'Z domestic'!AI61/'IO model'!$D$35)</f>
        <v>0.0006358566190775967</v>
      </c>
      <c r="AJ61" s="33">
        <f>IF('IO model'!$D$36=0,0,'Z domestic'!AJ61/'IO model'!$D$36)</f>
        <v>0.0008288242770114916</v>
      </c>
      <c r="AK61" s="33">
        <f>IF('IO model'!$D$37=0,0,'Z domestic'!AK61/'IO model'!$D$37)</f>
        <v>0.0005953143225011508</v>
      </c>
      <c r="AL61" s="33">
        <f>IF('IO model'!$D$38=0,0,'Z domestic'!AL61/'IO model'!$D$38)</f>
        <v>0.004126944320612833</v>
      </c>
      <c r="AM61" s="33">
        <f>IF('IO model'!$D$39=0,0,'Z domestic'!AM61/'IO model'!$D$39)</f>
        <v>0.0007117157908721434</v>
      </c>
      <c r="AN61" s="33">
        <f>IF('IO model'!$D$40=0,0,'Z domestic'!AN61/'IO model'!$D$40)</f>
        <v>0.008037506431859374</v>
      </c>
      <c r="AO61" s="33">
        <f>IF('IO model'!$D$41=0,0,'Z domestic'!AO61/'IO model'!$D$41)</f>
        <v>0.0012832769183233012</v>
      </c>
      <c r="AP61" s="33">
        <f>IF('IO model'!$D$42=0,0,'Z domestic'!AP61/'IO model'!$D$42)</f>
        <v>0.0006861043858426808</v>
      </c>
      <c r="AQ61" s="33">
        <f>IF('IO model'!$D$43=0,0,'Z domestic'!AQ61/'IO model'!$D$43)</f>
        <v>0.0009056311273459735</v>
      </c>
      <c r="AR61" s="33">
        <f>IF('IO model'!$D$44=0,0,'Z domestic'!AR61/'IO model'!$D$44)</f>
        <v>0.0004571444524124839</v>
      </c>
      <c r="AS61" s="33">
        <f>IF('IO model'!$D$45=0,0,'Z domestic'!AS61/'IO model'!$D$45)</f>
        <v>0.0005210123443306983</v>
      </c>
      <c r="AT61" s="33">
        <f>IF('IO model'!$D$46=0,0,'Z domestic'!AT61/'IO model'!$D$46)</f>
        <v>0.00017945032052558836</v>
      </c>
      <c r="AU61" s="33">
        <f>IF('IO model'!$D$47=0,0,'Z domestic'!AU61/'IO model'!$D$47)</f>
        <v>0.0008373368824541282</v>
      </c>
      <c r="AV61" s="33">
        <f>IF('IO model'!$D$48=0,0,'Z domestic'!AV61/'IO model'!$D$48)</f>
        <v>0.0005907431946339376</v>
      </c>
      <c r="AW61" s="33">
        <f>IF('IO model'!$D$49=0,0,'Z domestic'!AW61/'IO model'!$D$49)</f>
        <v>0.0004748119585830406</v>
      </c>
      <c r="AX61" s="33">
        <f>IF('IO model'!$D$50=0,0,'Z domestic'!AX61/'IO model'!$D$50)</f>
        <v>0.003977053899012831</v>
      </c>
      <c r="AY61" s="33">
        <f>IF('IO model'!$D$51=0,0,'Z domestic'!AY61/'IO model'!$D$51)</f>
        <v>0.0013721661052235716</v>
      </c>
      <c r="AZ61" s="33">
        <f>IF('IO model'!$D$52=0,0,'Z domestic'!AZ61/'IO model'!$D$52)</f>
        <v>0.0012460739577871073</v>
      </c>
      <c r="BA61" s="33">
        <f>IF('IO model'!$D$53=0,0,'Z domestic'!BA61/'IO model'!$D$53)</f>
        <v>0.0005900011550968757</v>
      </c>
      <c r="BB61" s="33">
        <f>IF('IO model'!$D$54=0,0,'Z domestic'!BB61/'IO model'!$D$54)</f>
        <v>0.0052623642823007915</v>
      </c>
      <c r="BC61" s="33">
        <f>IF('IO model'!$D$55=0,0,'Z domestic'!BC61/'IO model'!$D$55)</f>
        <v>0.0015460191847424753</v>
      </c>
      <c r="BD61" s="33">
        <f>IF('IO model'!$D$56=0,0,'Z domestic'!BD61/'IO model'!$D$56)</f>
        <v>0.004200813781069309</v>
      </c>
      <c r="BE61" s="33">
        <f>IF('IO model'!$D$57=0,0,'Z domestic'!BE61/'IO model'!$D$57)</f>
        <v>0.002023163383231605</v>
      </c>
      <c r="BF61" s="33">
        <f>IF('IO model'!$D$58=0,0,'Z domestic'!BF61/'IO model'!$D$58)</f>
        <v>0.0005337181674666327</v>
      </c>
      <c r="BG61" s="33">
        <f>IF('IO model'!$D$59=0,0,'Z domestic'!BG61/'IO model'!$D$59)</f>
        <v>0.0010119654260822607</v>
      </c>
      <c r="BH61" s="33">
        <f>IF('IO model'!$D$60=0,0,'Z domestic'!BH61/'IO model'!$D$60)</f>
        <v>0.021522115211725413</v>
      </c>
      <c r="BI61" s="33">
        <f>IF('IO model'!$D$61=0,0,'Z domestic'!BI61/'IO model'!$D$61)</f>
        <v>0.0990330092473648</v>
      </c>
      <c r="BJ61" s="33">
        <f>IF('IO model'!$D$62=0,0,'Z domestic'!BJ61/'IO model'!$D$62)</f>
        <v>0.008965824622949406</v>
      </c>
      <c r="BK61" s="33">
        <f>IF('IO model'!$D$63=0,0,'Z domestic'!BK61/'IO model'!$D$63)</f>
        <v>0.0011373222933916576</v>
      </c>
      <c r="BL61" s="33">
        <f>IF('IO model'!$D$64=0,0,'Z domestic'!BL61/'IO model'!$D$64)</f>
        <v>0.0033085869978577457</v>
      </c>
      <c r="BM61" s="33">
        <f>IF('IO model'!$D$65=0,0,'Z domestic'!BM61/'IO model'!$D$65)</f>
        <v>0</v>
      </c>
      <c r="BN61" s="33">
        <f>IF('IO model'!$D$66=0,0,'Z domestic'!BN61/'IO model'!$D$66)</f>
        <v>0</v>
      </c>
    </row>
    <row r="62" spans="1:66" x14ac:dyDescent="0.25">
      <c r="A62" s="30" t="s">
        <v>386</v>
      </c>
      <c r="B62" s="31" t="s">
        <v>387</v>
      </c>
      <c r="C62" s="33">
        <f>IF('IO model'!$D$3=0,0,'Z domestic'!C62/'IO model'!$D$3)</f>
        <v>0.0015187659241297864</v>
      </c>
      <c r="D62" s="33">
        <f>IF('IO model'!$D$4=0,0,'Z domestic'!D62/'IO model'!$D$4)</f>
        <v>0.0004979976012848658</v>
      </c>
      <c r="E62" s="33">
        <f>IF('IO model'!$D$5=0,0,'Z domestic'!E62/'IO model'!$D$5)</f>
        <v>0.016994821466142705</v>
      </c>
      <c r="F62" s="33">
        <f>IF('IO model'!$D$6=0,0,'Z domestic'!F62/'IO model'!$D$6)</f>
        <v>0.0010696375351878615</v>
      </c>
      <c r="G62" s="33">
        <f>IF('IO model'!$D$7=0,0,'Z domestic'!G62/'IO model'!$D$7)</f>
        <v>0.0009221733653551834</v>
      </c>
      <c r="H62" s="33">
        <f>IF('IO model'!$D$8=0,0,'Z domestic'!H62/'IO model'!$D$8)</f>
        <v>0.0011431527652615067</v>
      </c>
      <c r="I62" s="33">
        <f>IF('IO model'!$D$9=0,0,'Z domestic'!I62/'IO model'!$D$9)</f>
        <v>0.0006500527000948772</v>
      </c>
      <c r="J62" s="33">
        <f>IF('IO model'!$D$10=0,0,'Z domestic'!J62/'IO model'!$D$10)</f>
        <v>0.0009912588988014778</v>
      </c>
      <c r="K62" s="33">
        <f>IF('IO model'!$D$11=0,0,'Z domestic'!K62/'IO model'!$D$11)</f>
        <v>0.002040088086312075</v>
      </c>
      <c r="L62" s="33">
        <f>IF('IO model'!$D$12=0,0,'Z domestic'!L62/'IO model'!$D$12)</f>
        <v>0.0012914512028533527</v>
      </c>
      <c r="M62" s="33">
        <f>IF('IO model'!$D$13=0,0,'Z domestic'!M62/'IO model'!$D$13)</f>
        <v>0.0009533917502460303</v>
      </c>
      <c r="N62" s="33">
        <f>IF('IO model'!$D$14=0,0,'Z domestic'!N62/'IO model'!$D$14)</f>
        <v>0.0008571427033608071</v>
      </c>
      <c r="O62" s="33">
        <f>IF('IO model'!$D$15=0,0,'Z domestic'!O62/'IO model'!$D$15)</f>
        <v>0.0006684681205170945</v>
      </c>
      <c r="P62" s="33">
        <f>IF('IO model'!$D$16=0,0,'Z domestic'!P62/'IO model'!$D$16)</f>
        <v>0.0009499823924055587</v>
      </c>
      <c r="Q62" s="33">
        <f>IF('IO model'!$D$17=0,0,'Z domestic'!Q62/'IO model'!$D$17)</f>
        <v>0.0007849190645338167</v>
      </c>
      <c r="R62" s="33">
        <f>IF('IO model'!$D$18=0,0,'Z domestic'!R62/'IO model'!$D$18)</f>
        <v>0.0007162772525735663</v>
      </c>
      <c r="S62" s="33">
        <f>IF('IO model'!$D$19=0,0,'Z domestic'!S62/'IO model'!$D$19)</f>
        <v>0.0005897941107909089</v>
      </c>
      <c r="T62" s="33">
        <f>IF('IO model'!$D$20=0,0,'Z domestic'!T62/'IO model'!$D$20)</f>
        <v>0.0006791917903178967</v>
      </c>
      <c r="U62" s="33">
        <f>IF('IO model'!$D$21=0,0,'Z domestic'!U62/'IO model'!$D$21)</f>
        <v>0.0005394690652518395</v>
      </c>
      <c r="V62" s="33">
        <f>IF('IO model'!$D$22=0,0,'Z domestic'!V62/'IO model'!$D$22)</f>
        <v>0.0004059820123447092</v>
      </c>
      <c r="W62" s="33">
        <f>IF('IO model'!$D$23=0,0,'Z domestic'!W62/'IO model'!$D$23)</f>
        <v>0.0006082805301861044</v>
      </c>
      <c r="X62" s="33">
        <f>IF('IO model'!$D$24=0,0,'Z domestic'!X62/'IO model'!$D$24)</f>
        <v>0.0008961219954554578</v>
      </c>
      <c r="Y62" s="33">
        <f>IF('IO model'!$D$25=0,0,'Z domestic'!Y62/'IO model'!$D$25)</f>
        <v>0.0008571951067702599</v>
      </c>
      <c r="Z62" s="33">
        <f>IF('IO model'!$D$26=0,0,'Z domestic'!Z62/'IO model'!$D$26)</f>
        <v>0.000769875113612833</v>
      </c>
      <c r="AA62" s="33">
        <f>IF('IO model'!$D$27=0,0,'Z domestic'!AA62/'IO model'!$D$27)</f>
        <v>0.00225936997076361</v>
      </c>
      <c r="AB62" s="33">
        <f>IF('IO model'!$D$28=0,0,'Z domestic'!AB62/'IO model'!$D$28)</f>
        <v>0.0019492037368568076</v>
      </c>
      <c r="AC62" s="33">
        <f>IF('IO model'!$D$29=0,0,'Z domestic'!AC62/'IO model'!$D$29)</f>
        <v>0.0010853583370911731</v>
      </c>
      <c r="AD62" s="33">
        <f>IF('IO model'!$D$30=0,0,'Z domestic'!AD62/'IO model'!$D$30)</f>
        <v>0.00220429846816641</v>
      </c>
      <c r="AE62" s="33">
        <f>IF('IO model'!$D$31=0,0,'Z domestic'!AE62/'IO model'!$D$31)</f>
        <v>0.0015475693600444653</v>
      </c>
      <c r="AF62" s="33">
        <f>IF('IO model'!$D$32=0,0,'Z domestic'!AF62/'IO model'!$D$32)</f>
        <v>0.0023739972627213825</v>
      </c>
      <c r="AG62" s="33">
        <f>IF('IO model'!$D$33=0,0,'Z domestic'!AG62/'IO model'!$D$33)</f>
        <v>0.0012133567932050982</v>
      </c>
      <c r="AH62" s="33">
        <f>IF('IO model'!$D$34=0,0,'Z domestic'!AH62/'IO model'!$D$34)</f>
        <v>0.00046127460256365697</v>
      </c>
      <c r="AI62" s="33">
        <f>IF('IO model'!$D$35=0,0,'Z domestic'!AI62/'IO model'!$D$35)</f>
        <v>0.0005574026680670275</v>
      </c>
      <c r="AJ62" s="33">
        <f>IF('IO model'!$D$36=0,0,'Z domestic'!AJ62/'IO model'!$D$36)</f>
        <v>0.001743758360580572</v>
      </c>
      <c r="AK62" s="33">
        <f>IF('IO model'!$D$37=0,0,'Z domestic'!AK62/'IO model'!$D$37)</f>
        <v>0.0008154421766352973</v>
      </c>
      <c r="AL62" s="33">
        <f>IF('IO model'!$D$38=0,0,'Z domestic'!AL62/'IO model'!$D$38)</f>
        <v>0.00148124765034444</v>
      </c>
      <c r="AM62" s="33">
        <f>IF('IO model'!$D$39=0,0,'Z domestic'!AM62/'IO model'!$D$39)</f>
        <v>0.0021053230918560736</v>
      </c>
      <c r="AN62" s="33">
        <f>IF('IO model'!$D$40=0,0,'Z domestic'!AN62/'IO model'!$D$40)</f>
        <v>0.0015871047593441585</v>
      </c>
      <c r="AO62" s="33">
        <f>IF('IO model'!$D$41=0,0,'Z domestic'!AO62/'IO model'!$D$41)</f>
        <v>0.003370090209808081</v>
      </c>
      <c r="AP62" s="33">
        <f>IF('IO model'!$D$42=0,0,'Z domestic'!AP62/'IO model'!$D$42)</f>
        <v>0.0013686707482756216</v>
      </c>
      <c r="AQ62" s="33">
        <f>IF('IO model'!$D$43=0,0,'Z domestic'!AQ62/'IO model'!$D$43)</f>
        <v>0.0012405840188283073</v>
      </c>
      <c r="AR62" s="33">
        <f>IF('IO model'!$D$44=0,0,'Z domestic'!AR62/'IO model'!$D$44)</f>
        <v>0.0011705290886199697</v>
      </c>
      <c r="AS62" s="33">
        <f>IF('IO model'!$D$45=0,0,'Z domestic'!AS62/'IO model'!$D$45)</f>
        <v>0.002896725845360196</v>
      </c>
      <c r="AT62" s="33">
        <f>IF('IO model'!$D$46=0,0,'Z domestic'!AT62/'IO model'!$D$46)</f>
        <v>0.00028866651718796414</v>
      </c>
      <c r="AU62" s="33">
        <f>IF('IO model'!$D$47=0,0,'Z domestic'!AU62/'IO model'!$D$47)</f>
        <v>0.0038415199511937104</v>
      </c>
      <c r="AV62" s="33">
        <f>IF('IO model'!$D$48=0,0,'Z domestic'!AV62/'IO model'!$D$48)</f>
        <v>0.0021803307715877723</v>
      </c>
      <c r="AW62" s="33">
        <f>IF('IO model'!$D$49=0,0,'Z domestic'!AW62/'IO model'!$D$49)</f>
        <v>0.001994943211919653</v>
      </c>
      <c r="AX62" s="33">
        <f>IF('IO model'!$D$50=0,0,'Z domestic'!AX62/'IO model'!$D$50)</f>
        <v>0.003230523758365162</v>
      </c>
      <c r="AY62" s="33">
        <f>IF('IO model'!$D$51=0,0,'Z domestic'!AY62/'IO model'!$D$51)</f>
        <v>0.00254830848112949</v>
      </c>
      <c r="AZ62" s="33">
        <f>IF('IO model'!$D$52=0,0,'Z domestic'!AZ62/'IO model'!$D$52)</f>
        <v>0.0010878380358986552</v>
      </c>
      <c r="BA62" s="33">
        <f>IF('IO model'!$D$53=0,0,'Z domestic'!BA62/'IO model'!$D$53)</f>
        <v>0.0016643700707099638</v>
      </c>
      <c r="BB62" s="33">
        <f>IF('IO model'!$D$54=0,0,'Z domestic'!BB62/'IO model'!$D$54)</f>
        <v>0.0020902659823571973</v>
      </c>
      <c r="BC62" s="33">
        <f>IF('IO model'!$D$55=0,0,'Z domestic'!BC62/'IO model'!$D$55)</f>
        <v>0.0025932062290860355</v>
      </c>
      <c r="BD62" s="33">
        <f>IF('IO model'!$D$56=0,0,'Z domestic'!BD62/'IO model'!$D$56)</f>
        <v>0.0006895435105017909</v>
      </c>
      <c r="BE62" s="33">
        <f>IF('IO model'!$D$57=0,0,'Z domestic'!BE62/'IO model'!$D$57)</f>
        <v>0.0014112260944124555</v>
      </c>
      <c r="BF62" s="33">
        <f>IF('IO model'!$D$58=0,0,'Z domestic'!BF62/'IO model'!$D$58)</f>
        <v>0.0018842786751925502</v>
      </c>
      <c r="BG62" s="33">
        <f>IF('IO model'!$D$59=0,0,'Z domestic'!BG62/'IO model'!$D$59)</f>
        <v>0.0023396743931619387</v>
      </c>
      <c r="BH62" s="33">
        <f>IF('IO model'!$D$60=0,0,'Z domestic'!BH62/'IO model'!$D$60)</f>
        <v>0.003285815784833836</v>
      </c>
      <c r="BI62" s="33">
        <f>IF('IO model'!$D$61=0,0,'Z domestic'!BI62/'IO model'!$D$61)</f>
        <v>0.00360975546949938</v>
      </c>
      <c r="BJ62" s="33">
        <f>IF('IO model'!$D$62=0,0,'Z domestic'!BJ62/'IO model'!$D$62)</f>
        <v>0.012180639224763852</v>
      </c>
      <c r="BK62" s="33">
        <f>IF('IO model'!$D$63=0,0,'Z domestic'!BK62/'IO model'!$D$63)</f>
        <v>0.0013779097016091235</v>
      </c>
      <c r="BL62" s="33">
        <f>IF('IO model'!$D$64=0,0,'Z domestic'!BL62/'IO model'!$D$64)</f>
        <v>0.0024546554386158464</v>
      </c>
      <c r="BM62" s="33">
        <f>IF('IO model'!$D$65=0,0,'Z domestic'!BM62/'IO model'!$D$65)</f>
        <v>0</v>
      </c>
      <c r="BN62" s="33">
        <f>IF('IO model'!$D$66=0,0,'Z domestic'!BN62/'IO model'!$D$66)</f>
        <v>0</v>
      </c>
    </row>
    <row r="63" spans="1:66" x14ac:dyDescent="0.25">
      <c r="A63" s="30" t="s">
        <v>389</v>
      </c>
      <c r="B63" s="31" t="s">
        <v>390</v>
      </c>
      <c r="C63" s="33">
        <f>IF('IO model'!$D$3=0,0,'Z domestic'!C63/'IO model'!$D$3)</f>
        <v>0.00011294730493241055</v>
      </c>
      <c r="D63" s="33">
        <f>IF('IO model'!$D$4=0,0,'Z domestic'!D63/'IO model'!$D$4)</f>
        <v>0.0004483579690024515</v>
      </c>
      <c r="E63" s="33">
        <f>IF('IO model'!$D$5=0,0,'Z domestic'!E63/'IO model'!$D$5)</f>
        <v>0.004336937267118685</v>
      </c>
      <c r="F63" s="33">
        <f>IF('IO model'!$D$6=0,0,'Z domestic'!F63/'IO model'!$D$6)</f>
        <v>0.00033879506479340846</v>
      </c>
      <c r="G63" s="33">
        <f>IF('IO model'!$D$7=0,0,'Z domestic'!G63/'IO model'!$D$7)</f>
        <v>0.00031639236184690723</v>
      </c>
      <c r="H63" s="33">
        <f>IF('IO model'!$D$8=0,0,'Z domestic'!H63/'IO model'!$D$8)</f>
        <v>0.0003605564426737214</v>
      </c>
      <c r="I63" s="33">
        <f>IF('IO model'!$D$9=0,0,'Z domestic'!I63/'IO model'!$D$9)</f>
        <v>0.00036887237638107915</v>
      </c>
      <c r="J63" s="33">
        <f>IF('IO model'!$D$10=0,0,'Z domestic'!J63/'IO model'!$D$10)</f>
        <v>0.0004438472681200647</v>
      </c>
      <c r="K63" s="33">
        <f>IF('IO model'!$D$11=0,0,'Z domestic'!K63/'IO model'!$D$11)</f>
        <v>0.0005729306611733562</v>
      </c>
      <c r="L63" s="33">
        <f>IF('IO model'!$D$12=0,0,'Z domestic'!L63/'IO model'!$D$12)</f>
        <v>0.0002801113759566723</v>
      </c>
      <c r="M63" s="33">
        <f>IF('IO model'!$D$13=0,0,'Z domestic'!M63/'IO model'!$D$13)</f>
        <v>0.0002418936093599432</v>
      </c>
      <c r="N63" s="33">
        <f>IF('IO model'!$D$14=0,0,'Z domestic'!N63/'IO model'!$D$14)</f>
        <v>0.0002467817453632214</v>
      </c>
      <c r="O63" s="33">
        <f>IF('IO model'!$D$15=0,0,'Z domestic'!O63/'IO model'!$D$15)</f>
        <v>0.00027859845358238657</v>
      </c>
      <c r="P63" s="33">
        <f>IF('IO model'!$D$16=0,0,'Z domestic'!P63/'IO model'!$D$16)</f>
        <v>0.0005022679183609587</v>
      </c>
      <c r="Q63" s="33">
        <f>IF('IO model'!$D$17=0,0,'Z domestic'!Q63/'IO model'!$D$17)</f>
        <v>0.00020382864090399795</v>
      </c>
      <c r="R63" s="33">
        <f>IF('IO model'!$D$18=0,0,'Z domestic'!R63/'IO model'!$D$18)</f>
        <v>0.0002943824312565026</v>
      </c>
      <c r="S63" s="33">
        <f>IF('IO model'!$D$19=0,0,'Z domestic'!S63/'IO model'!$D$19)</f>
        <v>0.0008622228191086144</v>
      </c>
      <c r="T63" s="33">
        <f>IF('IO model'!$D$20=0,0,'Z domestic'!T63/'IO model'!$D$20)</f>
        <v>0.0004894748630261954</v>
      </c>
      <c r="U63" s="33">
        <f>IF('IO model'!$D$21=0,0,'Z domestic'!U63/'IO model'!$D$21)</f>
        <v>0.00034610553447426246</v>
      </c>
      <c r="V63" s="33">
        <f>IF('IO model'!$D$22=0,0,'Z domestic'!V63/'IO model'!$D$22)</f>
        <v>0.00031779359440505217</v>
      </c>
      <c r="W63" s="33">
        <f>IF('IO model'!$D$23=0,0,'Z domestic'!W63/'IO model'!$D$23)</f>
        <v>0.0007105156313438895</v>
      </c>
      <c r="X63" s="33">
        <f>IF('IO model'!$D$24=0,0,'Z domestic'!X63/'IO model'!$D$24)</f>
        <v>0.0008507622930151058</v>
      </c>
      <c r="Y63" s="33">
        <f>IF('IO model'!$D$25=0,0,'Z domestic'!Y63/'IO model'!$D$25)</f>
        <v>0.0011495497292779975</v>
      </c>
      <c r="Z63" s="33">
        <f>IF('IO model'!$D$26=0,0,'Z domestic'!Z63/'IO model'!$D$26)</f>
        <v>0.00026100034297034456</v>
      </c>
      <c r="AA63" s="33">
        <f>IF('IO model'!$D$27=0,0,'Z domestic'!AA63/'IO model'!$D$27)</f>
        <v>0.0010377421695368504</v>
      </c>
      <c r="AB63" s="33">
        <f>IF('IO model'!$D$28=0,0,'Z domestic'!AB63/'IO model'!$D$28)</f>
        <v>0.00034573769070615805</v>
      </c>
      <c r="AC63" s="33">
        <f>IF('IO model'!$D$29=0,0,'Z domestic'!AC63/'IO model'!$D$29)</f>
        <v>0.0001835180807777242</v>
      </c>
      <c r="AD63" s="33">
        <f>IF('IO model'!$D$30=0,0,'Z domestic'!AD63/'IO model'!$D$30)</f>
        <v>0.00026338351322591387</v>
      </c>
      <c r="AE63" s="33">
        <f>IF('IO model'!$D$31=0,0,'Z domestic'!AE63/'IO model'!$D$31)</f>
        <v>0.00044534819090702134</v>
      </c>
      <c r="AF63" s="33">
        <f>IF('IO model'!$D$32=0,0,'Z domestic'!AF63/'IO model'!$D$32)</f>
        <v>0.0008949996444803047</v>
      </c>
      <c r="AG63" s="33">
        <f>IF('IO model'!$D$33=0,0,'Z domestic'!AG63/'IO model'!$D$33)</f>
        <v>0.0002876364006519931</v>
      </c>
      <c r="AH63" s="33">
        <f>IF('IO model'!$D$34=0,0,'Z domestic'!AH63/'IO model'!$D$34)</f>
        <v>0.00031581219301102465</v>
      </c>
      <c r="AI63" s="33">
        <f>IF('IO model'!$D$35=0,0,'Z domestic'!AI63/'IO model'!$D$35)</f>
        <v>0.0007604971702798719</v>
      </c>
      <c r="AJ63" s="33">
        <f>IF('IO model'!$D$36=0,0,'Z domestic'!AJ63/'IO model'!$D$36)</f>
        <v>0.00032273788564395105</v>
      </c>
      <c r="AK63" s="33">
        <f>IF('IO model'!$D$37=0,0,'Z domestic'!AK63/'IO model'!$D$37)</f>
        <v>0.0004430246120938797</v>
      </c>
      <c r="AL63" s="33">
        <f>IF('IO model'!$D$38=0,0,'Z domestic'!AL63/'IO model'!$D$38)</f>
        <v>0.0006797876728155119</v>
      </c>
      <c r="AM63" s="33">
        <f>IF('IO model'!$D$39=0,0,'Z domestic'!AM63/'IO model'!$D$39)</f>
        <v>0.00035698760304063063</v>
      </c>
      <c r="AN63" s="33">
        <f>IF('IO model'!$D$40=0,0,'Z domestic'!AN63/'IO model'!$D$40)</f>
        <v>0.0016861901605299387</v>
      </c>
      <c r="AO63" s="33">
        <f>IF('IO model'!$D$41=0,0,'Z domestic'!AO63/'IO model'!$D$41)</f>
        <v>0.0020551597082991637</v>
      </c>
      <c r="AP63" s="33">
        <f>IF('IO model'!$D$42=0,0,'Z domestic'!AP63/'IO model'!$D$42)</f>
        <v>0.0008721681297754243</v>
      </c>
      <c r="AQ63" s="33">
        <f>IF('IO model'!$D$43=0,0,'Z domestic'!AQ63/'IO model'!$D$43)</f>
        <v>0.0006912373087907337</v>
      </c>
      <c r="AR63" s="33">
        <f>IF('IO model'!$D$44=0,0,'Z domestic'!AR63/'IO model'!$D$44)</f>
        <v>0.0005045040194563072</v>
      </c>
      <c r="AS63" s="33">
        <f>IF('IO model'!$D$45=0,0,'Z domestic'!AS63/'IO model'!$D$45)</f>
        <v>0.0007246632853329565</v>
      </c>
      <c r="AT63" s="33">
        <f>IF('IO model'!$D$46=0,0,'Z domestic'!AT63/'IO model'!$D$46)</f>
        <v>0.00020439505324135461</v>
      </c>
      <c r="AU63" s="33">
        <f>IF('IO model'!$D$47=0,0,'Z domestic'!AU63/'IO model'!$D$47)</f>
        <v>0.0010332005176232296</v>
      </c>
      <c r="AV63" s="33">
        <f>IF('IO model'!$D$48=0,0,'Z domestic'!AV63/'IO model'!$D$48)</f>
        <v>0.0006386895090342005</v>
      </c>
      <c r="AW63" s="33">
        <f>IF('IO model'!$D$49=0,0,'Z domestic'!AW63/'IO model'!$D$49)</f>
        <v>0.00034979714616023317</v>
      </c>
      <c r="AX63" s="33">
        <f>IF('IO model'!$D$50=0,0,'Z domestic'!AX63/'IO model'!$D$50)</f>
        <v>0.0007152557980604115</v>
      </c>
      <c r="AY63" s="33">
        <f>IF('IO model'!$D$51=0,0,'Z domestic'!AY63/'IO model'!$D$51)</f>
        <v>0.0019282835818144055</v>
      </c>
      <c r="AZ63" s="33">
        <f>IF('IO model'!$D$52=0,0,'Z domestic'!AZ63/'IO model'!$D$52)</f>
        <v>0.0009708574487049624</v>
      </c>
      <c r="BA63" s="33">
        <f>IF('IO model'!$D$53=0,0,'Z domestic'!BA63/'IO model'!$D$53)</f>
        <v>0.00012023313204303144</v>
      </c>
      <c r="BB63" s="33">
        <f>IF('IO model'!$D$54=0,0,'Z domestic'!BB63/'IO model'!$D$54)</f>
        <v>0.0006757462927696741</v>
      </c>
      <c r="BC63" s="33">
        <f>IF('IO model'!$D$55=0,0,'Z domestic'!BC63/'IO model'!$D$55)</f>
        <v>0.0007740282568112606</v>
      </c>
      <c r="BD63" s="33">
        <f>IF('IO model'!$D$56=0,0,'Z domestic'!BD63/'IO model'!$D$56)</f>
        <v>0.0005505349913747894</v>
      </c>
      <c r="BE63" s="33">
        <f>IF('IO model'!$D$57=0,0,'Z domestic'!BE63/'IO model'!$D$57)</f>
        <v>0.00029262421755059024</v>
      </c>
      <c r="BF63" s="33">
        <f>IF('IO model'!$D$58=0,0,'Z domestic'!BF63/'IO model'!$D$58)</f>
        <v>0.0003309626700259923</v>
      </c>
      <c r="BG63" s="33">
        <f>IF('IO model'!$D$59=0,0,'Z domestic'!BG63/'IO model'!$D$59)</f>
        <v>0.0002913988287242522</v>
      </c>
      <c r="BH63" s="33">
        <f>IF('IO model'!$D$60=0,0,'Z domestic'!BH63/'IO model'!$D$60)</f>
        <v>0.000408053892790495</v>
      </c>
      <c r="BI63" s="33">
        <f>IF('IO model'!$D$61=0,0,'Z domestic'!BI63/'IO model'!$D$61)</f>
        <v>0.0005793868214663402</v>
      </c>
      <c r="BJ63" s="33">
        <f>IF('IO model'!$D$62=0,0,'Z domestic'!BJ63/'IO model'!$D$62)</f>
        <v>0.000844823372104726</v>
      </c>
      <c r="BK63" s="33">
        <f>IF('IO model'!$D$63=0,0,'Z domestic'!BK63/'IO model'!$D$63)</f>
        <v>0.0349757850335885</v>
      </c>
      <c r="BL63" s="33">
        <f>IF('IO model'!$D$64=0,0,'Z domestic'!BL63/'IO model'!$D$64)</f>
        <v>0.0002217039700392013</v>
      </c>
      <c r="BM63" s="33">
        <f>IF('IO model'!$D$65=0,0,'Z domestic'!BM63/'IO model'!$D$65)</f>
        <v>0</v>
      </c>
      <c r="BN63" s="33">
        <f>IF('IO model'!$D$66=0,0,'Z domestic'!BN63/'IO model'!$D$66)</f>
        <v>0</v>
      </c>
    </row>
    <row r="64" spans="1:66" x14ac:dyDescent="0.25">
      <c r="A64" s="30" t="s">
        <v>391</v>
      </c>
      <c r="B64" s="31" t="s">
        <v>392</v>
      </c>
      <c r="C64" s="33">
        <f>IF('IO model'!$D$3=0,0,'Z domestic'!C64/'IO model'!$D$3)</f>
        <v>0.00020686639311422953</v>
      </c>
      <c r="D64" s="33">
        <f>IF('IO model'!$D$4=0,0,'Z domestic'!D64/'IO model'!$D$4)</f>
        <v>0.00021136875681544142</v>
      </c>
      <c r="E64" s="33">
        <f>IF('IO model'!$D$5=0,0,'Z domestic'!E64/'IO model'!$D$5)</f>
        <v>0.0013709879936744513</v>
      </c>
      <c r="F64" s="33">
        <f>IF('IO model'!$D$6=0,0,'Z domestic'!F64/'IO model'!$D$6)</f>
        <v>0.0005022246624444294</v>
      </c>
      <c r="G64" s="33">
        <f>IF('IO model'!$D$7=0,0,'Z domestic'!G64/'IO model'!$D$7)</f>
        <v>0.00033581738127192666</v>
      </c>
      <c r="H64" s="33">
        <f>IF('IO model'!$D$8=0,0,'Z domestic'!H64/'IO model'!$D$8)</f>
        <v>0.0005797009796946556</v>
      </c>
      <c r="I64" s="33">
        <f>IF('IO model'!$D$9=0,0,'Z domestic'!I64/'IO model'!$D$9)</f>
        <v>0.0008361861538209125</v>
      </c>
      <c r="J64" s="33">
        <f>IF('IO model'!$D$10=0,0,'Z domestic'!J64/'IO model'!$D$10)</f>
        <v>0.0004846453503412019</v>
      </c>
      <c r="K64" s="33">
        <f>IF('IO model'!$D$11=0,0,'Z domestic'!K64/'IO model'!$D$11)</f>
        <v>0.0007165187425096068</v>
      </c>
      <c r="L64" s="33">
        <f>IF('IO model'!$D$12=0,0,'Z domestic'!L64/'IO model'!$D$12)</f>
        <v>0.00023051788644303195</v>
      </c>
      <c r="M64" s="33">
        <f>IF('IO model'!$D$13=0,0,'Z domestic'!M64/'IO model'!$D$13)</f>
        <v>0.0006396391924377912</v>
      </c>
      <c r="N64" s="33">
        <f>IF('IO model'!$D$14=0,0,'Z domestic'!N64/'IO model'!$D$14)</f>
        <v>0.00048145315425823673</v>
      </c>
      <c r="O64" s="33">
        <f>IF('IO model'!$D$15=0,0,'Z domestic'!O64/'IO model'!$D$15)</f>
        <v>0.0003974372305632034</v>
      </c>
      <c r="P64" s="33">
        <f>IF('IO model'!$D$16=0,0,'Z domestic'!P64/'IO model'!$D$16)</f>
        <v>0.0005097925313701117</v>
      </c>
      <c r="Q64" s="33">
        <f>IF('IO model'!$D$17=0,0,'Z domestic'!Q64/'IO model'!$D$17)</f>
        <v>0.000265612956031818</v>
      </c>
      <c r="R64" s="33">
        <f>IF('IO model'!$D$18=0,0,'Z domestic'!R64/'IO model'!$D$18)</f>
        <v>0.0003356599678131209</v>
      </c>
      <c r="S64" s="33">
        <f>IF('IO model'!$D$19=0,0,'Z domestic'!S64/'IO model'!$D$19)</f>
        <v>0.00039804719425239266</v>
      </c>
      <c r="T64" s="33">
        <f>IF('IO model'!$D$20=0,0,'Z domestic'!T64/'IO model'!$D$20)</f>
        <v>0.0004443165246558041</v>
      </c>
      <c r="U64" s="33">
        <f>IF('IO model'!$D$21=0,0,'Z domestic'!U64/'IO model'!$D$21)</f>
        <v>0.000350155032501018</v>
      </c>
      <c r="V64" s="33">
        <f>IF('IO model'!$D$22=0,0,'Z domestic'!V64/'IO model'!$D$22)</f>
        <v>0.00026011410338668553</v>
      </c>
      <c r="W64" s="33">
        <f>IF('IO model'!$D$23=0,0,'Z domestic'!W64/'IO model'!$D$23)</f>
        <v>0.00037009839487226837</v>
      </c>
      <c r="X64" s="33">
        <f>IF('IO model'!$D$24=0,0,'Z domestic'!X64/'IO model'!$D$24)</f>
        <v>0.0012475703986153505</v>
      </c>
      <c r="Y64" s="33">
        <f>IF('IO model'!$D$25=0,0,'Z domestic'!Y64/'IO model'!$D$25)</f>
        <v>0.00023031543076892507</v>
      </c>
      <c r="Z64" s="33">
        <f>IF('IO model'!$D$26=0,0,'Z domestic'!Z64/'IO model'!$D$26)</f>
        <v>0.00025421415546923395</v>
      </c>
      <c r="AA64" s="33">
        <f>IF('IO model'!$D$27=0,0,'Z domestic'!AA64/'IO model'!$D$27)</f>
        <v>0.0008923442282006435</v>
      </c>
      <c r="AB64" s="33">
        <f>IF('IO model'!$D$28=0,0,'Z domestic'!AB64/'IO model'!$D$28)</f>
        <v>0.0014665470402789572</v>
      </c>
      <c r="AC64" s="33">
        <f>IF('IO model'!$D$29=0,0,'Z domestic'!AC64/'IO model'!$D$29)</f>
        <v>0.00025006451582046667</v>
      </c>
      <c r="AD64" s="33">
        <f>IF('IO model'!$D$30=0,0,'Z domestic'!AD64/'IO model'!$D$30)</f>
        <v>0.00031926020248038346</v>
      </c>
      <c r="AE64" s="33">
        <f>IF('IO model'!$D$31=0,0,'Z domestic'!AE64/'IO model'!$D$31)</f>
        <v>0.0002857400292276417</v>
      </c>
      <c r="AF64" s="33">
        <f>IF('IO model'!$D$32=0,0,'Z domestic'!AF64/'IO model'!$D$32)</f>
        <v>0.0004398273771219998</v>
      </c>
      <c r="AG64" s="33">
        <f>IF('IO model'!$D$33=0,0,'Z domestic'!AG64/'IO model'!$D$33)</f>
        <v>0.0005539040457400155</v>
      </c>
      <c r="AH64" s="33">
        <f>IF('IO model'!$D$34=0,0,'Z domestic'!AH64/'IO model'!$D$34)</f>
        <v>0.00019008804552158142</v>
      </c>
      <c r="AI64" s="33">
        <f>IF('IO model'!$D$35=0,0,'Z domestic'!AI64/'IO model'!$D$35)</f>
        <v>0.0010641898838691715</v>
      </c>
      <c r="AJ64" s="33">
        <f>IF('IO model'!$D$36=0,0,'Z domestic'!AJ64/'IO model'!$D$36)</f>
        <v>0.0005544970742141333</v>
      </c>
      <c r="AK64" s="33">
        <f>IF('IO model'!$D$37=0,0,'Z domestic'!AK64/'IO model'!$D$37)</f>
        <v>0.0005482429574661761</v>
      </c>
      <c r="AL64" s="33">
        <f>IF('IO model'!$D$38=0,0,'Z domestic'!AL64/'IO model'!$D$38)</f>
        <v>0.002708448034828923</v>
      </c>
      <c r="AM64" s="33">
        <f>IF('IO model'!$D$39=0,0,'Z domestic'!AM64/'IO model'!$D$39)</f>
        <v>0.00026661099467591403</v>
      </c>
      <c r="AN64" s="33">
        <f>IF('IO model'!$D$40=0,0,'Z domestic'!AN64/'IO model'!$D$40)</f>
        <v>0.0015158328041052645</v>
      </c>
      <c r="AO64" s="33">
        <f>IF('IO model'!$D$41=0,0,'Z domestic'!AO64/'IO model'!$D$41)</f>
        <v>0.0006272636667975403</v>
      </c>
      <c r="AP64" s="33">
        <f>IF('IO model'!$D$42=0,0,'Z domestic'!AP64/'IO model'!$D$42)</f>
        <v>0.0004203897559163008</v>
      </c>
      <c r="AQ64" s="33">
        <f>IF('IO model'!$D$43=0,0,'Z domestic'!AQ64/'IO model'!$D$43)</f>
        <v>0.00019893445433297814</v>
      </c>
      <c r="AR64" s="33">
        <f>IF('IO model'!$D$44=0,0,'Z domestic'!AR64/'IO model'!$D$44)</f>
        <v>0.00020838209499282254</v>
      </c>
      <c r="AS64" s="33">
        <f>IF('IO model'!$D$45=0,0,'Z domestic'!AS64/'IO model'!$D$45)</f>
        <v>0.00017538393341834854</v>
      </c>
      <c r="AT64" s="33">
        <f>IF('IO model'!$D$46=0,0,'Z domestic'!AT64/'IO model'!$D$46)</f>
        <v>0.0001129626489143635</v>
      </c>
      <c r="AU64" s="33">
        <f>IF('IO model'!$D$47=0,0,'Z domestic'!AU64/'IO model'!$D$47)</f>
        <v>0.0015060599556136493</v>
      </c>
      <c r="AV64" s="33">
        <f>IF('IO model'!$D$48=0,0,'Z domestic'!AV64/'IO model'!$D$48)</f>
        <v>0.0009007216923844748</v>
      </c>
      <c r="AW64" s="33">
        <f>IF('IO model'!$D$49=0,0,'Z domestic'!AW64/'IO model'!$D$49)</f>
        <v>0.0006560223544402044</v>
      </c>
      <c r="AX64" s="33">
        <f>IF('IO model'!$D$50=0,0,'Z domestic'!AX64/'IO model'!$D$50)</f>
        <v>0.0019511714847494138</v>
      </c>
      <c r="AY64" s="33">
        <f>IF('IO model'!$D$51=0,0,'Z domestic'!AY64/'IO model'!$D$51)</f>
        <v>0.0015184157841502217</v>
      </c>
      <c r="AZ64" s="33">
        <f>IF('IO model'!$D$52=0,0,'Z domestic'!AZ64/'IO model'!$D$52)</f>
        <v>0.00256407333461442</v>
      </c>
      <c r="BA64" s="33">
        <f>IF('IO model'!$D$53=0,0,'Z domestic'!BA64/'IO model'!$D$53)</f>
        <v>0.001347469886967974</v>
      </c>
      <c r="BB64" s="33">
        <f>IF('IO model'!$D$54=0,0,'Z domestic'!BB64/'IO model'!$D$54)</f>
        <v>0.00107704544892451</v>
      </c>
      <c r="BC64" s="33">
        <f>IF('IO model'!$D$55=0,0,'Z domestic'!BC64/'IO model'!$D$55)</f>
        <v>0.0011581431095029795</v>
      </c>
      <c r="BD64" s="33">
        <f>IF('IO model'!$D$56=0,0,'Z domestic'!BD64/'IO model'!$D$56)</f>
        <v>0.0005679371595178793</v>
      </c>
      <c r="BE64" s="33">
        <f>IF('IO model'!$D$57=0,0,'Z domestic'!BE64/'IO model'!$D$57)</f>
        <v>0.000546591960469995</v>
      </c>
      <c r="BF64" s="33">
        <f>IF('IO model'!$D$58=0,0,'Z domestic'!BF64/'IO model'!$D$58)</f>
        <v>0.0026716206088246083</v>
      </c>
      <c r="BG64" s="33">
        <f>IF('IO model'!$D$59=0,0,'Z domestic'!BG64/'IO model'!$D$59)</f>
        <v>0.003308114424573995</v>
      </c>
      <c r="BH64" s="33">
        <f>IF('IO model'!$D$60=0,0,'Z domestic'!BH64/'IO model'!$D$60)</f>
        <v>0.0028781983133190528</v>
      </c>
      <c r="BI64" s="33">
        <f>IF('IO model'!$D$61=0,0,'Z domestic'!BI64/'IO model'!$D$61)</f>
        <v>0.003530162936449459</v>
      </c>
      <c r="BJ64" s="33">
        <f>IF('IO model'!$D$62=0,0,'Z domestic'!BJ64/'IO model'!$D$62)</f>
        <v>0.0024332523399422028</v>
      </c>
      <c r="BK64" s="33">
        <f>IF('IO model'!$D$63=0,0,'Z domestic'!BK64/'IO model'!$D$63)</f>
        <v>0.0004405561630995157</v>
      </c>
      <c r="BL64" s="33">
        <f>IF('IO model'!$D$64=0,0,'Z domestic'!BL64/'IO model'!$D$64)</f>
        <v>0.07476462516912885</v>
      </c>
      <c r="BM64" s="33">
        <f>IF('IO model'!$D$65=0,0,'Z domestic'!BM64/'IO model'!$D$65)</f>
        <v>0</v>
      </c>
      <c r="BN64" s="33">
        <f>IF('IO model'!$D$66=0,0,'Z domestic'!BN64/'IO model'!$D$66)</f>
        <v>0</v>
      </c>
    </row>
    <row r="65" spans="1:66" x14ac:dyDescent="0.25">
      <c r="A65" s="30" t="s">
        <v>393</v>
      </c>
      <c r="B65" s="31" t="s">
        <v>394</v>
      </c>
      <c r="C65" s="33">
        <f>IF('IO model'!$D$3=0,0,'Z domestic'!C65/'IO model'!$D$3)</f>
        <v>0.000023217915851639266</v>
      </c>
      <c r="D65" s="33">
        <f>IF('IO model'!$D$4=0,0,'Z domestic'!D65/'IO model'!$D$4)</f>
        <v>0.000022417898450122574</v>
      </c>
      <c r="E65" s="33">
        <f>IF('IO model'!$D$5=0,0,'Z domestic'!E65/'IO model'!$D$5)</f>
        <v>0.0013709879936744513</v>
      </c>
      <c r="F65" s="33">
        <f>IF('IO model'!$D$6=0,0,'Z domestic'!F65/'IO model'!$D$6)</f>
        <v>0</v>
      </c>
      <c r="G65" s="33">
        <f>IF('IO model'!$D$7=0,0,'Z domestic'!G65/'IO model'!$D$7)</f>
        <v>0.000036201172564808927</v>
      </c>
      <c r="H65" s="33">
        <f>IF('IO model'!$D$8=0,0,'Z domestic'!H65/'IO model'!$D$8)</f>
        <v>0</v>
      </c>
      <c r="I65" s="33">
        <f>IF('IO model'!$D$9=0,0,'Z domestic'!I65/'IO model'!$D$9)</f>
        <v>0</v>
      </c>
      <c r="J65" s="33">
        <f>IF('IO model'!$D$10=0,0,'Z domestic'!J65/'IO model'!$D$10)</f>
        <v>0</v>
      </c>
      <c r="K65" s="33">
        <f>IF('IO model'!$D$11=0,0,'Z domestic'!K65/'IO model'!$D$11)</f>
        <v>0</v>
      </c>
      <c r="L65" s="33">
        <f>IF('IO model'!$D$12=0,0,'Z domestic'!L65/'IO model'!$D$12)</f>
        <v>0</v>
      </c>
      <c r="M65" s="33">
        <f>IF('IO model'!$D$13=0,0,'Z domestic'!M65/'IO model'!$D$13)</f>
        <v>1.5758541326380665e-7</v>
      </c>
      <c r="N65" s="33">
        <f>IF('IO model'!$D$14=0,0,'Z domestic'!N65/'IO model'!$D$14)</f>
        <v>0</v>
      </c>
      <c r="O65" s="33">
        <f>IF('IO model'!$D$15=0,0,'Z domestic'!O65/'IO model'!$D$15)</f>
        <v>0</v>
      </c>
      <c r="P65" s="33">
        <f>IF('IO model'!$D$16=0,0,'Z domestic'!P65/'IO model'!$D$16)</f>
        <v>0</v>
      </c>
      <c r="Q65" s="33">
        <f>IF('IO model'!$D$17=0,0,'Z domestic'!Q65/'IO model'!$D$17)</f>
        <v>0</v>
      </c>
      <c r="R65" s="33">
        <f>IF('IO model'!$D$18=0,0,'Z domestic'!R65/'IO model'!$D$18)</f>
        <v>0</v>
      </c>
      <c r="S65" s="33">
        <f>IF('IO model'!$D$19=0,0,'Z domestic'!S65/'IO model'!$D$19)</f>
        <v>0</v>
      </c>
      <c r="T65" s="33">
        <f>IF('IO model'!$D$20=0,0,'Z domestic'!T65/'IO model'!$D$20)</f>
        <v>0</v>
      </c>
      <c r="U65" s="33">
        <f>IF('IO model'!$D$21=0,0,'Z domestic'!U65/'IO model'!$D$21)</f>
        <v>0</v>
      </c>
      <c r="V65" s="33">
        <f>IF('IO model'!$D$22=0,0,'Z domestic'!V65/'IO model'!$D$22)</f>
        <v>0</v>
      </c>
      <c r="W65" s="33">
        <f>IF('IO model'!$D$23=0,0,'Z domestic'!W65/'IO model'!$D$23)</f>
        <v>0</v>
      </c>
      <c r="X65" s="33">
        <f>IF('IO model'!$D$24=0,0,'Z domestic'!X65/'IO model'!$D$24)</f>
        <v>0</v>
      </c>
      <c r="Y65" s="33">
        <f>IF('IO model'!$D$25=0,0,'Z domestic'!Y65/'IO model'!$D$25)</f>
        <v>4.0548491332557234e-7</v>
      </c>
      <c r="Z65" s="33">
        <f>IF('IO model'!$D$26=0,0,'Z domestic'!Z65/'IO model'!$D$26)</f>
        <v>0</v>
      </c>
      <c r="AA65" s="33">
        <f>IF('IO model'!$D$27=0,0,'Z domestic'!AA65/'IO model'!$D$27)</f>
        <v>0</v>
      </c>
      <c r="AB65" s="33">
        <f>IF('IO model'!$D$28=0,0,'Z domestic'!AB65/'IO model'!$D$28)</f>
        <v>0</v>
      </c>
      <c r="AC65" s="33">
        <f>IF('IO model'!$D$29=0,0,'Z domestic'!AC65/'IO model'!$D$29)</f>
        <v>0.0000036283062476836055</v>
      </c>
      <c r="AD65" s="33">
        <f>IF('IO model'!$D$30=0,0,'Z domestic'!AD65/'IO model'!$D$30)</f>
        <v>0</v>
      </c>
      <c r="AE65" s="33">
        <f>IF('IO model'!$D$31=0,0,'Z domestic'!AE65/'IO model'!$D$31)</f>
        <v>0</v>
      </c>
      <c r="AF65" s="33">
        <f>IF('IO model'!$D$32=0,0,'Z domestic'!AF65/'IO model'!$D$32)</f>
        <v>0</v>
      </c>
      <c r="AG65" s="33">
        <f>IF('IO model'!$D$33=0,0,'Z domestic'!AG65/'IO model'!$D$33)</f>
        <v>0</v>
      </c>
      <c r="AH65" s="33">
        <f>IF('IO model'!$D$34=0,0,'Z domestic'!AH65/'IO model'!$D$34)</f>
        <v>0.0000017163706141903517</v>
      </c>
      <c r="AI65" s="33">
        <f>IF('IO model'!$D$35=0,0,'Z domestic'!AI65/'IO model'!$D$35)</f>
        <v>0</v>
      </c>
      <c r="AJ65" s="33">
        <f>IF('IO model'!$D$36=0,0,'Z domestic'!AJ65/'IO model'!$D$36)</f>
        <v>0.000028935120781871477</v>
      </c>
      <c r="AK65" s="33">
        <f>IF('IO model'!$D$37=0,0,'Z domestic'!AK65/'IO model'!$D$37)</f>
        <v>0</v>
      </c>
      <c r="AL65" s="33">
        <f>IF('IO model'!$D$38=0,0,'Z domestic'!AL65/'IO model'!$D$38)</f>
        <v>0.0000027038289936314693</v>
      </c>
      <c r="AM65" s="33">
        <f>IF('IO model'!$D$39=0,0,'Z domestic'!AM65/'IO model'!$D$39)</f>
        <v>0</v>
      </c>
      <c r="AN65" s="33">
        <f>IF('IO model'!$D$40=0,0,'Z domestic'!AN65/'IO model'!$D$40)</f>
        <v>0</v>
      </c>
      <c r="AO65" s="33">
        <f>IF('IO model'!$D$41=0,0,'Z domestic'!AO65/'IO model'!$D$41)</f>
        <v>0</v>
      </c>
      <c r="AP65" s="33">
        <f>IF('IO model'!$D$42=0,0,'Z domestic'!AP65/'IO model'!$D$42)</f>
        <v>0</v>
      </c>
      <c r="AQ65" s="33">
        <f>IF('IO model'!$D$43=0,0,'Z domestic'!AQ65/'IO model'!$D$43)</f>
        <v>0</v>
      </c>
      <c r="AR65" s="33">
        <f>IF('IO model'!$D$44=0,0,'Z domestic'!AR65/'IO model'!$D$44)</f>
        <v>0</v>
      </c>
      <c r="AS65" s="33">
        <f>IF('IO model'!$D$45=0,0,'Z domestic'!AS65/'IO model'!$D$45)</f>
        <v>0</v>
      </c>
      <c r="AT65" s="33">
        <f>IF('IO model'!$D$46=0,0,'Z domestic'!AT65/'IO model'!$D$46)</f>
        <v>0.0000033196412359384737</v>
      </c>
      <c r="AU65" s="33">
        <f>IF('IO model'!$D$47=0,0,'Z domestic'!AU65/'IO model'!$D$47)</f>
        <v>0</v>
      </c>
      <c r="AV65" s="33">
        <f>IF('IO model'!$D$48=0,0,'Z domestic'!AV65/'IO model'!$D$48)</f>
        <v>0.000009366256766562998</v>
      </c>
      <c r="AW65" s="33">
        <f>IF('IO model'!$D$49=0,0,'Z domestic'!AW65/'IO model'!$D$49)</f>
        <v>0.000005701001217978188</v>
      </c>
      <c r="AX65" s="33">
        <f>IF('IO model'!$D$50=0,0,'Z domestic'!AX65/'IO model'!$D$50)</f>
        <v>0</v>
      </c>
      <c r="AY65" s="33">
        <f>IF('IO model'!$D$51=0,0,'Z domestic'!AY65/'IO model'!$D$51)</f>
        <v>0</v>
      </c>
      <c r="AZ65" s="33">
        <f>IF('IO model'!$D$52=0,0,'Z domestic'!AZ65/'IO model'!$D$52)</f>
        <v>0</v>
      </c>
      <c r="BA65" s="33">
        <f>IF('IO model'!$D$53=0,0,'Z domestic'!BA65/'IO model'!$D$53)</f>
        <v>0.000010735101075270664</v>
      </c>
      <c r="BB65" s="33">
        <f>IF('IO model'!$D$54=0,0,'Z domestic'!BB65/'IO model'!$D$54)</f>
        <v>0.000003191245774591141</v>
      </c>
      <c r="BC65" s="33">
        <f>IF('IO model'!$D$55=0,0,'Z domestic'!BC65/'IO model'!$D$55)</f>
        <v>0.0000072090098832391135</v>
      </c>
      <c r="BD65" s="33">
        <f>IF('IO model'!$D$56=0,0,'Z domestic'!BD65/'IO model'!$D$56)</f>
        <v>0.00019553076125575715</v>
      </c>
      <c r="BE65" s="33">
        <f>IF('IO model'!$D$57=0,0,'Z domestic'!BE65/'IO model'!$D$57)</f>
        <v>0.00008610332568535282</v>
      </c>
      <c r="BF65" s="33">
        <f>IF('IO model'!$D$58=0,0,'Z domestic'!BF65/'IO model'!$D$58)</f>
        <v>0.00005094799955350736</v>
      </c>
      <c r="BG65" s="33">
        <f>IF('IO model'!$D$59=0,0,'Z domestic'!BG65/'IO model'!$D$59)</f>
        <v>0.00013334262858711034</v>
      </c>
      <c r="BH65" s="33">
        <f>IF('IO model'!$D$60=0,0,'Z domestic'!BH65/'IO model'!$D$60)</f>
        <v>0.00004364212757117593</v>
      </c>
      <c r="BI65" s="33">
        <f>IF('IO model'!$D$61=0,0,'Z domestic'!BI65/'IO model'!$D$61)</f>
        <v>0.00003043243910732292</v>
      </c>
      <c r="BJ65" s="33">
        <f>IF('IO model'!$D$62=0,0,'Z domestic'!BJ65/'IO model'!$D$62)</f>
        <v>0.0000063261110232484595</v>
      </c>
      <c r="BK65" s="33">
        <f>IF('IO model'!$D$63=0,0,'Z domestic'!BK65/'IO model'!$D$63)</f>
        <v>0</v>
      </c>
      <c r="BL65" s="33">
        <f>IF('IO model'!$D$64=0,0,'Z domestic'!BL65/'IO model'!$D$64)</f>
        <v>0</v>
      </c>
      <c r="BM65" s="33">
        <f>IF('IO model'!$D$65=0,0,'Z domestic'!BM65/'IO model'!$D$65)</f>
        <v>0</v>
      </c>
      <c r="BN65" s="33">
        <f>IF('IO model'!$D$66=0,0,'Z domestic'!BN65/'IO model'!$D$66)</f>
        <v>0</v>
      </c>
    </row>
    <row r="66" spans="1:66" x14ac:dyDescent="0.25">
      <c r="A66" s="30" t="s">
        <v>395</v>
      </c>
      <c r="B66" s="31" t="s">
        <v>396</v>
      </c>
      <c r="C66" s="33">
        <f>IF('IO model'!$D$3=0,0,'Z domestic'!C66/'IO model'!$D$3)</f>
        <v>0</v>
      </c>
      <c r="D66" s="33">
        <f>IF('IO model'!$D$4=0,0,'Z domestic'!D66/'IO model'!$D$4)</f>
        <v>0</v>
      </c>
      <c r="E66" s="33">
        <f>IF('IO model'!$D$5=0,0,'Z domestic'!E66/'IO model'!$D$5)</f>
        <v>0</v>
      </c>
      <c r="F66" s="33">
        <f>IF('IO model'!$D$6=0,0,'Z domestic'!F66/'IO model'!$D$6)</f>
        <v>0</v>
      </c>
      <c r="G66" s="33">
        <f>IF('IO model'!$D$7=0,0,'Z domestic'!G66/'IO model'!$D$7)</f>
        <v>0</v>
      </c>
      <c r="H66" s="33">
        <f>IF('IO model'!$D$8=0,0,'Z domestic'!H66/'IO model'!$D$8)</f>
        <v>0</v>
      </c>
      <c r="I66" s="33">
        <f>IF('IO model'!$D$9=0,0,'Z domestic'!I66/'IO model'!$D$9)</f>
        <v>0</v>
      </c>
      <c r="J66" s="33">
        <f>IF('IO model'!$D$10=0,0,'Z domestic'!J66/'IO model'!$D$10)</f>
        <v>0</v>
      </c>
      <c r="K66" s="33">
        <f>IF('IO model'!$D$11=0,0,'Z domestic'!K66/'IO model'!$D$11)</f>
        <v>0</v>
      </c>
      <c r="L66" s="33">
        <f>IF('IO model'!$D$12=0,0,'Z domestic'!L66/'IO model'!$D$12)</f>
        <v>0</v>
      </c>
      <c r="M66" s="33">
        <f>IF('IO model'!$D$13=0,0,'Z domestic'!M66/'IO model'!$D$13)</f>
        <v>0</v>
      </c>
      <c r="N66" s="33">
        <f>IF('IO model'!$D$14=0,0,'Z domestic'!N66/'IO model'!$D$14)</f>
        <v>0</v>
      </c>
      <c r="O66" s="33">
        <f>IF('IO model'!$D$15=0,0,'Z domestic'!O66/'IO model'!$D$15)</f>
        <v>0</v>
      </c>
      <c r="P66" s="33">
        <f>IF('IO model'!$D$16=0,0,'Z domestic'!P66/'IO model'!$D$16)</f>
        <v>0</v>
      </c>
      <c r="Q66" s="33">
        <f>IF('IO model'!$D$17=0,0,'Z domestic'!Q66/'IO model'!$D$17)</f>
        <v>0</v>
      </c>
      <c r="R66" s="33">
        <f>IF('IO model'!$D$18=0,0,'Z domestic'!R66/'IO model'!$D$18)</f>
        <v>0</v>
      </c>
      <c r="S66" s="33">
        <f>IF('IO model'!$D$19=0,0,'Z domestic'!S66/'IO model'!$D$19)</f>
        <v>0</v>
      </c>
      <c r="T66" s="33">
        <f>IF('IO model'!$D$20=0,0,'Z domestic'!T66/'IO model'!$D$20)</f>
        <v>0</v>
      </c>
      <c r="U66" s="33">
        <f>IF('IO model'!$D$21=0,0,'Z domestic'!U66/'IO model'!$D$21)</f>
        <v>0</v>
      </c>
      <c r="V66" s="33">
        <f>IF('IO model'!$D$22=0,0,'Z domestic'!V66/'IO model'!$D$22)</f>
        <v>0</v>
      </c>
      <c r="W66" s="33">
        <f>IF('IO model'!$D$23=0,0,'Z domestic'!W66/'IO model'!$D$23)</f>
        <v>0</v>
      </c>
      <c r="X66" s="33">
        <f>IF('IO model'!$D$24=0,0,'Z domestic'!X66/'IO model'!$D$24)</f>
        <v>0</v>
      </c>
      <c r="Y66" s="33">
        <f>IF('IO model'!$D$25=0,0,'Z domestic'!Y66/'IO model'!$D$25)</f>
        <v>0</v>
      </c>
      <c r="Z66" s="33">
        <f>IF('IO model'!$D$26=0,0,'Z domestic'!Z66/'IO model'!$D$26)</f>
        <v>0</v>
      </c>
      <c r="AA66" s="33">
        <f>IF('IO model'!$D$27=0,0,'Z domestic'!AA66/'IO model'!$D$27)</f>
        <v>0</v>
      </c>
      <c r="AB66" s="33">
        <f>IF('IO model'!$D$28=0,0,'Z domestic'!AB66/'IO model'!$D$28)</f>
        <v>0</v>
      </c>
      <c r="AC66" s="33">
        <f>IF('IO model'!$D$29=0,0,'Z domestic'!AC66/'IO model'!$D$29)</f>
        <v>0</v>
      </c>
      <c r="AD66" s="33">
        <f>IF('IO model'!$D$30=0,0,'Z domestic'!AD66/'IO model'!$D$30)</f>
        <v>0</v>
      </c>
      <c r="AE66" s="33">
        <f>IF('IO model'!$D$31=0,0,'Z domestic'!AE66/'IO model'!$D$31)</f>
        <v>0</v>
      </c>
      <c r="AF66" s="33">
        <f>IF('IO model'!$D$32=0,0,'Z domestic'!AF66/'IO model'!$D$32)</f>
        <v>0</v>
      </c>
      <c r="AG66" s="33">
        <f>IF('IO model'!$D$33=0,0,'Z domestic'!AG66/'IO model'!$D$33)</f>
        <v>0</v>
      </c>
      <c r="AH66" s="33">
        <f>IF('IO model'!$D$34=0,0,'Z domestic'!AH66/'IO model'!$D$34)</f>
        <v>0</v>
      </c>
      <c r="AI66" s="33">
        <f>IF('IO model'!$D$35=0,0,'Z domestic'!AI66/'IO model'!$D$35)</f>
        <v>0</v>
      </c>
      <c r="AJ66" s="33">
        <f>IF('IO model'!$D$36=0,0,'Z domestic'!AJ66/'IO model'!$D$36)</f>
        <v>0</v>
      </c>
      <c r="AK66" s="33">
        <f>IF('IO model'!$D$37=0,0,'Z domestic'!AK66/'IO model'!$D$37)</f>
        <v>0</v>
      </c>
      <c r="AL66" s="33">
        <f>IF('IO model'!$D$38=0,0,'Z domestic'!AL66/'IO model'!$D$38)</f>
        <v>0</v>
      </c>
      <c r="AM66" s="33">
        <f>IF('IO model'!$D$39=0,0,'Z domestic'!AM66/'IO model'!$D$39)</f>
        <v>0</v>
      </c>
      <c r="AN66" s="33">
        <f>IF('IO model'!$D$40=0,0,'Z domestic'!AN66/'IO model'!$D$40)</f>
        <v>0</v>
      </c>
      <c r="AO66" s="33">
        <f>IF('IO model'!$D$41=0,0,'Z domestic'!AO66/'IO model'!$D$41)</f>
        <v>0</v>
      </c>
      <c r="AP66" s="33">
        <f>IF('IO model'!$D$42=0,0,'Z domestic'!AP66/'IO model'!$D$42)</f>
        <v>0</v>
      </c>
      <c r="AQ66" s="33">
        <f>IF('IO model'!$D$43=0,0,'Z domestic'!AQ66/'IO model'!$D$43)</f>
        <v>0</v>
      </c>
      <c r="AR66" s="33">
        <f>IF('IO model'!$D$44=0,0,'Z domestic'!AR66/'IO model'!$D$44)</f>
        <v>0</v>
      </c>
      <c r="AS66" s="33">
        <f>IF('IO model'!$D$45=0,0,'Z domestic'!AS66/'IO model'!$D$45)</f>
        <v>0</v>
      </c>
      <c r="AT66" s="33">
        <f>IF('IO model'!$D$46=0,0,'Z domestic'!AT66/'IO model'!$D$46)</f>
        <v>0</v>
      </c>
      <c r="AU66" s="33">
        <f>IF('IO model'!$D$47=0,0,'Z domestic'!AU66/'IO model'!$D$47)</f>
        <v>0</v>
      </c>
      <c r="AV66" s="33">
        <f>IF('IO model'!$D$48=0,0,'Z domestic'!AV66/'IO model'!$D$48)</f>
        <v>0</v>
      </c>
      <c r="AW66" s="33">
        <f>IF('IO model'!$D$49=0,0,'Z domestic'!AW66/'IO model'!$D$49)</f>
        <v>0</v>
      </c>
      <c r="AX66" s="33">
        <f>IF('IO model'!$D$50=0,0,'Z domestic'!AX66/'IO model'!$D$50)</f>
        <v>0</v>
      </c>
      <c r="AY66" s="33">
        <f>IF('IO model'!$D$51=0,0,'Z domestic'!AY66/'IO model'!$D$51)</f>
        <v>0</v>
      </c>
      <c r="AZ66" s="33">
        <f>IF('IO model'!$D$52=0,0,'Z domestic'!AZ66/'IO model'!$D$52)</f>
        <v>0</v>
      </c>
      <c r="BA66" s="33">
        <f>IF('IO model'!$D$53=0,0,'Z domestic'!BA66/'IO model'!$D$53)</f>
        <v>0</v>
      </c>
      <c r="BB66" s="33">
        <f>IF('IO model'!$D$54=0,0,'Z domestic'!BB66/'IO model'!$D$54)</f>
        <v>0</v>
      </c>
      <c r="BC66" s="33">
        <f>IF('IO model'!$D$55=0,0,'Z domestic'!BC66/'IO model'!$D$55)</f>
        <v>0</v>
      </c>
      <c r="BD66" s="33">
        <f>IF('IO model'!$D$56=0,0,'Z domestic'!BD66/'IO model'!$D$56)</f>
        <v>0</v>
      </c>
      <c r="BE66" s="33">
        <f>IF('IO model'!$D$57=0,0,'Z domestic'!BE66/'IO model'!$D$57)</f>
        <v>0</v>
      </c>
      <c r="BF66" s="33">
        <f>IF('IO model'!$D$58=0,0,'Z domestic'!BF66/'IO model'!$D$58)</f>
        <v>0</v>
      </c>
      <c r="BG66" s="33">
        <f>IF('IO model'!$D$59=0,0,'Z domestic'!BG66/'IO model'!$D$59)</f>
        <v>0</v>
      </c>
      <c r="BH66" s="33">
        <f>IF('IO model'!$D$60=0,0,'Z domestic'!BH66/'IO model'!$D$60)</f>
        <v>0</v>
      </c>
      <c r="BI66" s="33">
        <f>IF('IO model'!$D$61=0,0,'Z domestic'!BI66/'IO model'!$D$61)</f>
        <v>0</v>
      </c>
      <c r="BJ66" s="33">
        <f>IF('IO model'!$D$62=0,0,'Z domestic'!BJ66/'IO model'!$D$62)</f>
        <v>0</v>
      </c>
      <c r="BK66" s="33">
        <f>IF('IO model'!$D$63=0,0,'Z domestic'!BK66/'IO model'!$D$63)</f>
        <v>0</v>
      </c>
      <c r="BL66" s="33">
        <f>IF('IO model'!$D$64=0,0,'Z domestic'!BL66/'IO model'!$D$64)</f>
        <v>0</v>
      </c>
      <c r="BM66" s="33">
        <f>IF('IO model'!$D$65=0,0,'Z domestic'!BM66/'IO model'!$D$65)</f>
        <v>0</v>
      </c>
      <c r="BN66" s="33">
        <f>IF('IO model'!$D$66=0,0,'Z domestic'!BN66/'IO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423</v>
      </c>
      <c r="B1" s="27"/>
      <c r="C1" s="32" t="s">
        <v>273</v>
      </c>
      <c r="D1" s="32" t="s">
        <v>276</v>
      </c>
      <c r="E1" s="32" t="s">
        <v>278</v>
      </c>
      <c r="F1" s="32" t="s">
        <v>280</v>
      </c>
      <c r="G1" s="32" t="s">
        <v>282</v>
      </c>
      <c r="H1" s="32" t="s">
        <v>145</v>
      </c>
      <c r="I1" s="32" t="s">
        <v>85</v>
      </c>
      <c r="J1" s="32" t="s">
        <v>87</v>
      </c>
      <c r="K1" s="32" t="s">
        <v>89</v>
      </c>
      <c r="L1" s="32" t="s">
        <v>91</v>
      </c>
      <c r="M1" s="32" t="s">
        <v>93</v>
      </c>
      <c r="N1" s="32" t="s">
        <v>95</v>
      </c>
      <c r="O1" s="32" t="s">
        <v>97</v>
      </c>
      <c r="P1" s="32" t="s">
        <v>99</v>
      </c>
      <c r="Q1" s="32" t="s">
        <v>101</v>
      </c>
      <c r="R1" s="32" t="s">
        <v>103</v>
      </c>
      <c r="S1" s="32" t="s">
        <v>105</v>
      </c>
      <c r="T1" s="32" t="s">
        <v>107</v>
      </c>
      <c r="U1" s="32" t="s">
        <v>109</v>
      </c>
      <c r="V1" s="32" t="s">
        <v>111</v>
      </c>
      <c r="W1" s="32" t="s">
        <v>113</v>
      </c>
      <c r="X1" s="32" t="s">
        <v>301</v>
      </c>
      <c r="Y1" s="32" t="s">
        <v>119</v>
      </c>
      <c r="Z1" s="32" t="s">
        <v>304</v>
      </c>
      <c r="AA1" s="32" t="s">
        <v>307</v>
      </c>
      <c r="AB1" s="32" t="s">
        <v>310</v>
      </c>
      <c r="AC1" s="32" t="s">
        <v>312</v>
      </c>
      <c r="AD1" s="32" t="s">
        <v>314</v>
      </c>
      <c r="AE1" s="32" t="s">
        <v>317</v>
      </c>
      <c r="AF1" s="32" t="s">
        <v>319</v>
      </c>
      <c r="AG1" s="32" t="s">
        <v>321</v>
      </c>
      <c r="AH1" s="32" t="s">
        <v>134</v>
      </c>
      <c r="AI1" s="32" t="s">
        <v>137</v>
      </c>
      <c r="AJ1" s="32" t="s">
        <v>326</v>
      </c>
      <c r="AK1" s="32" t="s">
        <v>328</v>
      </c>
      <c r="AL1" s="32" t="s">
        <v>330</v>
      </c>
      <c r="AM1" s="32" t="s">
        <v>332</v>
      </c>
      <c r="AN1" s="32" t="s">
        <v>335</v>
      </c>
      <c r="AO1" s="32" t="s">
        <v>337</v>
      </c>
      <c r="AP1" s="32" t="s">
        <v>339</v>
      </c>
      <c r="AQ1" s="32" t="s">
        <v>341</v>
      </c>
      <c r="AR1" s="32" t="s">
        <v>344</v>
      </c>
      <c r="AS1" s="32" t="s">
        <v>346</v>
      </c>
      <c r="AT1" s="32" t="s">
        <v>348</v>
      </c>
      <c r="AU1" s="32" t="s">
        <v>350</v>
      </c>
      <c r="AV1" s="32" t="s">
        <v>353</v>
      </c>
      <c r="AW1" s="32" t="s">
        <v>355</v>
      </c>
      <c r="AX1" s="32" t="s">
        <v>357</v>
      </c>
      <c r="AY1" s="32" t="s">
        <v>359</v>
      </c>
      <c r="AZ1" s="32" t="s">
        <v>361</v>
      </c>
      <c r="BA1" s="32" t="s">
        <v>364</v>
      </c>
      <c r="BB1" s="32" t="s">
        <v>366</v>
      </c>
      <c r="BC1" s="32" t="s">
        <v>368</v>
      </c>
      <c r="BD1" s="32" t="s">
        <v>370</v>
      </c>
      <c r="BE1" s="32" t="s">
        <v>373</v>
      </c>
      <c r="BF1" s="32" t="s">
        <v>376</v>
      </c>
      <c r="BG1" s="32" t="s">
        <v>379</v>
      </c>
      <c r="BH1" s="32" t="s">
        <v>381</v>
      </c>
      <c r="BI1" s="32" t="s">
        <v>384</v>
      </c>
      <c r="BJ1" s="32" t="s">
        <v>386</v>
      </c>
      <c r="BK1" s="32" t="s">
        <v>389</v>
      </c>
      <c r="BL1" s="32" t="s">
        <v>391</v>
      </c>
      <c r="BM1" s="32" t="s">
        <v>393</v>
      </c>
      <c r="BN1" s="32"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IF('IO model'!$D$3=0,0,'Z imported'!C3/'IO model'!$D$3)</f>
        <v>0.005971019502176461</v>
      </c>
      <c r="D3" s="33">
        <f>IF('IO model'!$D$4=0,0,'Z imported'!D3/'IO model'!$D$4)</f>
        <v>0.0005732576889388487</v>
      </c>
      <c r="E3" s="33">
        <f>IF('IO model'!$D$5=0,0,'Z imported'!E3/'IO model'!$D$5)</f>
        <v>0.00028505690957587605</v>
      </c>
      <c r="F3" s="33">
        <f>IF('IO model'!$D$6=0,0,'Z imported'!F3/'IO model'!$D$6)</f>
        <v>0.000007345150456225658</v>
      </c>
      <c r="G3" s="33">
        <f>IF('IO model'!$D$7=0,0,'Z imported'!G3/'IO model'!$D$7)</f>
        <v>0.017672426479244656</v>
      </c>
      <c r="H3" s="33">
        <f>IF('IO model'!$D$8=0,0,'Z imported'!H3/'IO model'!$D$8)</f>
        <v>0.001354831456331828</v>
      </c>
      <c r="I3" s="33">
        <f>IF('IO model'!$D$9=0,0,'Z imported'!I3/'IO model'!$D$9)</f>
        <v>0.00023761717496940683</v>
      </c>
      <c r="J3" s="33">
        <f>IF('IO model'!$D$10=0,0,'Z imported'!J3/'IO model'!$D$10)</f>
        <v>0.00016857229577085285</v>
      </c>
      <c r="K3" s="33">
        <f>IF('IO model'!$D$11=0,0,'Z imported'!K3/'IO model'!$D$11)</f>
        <v>0.000008529985029876274</v>
      </c>
      <c r="L3" s="33">
        <f>IF('IO model'!$D$12=0,0,'Z imported'!L3/'IO model'!$D$12)</f>
        <v>0.000029021375345019164</v>
      </c>
      <c r="M3" s="33">
        <f>IF('IO model'!$D$13=0,0,'Z imported'!M3/'IO model'!$D$13)</f>
        <v>0.0005384693571224273</v>
      </c>
      <c r="N3" s="33">
        <f>IF('IO model'!$D$14=0,0,'Z imported'!N3/'IO model'!$D$14)</f>
        <v>0.00018219328419945567</v>
      </c>
      <c r="O3" s="33">
        <f>IF('IO model'!$D$15=0,0,'Z imported'!O3/'IO model'!$D$15)</f>
        <v>0.0009201596811981639</v>
      </c>
      <c r="P3" s="33">
        <f>IF('IO model'!$D$16=0,0,'Z imported'!P3/'IO model'!$D$16)</f>
        <v>0.00001730660992105176</v>
      </c>
      <c r="Q3" s="33">
        <f>IF('IO model'!$D$17=0,0,'Z imported'!Q3/'IO model'!$D$17)</f>
        <v>0.00000893985267122798</v>
      </c>
      <c r="R3" s="33">
        <f>IF('IO model'!$D$18=0,0,'Z imported'!R3/'IO model'!$D$18)</f>
        <v>0.000005919646715484019</v>
      </c>
      <c r="S3" s="33">
        <f>IF('IO model'!$D$19=0,0,'Z imported'!S3/'IO model'!$D$19)</f>
        <v>0.00000689369739885478</v>
      </c>
      <c r="T3" s="33">
        <f>IF('IO model'!$D$20=0,0,'Z imported'!T3/'IO model'!$D$20)</f>
        <v>0.00000804545108897776</v>
      </c>
      <c r="U3" s="33">
        <f>IF('IO model'!$D$21=0,0,'Z imported'!U3/'IO model'!$D$21)</f>
        <v>0.000005947700226797198</v>
      </c>
      <c r="V3" s="33">
        <f>IF('IO model'!$D$22=0,0,'Z imported'!V3/'IO model'!$D$22)</f>
        <v>0.000006305796445737832</v>
      </c>
      <c r="W3" s="33">
        <f>IF('IO model'!$D$23=0,0,'Z imported'!W3/'IO model'!$D$23)</f>
        <v>0.000004763642706276722</v>
      </c>
      <c r="X3" s="33">
        <f>IF('IO model'!$D$24=0,0,'Z imported'!X3/'IO model'!$D$24)</f>
        <v>0.00008393330766521824</v>
      </c>
      <c r="Y3" s="33">
        <f>IF('IO model'!$D$25=0,0,'Z imported'!Y3/'IO model'!$D$25)</f>
        <v>0.000004865818959906868</v>
      </c>
      <c r="Z3" s="33">
        <f>IF('IO model'!$D$26=0,0,'Z imported'!Z3/'IO model'!$D$26)</f>
        <v>0.0000636651537933136</v>
      </c>
      <c r="AA3" s="33">
        <f>IF('IO model'!$D$27=0,0,'Z imported'!AA3/'IO model'!$D$27)</f>
        <v>0.000007127350065500347</v>
      </c>
      <c r="AB3" s="33">
        <f>IF('IO model'!$D$28=0,0,'Z imported'!AB3/'IO model'!$D$28)</f>
        <v>0.000027865425818108267</v>
      </c>
      <c r="AC3" s="33">
        <f>IF('IO model'!$D$29=0,0,'Z imported'!AC3/'IO model'!$D$29)</f>
        <v>0.000009689226911427809</v>
      </c>
      <c r="AD3" s="33">
        <f>IF('IO model'!$D$30=0,0,'Z imported'!AD3/'IO model'!$D$30)</f>
        <v>0.000004184597873682743</v>
      </c>
      <c r="AE3" s="33">
        <f>IF('IO model'!$D$31=0,0,'Z imported'!AE3/'IO model'!$D$31)</f>
        <v>0.00010882632566692151</v>
      </c>
      <c r="AF3" s="33">
        <f>IF('IO model'!$D$32=0,0,'Z imported'!AF3/'IO model'!$D$32)</f>
        <v>0.00003060056599449207</v>
      </c>
      <c r="AG3" s="33">
        <f>IF('IO model'!$D$33=0,0,'Z imported'!AG3/'IO model'!$D$33)</f>
        <v>0.000010360608758288811</v>
      </c>
      <c r="AH3" s="33">
        <f>IF('IO model'!$D$34=0,0,'Z imported'!AH3/'IO model'!$D$34)</f>
        <v>0.00005535295230763884</v>
      </c>
      <c r="AI3" s="33">
        <f>IF('IO model'!$D$35=0,0,'Z imported'!AI3/'IO model'!$D$35)</f>
        <v>0.000013286556219531874</v>
      </c>
      <c r="AJ3" s="33">
        <f>IF('IO model'!$D$36=0,0,'Z imported'!AJ3/'IO model'!$D$36)</f>
        <v>0.000008346669456309081</v>
      </c>
      <c r="AK3" s="33">
        <f>IF('IO model'!$D$37=0,0,'Z imported'!AK3/'IO model'!$D$37)</f>
        <v>0.0000027689038255867483</v>
      </c>
      <c r="AL3" s="33">
        <f>IF('IO model'!$D$38=0,0,'Z imported'!AL3/'IO model'!$D$38)</f>
        <v>0.000762705095286877</v>
      </c>
      <c r="AM3" s="33">
        <f>IF('IO model'!$D$39=0,0,'Z imported'!AM3/'IO model'!$D$39)</f>
        <v>0.00000858577779464808</v>
      </c>
      <c r="AN3" s="33">
        <f>IF('IO model'!$D$40=0,0,'Z imported'!AN3/'IO model'!$D$40)</f>
        <v>0.000023177871622404656</v>
      </c>
      <c r="AO3" s="33">
        <f>IF('IO model'!$D$41=0,0,'Z imported'!AO3/'IO model'!$D$41)</f>
        <v>0.000004065597840354428</v>
      </c>
      <c r="AP3" s="33">
        <f>IF('IO model'!$D$42=0,0,'Z imported'!AP3/'IO model'!$D$42)</f>
        <v>0.000009344010543672635</v>
      </c>
      <c r="AQ3" s="33">
        <f>IF('IO model'!$D$43=0,0,'Z imported'!AQ3/'IO model'!$D$43)</f>
        <v>0.0000015579204254992262</v>
      </c>
      <c r="AR3" s="33">
        <f>IF('IO model'!$D$44=0,0,'Z imported'!AR3/'IO model'!$D$44)</f>
        <v>0.0000019940870334241394</v>
      </c>
      <c r="AS3" s="33">
        <f>IF('IO model'!$D$45=0,0,'Z imported'!AS3/'IO model'!$D$45)</f>
        <v>0.000003533375947988707</v>
      </c>
      <c r="AT3" s="33">
        <f>IF('IO model'!$D$46=0,0,'Z imported'!AT3/'IO model'!$D$46)</f>
        <v>0.000002513442650067702</v>
      </c>
      <c r="AU3" s="33">
        <f>IF('IO model'!$D$47=0,0,'Z imported'!AU3/'IO model'!$D$47)</f>
        <v>0.000009788772401517456</v>
      </c>
      <c r="AV3" s="33">
        <f>IF('IO model'!$D$48=0,0,'Z imported'!AV3/'IO model'!$D$48)</f>
        <v>0.000005575152837239879</v>
      </c>
      <c r="AW3" s="33">
        <f>IF('IO model'!$D$49=0,0,'Z imported'!AW3/'IO model'!$D$49)</f>
        <v>0.000026876148599040033</v>
      </c>
      <c r="AX3" s="33">
        <f>IF('IO model'!$D$50=0,0,'Z imported'!AX3/'IO model'!$D$50)</f>
        <v>0.00002258702520190773</v>
      </c>
      <c r="AY3" s="33">
        <f>IF('IO model'!$D$51=0,0,'Z imported'!AY3/'IO model'!$D$51)</f>
        <v>0.000023965283521593954</v>
      </c>
      <c r="AZ3" s="33">
        <f>IF('IO model'!$D$52=0,0,'Z imported'!AZ3/'IO model'!$D$52)</f>
        <v>0.000007328250241832258</v>
      </c>
      <c r="BA3" s="33">
        <f>IF('IO model'!$D$53=0,0,'Z imported'!BA3/'IO model'!$D$53)</f>
        <v>0.0000030058283010757863</v>
      </c>
      <c r="BB3" s="33">
        <f>IF('IO model'!$D$54=0,0,'Z imported'!BB3/'IO model'!$D$54)</f>
        <v>0.00003031683485861584</v>
      </c>
      <c r="BC3" s="33">
        <f>IF('IO model'!$D$55=0,0,'Z imported'!BC3/'IO model'!$D$55)</f>
        <v>0.00024275557193776932</v>
      </c>
      <c r="BD3" s="33">
        <f>IF('IO model'!$D$56=0,0,'Z imported'!BD3/'IO model'!$D$56)</f>
        <v>0.00007107045469637881</v>
      </c>
      <c r="BE3" s="33">
        <f>IF('IO model'!$D$57=0,0,'Z imported'!BE3/'IO model'!$D$57)</f>
        <v>0.000038021025733138575</v>
      </c>
      <c r="BF3" s="33">
        <f>IF('IO model'!$D$58=0,0,'Z imported'!BF3/'IO model'!$D$58)</f>
        <v>0.00008052813700945608</v>
      </c>
      <c r="BG3" s="33">
        <f>IF('IO model'!$D$59=0,0,'Z imported'!BG3/'IO model'!$D$59)</f>
        <v>0.00014422397725466157</v>
      </c>
      <c r="BH3" s="33">
        <f>IF('IO model'!$D$60=0,0,'Z imported'!BH3/'IO model'!$D$60)</f>
        <v>0.0000536798169125464</v>
      </c>
      <c r="BI3" s="33">
        <f>IF('IO model'!$D$61=0,0,'Z imported'!BI3/'IO model'!$D$61)</f>
        <v>0.000037455309670551286</v>
      </c>
      <c r="BJ3" s="33">
        <f>IF('IO model'!$D$62=0,0,'Z imported'!BJ3/'IO model'!$D$62)</f>
        <v>0.00003450606012680978</v>
      </c>
      <c r="BK3" s="33">
        <f>IF('IO model'!$D$63=0,0,'Z imported'!BK3/'IO model'!$D$63)</f>
        <v>0.0000031245117950320263</v>
      </c>
      <c r="BL3" s="33">
        <f>IF('IO model'!$D$64=0,0,'Z imported'!BL3/'IO model'!$D$64)</f>
        <v>0.000053039227282105576</v>
      </c>
      <c r="BM3" s="33">
        <f>IF('IO model'!$D$65=0,0,'Z imported'!BM3/'IO model'!$D$65)</f>
        <v>0</v>
      </c>
      <c r="BN3" s="33">
        <f>IF('IO model'!$D$66=0,0,'Z imported'!BN3/'IO model'!$D$66)</f>
        <v>0</v>
      </c>
    </row>
    <row r="4" spans="1:66" x14ac:dyDescent="0.25">
      <c r="A4" s="30" t="s">
        <v>276</v>
      </c>
      <c r="B4" s="31" t="s">
        <v>277</v>
      </c>
      <c r="C4" s="33">
        <f>IF('IO model'!$D$3=0,0,'Z imported'!C4/'IO model'!$D$3)</f>
        <v>0.00003299388042075053</v>
      </c>
      <c r="D4" s="33">
        <f>IF('IO model'!$D$4=0,0,'Z imported'!D4/'IO model'!$D$4)</f>
        <v>0.001268212540892649</v>
      </c>
      <c r="E4" s="33">
        <f>IF('IO model'!$D$5=0,0,'Z imported'!E4/'IO model'!$D$5)</f>
        <v>0</v>
      </c>
      <c r="F4" s="33">
        <f>IF('IO model'!$D$6=0,0,'Z imported'!F4/'IO model'!$D$6)</f>
        <v>9.181438070282073e-7</v>
      </c>
      <c r="G4" s="33">
        <f>IF('IO model'!$D$7=0,0,'Z imported'!G4/'IO model'!$D$7)</f>
        <v>0.00006026170798898069</v>
      </c>
      <c r="H4" s="33">
        <f>IF('IO model'!$D$8=0,0,'Z imported'!H4/'IO model'!$D$8)</f>
        <v>0.000008783348177191753</v>
      </c>
      <c r="I4" s="33">
        <f>IF('IO model'!$D$9=0,0,'Z imported'!I4/'IO model'!$D$9)</f>
        <v>0.0028661157342738442</v>
      </c>
      <c r="J4" s="33">
        <f>IF('IO model'!$D$10=0,0,'Z imported'!J4/'IO model'!$D$10)</f>
        <v>0.0009513574777280579</v>
      </c>
      <c r="K4" s="33">
        <f>IF('IO model'!$D$11=0,0,'Z imported'!K4/'IO model'!$D$11)</f>
        <v>0.0000014216641716460454</v>
      </c>
      <c r="L4" s="33">
        <f>IF('IO model'!$D$12=0,0,'Z imported'!L4/'IO model'!$D$12)</f>
        <v>0.0000022041550894951264</v>
      </c>
      <c r="M4" s="33">
        <f>IF('IO model'!$D$13=0,0,'Z imported'!M4/'IO model'!$D$13)</f>
        <v>0.00006019762786677414</v>
      </c>
      <c r="N4" s="33">
        <f>IF('IO model'!$D$14=0,0,'Z imported'!N4/'IO model'!$D$14)</f>
        <v>0.000006727964704558925</v>
      </c>
      <c r="O4" s="33">
        <f>IF('IO model'!$D$15=0,0,'Z imported'!O4/'IO model'!$D$15)</f>
        <v>0.000013173166316269786</v>
      </c>
      <c r="P4" s="33">
        <f>IF('IO model'!$D$16=0,0,'Z imported'!P4/'IO model'!$D$16)</f>
        <v>0.000001881153252288235</v>
      </c>
      <c r="Q4" s="33">
        <f>IF('IO model'!$D$17=0,0,'Z imported'!Q4/'IO model'!$D$17)</f>
        <v>9.933169634697756e-7</v>
      </c>
      <c r="R4" s="33">
        <f>IF('IO model'!$D$18=0,0,'Z imported'!R4/'IO model'!$D$18)</f>
        <v>0.000002079875873007899</v>
      </c>
      <c r="S4" s="33">
        <f>IF('IO model'!$D$19=0,0,'Z imported'!S4/'IO model'!$D$19)</f>
        <v>5.106442517670208e-7</v>
      </c>
      <c r="T4" s="33">
        <f>IF('IO model'!$D$20=0,0,'Z imported'!T4/'IO model'!$D$20)</f>
        <v>0</v>
      </c>
      <c r="U4" s="33">
        <f>IF('IO model'!$D$21=0,0,'Z imported'!U4/'IO model'!$D$21)</f>
        <v>5.061872533444424e-7</v>
      </c>
      <c r="V4" s="33">
        <f>IF('IO model'!$D$22=0,0,'Z imported'!V4/'IO model'!$D$22)</f>
        <v>4.636615033630758e-7</v>
      </c>
      <c r="W4" s="33">
        <f>IF('IO model'!$D$23=0,0,'Z imported'!W4/'IO model'!$D$23)</f>
        <v>0</v>
      </c>
      <c r="X4" s="33">
        <f>IF('IO model'!$D$24=0,0,'Z imported'!X4/'IO model'!$D$24)</f>
        <v>0.00007929018851778066</v>
      </c>
      <c r="Y4" s="33">
        <f>IF('IO model'!$D$25=0,0,'Z imported'!Y4/'IO model'!$D$25)</f>
        <v>0</v>
      </c>
      <c r="Z4" s="33">
        <f>IF('IO model'!$D$26=0,0,'Z imported'!Z4/'IO model'!$D$26)</f>
        <v>0.00001142936842292306</v>
      </c>
      <c r="AA4" s="33">
        <f>IF('IO model'!$D$27=0,0,'Z imported'!AA4/'IO model'!$D$27)</f>
        <v>0.0000014254700131000694</v>
      </c>
      <c r="AB4" s="33">
        <f>IF('IO model'!$D$28=0,0,'Z imported'!AB4/'IO model'!$D$28)</f>
        <v>3.440176026926946e-7</v>
      </c>
      <c r="AC4" s="33">
        <f>IF('IO model'!$D$29=0,0,'Z imported'!AC4/'IO model'!$D$29)</f>
        <v>0.000010225226698017434</v>
      </c>
      <c r="AD4" s="33">
        <f>IF('IO model'!$D$30=0,0,'Z imported'!AD4/'IO model'!$D$30)</f>
        <v>0</v>
      </c>
      <c r="AE4" s="33">
        <f>IF('IO model'!$D$31=0,0,'Z imported'!AE4/'IO model'!$D$31)</f>
        <v>0.000002496537189439284</v>
      </c>
      <c r="AF4" s="33">
        <f>IF('IO model'!$D$32=0,0,'Z imported'!AF4/'IO model'!$D$32)</f>
        <v>0.0000018735040404791068</v>
      </c>
      <c r="AG4" s="33">
        <f>IF('IO model'!$D$33=0,0,'Z imported'!AG4/'IO model'!$D$33)</f>
        <v>0.000001036060875828881</v>
      </c>
      <c r="AH4" s="33">
        <f>IF('IO model'!$D$34=0,0,'Z imported'!AH4/'IO model'!$D$34)</f>
        <v>4.2909265354758793e-7</v>
      </c>
      <c r="AI4" s="33">
        <f>IF('IO model'!$D$35=0,0,'Z imported'!AI4/'IO model'!$D$35)</f>
        <v>0.000019613487752642285</v>
      </c>
      <c r="AJ4" s="33">
        <f>IF('IO model'!$D$36=0,0,'Z imported'!AJ4/'IO model'!$D$36)</f>
        <v>4.17333472815454e-7</v>
      </c>
      <c r="AK4" s="33">
        <f>IF('IO model'!$D$37=0,0,'Z imported'!AK4/'IO model'!$D$37)</f>
        <v>0</v>
      </c>
      <c r="AL4" s="33">
        <f>IF('IO model'!$D$38=0,0,'Z imported'!AL4/'IO model'!$D$38)</f>
        <v>0.000004844360280256384</v>
      </c>
      <c r="AM4" s="33">
        <f>IF('IO model'!$D$39=0,0,'Z imported'!AM4/'IO model'!$D$39)</f>
        <v>9.037660836471662e-7</v>
      </c>
      <c r="AN4" s="33">
        <f>IF('IO model'!$D$40=0,0,'Z imported'!AN4/'IO model'!$D$40)</f>
        <v>0</v>
      </c>
      <c r="AO4" s="33">
        <f>IF('IO model'!$D$41=0,0,'Z imported'!AO4/'IO model'!$D$41)</f>
        <v>0</v>
      </c>
      <c r="AP4" s="33">
        <f>IF('IO model'!$D$42=0,0,'Z imported'!AP4/'IO model'!$D$42)</f>
        <v>0.0000010886225876123459</v>
      </c>
      <c r="AQ4" s="33">
        <f>IF('IO model'!$D$43=0,0,'Z imported'!AQ4/'IO model'!$D$43)</f>
        <v>0</v>
      </c>
      <c r="AR4" s="33">
        <f>IF('IO model'!$D$44=0,0,'Z imported'!AR4/'IO model'!$D$44)</f>
        <v>0</v>
      </c>
      <c r="AS4" s="33">
        <f>IF('IO model'!$D$45=0,0,'Z imported'!AS4/'IO model'!$D$45)</f>
        <v>0</v>
      </c>
      <c r="AT4" s="33">
        <f>IF('IO model'!$D$46=0,0,'Z imported'!AT4/'IO model'!$D$46)</f>
        <v>4.7423446227692485e-8</v>
      </c>
      <c r="AU4" s="33">
        <f>IF('IO model'!$D$47=0,0,'Z imported'!AU4/'IO model'!$D$47)</f>
        <v>3.52748555009638e-7</v>
      </c>
      <c r="AV4" s="33">
        <f>IF('IO model'!$D$48=0,0,'Z imported'!AV4/'IO model'!$D$48)</f>
        <v>0.0000017840489079167614</v>
      </c>
      <c r="AW4" s="33">
        <f>IF('IO model'!$D$49=0,0,'Z imported'!AW4/'IO model'!$D$49)</f>
        <v>8.144287454254556e-7</v>
      </c>
      <c r="AX4" s="33">
        <f>IF('IO model'!$D$50=0,0,'Z imported'!AX4/'IO model'!$D$50)</f>
        <v>0</v>
      </c>
      <c r="AY4" s="33">
        <f>IF('IO model'!$D$51=0,0,'Z imported'!AY4/'IO model'!$D$51)</f>
        <v>0</v>
      </c>
      <c r="AZ4" s="33">
        <f>IF('IO model'!$D$52=0,0,'Z imported'!AZ4/'IO model'!$D$52)</f>
        <v>5.42833351246834e-7</v>
      </c>
      <c r="BA4" s="33">
        <f>IF('IO model'!$D$53=0,0,'Z imported'!BA4/'IO model'!$D$53)</f>
        <v>0</v>
      </c>
      <c r="BB4" s="33">
        <f>IF('IO model'!$D$54=0,0,'Z imported'!BB4/'IO model'!$D$54)</f>
        <v>7.978114436477853e-7</v>
      </c>
      <c r="BC4" s="33">
        <f>IF('IO model'!$D$55=0,0,'Z imported'!BC4/'IO model'!$D$55)</f>
        <v>0.000005798551427822766</v>
      </c>
      <c r="BD4" s="33">
        <f>IF('IO model'!$D$56=0,0,'Z imported'!BD4/'IO model'!$D$56)</f>
        <v>0.000010023648850419734</v>
      </c>
      <c r="BE4" s="33">
        <f>IF('IO model'!$D$57=0,0,'Z imported'!BE4/'IO model'!$D$57)</f>
        <v>3.1772444902344223e-7</v>
      </c>
      <c r="BF4" s="33">
        <f>IF('IO model'!$D$58=0,0,'Z imported'!BF4/'IO model'!$D$58)</f>
        <v>9.56769944666805e-7</v>
      </c>
      <c r="BG4" s="33">
        <f>IF('IO model'!$D$59=0,0,'Z imported'!BG4/'IO model'!$D$59)</f>
        <v>0.0000018442963843307101</v>
      </c>
      <c r="BH4" s="33">
        <f>IF('IO model'!$D$60=0,0,'Z imported'!BH4/'IO model'!$D$60)</f>
        <v>0.00002749454036984084</v>
      </c>
      <c r="BI4" s="33">
        <f>IF('IO model'!$D$61=0,0,'Z imported'!BI4/'IO model'!$D$61)</f>
        <v>0.0000011704784272047277</v>
      </c>
      <c r="BJ4" s="33">
        <f>IF('IO model'!$D$62=0,0,'Z imported'!BJ4/'IO model'!$D$62)</f>
        <v>0.000005175909019021467</v>
      </c>
      <c r="BK4" s="33">
        <f>IF('IO model'!$D$63=0,0,'Z imported'!BK4/'IO model'!$D$63)</f>
        <v>0</v>
      </c>
      <c r="BL4" s="33">
        <f>IF('IO model'!$D$64=0,0,'Z imported'!BL4/'IO model'!$D$64)</f>
        <v>0.000005303922728210558</v>
      </c>
      <c r="BM4" s="33">
        <f>IF('IO model'!$D$65=0,0,'Z imported'!BM4/'IO model'!$D$65)</f>
        <v>0</v>
      </c>
      <c r="BN4" s="33">
        <f>IF('IO model'!$D$66=0,0,'Z imported'!BN4/'IO model'!$D$66)</f>
        <v>0</v>
      </c>
    </row>
    <row r="5" spans="1:66" x14ac:dyDescent="0.25">
      <c r="A5" s="30" t="s">
        <v>278</v>
      </c>
      <c r="B5" s="31" t="s">
        <v>279</v>
      </c>
      <c r="C5" s="33">
        <f>IF('IO model'!$D$3=0,0,'Z imported'!C5/'IO model'!$D$3)</f>
        <v>0.000017980791975329654</v>
      </c>
      <c r="D5" s="33">
        <f>IF('IO model'!$D$4=0,0,'Z imported'!D5/'IO model'!$D$4)</f>
        <v>0.000011208949225061287</v>
      </c>
      <c r="E5" s="33">
        <f>IF('IO model'!$D$5=0,0,'Z imported'!E5/'IO model'!$D$5)</f>
        <v>0.004479465721906624</v>
      </c>
      <c r="F5" s="33">
        <f>IF('IO model'!$D$6=0,0,'Z imported'!F5/'IO model'!$D$6)</f>
        <v>9.181438070282073e-7</v>
      </c>
      <c r="G5" s="33">
        <f>IF('IO model'!$D$7=0,0,'Z imported'!G5/'IO model'!$D$7)</f>
        <v>0.002486402486402486</v>
      </c>
      <c r="H5" s="33">
        <f>IF('IO model'!$D$8=0,0,'Z imported'!H5/'IO model'!$D$8)</f>
        <v>0.0000043916740885958765</v>
      </c>
      <c r="I5" s="33">
        <f>IF('IO model'!$D$9=0,0,'Z imported'!I5/'IO model'!$D$9)</f>
        <v>0.0000011315103569971752</v>
      </c>
      <c r="J5" s="33">
        <f>IF('IO model'!$D$10=0,0,'Z imported'!J5/'IO model'!$D$10)</f>
        <v>0</v>
      </c>
      <c r="K5" s="33">
        <f>IF('IO model'!$D$11=0,0,'Z imported'!K5/'IO model'!$D$11)</f>
        <v>0</v>
      </c>
      <c r="L5" s="33">
        <f>IF('IO model'!$D$12=0,0,'Z imported'!L5/'IO model'!$D$12)</f>
        <v>0.000006061426496111596</v>
      </c>
      <c r="M5" s="33">
        <f>IF('IO model'!$D$13=0,0,'Z imported'!M5/'IO model'!$D$13)</f>
        <v>0.00003057157017317849</v>
      </c>
      <c r="N5" s="33">
        <f>IF('IO model'!$D$14=0,0,'Z imported'!N5/'IO model'!$D$14)</f>
        <v>0.00013132987103299024</v>
      </c>
      <c r="O5" s="33">
        <f>IF('IO model'!$D$15=0,0,'Z imported'!O5/'IO model'!$D$15)</f>
        <v>2.8028013438871885e-7</v>
      </c>
      <c r="P5" s="33">
        <f>IF('IO model'!$D$16=0,0,'Z imported'!P5/'IO model'!$D$16)</f>
        <v>3.7623065045764703e-7</v>
      </c>
      <c r="Q5" s="33">
        <f>IF('IO model'!$D$17=0,0,'Z imported'!Q5/'IO model'!$D$17)</f>
        <v>0.0000013906437488576858</v>
      </c>
      <c r="R5" s="33">
        <f>IF('IO model'!$D$18=0,0,'Z imported'!R5/'IO model'!$D$18)</f>
        <v>1.5999045176983837e-7</v>
      </c>
      <c r="S5" s="33">
        <f>IF('IO model'!$D$19=0,0,'Z imported'!S5/'IO model'!$D$19)</f>
        <v>0.0000010212885035340415</v>
      </c>
      <c r="T5" s="33">
        <f>IF('IO model'!$D$20=0,0,'Z imported'!T5/'IO model'!$D$20)</f>
        <v>2.595306802896052e-7</v>
      </c>
      <c r="U5" s="33">
        <f>IF('IO model'!$D$21=0,0,'Z imported'!U5/'IO model'!$D$21)</f>
        <v>5.061872533444424e-7</v>
      </c>
      <c r="V5" s="33">
        <f>IF('IO model'!$D$22=0,0,'Z imported'!V5/'IO model'!$D$22)</f>
        <v>3.7092920269046067e-7</v>
      </c>
      <c r="W5" s="33">
        <f>IF('IO model'!$D$23=0,0,'Z imported'!W5/'IO model'!$D$23)</f>
        <v>0</v>
      </c>
      <c r="X5" s="33">
        <f>IF('IO model'!$D$24=0,0,'Z imported'!X5/'IO model'!$D$24)</f>
        <v>0.000004285956136096251</v>
      </c>
      <c r="Y5" s="33">
        <f>IF('IO model'!$D$25=0,0,'Z imported'!Y5/'IO model'!$D$25)</f>
        <v>0</v>
      </c>
      <c r="Z5" s="33">
        <f>IF('IO model'!$D$26=0,0,'Z imported'!Z5/'IO model'!$D$26)</f>
        <v>0.000002410882401710333</v>
      </c>
      <c r="AA5" s="33">
        <f>IF('IO model'!$D$27=0,0,'Z imported'!AA5/'IO model'!$D$27)</f>
        <v>0.0000014254700131000694</v>
      </c>
      <c r="AB5" s="33">
        <f>IF('IO model'!$D$28=0,0,'Z imported'!AB5/'IO model'!$D$28)</f>
        <v>0.0000013760704107707785</v>
      </c>
      <c r="AC5" s="33">
        <f>IF('IO model'!$D$29=0,0,'Z imported'!AC5/'IO model'!$D$29)</f>
        <v>0.00000391692151738571</v>
      </c>
      <c r="AD5" s="33">
        <f>IF('IO model'!$D$30=0,0,'Z imported'!AD5/'IO model'!$D$30)</f>
        <v>7.384584482969548e-7</v>
      </c>
      <c r="AE5" s="33">
        <f>IF('IO model'!$D$31=0,0,'Z imported'!AE5/'IO model'!$D$31)</f>
        <v>0.000006014385047285547</v>
      </c>
      <c r="AF5" s="33">
        <f>IF('IO model'!$D$32=0,0,'Z imported'!AF5/'IO model'!$D$32)</f>
        <v>0.000014988032323832858</v>
      </c>
      <c r="AG5" s="33">
        <f>IF('IO model'!$D$33=0,0,'Z imported'!AG5/'IO model'!$D$33)</f>
        <v>0.000001683598923221932</v>
      </c>
      <c r="AH5" s="33">
        <f>IF('IO model'!$D$34=0,0,'Z imported'!AH5/'IO model'!$D$34)</f>
        <v>0.000018880076756093867</v>
      </c>
      <c r="AI5" s="33">
        <f>IF('IO model'!$D$35=0,0,'Z imported'!AI5/'IO model'!$D$35)</f>
        <v>0.0000012653863066220829</v>
      </c>
      <c r="AJ5" s="33">
        <f>IF('IO model'!$D$36=0,0,'Z imported'!AJ5/'IO model'!$D$36)</f>
        <v>0.000009459558717150289</v>
      </c>
      <c r="AK5" s="33">
        <f>IF('IO model'!$D$37=0,0,'Z imported'!AK5/'IO model'!$D$37)</f>
        <v>0</v>
      </c>
      <c r="AL5" s="33">
        <f>IF('IO model'!$D$38=0,0,'Z imported'!AL5/'IO model'!$D$38)</f>
        <v>0.0009730404590831252</v>
      </c>
      <c r="AM5" s="33">
        <f>IF('IO model'!$D$39=0,0,'Z imported'!AM5/'IO model'!$D$39)</f>
        <v>4.518830418235831e-7</v>
      </c>
      <c r="AN5" s="33">
        <f>IF('IO model'!$D$40=0,0,'Z imported'!AN5/'IO model'!$D$40)</f>
        <v>0.000002897233952800582</v>
      </c>
      <c r="AO5" s="33">
        <f>IF('IO model'!$D$41=0,0,'Z imported'!AO5/'IO model'!$D$41)</f>
        <v>0.00000290399845739602</v>
      </c>
      <c r="AP5" s="33">
        <f>IF('IO model'!$D$42=0,0,'Z imported'!AP5/'IO model'!$D$42)</f>
        <v>0.000004989520193223251</v>
      </c>
      <c r="AQ5" s="33">
        <f>IF('IO model'!$D$43=0,0,'Z imported'!AQ5/'IO model'!$D$43)</f>
        <v>8.388802291149681e-7</v>
      </c>
      <c r="AR5" s="33">
        <f>IF('IO model'!$D$44=0,0,'Z imported'!AR5/'IO model'!$D$44)</f>
        <v>0.0000014955652750681043</v>
      </c>
      <c r="AS5" s="33">
        <f>IF('IO model'!$D$45=0,0,'Z imported'!AS5/'IO model'!$D$45)</f>
        <v>6.424319905434013e-7</v>
      </c>
      <c r="AT5" s="33">
        <f>IF('IO model'!$D$46=0,0,'Z imported'!AT5/'IO model'!$D$46)</f>
        <v>8.061985858707722e-7</v>
      </c>
      <c r="AU5" s="33">
        <f>IF('IO model'!$D$47=0,0,'Z imported'!AU5/'IO model'!$D$47)</f>
        <v>0.000006261286851421073</v>
      </c>
      <c r="AV5" s="33">
        <f>IF('IO model'!$D$48=0,0,'Z imported'!AV5/'IO model'!$D$48)</f>
        <v>0.0000037911039293231183</v>
      </c>
      <c r="AW5" s="33">
        <f>IF('IO model'!$D$49=0,0,'Z imported'!AW5/'IO model'!$D$49)</f>
        <v>0.000006515429963403645</v>
      </c>
      <c r="AX5" s="33">
        <f>IF('IO model'!$D$50=0,0,'Z imported'!AX5/'IO model'!$D$50)</f>
        <v>0.0000028957724617830424</v>
      </c>
      <c r="AY5" s="33">
        <f>IF('IO model'!$D$51=0,0,'Z imported'!AY5/'IO model'!$D$51)</f>
        <v>0.000004301461144901478</v>
      </c>
      <c r="AZ5" s="33">
        <f>IF('IO model'!$D$52=0,0,'Z imported'!AZ5/'IO model'!$D$52)</f>
        <v>0.000018727750618015767</v>
      </c>
      <c r="BA5" s="33">
        <f>IF('IO model'!$D$53=0,0,'Z imported'!BA5/'IO model'!$D$53)</f>
        <v>4.294040430108266e-7</v>
      </c>
      <c r="BB5" s="33">
        <f>IF('IO model'!$D$54=0,0,'Z imported'!BB5/'IO model'!$D$54)</f>
        <v>0.0000015956228872955706</v>
      </c>
      <c r="BC5" s="33">
        <f>IF('IO model'!$D$55=0,0,'Z imported'!BC5/'IO model'!$D$55)</f>
        <v>0.0000184926775265699</v>
      </c>
      <c r="BD5" s="33">
        <f>IF('IO model'!$D$56=0,0,'Z imported'!BD5/'IO model'!$D$56)</f>
        <v>0.000002505912212604934</v>
      </c>
      <c r="BE5" s="33">
        <f>IF('IO model'!$D$57=0,0,'Z imported'!BE5/'IO model'!$D$57)</f>
        <v>0.000007201754177864689</v>
      </c>
      <c r="BF5" s="33">
        <f>IF('IO model'!$D$58=0,0,'Z imported'!BF5/'IO model'!$D$58)</f>
        <v>0.000020251630495447375</v>
      </c>
      <c r="BG5" s="33">
        <f>IF('IO model'!$D$59=0,0,'Z imported'!BG5/'IO model'!$D$59)</f>
        <v>0.0000592019139370158</v>
      </c>
      <c r="BH5" s="33">
        <f>IF('IO model'!$D$60=0,0,'Z imported'!BH5/'IO model'!$D$60)</f>
        <v>0.00005891687222108751</v>
      </c>
      <c r="BI5" s="33">
        <f>IF('IO model'!$D$61=0,0,'Z imported'!BI5/'IO model'!$D$61)</f>
        <v>0.00007256966248669311</v>
      </c>
      <c r="BJ5" s="33">
        <f>IF('IO model'!$D$62=0,0,'Z imported'!BJ5/'IO model'!$D$62)</f>
        <v>0.00003450606012680977</v>
      </c>
      <c r="BK5" s="33">
        <f>IF('IO model'!$D$63=0,0,'Z imported'!BK5/'IO model'!$D$63)</f>
        <v>0</v>
      </c>
      <c r="BL5" s="33">
        <f>IF('IO model'!$D$64=0,0,'Z imported'!BL5/'IO model'!$D$64)</f>
        <v>0.000002121569091284223</v>
      </c>
      <c r="BM5" s="33">
        <f>IF('IO model'!$D$65=0,0,'Z imported'!BM5/'IO model'!$D$65)</f>
        <v>0</v>
      </c>
      <c r="BN5" s="33">
        <f>IF('IO model'!$D$66=0,0,'Z imported'!BN5/'IO model'!$D$66)</f>
        <v>0</v>
      </c>
    </row>
    <row r="6" spans="1:66" x14ac:dyDescent="0.25">
      <c r="A6" s="30" t="s">
        <v>280</v>
      </c>
      <c r="B6" s="31" t="s">
        <v>281</v>
      </c>
      <c r="C6" s="33">
        <f>IF('IO model'!$D$3=0,0,'Z imported'!C6/'IO model'!$D$3)</f>
        <v>0.002315507036512355</v>
      </c>
      <c r="D6" s="33">
        <f>IF('IO model'!$D$4=0,0,'Z imported'!D6/'IO model'!$D$4)</f>
        <v>0.00013450739070073543</v>
      </c>
      <c r="E6" s="33">
        <f>IF('IO model'!$D$5=0,0,'Z imported'!E6/'IO model'!$D$5)</f>
        <v>0.0006922810661128416</v>
      </c>
      <c r="F6" s="33">
        <f>IF('IO model'!$D$6=0,0,'Z imported'!F6/'IO model'!$D$6)</f>
        <v>0.014201848407112312</v>
      </c>
      <c r="G6" s="33">
        <f>IF('IO model'!$D$7=0,0,'Z imported'!G6/'IO model'!$D$7)</f>
        <v>0.0018143262461444278</v>
      </c>
      <c r="H6" s="33">
        <f>IF('IO model'!$D$8=0,0,'Z imported'!H6/'IO model'!$D$8)</f>
        <v>0.001561240138495834</v>
      </c>
      <c r="I6" s="33">
        <f>IF('IO model'!$D$9=0,0,'Z imported'!I6/'IO model'!$D$9)</f>
        <v>0.0003671751108455834</v>
      </c>
      <c r="J6" s="33">
        <f>IF('IO model'!$D$10=0,0,'Z imported'!J6/'IO model'!$D$10)</f>
        <v>0.007342309808083131</v>
      </c>
      <c r="K6" s="33">
        <f>IF('IO model'!$D$11=0,0,'Z imported'!K6/'IO model'!$D$11)</f>
        <v>0.0012084145458991385</v>
      </c>
      <c r="L6" s="33">
        <f>IF('IO model'!$D$12=0,0,'Z imported'!L6/'IO model'!$D$12)</f>
        <v>0.4851163509183889</v>
      </c>
      <c r="M6" s="33">
        <f>IF('IO model'!$D$13=0,0,'Z imported'!M6/'IO model'!$D$13)</f>
        <v>0.021427518983132842</v>
      </c>
      <c r="N6" s="33">
        <f>IF('IO model'!$D$14=0,0,'Z imported'!N6/'IO model'!$D$14)</f>
        <v>0.001112536243545864</v>
      </c>
      <c r="O6" s="33">
        <f>IF('IO model'!$D$15=0,0,'Z imported'!O6/'IO model'!$D$15)</f>
        <v>0.001312832149476759</v>
      </c>
      <c r="P6" s="33">
        <f>IF('IO model'!$D$16=0,0,'Z imported'!P6/'IO model'!$D$16)</f>
        <v>0.02189775254858643</v>
      </c>
      <c r="Q6" s="33">
        <f>IF('IO model'!$D$17=0,0,'Z imported'!Q6/'IO model'!$D$17)</f>
        <v>0.07193541850430306</v>
      </c>
      <c r="R6" s="33">
        <f>IF('IO model'!$D$18=0,0,'Z imported'!R6/'IO model'!$D$18)</f>
        <v>0.0018030923914460783</v>
      </c>
      <c r="S6" s="33">
        <f>IF('IO model'!$D$19=0,0,'Z imported'!S6/'IO model'!$D$19)</f>
        <v>0.0003114929935778827</v>
      </c>
      <c r="T6" s="33">
        <f>IF('IO model'!$D$20=0,0,'Z imported'!T6/'IO model'!$D$20)</f>
        <v>0.0009958192202712151</v>
      </c>
      <c r="U6" s="33">
        <f>IF('IO model'!$D$21=0,0,'Z imported'!U6/'IO model'!$D$21)</f>
        <v>0.0011927037156928427</v>
      </c>
      <c r="V6" s="33">
        <f>IF('IO model'!$D$22=0,0,'Z imported'!V6/'IO model'!$D$22)</f>
        <v>0.00040524015393932826</v>
      </c>
      <c r="W6" s="33">
        <f>IF('IO model'!$D$23=0,0,'Z imported'!W6/'IO model'!$D$23)</f>
        <v>0.0009574921839616209</v>
      </c>
      <c r="X6" s="33">
        <f>IF('IO model'!$D$24=0,0,'Z imported'!X6/'IO model'!$D$24)</f>
        <v>0.0020372578166910843</v>
      </c>
      <c r="Y6" s="33">
        <f>IF('IO model'!$D$25=0,0,'Z imported'!Y6/'IO model'!$D$25)</f>
        <v>0.0003158727474806209</v>
      </c>
      <c r="Z6" s="33">
        <f>IF('IO model'!$D$26=0,0,'Z imported'!Z6/'IO model'!$D$26)</f>
        <v>0.06699663610471407</v>
      </c>
      <c r="AA6" s="33">
        <f>IF('IO model'!$D$27=0,0,'Z imported'!AA6/'IO model'!$D$27)</f>
        <v>0.0008866423481482432</v>
      </c>
      <c r="AB6" s="33">
        <f>IF('IO model'!$D$28=0,0,'Z imported'!AB6/'IO model'!$D$28)</f>
        <v>0.0005837978717695027</v>
      </c>
      <c r="AC6" s="33">
        <f>IF('IO model'!$D$29=0,0,'Z imported'!AC6/'IO model'!$D$29)</f>
        <v>0.0018300269636754188</v>
      </c>
      <c r="AD6" s="33">
        <f>IF('IO model'!$D$30=0,0,'Z imported'!AD6/'IO model'!$D$30)</f>
        <v>0.00015803010793554833</v>
      </c>
      <c r="AE6" s="33">
        <f>IF('IO model'!$D$31=0,0,'Z imported'!AE6/'IO model'!$D$31)</f>
        <v>0.0007772741581392899</v>
      </c>
      <c r="AF6" s="33">
        <f>IF('IO model'!$D$32=0,0,'Z imported'!AF6/'IO model'!$D$32)</f>
        <v>0.00027799231381585223</v>
      </c>
      <c r="AG6" s="33">
        <f>IF('IO model'!$D$33=0,0,'Z imported'!AG6/'IO model'!$D$33)</f>
        <v>0.0007902554330384791</v>
      </c>
      <c r="AH6" s="33">
        <f>IF('IO model'!$D$34=0,0,'Z imported'!AH6/'IO model'!$D$34)</f>
        <v>0.0007732249616927533</v>
      </c>
      <c r="AI6" s="33">
        <f>IF('IO model'!$D$35=0,0,'Z imported'!AI6/'IO model'!$D$35)</f>
        <v>0.0008028876115517117</v>
      </c>
      <c r="AJ6" s="33">
        <f>IF('IO model'!$D$36=0,0,'Z imported'!AJ6/'IO model'!$D$36)</f>
        <v>0.0004902277194005532</v>
      </c>
      <c r="AK6" s="33">
        <f>IF('IO model'!$D$37=0,0,'Z imported'!AK6/'IO model'!$D$37)</f>
        <v>0.00023466459921847694</v>
      </c>
      <c r="AL6" s="33">
        <f>IF('IO model'!$D$38=0,0,'Z imported'!AL6/'IO model'!$D$38)</f>
        <v>0.0006733660789556372</v>
      </c>
      <c r="AM6" s="33">
        <f>IF('IO model'!$D$39=0,0,'Z imported'!AM6/'IO model'!$D$39)</f>
        <v>0.00009760673703389393</v>
      </c>
      <c r="AN6" s="33">
        <f>IF('IO model'!$D$40=0,0,'Z imported'!AN6/'IO model'!$D$40)</f>
        <v>0.00008749646537457757</v>
      </c>
      <c r="AO6" s="33">
        <f>IF('IO model'!$D$41=0,0,'Z imported'!AO6/'IO model'!$D$41)</f>
        <v>0.00013416472873169612</v>
      </c>
      <c r="AP6" s="33">
        <f>IF('IO model'!$D$42=0,0,'Z imported'!AP6/'IO model'!$D$42)</f>
        <v>0.0000842775319909891</v>
      </c>
      <c r="AQ6" s="33">
        <f>IF('IO model'!$D$43=0,0,'Z imported'!AQ6/'IO model'!$D$43)</f>
        <v>0.000030199688248138846</v>
      </c>
      <c r="AR6" s="33">
        <f>IF('IO model'!$D$44=0,0,'Z imported'!AR6/'IO model'!$D$44)</f>
        <v>0.000028166479347115963</v>
      </c>
      <c r="AS6" s="33">
        <f>IF('IO model'!$D$45=0,0,'Z imported'!AS6/'IO model'!$D$45)</f>
        <v>0.000053321855215102295</v>
      </c>
      <c r="AT6" s="33">
        <f>IF('IO model'!$D$46=0,0,'Z imported'!AT6/'IO model'!$D$46)</f>
        <v>0.000053873034914658666</v>
      </c>
      <c r="AU6" s="33">
        <f>IF('IO model'!$D$47=0,0,'Z imported'!AU6/'IO model'!$D$47)</f>
        <v>0.0013486459129405984</v>
      </c>
      <c r="AV6" s="33">
        <f>IF('IO model'!$D$48=0,0,'Z imported'!AV6/'IO model'!$D$48)</f>
        <v>0.0007149575998476422</v>
      </c>
      <c r="AW6" s="33">
        <f>IF('IO model'!$D$49=0,0,'Z imported'!AW6/'IO model'!$D$49)</f>
        <v>0.00019587011327482206</v>
      </c>
      <c r="AX6" s="33">
        <f>IF('IO model'!$D$50=0,0,'Z imported'!AX6/'IO model'!$D$50)</f>
        <v>0.000056757140250947634</v>
      </c>
      <c r="AY6" s="33">
        <f>IF('IO model'!$D$51=0,0,'Z imported'!AY6/'IO model'!$D$51)</f>
        <v>0.00007988427840531316</v>
      </c>
      <c r="AZ6" s="33">
        <f>IF('IO model'!$D$52=0,0,'Z imported'!AZ6/'IO model'!$D$52)</f>
        <v>0.0001199661706255503</v>
      </c>
      <c r="BA6" s="33">
        <f>IF('IO model'!$D$53=0,0,'Z imported'!BA6/'IO model'!$D$53)</f>
        <v>0.00007171047518280805</v>
      </c>
      <c r="BB6" s="33">
        <f>IF('IO model'!$D$54=0,0,'Z imported'!BB6/'IO model'!$D$54)</f>
        <v>0.00003909276073874148</v>
      </c>
      <c r="BC6" s="33">
        <f>IF('IO model'!$D$55=0,0,'Z imported'!BC6/'IO model'!$D$55)</f>
        <v>0.0003850551583286631</v>
      </c>
      <c r="BD6" s="33">
        <f>IF('IO model'!$D$56=0,0,'Z imported'!BD6/'IO model'!$D$56)</f>
        <v>0.00040212930145051953</v>
      </c>
      <c r="BE6" s="33">
        <f>IF('IO model'!$D$57=0,0,'Z imported'!BE6/'IO model'!$D$57)</f>
        <v>0.00020916859560709942</v>
      </c>
      <c r="BF6" s="33">
        <f>IF('IO model'!$D$58=0,0,'Z imported'!BF6/'IO model'!$D$58)</f>
        <v>0.00039147836902616765</v>
      </c>
      <c r="BG6" s="33">
        <f>IF('IO model'!$D$59=0,0,'Z imported'!BG6/'IO model'!$D$59)</f>
        <v>0.00047767276354165395</v>
      </c>
      <c r="BH6" s="33">
        <f>IF('IO model'!$D$60=0,0,'Z imported'!BH6/'IO model'!$D$60)</f>
        <v>0.00018635188472892125</v>
      </c>
      <c r="BI6" s="33">
        <f>IF('IO model'!$D$61=0,0,'Z imported'!BI6/'IO model'!$D$61)</f>
        <v>0.0003488025713070088</v>
      </c>
      <c r="BJ6" s="33">
        <f>IF('IO model'!$D$62=0,0,'Z imported'!BJ6/'IO model'!$D$62)</f>
        <v>0.0004416775696231652</v>
      </c>
      <c r="BK6" s="33">
        <f>IF('IO model'!$D$63=0,0,'Z imported'!BK6/'IO model'!$D$63)</f>
        <v>0.00011873144821121701</v>
      </c>
      <c r="BL6" s="33">
        <f>IF('IO model'!$D$64=0,0,'Z imported'!BL6/'IO model'!$D$64)</f>
        <v>0.0003935510664332233</v>
      </c>
      <c r="BM6" s="33">
        <f>IF('IO model'!$D$65=0,0,'Z imported'!BM6/'IO model'!$D$65)</f>
        <v>0</v>
      </c>
      <c r="BN6" s="33">
        <f>IF('IO model'!$D$66=0,0,'Z imported'!BN6/'IO model'!$D$66)</f>
        <v>0</v>
      </c>
    </row>
    <row r="7" spans="1:66" x14ac:dyDescent="0.25">
      <c r="A7" s="30" t="s">
        <v>282</v>
      </c>
      <c r="B7" s="31" t="s">
        <v>283</v>
      </c>
      <c r="C7" s="33">
        <f>IF('IO model'!$D$3=0,0,'Z imported'!C7/'IO model'!$D$3)</f>
        <v>0.0031342440691754228</v>
      </c>
      <c r="D7" s="33">
        <f>IF('IO model'!$D$4=0,0,'Z imported'!D7/'IO model'!$D$4)</f>
        <v>0.00015692528915085805</v>
      </c>
      <c r="E7" s="33">
        <f>IF('IO model'!$D$5=0,0,'Z imported'!E7/'IO model'!$D$5)</f>
        <v>0.003420682914910512</v>
      </c>
      <c r="F7" s="33">
        <f>IF('IO model'!$D$6=0,0,'Z imported'!F7/'IO model'!$D$6)</f>
        <v>0.0001386397148612593</v>
      </c>
      <c r="G7" s="33">
        <f>IF('IO model'!$D$7=0,0,'Z imported'!G7/'IO model'!$D$7)</f>
        <v>0.014871323962233049</v>
      </c>
      <c r="H7" s="33">
        <f>IF('IO model'!$D$8=0,0,'Z imported'!H7/'IO model'!$D$8)</f>
        <v>0.001198048691368955</v>
      </c>
      <c r="I7" s="33">
        <f>IF('IO model'!$D$9=0,0,'Z imported'!I7/'IO model'!$D$9)</f>
        <v>0.0001685950431925791</v>
      </c>
      <c r="J7" s="33">
        <f>IF('IO model'!$D$10=0,0,'Z imported'!J7/'IO model'!$D$10)</f>
        <v>0.00043443232606903305</v>
      </c>
      <c r="K7" s="33">
        <f>IF('IO model'!$D$11=0,0,'Z imported'!K7/'IO model'!$D$11)</f>
        <v>0.00019476799151550822</v>
      </c>
      <c r="L7" s="33">
        <f>IF('IO model'!$D$12=0,0,'Z imported'!L7/'IO model'!$D$12)</f>
        <v>0.0003008671697160847</v>
      </c>
      <c r="M7" s="33">
        <f>IF('IO model'!$D$13=0,0,'Z imported'!M7/'IO model'!$D$13)</f>
        <v>0.002365199467676474</v>
      </c>
      <c r="N7" s="33">
        <f>IF('IO model'!$D$14=0,0,'Z imported'!N7/'IO model'!$D$14)</f>
        <v>0.0015668084203976826</v>
      </c>
      <c r="O7" s="33">
        <f>IF('IO model'!$D$15=0,0,'Z imported'!O7/'IO model'!$D$15)</f>
        <v>0.00047507482778887854</v>
      </c>
      <c r="P7" s="33">
        <f>IF('IO model'!$D$16=0,0,'Z imported'!P7/'IO model'!$D$16)</f>
        <v>0.000165165255550907</v>
      </c>
      <c r="Q7" s="33">
        <f>IF('IO model'!$D$17=0,0,'Z imported'!Q7/'IO model'!$D$17)</f>
        <v>0.00014661358380813888</v>
      </c>
      <c r="R7" s="33">
        <f>IF('IO model'!$D$18=0,0,'Z imported'!R7/'IO model'!$D$18)</f>
        <v>0.00011215330669065673</v>
      </c>
      <c r="S7" s="33">
        <f>IF('IO model'!$D$19=0,0,'Z imported'!S7/'IO model'!$D$19)</f>
        <v>0.00025021568336584013</v>
      </c>
      <c r="T7" s="33">
        <f>IF('IO model'!$D$20=0,0,'Z imported'!T7/'IO model'!$D$20)</f>
        <v>0.0001585732456569488</v>
      </c>
      <c r="U7" s="33">
        <f>IF('IO model'!$D$21=0,0,'Z imported'!U7/'IO model'!$D$21)</f>
        <v>0.00016311884239024655</v>
      </c>
      <c r="V7" s="33">
        <f>IF('IO model'!$D$22=0,0,'Z imported'!V7/'IO model'!$D$22)</f>
        <v>0.00009764711260826377</v>
      </c>
      <c r="W7" s="33">
        <f>IF('IO model'!$D$23=0,0,'Z imported'!W7/'IO model'!$D$23)</f>
        <v>0.0001648953244480404</v>
      </c>
      <c r="X7" s="33">
        <f>IF('IO model'!$D$24=0,0,'Z imported'!X7/'IO model'!$D$24)</f>
        <v>0.0004600259586076643</v>
      </c>
      <c r="Y7" s="33">
        <f>IF('IO model'!$D$25=0,0,'Z imported'!Y7/'IO model'!$D$25)</f>
        <v>0.00017760239203660068</v>
      </c>
      <c r="Z7" s="33">
        <f>IF('IO model'!$D$26=0,0,'Z imported'!Z7/'IO model'!$D$26)</f>
        <v>0.00014197418587849736</v>
      </c>
      <c r="AA7" s="33">
        <f>IF('IO model'!$D$27=0,0,'Z imported'!AA7/'IO model'!$D$27)</f>
        <v>0.00009978290091700484</v>
      </c>
      <c r="AB7" s="33">
        <f>IF('IO model'!$D$28=0,0,'Z imported'!AB7/'IO model'!$D$28)</f>
        <v>0.000373947134126959</v>
      </c>
      <c r="AC7" s="33">
        <f>IF('IO model'!$D$29=0,0,'Z imported'!AC7/'IO model'!$D$29)</f>
        <v>0.00006943258773976354</v>
      </c>
      <c r="AD7" s="33">
        <f>IF('IO model'!$D$30=0,0,'Z imported'!AD7/'IO model'!$D$30)</f>
        <v>0.00010116880741668283</v>
      </c>
      <c r="AE7" s="33">
        <f>IF('IO model'!$D$31=0,0,'Z imported'!AE7/'IO model'!$D$31)</f>
        <v>0.0004832501646012359</v>
      </c>
      <c r="AF7" s="33">
        <f>IF('IO model'!$D$32=0,0,'Z imported'!AF7/'IO model'!$D$32)</f>
        <v>0.00038487125860127934</v>
      </c>
      <c r="AG7" s="33">
        <f>IF('IO model'!$D$33=0,0,'Z imported'!AG7/'IO model'!$D$33)</f>
        <v>0.0001060667321629817</v>
      </c>
      <c r="AH7" s="33">
        <f>IF('IO model'!$D$34=0,0,'Z imported'!AH7/'IO model'!$D$34)</f>
        <v>0.000517485740178391</v>
      </c>
      <c r="AI7" s="33">
        <f>IF('IO model'!$D$35=0,0,'Z imported'!AI7/'IO model'!$D$35)</f>
        <v>0.0005061545226488332</v>
      </c>
      <c r="AJ7" s="33">
        <f>IF('IO model'!$D$36=0,0,'Z imported'!AJ7/'IO model'!$D$36)</f>
        <v>0.00010113381157894502</v>
      </c>
      <c r="AK7" s="33">
        <f>IF('IO model'!$D$37=0,0,'Z imported'!AK7/'IO model'!$D$37)</f>
        <v>0.00009275827815715605</v>
      </c>
      <c r="AL7" s="33">
        <f>IF('IO model'!$D$38=0,0,'Z imported'!AL7/'IO model'!$D$38)</f>
        <v>0.006157745213912868</v>
      </c>
      <c r="AM7" s="33">
        <f>IF('IO model'!$D$39=0,0,'Z imported'!AM7/'IO model'!$D$39)</f>
        <v>0.00043968219969434634</v>
      </c>
      <c r="AN7" s="33">
        <f>IF('IO model'!$D$40=0,0,'Z imported'!AN7/'IO model'!$D$40)</f>
        <v>0.0002045447170677211</v>
      </c>
      <c r="AO7" s="33">
        <f>IF('IO model'!$D$41=0,0,'Z imported'!AO7/'IO model'!$D$41)</f>
        <v>0.00011703113783305962</v>
      </c>
      <c r="AP7" s="33">
        <f>IF('IO model'!$D$42=0,0,'Z imported'!AP7/'IO model'!$D$42)</f>
        <v>0.0002496574467590979</v>
      </c>
      <c r="AQ7" s="33">
        <f>IF('IO model'!$D$43=0,0,'Z imported'!AQ7/'IO model'!$D$43)</f>
        <v>0.000016777604582299363</v>
      </c>
      <c r="AR7" s="33">
        <f>IF('IO model'!$D$44=0,0,'Z imported'!AR7/'IO model'!$D$44)</f>
        <v>0.000040131001547660796</v>
      </c>
      <c r="AS7" s="33">
        <f>IF('IO model'!$D$45=0,0,'Z imported'!AS7/'IO model'!$D$45)</f>
        <v>0.00007098873495504584</v>
      </c>
      <c r="AT7" s="33">
        <f>IF('IO model'!$D$46=0,0,'Z imported'!AT7/'IO model'!$D$46)</f>
        <v>0.000012709483589021588</v>
      </c>
      <c r="AU7" s="33">
        <f>IF('IO model'!$D$47=0,0,'Z imported'!AU7/'IO model'!$D$47)</f>
        <v>0.00009594760696262154</v>
      </c>
      <c r="AV7" s="33">
        <f>IF('IO model'!$D$48=0,0,'Z imported'!AV7/'IO model'!$D$48)</f>
        <v>0.00009210152487120279</v>
      </c>
      <c r="AW7" s="33">
        <f>IF('IO model'!$D$49=0,0,'Z imported'!AW7/'IO model'!$D$49)</f>
        <v>0.0002789418453082185</v>
      </c>
      <c r="AX7" s="33">
        <f>IF('IO model'!$D$50=0,0,'Z imported'!AX7/'IO model'!$D$50)</f>
        <v>0.00016158410336749375</v>
      </c>
      <c r="AY7" s="33">
        <f>IF('IO model'!$D$51=0,0,'Z imported'!AY7/'IO model'!$D$51)</f>
        <v>0.00018004687363659046</v>
      </c>
      <c r="AZ7" s="33">
        <f>IF('IO model'!$D$52=0,0,'Z imported'!AZ7/'IO model'!$D$52)</f>
        <v>0.00016040725529343938</v>
      </c>
      <c r="BA7" s="33">
        <f>IF('IO model'!$D$53=0,0,'Z imported'!BA7/'IO model'!$D$53)</f>
        <v>0.00007729272774194878</v>
      </c>
      <c r="BB7" s="33">
        <f>IF('IO model'!$D$54=0,0,'Z imported'!BB7/'IO model'!$D$54)</f>
        <v>0.00018828350070087738</v>
      </c>
      <c r="BC7" s="33">
        <f>IF('IO model'!$D$55=0,0,'Z imported'!BC7/'IO model'!$D$55)</f>
        <v>0.0001502921843049198</v>
      </c>
      <c r="BD7" s="33">
        <f>IF('IO model'!$D$56=0,0,'Z imported'!BD7/'IO model'!$D$56)</f>
        <v>0.00018272276550244303</v>
      </c>
      <c r="BE7" s="33">
        <f>IF('IO model'!$D$57=0,0,'Z imported'!BE7/'IO model'!$D$57)</f>
        <v>0.0002618049459953163</v>
      </c>
      <c r="BF7" s="33">
        <f>IF('IO model'!$D$58=0,0,'Z imported'!BF7/'IO model'!$D$58)</f>
        <v>0.0006106584171835883</v>
      </c>
      <c r="BG7" s="33">
        <f>IF('IO model'!$D$59=0,0,'Z imported'!BG7/'IO model'!$D$59)</f>
        <v>0.0008256914912648587</v>
      </c>
      <c r="BH7" s="33">
        <f>IF('IO model'!$D$60=0,0,'Z imported'!BH7/'IO model'!$D$60)</f>
        <v>0.00017718703793897426</v>
      </c>
      <c r="BI7" s="33">
        <f>IF('IO model'!$D$61=0,0,'Z imported'!BI7/'IO model'!$D$61)</f>
        <v>0.0006753660524971279</v>
      </c>
      <c r="BJ7" s="33">
        <f>IF('IO model'!$D$62=0,0,'Z imported'!BJ7/'IO model'!$D$62)</f>
        <v>0.00035368711629980024</v>
      </c>
      <c r="BK7" s="33">
        <f>IF('IO model'!$D$63=0,0,'Z imported'!BK7/'IO model'!$D$63)</f>
        <v>0.00023746289642243397</v>
      </c>
      <c r="BL7" s="33">
        <f>IF('IO model'!$D$64=0,0,'Z imported'!BL7/'IO model'!$D$64)</f>
        <v>0.00018669808003301164</v>
      </c>
      <c r="BM7" s="33">
        <f>IF('IO model'!$D$65=0,0,'Z imported'!BM7/'IO model'!$D$65)</f>
        <v>0</v>
      </c>
      <c r="BN7" s="33">
        <f>IF('IO model'!$D$66=0,0,'Z imported'!BN7/'IO model'!$D$66)</f>
        <v>0</v>
      </c>
    </row>
    <row r="8" spans="1:66" x14ac:dyDescent="0.25">
      <c r="A8" s="30" t="s">
        <v>145</v>
      </c>
      <c r="B8" s="31" t="s">
        <v>285</v>
      </c>
      <c r="C8" s="33">
        <f>IF('IO model'!$D$3=0,0,'Z imported'!C8/'IO model'!$D$3)</f>
        <v>0.0003624089722406249</v>
      </c>
      <c r="D8" s="33">
        <f>IF('IO model'!$D$4=0,0,'Z imported'!D8/'IO model'!$D$4)</f>
        <v>0.00033306591983039264</v>
      </c>
      <c r="E8" s="33">
        <f>IF('IO model'!$D$5=0,0,'Z imported'!E8/'IO model'!$D$5)</f>
        <v>0.0013166914394695227</v>
      </c>
      <c r="F8" s="33">
        <f>IF('IO model'!$D$6=0,0,'Z imported'!F8/'IO model'!$D$6)</f>
        <v>0.0002855427239857725</v>
      </c>
      <c r="G8" s="33">
        <f>IF('IO model'!$D$7=0,0,'Z imported'!G8/'IO model'!$D$7)</f>
        <v>0.00034001141955687403</v>
      </c>
      <c r="H8" s="33">
        <f>IF('IO model'!$D$8=0,0,'Z imported'!H8/'IO model'!$D$8)</f>
        <v>0.06043777963984759</v>
      </c>
      <c r="I8" s="33">
        <f>IF('IO model'!$D$9=0,0,'Z imported'!I8/'IO model'!$D$9)</f>
        <v>0.00039037107316402554</v>
      </c>
      <c r="J8" s="33">
        <f>IF('IO model'!$D$10=0,0,'Z imported'!J8/'IO model'!$D$10)</f>
        <v>0.0024581965364669843</v>
      </c>
      <c r="K8" s="33">
        <f>IF('IO model'!$D$11=0,0,'Z imported'!K8/'IO model'!$D$11)</f>
        <v>0.003200166050375248</v>
      </c>
      <c r="L8" s="33">
        <f>IF('IO model'!$D$12=0,0,'Z imported'!L8/'IO model'!$D$12)</f>
        <v>0.00013739233391186288</v>
      </c>
      <c r="M8" s="33">
        <f>IF('IO model'!$D$13=0,0,'Z imported'!M8/'IO model'!$D$13)</f>
        <v>0.0009023340763485569</v>
      </c>
      <c r="N8" s="33">
        <f>IF('IO model'!$D$14=0,0,'Z imported'!N8/'IO model'!$D$14)</f>
        <v>0.0006418478328149215</v>
      </c>
      <c r="O8" s="33">
        <f>IF('IO model'!$D$15=0,0,'Z imported'!O8/'IO model'!$D$15)</f>
        <v>0.0039026205912285217</v>
      </c>
      <c r="P8" s="33">
        <f>IF('IO model'!$D$16=0,0,'Z imported'!P8/'IO model'!$D$16)</f>
        <v>0.0009040822530497258</v>
      </c>
      <c r="Q8" s="33">
        <f>IF('IO model'!$D$17=0,0,'Z imported'!Q8/'IO model'!$D$17)</f>
        <v>0.0002717715212053306</v>
      </c>
      <c r="R8" s="33">
        <f>IF('IO model'!$D$18=0,0,'Z imported'!R8/'IO model'!$D$18)</f>
        <v>0.0006090836498877746</v>
      </c>
      <c r="S8" s="33">
        <f>IF('IO model'!$D$19=0,0,'Z imported'!S8/'IO model'!$D$19)</f>
        <v>0.000381195933944081</v>
      </c>
      <c r="T8" s="33">
        <f>IF('IO model'!$D$20=0,0,'Z imported'!T8/'IO model'!$D$20)</f>
        <v>0.00047753645173287363</v>
      </c>
      <c r="U8" s="33">
        <f>IF('IO model'!$D$21=0,0,'Z imported'!U8/'IO model'!$D$21)</f>
        <v>0.0004866990440906813</v>
      </c>
      <c r="V8" s="33">
        <f>IF('IO model'!$D$22=0,0,'Z imported'!V8/'IO model'!$D$22)</f>
        <v>0.001960731765421775</v>
      </c>
      <c r="W8" s="33">
        <f>IF('IO model'!$D$23=0,0,'Z imported'!W8/'IO model'!$D$23)</f>
        <v>0.0010322447310447326</v>
      </c>
      <c r="X8" s="33">
        <f>IF('IO model'!$D$24=0,0,'Z imported'!X8/'IO model'!$D$24)</f>
        <v>0.006375716915454514</v>
      </c>
      <c r="Y8" s="33">
        <f>IF('IO model'!$D$25=0,0,'Z imported'!Y8/'IO model'!$D$25)</f>
        <v>0.0008332714968840512</v>
      </c>
      <c r="Z8" s="33">
        <f>IF('IO model'!$D$26=0,0,'Z imported'!Z8/'IO model'!$D$26)</f>
        <v>0.000193227759900043</v>
      </c>
      <c r="AA8" s="33">
        <f>IF('IO model'!$D$27=0,0,'Z imported'!AA8/'IO model'!$D$27)</f>
        <v>0.00020099127184710976</v>
      </c>
      <c r="AB8" s="33">
        <f>IF('IO model'!$D$28=0,0,'Z imported'!AB8/'IO model'!$D$28)</f>
        <v>0.0005253148793117447</v>
      </c>
      <c r="AC8" s="33">
        <f>IF('IO model'!$D$29=0,0,'Z imported'!AC8/'IO model'!$D$29)</f>
        <v>0.0004492090519149191</v>
      </c>
      <c r="AD8" s="33">
        <f>IF('IO model'!$D$30=0,0,'Z imported'!AD8/'IO model'!$D$30)</f>
        <v>0.0005435054179465587</v>
      </c>
      <c r="AE8" s="33">
        <f>IF('IO model'!$D$31=0,0,'Z imported'!AE8/'IO model'!$D$31)</f>
        <v>0.0008048495461862781</v>
      </c>
      <c r="AF8" s="33">
        <f>IF('IO model'!$D$32=0,0,'Z imported'!AF8/'IO model'!$D$32)</f>
        <v>0.0007034561599608455</v>
      </c>
      <c r="AG8" s="33">
        <f>IF('IO model'!$D$33=0,0,'Z imported'!AG8/'IO model'!$D$33)</f>
        <v>0.0003130198921098007</v>
      </c>
      <c r="AH8" s="33">
        <f>IF('IO model'!$D$34=0,0,'Z imported'!AH8/'IO model'!$D$34)</f>
        <v>0.00036687421878318764</v>
      </c>
      <c r="AI8" s="33">
        <f>IF('IO model'!$D$35=0,0,'Z imported'!AI8/'IO model'!$D$35)</f>
        <v>0.0002891407710631459</v>
      </c>
      <c r="AJ8" s="33">
        <f>IF('IO model'!$D$36=0,0,'Z imported'!AJ8/'IO model'!$D$36)</f>
        <v>0.0003043752128400711</v>
      </c>
      <c r="AK8" s="33">
        <f>IF('IO model'!$D$37=0,0,'Z imported'!AK8/'IO model'!$D$37)</f>
        <v>0.0004679447465241604</v>
      </c>
      <c r="AL8" s="33">
        <f>IF('IO model'!$D$38=0,0,'Z imported'!AL8/'IO model'!$D$38)</f>
        <v>0.0007180919168919577</v>
      </c>
      <c r="AM8" s="33">
        <f>IF('IO model'!$D$39=0,0,'Z imported'!AM8/'IO model'!$D$39)</f>
        <v>0.00019611724015143508</v>
      </c>
      <c r="AN8" s="33">
        <f>IF('IO model'!$D$40=0,0,'Z imported'!AN8/'IO model'!$D$40)</f>
        <v>0.0017377609248897888</v>
      </c>
      <c r="AO8" s="33">
        <f>IF('IO model'!$D$41=0,0,'Z imported'!AO8/'IO model'!$D$41)</f>
        <v>0.0003592246091798877</v>
      </c>
      <c r="AP8" s="33">
        <f>IF('IO model'!$D$42=0,0,'Z imported'!AP8/'IO model'!$D$42)</f>
        <v>0.00016374698088669035</v>
      </c>
      <c r="AQ8" s="33">
        <f>IF('IO model'!$D$43=0,0,'Z imported'!AQ8/'IO model'!$D$43)</f>
        <v>0.00004541937240493899</v>
      </c>
      <c r="AR8" s="33">
        <f>IF('IO model'!$D$44=0,0,'Z imported'!AR8/'IO model'!$D$44)</f>
        <v>0.00004960291495642546</v>
      </c>
      <c r="AS8" s="33">
        <f>IF('IO model'!$D$45=0,0,'Z imported'!AS8/'IO model'!$D$45)</f>
        <v>0.00008062521481319686</v>
      </c>
      <c r="AT8" s="33">
        <f>IF('IO model'!$D$46=0,0,'Z imported'!AT8/'IO model'!$D$46)</f>
        <v>0.000057904027844012516</v>
      </c>
      <c r="AU8" s="33">
        <f>IF('IO model'!$D$47=0,0,'Z imported'!AU8/'IO model'!$D$47)</f>
        <v>0.00026535510050600017</v>
      </c>
      <c r="AV8" s="33">
        <f>IF('IO model'!$D$48=0,0,'Z imported'!AV8/'IO model'!$D$48)</f>
        <v>0.0002497668471083466</v>
      </c>
      <c r="AW8" s="33">
        <f>IF('IO model'!$D$49=0,0,'Z imported'!AW8/'IO model'!$D$49)</f>
        <v>0.00034531778806039313</v>
      </c>
      <c r="AX8" s="33">
        <f>IF('IO model'!$D$50=0,0,'Z imported'!AX8/'IO model'!$D$50)</f>
        <v>0.00018764605552354114</v>
      </c>
      <c r="AY8" s="33">
        <f>IF('IO model'!$D$51=0,0,'Z imported'!AY8/'IO model'!$D$51)</f>
        <v>0.000980733141037537</v>
      </c>
      <c r="AZ8" s="33">
        <f>IF('IO model'!$D$52=0,0,'Z imported'!AZ8/'IO model'!$D$52)</f>
        <v>0.00042368143064815394</v>
      </c>
      <c r="BA8" s="33">
        <f>IF('IO model'!$D$53=0,0,'Z imported'!BA8/'IO model'!$D$53)</f>
        <v>0.000297147597763492</v>
      </c>
      <c r="BB8" s="33">
        <f>IF('IO model'!$D$54=0,0,'Z imported'!BB8/'IO model'!$D$54)</f>
        <v>0.00030077491425521506</v>
      </c>
      <c r="BC8" s="33">
        <f>IF('IO model'!$D$55=0,0,'Z imported'!BC8/'IO model'!$D$55)</f>
        <v>0.0006795275402983653</v>
      </c>
      <c r="BD8" s="33">
        <f>IF('IO model'!$D$56=0,0,'Z imported'!BD8/'IO model'!$D$56)</f>
        <v>0.0004594172389775712</v>
      </c>
      <c r="BE8" s="33">
        <f>IF('IO model'!$D$57=0,0,'Z imported'!BE8/'IO model'!$D$57)</f>
        <v>0.00029601327834017364</v>
      </c>
      <c r="BF8" s="33">
        <f>IF('IO model'!$D$58=0,0,'Z imported'!BF8/'IO model'!$D$58)</f>
        <v>0.0013301494155730253</v>
      </c>
      <c r="BG8" s="33">
        <f>IF('IO model'!$D$59=0,0,'Z imported'!BG8/'IO model'!$D$59)</f>
        <v>0.000966595735027725</v>
      </c>
      <c r="BH8" s="33">
        <f>IF('IO model'!$D$60=0,0,'Z imported'!BH8/'IO model'!$D$60)</f>
        <v>0.0011421144785376744</v>
      </c>
      <c r="BI8" s="33">
        <f>IF('IO model'!$D$61=0,0,'Z imported'!BI8/'IO model'!$D$61)</f>
        <v>0.0010540158236978573</v>
      </c>
      <c r="BJ8" s="33">
        <f>IF('IO model'!$D$62=0,0,'Z imported'!BJ8/'IO model'!$D$62)</f>
        <v>0.00047215792273518043</v>
      </c>
      <c r="BK8" s="33">
        <f>IF('IO model'!$D$63=0,0,'Z imported'!BK8/'IO model'!$D$63)</f>
        <v>0.002740196844243087</v>
      </c>
      <c r="BL8" s="33">
        <f>IF('IO model'!$D$64=0,0,'Z imported'!BL8/'IO model'!$D$64)</f>
        <v>0.0008279423378736681</v>
      </c>
      <c r="BM8" s="33">
        <f>IF('IO model'!$D$65=0,0,'Z imported'!BM8/'IO model'!$D$65)</f>
        <v>0</v>
      </c>
      <c r="BN8" s="33">
        <f>IF('IO model'!$D$66=0,0,'Z imported'!BN8/'IO model'!$D$66)</f>
        <v>0</v>
      </c>
    </row>
    <row r="9" spans="1:66" x14ac:dyDescent="0.25">
      <c r="A9" s="30" t="s">
        <v>85</v>
      </c>
      <c r="B9" s="31" t="s">
        <v>286</v>
      </c>
      <c r="C9" s="33">
        <f>IF('IO model'!$D$3=0,0,'Z imported'!C9/'IO model'!$D$3)</f>
        <v>0.0003716612244221052</v>
      </c>
      <c r="D9" s="33">
        <f>IF('IO model'!$D$4=0,0,'Z imported'!D9/'IO model'!$D$4)</f>
        <v>0.0003250595275267773</v>
      </c>
      <c r="E9" s="33">
        <f>IF('IO model'!$D$5=0,0,'Z imported'!E9/'IO model'!$D$5)</f>
        <v>0.00036650174088326916</v>
      </c>
      <c r="F9" s="33">
        <f>IF('IO model'!$D$6=0,0,'Z imported'!F9/'IO model'!$D$6)</f>
        <v>0.0001267038453698926</v>
      </c>
      <c r="G9" s="33">
        <f>IF('IO model'!$D$7=0,0,'Z imported'!G9/'IO model'!$D$7)</f>
        <v>0.00035965717783899596</v>
      </c>
      <c r="H9" s="33">
        <f>IF('IO model'!$D$8=0,0,'Z imported'!H9/'IO model'!$D$8)</f>
        <v>0.0001532694256919961</v>
      </c>
      <c r="I9" s="33">
        <f>IF('IO model'!$D$9=0,0,'Z imported'!I9/'IO model'!$D$9)</f>
        <v>0.022519319124957783</v>
      </c>
      <c r="J9" s="33">
        <f>IF('IO model'!$D$10=0,0,'Z imported'!J9/'IO model'!$D$10)</f>
        <v>0.0012934337055822088</v>
      </c>
      <c r="K9" s="33">
        <f>IF('IO model'!$D$11=0,0,'Z imported'!K9/'IO model'!$D$11)</f>
        <v>0.00021751461826184488</v>
      </c>
      <c r="L9" s="33">
        <f>IF('IO model'!$D$12=0,0,'Z imported'!L9/'IO model'!$D$12)</f>
        <v>0.00001873531826070857</v>
      </c>
      <c r="M9" s="33">
        <f>IF('IO model'!$D$13=0,0,'Z imported'!M9/'IO model'!$D$13)</f>
        <v>0.00021478891827856844</v>
      </c>
      <c r="N9" s="33">
        <f>IF('IO model'!$D$14=0,0,'Z imported'!N9/'IO model'!$D$14)</f>
        <v>0.0001232563133875195</v>
      </c>
      <c r="O9" s="33">
        <f>IF('IO model'!$D$15=0,0,'Z imported'!O9/'IO model'!$D$15)</f>
        <v>0.00028112097479188506</v>
      </c>
      <c r="P9" s="33">
        <f>IF('IO model'!$D$16=0,0,'Z imported'!P9/'IO model'!$D$16)</f>
        <v>0.0005451582125131306</v>
      </c>
      <c r="Q9" s="33">
        <f>IF('IO model'!$D$17=0,0,'Z imported'!Q9/'IO model'!$D$17)</f>
        <v>0.00019210750073505459</v>
      </c>
      <c r="R9" s="33">
        <f>IF('IO model'!$D$18=0,0,'Z imported'!R9/'IO model'!$D$18)</f>
        <v>0.00043933378055997617</v>
      </c>
      <c r="S9" s="33">
        <f>IF('IO model'!$D$19=0,0,'Z imported'!S9/'IO model'!$D$19)</f>
        <v>0.00012178865404643445</v>
      </c>
      <c r="T9" s="33">
        <f>IF('IO model'!$D$20=0,0,'Z imported'!T9/'IO model'!$D$20)</f>
        <v>0.00023227995885919666</v>
      </c>
      <c r="U9" s="33">
        <f>IF('IO model'!$D$21=0,0,'Z imported'!U9/'IO model'!$D$21)</f>
        <v>0.00016552323184363266</v>
      </c>
      <c r="V9" s="33">
        <f>IF('IO model'!$D$22=0,0,'Z imported'!V9/'IO model'!$D$22)</f>
        <v>0.00020057996635486656</v>
      </c>
      <c r="W9" s="33">
        <f>IF('IO model'!$D$23=0,0,'Z imported'!W9/'IO model'!$D$23)</f>
        <v>0.0004202998603153385</v>
      </c>
      <c r="X9" s="33">
        <f>IF('IO model'!$D$24=0,0,'Z imported'!X9/'IO model'!$D$24)</f>
        <v>0.006621087904246024</v>
      </c>
      <c r="Y9" s="33">
        <f>IF('IO model'!$D$25=0,0,'Z imported'!Y9/'IO model'!$D$25)</f>
        <v>0.0002526171010018316</v>
      </c>
      <c r="Z9" s="33">
        <f>IF('IO model'!$D$26=0,0,'Z imported'!Z9/'IO model'!$D$26)</f>
        <v>0.00026207184625999356</v>
      </c>
      <c r="AA9" s="33">
        <f>IF('IO model'!$D$27=0,0,'Z imported'!AA9/'IO model'!$D$27)</f>
        <v>0.00002423299022270118</v>
      </c>
      <c r="AB9" s="33">
        <f>IF('IO model'!$D$28=0,0,'Z imported'!AB9/'IO model'!$D$28)</f>
        <v>0.00012075017854513581</v>
      </c>
      <c r="AC9" s="33">
        <f>IF('IO model'!$D$29=0,0,'Z imported'!AC9/'IO model'!$D$29)</f>
        <v>0.0018649081805565586</v>
      </c>
      <c r="AD9" s="33">
        <f>IF('IO model'!$D$30=0,0,'Z imported'!AD9/'IO model'!$D$30)</f>
        <v>0.00006129205120864725</v>
      </c>
      <c r="AE9" s="33">
        <f>IF('IO model'!$D$31=0,0,'Z imported'!AE9/'IO model'!$D$31)</f>
        <v>0.0001299334128139991</v>
      </c>
      <c r="AF9" s="33">
        <f>IF('IO model'!$D$32=0,0,'Z imported'!AF9/'IO model'!$D$32)</f>
        <v>0.00008484296869026812</v>
      </c>
      <c r="AG9" s="33">
        <f>IF('IO model'!$D$33=0,0,'Z imported'!AG9/'IO model'!$D$33)</f>
        <v>0.00007899964178195217</v>
      </c>
      <c r="AH9" s="33">
        <f>IF('IO model'!$D$34=0,0,'Z imported'!AH9/'IO model'!$D$34)</f>
        <v>0.00006608026864632854</v>
      </c>
      <c r="AI9" s="33">
        <f>IF('IO model'!$D$35=0,0,'Z imported'!AI9/'IO model'!$D$35)</f>
        <v>0.00007149432632414769</v>
      </c>
      <c r="AJ9" s="33">
        <f>IF('IO model'!$D$36=0,0,'Z imported'!AJ9/'IO model'!$D$36)</f>
        <v>0.00009793425495402653</v>
      </c>
      <c r="AK9" s="33">
        <f>IF('IO model'!$D$37=0,0,'Z imported'!AK9/'IO model'!$D$37)</f>
        <v>0.00002422790847388405</v>
      </c>
      <c r="AL9" s="33">
        <f>IF('IO model'!$D$38=0,0,'Z imported'!AL9/'IO model'!$D$38)</f>
        <v>0.00011423677498092959</v>
      </c>
      <c r="AM9" s="33">
        <f>IF('IO model'!$D$39=0,0,'Z imported'!AM9/'IO model'!$D$39)</f>
        <v>0.00009037660836471661</v>
      </c>
      <c r="AN9" s="33">
        <f>IF('IO model'!$D$40=0,0,'Z imported'!AN9/'IO model'!$D$40)</f>
        <v>0.0003569392229850317</v>
      </c>
      <c r="AO9" s="33">
        <f>IF('IO model'!$D$41=0,0,'Z imported'!AO9/'IO model'!$D$41)</f>
        <v>0.00006737276421158765</v>
      </c>
      <c r="AP9" s="33">
        <f>IF('IO model'!$D$42=0,0,'Z imported'!AP9/'IO model'!$D$42)</f>
        <v>0.000057152685849648156</v>
      </c>
      <c r="AQ9" s="33">
        <f>IF('IO model'!$D$43=0,0,'Z imported'!AQ9/'IO model'!$D$43)</f>
        <v>0.00000443408121103626</v>
      </c>
      <c r="AR9" s="33">
        <f>IF('IO model'!$D$44=0,0,'Z imported'!AR9/'IO model'!$D$44)</f>
        <v>0.0000057330002210944</v>
      </c>
      <c r="AS9" s="33">
        <f>IF('IO model'!$D$45=0,0,'Z imported'!AS9/'IO model'!$D$45)</f>
        <v>0.000014454719787226527</v>
      </c>
      <c r="AT9" s="33">
        <f>IF('IO model'!$D$46=0,0,'Z imported'!AT9/'IO model'!$D$46)</f>
        <v>0.00006895369081506486</v>
      </c>
      <c r="AU9" s="33">
        <f>IF('IO model'!$D$47=0,0,'Z imported'!AU9/'IO model'!$D$47)</f>
        <v>0.000025309708821941525</v>
      </c>
      <c r="AV9" s="33">
        <f>IF('IO model'!$D$48=0,0,'Z imported'!AV9/'IO model'!$D$48)</f>
        <v>0.0000648947790254722</v>
      </c>
      <c r="AW9" s="33">
        <f>IF('IO model'!$D$49=0,0,'Z imported'!AW9/'IO model'!$D$49)</f>
        <v>0.000025654505480901845</v>
      </c>
      <c r="AX9" s="33">
        <f>IF('IO model'!$D$50=0,0,'Z imported'!AX9/'IO model'!$D$50)</f>
        <v>0.00008976894631527431</v>
      </c>
      <c r="AY9" s="33">
        <f>IF('IO model'!$D$51=0,0,'Z imported'!AY9/'IO model'!$D$51)</f>
        <v>0.00011859742870942646</v>
      </c>
      <c r="AZ9" s="33">
        <f>IF('IO model'!$D$52=0,0,'Z imported'!AZ9/'IO model'!$D$52)</f>
        <v>0.00009553866981944277</v>
      </c>
      <c r="BA9" s="33">
        <f>IF('IO model'!$D$53=0,0,'Z imported'!BA9/'IO model'!$D$53)</f>
        <v>0.000007729272774194879</v>
      </c>
      <c r="BB9" s="33">
        <f>IF('IO model'!$D$54=0,0,'Z imported'!BB9/'IO model'!$D$54)</f>
        <v>0.00001356279454201235</v>
      </c>
      <c r="BC9" s="33">
        <f>IF('IO model'!$D$55=0,0,'Z imported'!BC9/'IO model'!$D$55)</f>
        <v>0.000265793060042903</v>
      </c>
      <c r="BD9" s="33">
        <f>IF('IO model'!$D$56=0,0,'Z imported'!BD9/'IO model'!$D$56)</f>
        <v>0.00002464147009061518</v>
      </c>
      <c r="BE9" s="33">
        <f>IF('IO model'!$D$57=0,0,'Z imported'!BE9/'IO model'!$D$57)</f>
        <v>0.000041410086522721955</v>
      </c>
      <c r="BF9" s="33">
        <f>IF('IO model'!$D$58=0,0,'Z imported'!BF9/'IO model'!$D$58)</f>
        <v>0.00007757809634673342</v>
      </c>
      <c r="BG9" s="33">
        <f>IF('IO model'!$D$59=0,0,'Z imported'!BG9/'IO model'!$D$59)</f>
        <v>0.00004297210575490555</v>
      </c>
      <c r="BH9" s="33">
        <f>IF('IO model'!$D$60=0,0,'Z imported'!BH9/'IO model'!$D$60)</f>
        <v>0.00014183691460632178</v>
      </c>
      <c r="BI9" s="33">
        <f>IF('IO model'!$D$61=0,0,'Z imported'!BI9/'IO model'!$D$61)</f>
        <v>0.00010300210159401602</v>
      </c>
      <c r="BJ9" s="33">
        <f>IF('IO model'!$D$62=0,0,'Z imported'!BJ9/'IO model'!$D$62)</f>
        <v>0.00007936393829166248</v>
      </c>
      <c r="BK9" s="33">
        <f>IF('IO model'!$D$63=0,0,'Z imported'!BK9/'IO model'!$D$63)</f>
        <v>0.00026558350257772223</v>
      </c>
      <c r="BL9" s="33">
        <f>IF('IO model'!$D$64=0,0,'Z imported'!BL9/'IO model'!$D$64)</f>
        <v>0.00023814613049665404</v>
      </c>
      <c r="BM9" s="33">
        <f>IF('IO model'!$D$65=0,0,'Z imported'!BM9/'IO model'!$D$65)</f>
        <v>0</v>
      </c>
      <c r="BN9" s="33">
        <f>IF('IO model'!$D$66=0,0,'Z imported'!BN9/'IO model'!$D$66)</f>
        <v>0</v>
      </c>
    </row>
    <row r="10" spans="1:66" x14ac:dyDescent="0.25">
      <c r="A10" s="30" t="s">
        <v>87</v>
      </c>
      <c r="B10" s="31" t="s">
        <v>287</v>
      </c>
      <c r="C10" s="33">
        <f>IF('IO model'!$D$3=0,0,'Z imported'!C10/'IO model'!$D$3)</f>
        <v>0.00009060224306015621</v>
      </c>
      <c r="D10" s="33">
        <f>IF('IO model'!$D$4=0,0,'Z imported'!D10/'IO model'!$D$4)</f>
        <v>0.00022417898450122572</v>
      </c>
      <c r="E10" s="33">
        <f>IF('IO model'!$D$5=0,0,'Z imported'!E10/'IO model'!$D$5)</f>
        <v>0.00006787069275616096</v>
      </c>
      <c r="F10" s="33">
        <f>IF('IO model'!$D$6=0,0,'Z imported'!F10/'IO model'!$D$6)</f>
        <v>0.0000633519226849463</v>
      </c>
      <c r="G10" s="33">
        <f>IF('IO model'!$D$7=0,0,'Z imported'!G10/'IO model'!$D$7)</f>
        <v>0.0010580749217112854</v>
      </c>
      <c r="H10" s="33">
        <f>IF('IO model'!$D$8=0,0,'Z imported'!H10/'IO model'!$D$8)</f>
        <v>0.0003245447151472353</v>
      </c>
      <c r="I10" s="33">
        <f>IF('IO model'!$D$9=0,0,'Z imported'!I10/'IO model'!$D$9)</f>
        <v>0.001022319607546948</v>
      </c>
      <c r="J10" s="33">
        <f>IF('IO model'!$D$10=0,0,'Z imported'!J10/'IO model'!$D$10)</f>
        <v>0.027428864508672282</v>
      </c>
      <c r="K10" s="33">
        <f>IF('IO model'!$D$11=0,0,'Z imported'!K10/'IO model'!$D$11)</f>
        <v>0.015294263158568158</v>
      </c>
      <c r="L10" s="33">
        <f>IF('IO model'!$D$12=0,0,'Z imported'!L10/'IO model'!$D$12)</f>
        <v>0.00003196024879767933</v>
      </c>
      <c r="M10" s="33">
        <f>IF('IO model'!$D$13=0,0,'Z imported'!M10/'IO model'!$D$13)</f>
        <v>0.000664380102320209</v>
      </c>
      <c r="N10" s="33">
        <f>IF('IO model'!$D$14=0,0,'Z imported'!N10/'IO model'!$D$14)</f>
        <v>0.0008724824628872016</v>
      </c>
      <c r="O10" s="33">
        <f>IF('IO model'!$D$15=0,0,'Z imported'!O10/'IO model'!$D$15)</f>
        <v>0.0010034028811116138</v>
      </c>
      <c r="P10" s="33">
        <f>IF('IO model'!$D$16=0,0,'Z imported'!P10/'IO model'!$D$16)</f>
        <v>0.0004394373997345317</v>
      </c>
      <c r="Q10" s="33">
        <f>IF('IO model'!$D$17=0,0,'Z imported'!Q10/'IO model'!$D$17)</f>
        <v>0.00009655040884926217</v>
      </c>
      <c r="R10" s="33">
        <f>IF('IO model'!$D$18=0,0,'Z imported'!R10/'IO model'!$D$18)</f>
        <v>0.00016079040402868755</v>
      </c>
      <c r="S10" s="33">
        <f>IF('IO model'!$D$19=0,0,'Z imported'!S10/'IO model'!$D$19)</f>
        <v>0.00019174691653851627</v>
      </c>
      <c r="T10" s="33">
        <f>IF('IO model'!$D$20=0,0,'Z imported'!T10/'IO model'!$D$20)</f>
        <v>0.00028029313471277363</v>
      </c>
      <c r="U10" s="33">
        <f>IF('IO model'!$D$21=0,0,'Z imported'!U10/'IO model'!$D$21)</f>
        <v>0.00010718515089568569</v>
      </c>
      <c r="V10" s="33">
        <f>IF('IO model'!$D$22=0,0,'Z imported'!V10/'IO model'!$D$22)</f>
        <v>0.00011619357274278681</v>
      </c>
      <c r="W10" s="33">
        <f>IF('IO model'!$D$23=0,0,'Z imported'!W10/'IO model'!$D$23)</f>
        <v>0.000056064410312333715</v>
      </c>
      <c r="X10" s="33">
        <f>IF('IO model'!$D$24=0,0,'Z imported'!X10/'IO model'!$D$24)</f>
        <v>0.0009304096445442278</v>
      </c>
      <c r="Y10" s="33">
        <f>IF('IO model'!$D$25=0,0,'Z imported'!Y10/'IO model'!$D$25)</f>
        <v>0.00010785898694460224</v>
      </c>
      <c r="Z10" s="33">
        <f>IF('IO model'!$D$26=0,0,'Z imported'!Z10/'IO model'!$D$26)</f>
        <v>0.00008143425001332681</v>
      </c>
      <c r="AA10" s="33">
        <f>IF('IO model'!$D$27=0,0,'Z imported'!AA10/'IO model'!$D$27)</f>
        <v>0.000031360340288201525</v>
      </c>
      <c r="AB10" s="33">
        <f>IF('IO model'!$D$28=0,0,'Z imported'!AB10/'IO model'!$D$28)</f>
        <v>0.00022051528332601723</v>
      </c>
      <c r="AC10" s="33">
        <f>IF('IO model'!$D$29=0,0,'Z imported'!AC10/'IO model'!$D$29)</f>
        <v>0.00009643873083331767</v>
      </c>
      <c r="AD10" s="33">
        <f>IF('IO model'!$D$30=0,0,'Z imported'!AD10/'IO model'!$D$30)</f>
        <v>0.00009919958488789092</v>
      </c>
      <c r="AE10" s="33">
        <f>IF('IO model'!$D$31=0,0,'Z imported'!AE10/'IO model'!$D$31)</f>
        <v>0.00024517129989925335</v>
      </c>
      <c r="AF10" s="33">
        <f>IF('IO model'!$D$32=0,0,'Z imported'!AF10/'IO model'!$D$32)</f>
        <v>0.0002101000959680141</v>
      </c>
      <c r="AG10" s="33">
        <f>IF('IO model'!$D$33=0,0,'Z imported'!AG10/'IO model'!$D$33)</f>
        <v>0.00006825051019522754</v>
      </c>
      <c r="AH10" s="33">
        <f>IF('IO model'!$D$34=0,0,'Z imported'!AH10/'IO model'!$D$34)</f>
        <v>0.00003561469024444979</v>
      </c>
      <c r="AI10" s="33">
        <f>IF('IO model'!$D$35=0,0,'Z imported'!AI10/'IO model'!$D$35)</f>
        <v>0.00007402509893739183</v>
      </c>
      <c r="AJ10" s="33">
        <f>IF('IO model'!$D$36=0,0,'Z imported'!AJ10/'IO model'!$D$36)</f>
        <v>0.00007498091394917656</v>
      </c>
      <c r="AK10" s="33">
        <f>IF('IO model'!$D$37=0,0,'Z imported'!AK10/'IO model'!$D$37)</f>
        <v>0.00008099043689841237</v>
      </c>
      <c r="AL10" s="33">
        <f>IF('IO model'!$D$38=0,0,'Z imported'!AL10/'IO model'!$D$38)</f>
        <v>0.0001626803777834934</v>
      </c>
      <c r="AM10" s="33">
        <f>IF('IO model'!$D$39=0,0,'Z imported'!AM10/'IO model'!$D$39)</f>
        <v>0.0018924861791571662</v>
      </c>
      <c r="AN10" s="33">
        <f>IF('IO model'!$D$40=0,0,'Z imported'!AN10/'IO model'!$D$40)</f>
        <v>0.0002989945439290201</v>
      </c>
      <c r="AO10" s="33">
        <f>IF('IO model'!$D$41=0,0,'Z imported'!AO10/'IO model'!$D$41)</f>
        <v>0.00006243596683401443</v>
      </c>
      <c r="AP10" s="33">
        <f>IF('IO model'!$D$42=0,0,'Z imported'!AP10/'IO model'!$D$42)</f>
        <v>0.0003500828804663368</v>
      </c>
      <c r="AQ10" s="33">
        <f>IF('IO model'!$D$43=0,0,'Z imported'!AQ10/'IO model'!$D$43)</f>
        <v>0.00007238337976934869</v>
      </c>
      <c r="AR10" s="33">
        <f>IF('IO model'!$D$44=0,0,'Z imported'!AR10/'IO model'!$D$44)</f>
        <v>0.0000974610037586048</v>
      </c>
      <c r="AS10" s="33">
        <f>IF('IO model'!$D$45=0,0,'Z imported'!AS10/'IO model'!$D$45)</f>
        <v>0.00016767474953182767</v>
      </c>
      <c r="AT10" s="33">
        <f>IF('IO model'!$D$46=0,0,'Z imported'!AT10/'IO model'!$D$46)</f>
        <v>0.00001887453159862161</v>
      </c>
      <c r="AU10" s="33">
        <f>IF('IO model'!$D$47=0,0,'Z imported'!AU10/'IO model'!$D$47)</f>
        <v>0.00019498176378157737</v>
      </c>
      <c r="AV10" s="33">
        <f>IF('IO model'!$D$48=0,0,'Z imported'!AV10/'IO model'!$D$48)</f>
        <v>0.00015476624276177905</v>
      </c>
      <c r="AW10" s="33">
        <f>IF('IO model'!$D$49=0,0,'Z imported'!AW10/'IO model'!$D$49)</f>
        <v>0.00009162323386036375</v>
      </c>
      <c r="AX10" s="33">
        <f>IF('IO model'!$D$50=0,0,'Z imported'!AX10/'IO model'!$D$50)</f>
        <v>0.0004505821950534414</v>
      </c>
      <c r="AY10" s="33">
        <f>IF('IO model'!$D$51=0,0,'Z imported'!AY10/'IO model'!$D$51)</f>
        <v>0.00029680081899820194</v>
      </c>
      <c r="AZ10" s="33">
        <f>IF('IO model'!$D$52=0,0,'Z imported'!AZ10/'IO model'!$D$52)</f>
        <v>0.0001286515042454996</v>
      </c>
      <c r="BA10" s="33">
        <f>IF('IO model'!$D$53=0,0,'Z imported'!BA10/'IO model'!$D$53)</f>
        <v>0.00005410490941936414</v>
      </c>
      <c r="BB10" s="33">
        <f>IF('IO model'!$D$54=0,0,'Z imported'!BB10/'IO model'!$D$54)</f>
        <v>0.00014599949418754468</v>
      </c>
      <c r="BC10" s="33">
        <f>IF('IO model'!$D$55=0,0,'Z imported'!BC10/'IO model'!$D$55)</f>
        <v>0.0002653229072244309</v>
      </c>
      <c r="BD10" s="33">
        <f>IF('IO model'!$D$56=0,0,'Z imported'!BD10/'IO model'!$D$56)</f>
        <v>0.00011186113682378133</v>
      </c>
      <c r="BE10" s="33">
        <f>IF('IO model'!$D$57=0,0,'Z imported'!BE10/'IO model'!$D$57)</f>
        <v>0.00008207881599772258</v>
      </c>
      <c r="BF10" s="33">
        <f>IF('IO model'!$D$58=0,0,'Z imported'!BF10/'IO model'!$D$58)</f>
        <v>0.0002029946899268071</v>
      </c>
      <c r="BG10" s="33">
        <f>IF('IO model'!$D$59=0,0,'Z imported'!BG10/'IO model'!$D$59)</f>
        <v>0.000161007074352071</v>
      </c>
      <c r="BH10" s="33">
        <f>IF('IO model'!$D$60=0,0,'Z imported'!BH10/'IO model'!$D$60)</f>
        <v>0.00011652448061503976</v>
      </c>
      <c r="BI10" s="33">
        <f>IF('IO model'!$D$61=0,0,'Z imported'!BI10/'IO model'!$D$61)</f>
        <v>0.00012055927800208694</v>
      </c>
      <c r="BJ10" s="33">
        <f>IF('IO model'!$D$62=0,0,'Z imported'!BJ10/'IO model'!$D$62)</f>
        <v>0.0001719551996319354</v>
      </c>
      <c r="BK10" s="33">
        <f>IF('IO model'!$D$63=0,0,'Z imported'!BK10/'IO model'!$D$63)</f>
        <v>0.00007498828308076865</v>
      </c>
      <c r="BL10" s="33">
        <f>IF('IO model'!$D$64=0,0,'Z imported'!BL10/'IO model'!$D$64)</f>
        <v>0.00018669808003301164</v>
      </c>
      <c r="BM10" s="33">
        <f>IF('IO model'!$D$65=0,0,'Z imported'!BM10/'IO model'!$D$65)</f>
        <v>0</v>
      </c>
      <c r="BN10" s="33">
        <f>IF('IO model'!$D$66=0,0,'Z imported'!BN10/'IO model'!$D$66)</f>
        <v>0</v>
      </c>
    </row>
    <row r="11" spans="1:66" x14ac:dyDescent="0.25">
      <c r="A11" s="30" t="s">
        <v>89</v>
      </c>
      <c r="B11" s="31" t="s">
        <v>288</v>
      </c>
      <c r="C11" s="33">
        <f>IF('IO model'!$D$3=0,0,'Z imported'!C11/'IO model'!$D$3)</f>
        <v>0.00001361652207840498</v>
      </c>
      <c r="D11" s="33">
        <f>IF('IO model'!$D$4=0,0,'Z imported'!D11/'IO model'!$D$4)</f>
        <v>0.000012810227685784329</v>
      </c>
      <c r="E11" s="33">
        <f>IF('IO model'!$D$5=0,0,'Z imported'!E11/'IO model'!$D$5)</f>
        <v>0.00006108362348054487</v>
      </c>
      <c r="F11" s="33">
        <f>IF('IO model'!$D$6=0,0,'Z imported'!F11/'IO model'!$D$6)</f>
        <v>0.00001009958187731028</v>
      </c>
      <c r="G11" s="33">
        <f>IF('IO model'!$D$7=0,0,'Z imported'!G11/'IO model'!$D$7)</f>
        <v>0.00008807480398389486</v>
      </c>
      <c r="H11" s="33">
        <f>IF('IO model'!$D$8=0,0,'Z imported'!H11/'IO model'!$D$8)</f>
        <v>0.00011681853075665032</v>
      </c>
      <c r="I11" s="33">
        <f>IF('IO model'!$D$9=0,0,'Z imported'!I11/'IO model'!$D$9)</f>
        <v>0.000053746741957365816</v>
      </c>
      <c r="J11" s="33">
        <f>IF('IO model'!$D$10=0,0,'Z imported'!J11/'IO model'!$D$10)</f>
        <v>0.0019063016000469852</v>
      </c>
      <c r="K11" s="33">
        <f>IF('IO model'!$D$11=0,0,'Z imported'!K11/'IO model'!$D$11)</f>
        <v>0.009040362467497202</v>
      </c>
      <c r="L11" s="33">
        <f>IF('IO model'!$D$12=0,0,'Z imported'!L11/'IO model'!$D$12)</f>
        <v>0.000008449261176397985</v>
      </c>
      <c r="M11" s="33">
        <f>IF('IO model'!$D$13=0,0,'Z imported'!M11/'IO model'!$D$13)</f>
        <v>0.0002619069568444466</v>
      </c>
      <c r="N11" s="33">
        <f>IF('IO model'!$D$14=0,0,'Z imported'!N11/'IO model'!$D$14)</f>
        <v>0.00020829778725314438</v>
      </c>
      <c r="O11" s="33">
        <f>IF('IO model'!$D$15=0,0,'Z imported'!O11/'IO model'!$D$15)</f>
        <v>0.0007189185447070639</v>
      </c>
      <c r="P11" s="33">
        <f>IF('IO model'!$D$16=0,0,'Z imported'!P11/'IO model'!$D$16)</f>
        <v>0.00005380098301544352</v>
      </c>
      <c r="Q11" s="33">
        <f>IF('IO model'!$D$17=0,0,'Z imported'!Q11/'IO model'!$D$17)</f>
        <v>0.00005383777942006184</v>
      </c>
      <c r="R11" s="33">
        <f>IF('IO model'!$D$18=0,0,'Z imported'!R11/'IO model'!$D$18)</f>
        <v>0.00013711181716675148</v>
      </c>
      <c r="S11" s="33">
        <f>IF('IO model'!$D$19=0,0,'Z imported'!S11/'IO model'!$D$19)</f>
        <v>0.00008680952280039354</v>
      </c>
      <c r="T11" s="33">
        <f>IF('IO model'!$D$20=0,0,'Z imported'!T11/'IO model'!$D$20)</f>
        <v>0.000057356280344002764</v>
      </c>
      <c r="U11" s="33">
        <f>IF('IO model'!$D$21=0,0,'Z imported'!U11/'IO model'!$D$21)</f>
        <v>0.0002074102270578853</v>
      </c>
      <c r="V11" s="33">
        <f>IF('IO model'!$D$22=0,0,'Z imported'!V11/'IO model'!$D$22)</f>
        <v>0.00006222337375132477</v>
      </c>
      <c r="W11" s="33">
        <f>IF('IO model'!$D$23=0,0,'Z imported'!W11/'IO model'!$D$23)</f>
        <v>0.00003187976272662114</v>
      </c>
      <c r="X11" s="33">
        <f>IF('IO model'!$D$24=0,0,'Z imported'!X11/'IO model'!$D$24)</f>
        <v>0.0001350076182870319</v>
      </c>
      <c r="Y11" s="33">
        <f>IF('IO model'!$D$25=0,0,'Z imported'!Y11/'IO model'!$D$25)</f>
        <v>0.00004622528011911523</v>
      </c>
      <c r="Z11" s="33">
        <f>IF('IO model'!$D$26=0,0,'Z imported'!Z11/'IO model'!$D$26)</f>
        <v>0.00003428810526876917</v>
      </c>
      <c r="AA11" s="33">
        <f>IF('IO model'!$D$27=0,0,'Z imported'!AA11/'IO model'!$D$27)</f>
        <v>0.00002423299022270118</v>
      </c>
      <c r="AB11" s="33">
        <f>IF('IO model'!$D$28=0,0,'Z imported'!AB11/'IO model'!$D$28)</f>
        <v>0.00006226718608737773</v>
      </c>
      <c r="AC11" s="33">
        <f>IF('IO model'!$D$29=0,0,'Z imported'!AC11/'IO model'!$D$29)</f>
        <v>0.000034592601611438005</v>
      </c>
      <c r="AD11" s="33">
        <f>IF('IO model'!$D$30=0,0,'Z imported'!AD11/'IO model'!$D$30)</f>
        <v>0.00012775331155537317</v>
      </c>
      <c r="AE11" s="33">
        <f>IF('IO model'!$D$31=0,0,'Z imported'!AE11/'IO model'!$D$31)</f>
        <v>0.00022440464964164472</v>
      </c>
      <c r="AF11" s="33">
        <f>IF('IO model'!$D$32=0,0,'Z imported'!AF11/'IO model'!$D$32)</f>
        <v>0.00021812939899863888</v>
      </c>
      <c r="AG11" s="33">
        <f>IF('IO model'!$D$33=0,0,'Z imported'!AG11/'IO model'!$D$33)</f>
        <v>0.00018856307940085635</v>
      </c>
      <c r="AH11" s="33">
        <f>IF('IO model'!$D$34=0,0,'Z imported'!AH11/'IO model'!$D$34)</f>
        <v>0.000009010945724499349</v>
      </c>
      <c r="AI11" s="33">
        <f>IF('IO model'!$D$35=0,0,'Z imported'!AI11/'IO model'!$D$35)</f>
        <v>0.00004681929334501706</v>
      </c>
      <c r="AJ11" s="33">
        <f>IF('IO model'!$D$36=0,0,'Z imported'!AJ11/'IO model'!$D$36)</f>
        <v>0.000030465343515528137</v>
      </c>
      <c r="AK11" s="33">
        <f>IF('IO model'!$D$37=0,0,'Z imported'!AK11/'IO model'!$D$37)</f>
        <v>0.000521938371123102</v>
      </c>
      <c r="AL11" s="33">
        <f>IF('IO model'!$D$38=0,0,'Z imported'!AL11/'IO model'!$D$38)</f>
        <v>0.00006185008822931986</v>
      </c>
      <c r="AM11" s="33">
        <f>IF('IO model'!$D$39=0,0,'Z imported'!AM11/'IO model'!$D$39)</f>
        <v>0.002088151536266777</v>
      </c>
      <c r="AN11" s="33">
        <f>IF('IO model'!$D$40=0,0,'Z imported'!AN11/'IO model'!$D$40)</f>
        <v>0.0007637108699582333</v>
      </c>
      <c r="AO11" s="33">
        <f>IF('IO model'!$D$41=0,0,'Z imported'!AO11/'IO model'!$D$41)</f>
        <v>0.0001623335137684375</v>
      </c>
      <c r="AP11" s="33">
        <f>IF('IO model'!$D$42=0,0,'Z imported'!AP11/'IO model'!$D$42)</f>
        <v>0.00025101822499361335</v>
      </c>
      <c r="AQ11" s="33">
        <f>IF('IO model'!$D$43=0,0,'Z imported'!AQ11/'IO model'!$D$43)</f>
        <v>0.0001550730023535384</v>
      </c>
      <c r="AR11" s="33">
        <f>IF('IO model'!$D$44=0,0,'Z imported'!AR11/'IO model'!$D$44)</f>
        <v>0.00023455448730651433</v>
      </c>
      <c r="AS11" s="33">
        <f>IF('IO model'!$D$45=0,0,'Z imported'!AS11/'IO model'!$D$45)</f>
        <v>0.00036233164266647833</v>
      </c>
      <c r="AT11" s="33">
        <f>IF('IO model'!$D$46=0,0,'Z imported'!AT11/'IO model'!$D$46)</f>
        <v>0.000014985809007950825</v>
      </c>
      <c r="AU11" s="33">
        <f>IF('IO model'!$D$47=0,0,'Z imported'!AU11/'IO model'!$D$47)</f>
        <v>0.0002978079675668869</v>
      </c>
      <c r="AV11" s="33">
        <f>IF('IO model'!$D$48=0,0,'Z imported'!AV11/'IO model'!$D$48)</f>
        <v>0.00013090458861839236</v>
      </c>
      <c r="AW11" s="33">
        <f>IF('IO model'!$D$49=0,0,'Z imported'!AW11/'IO model'!$D$49)</f>
        <v>0.0001543342472581238</v>
      </c>
      <c r="AX11" s="33">
        <f>IF('IO model'!$D$50=0,0,'Z imported'!AX11/'IO model'!$D$50)</f>
        <v>0.0013980789445488528</v>
      </c>
      <c r="AY11" s="33">
        <f>IF('IO model'!$D$51=0,0,'Z imported'!AY11/'IO model'!$D$51)</f>
        <v>0.00033797194709940184</v>
      </c>
      <c r="AZ11" s="33">
        <f>IF('IO model'!$D$52=0,0,'Z imported'!AZ11/'IO model'!$D$52)</f>
        <v>0.00009635291984631301</v>
      </c>
      <c r="BA11" s="33">
        <f>IF('IO model'!$D$53=0,0,'Z imported'!BA11/'IO model'!$D$53)</f>
        <v>0.0000983335258494793</v>
      </c>
      <c r="BB11" s="33">
        <f>IF('IO model'!$D$54=0,0,'Z imported'!BB11/'IO model'!$D$54)</f>
        <v>0.00021700471267219768</v>
      </c>
      <c r="BC11" s="33">
        <f>IF('IO model'!$D$55=0,0,'Z imported'!BC11/'IO model'!$D$55)</f>
        <v>0.00021235235634323914</v>
      </c>
      <c r="BD11" s="33">
        <f>IF('IO model'!$D$56=0,0,'Z imported'!BD11/'IO model'!$D$56)</f>
        <v>0.00017778054974980554</v>
      </c>
      <c r="BE11" s="33">
        <f>IF('IO model'!$D$57=0,0,'Z imported'!BE11/'IO model'!$D$57)</f>
        <v>0.00012825476925579614</v>
      </c>
      <c r="BF11" s="33">
        <f>IF('IO model'!$D$58=0,0,'Z imported'!BF11/'IO model'!$D$58)</f>
        <v>0.000053180462757729904</v>
      </c>
      <c r="BG11" s="33">
        <f>IF('IO model'!$D$59=0,0,'Z imported'!BG11/'IO model'!$D$59)</f>
        <v>0.00007063655151986621</v>
      </c>
      <c r="BH11" s="33">
        <f>IF('IO model'!$D$60=0,0,'Z imported'!BH11/'IO model'!$D$60)</f>
        <v>0.00017893272304182135</v>
      </c>
      <c r="BI11" s="33">
        <f>IF('IO model'!$D$61=0,0,'Z imported'!BI11/'IO model'!$D$61)</f>
        <v>0.00022941377173212664</v>
      </c>
      <c r="BJ11" s="33">
        <f>IF('IO model'!$D$62=0,0,'Z imported'!BJ11/'IO model'!$D$62)</f>
        <v>0.0002449930269003494</v>
      </c>
      <c r="BK11" s="33">
        <f>IF('IO model'!$D$63=0,0,'Z imported'!BK11/'IO model'!$D$63)</f>
        <v>0.00006873925949070458</v>
      </c>
      <c r="BL11" s="33">
        <f>IF('IO model'!$D$64=0,0,'Z imported'!BL11/'IO model'!$D$64)</f>
        <v>0.00003765785137029495</v>
      </c>
      <c r="BM11" s="33">
        <f>IF('IO model'!$D$65=0,0,'Z imported'!BM11/'IO model'!$D$65)</f>
        <v>0</v>
      </c>
      <c r="BN11" s="33">
        <f>IF('IO model'!$D$66=0,0,'Z imported'!BN11/'IO model'!$D$66)</f>
        <v>0</v>
      </c>
    </row>
    <row r="12" spans="1:66" x14ac:dyDescent="0.25">
      <c r="A12" s="30" t="s">
        <v>91</v>
      </c>
      <c r="B12" s="31" t="s">
        <v>289</v>
      </c>
      <c r="C12" s="33">
        <f>IF('IO model'!$D$3=0,0,'Z imported'!C12/'IO model'!$D$3)</f>
        <v>0.0024750647439439207</v>
      </c>
      <c r="D12" s="33">
        <f>IF('IO model'!$D$4=0,0,'Z imported'!D12/'IO model'!$D$4)</f>
        <v>0.001162528162484928</v>
      </c>
      <c r="E12" s="33">
        <f>IF('IO model'!$D$5=0,0,'Z imported'!E12/'IO model'!$D$5)</f>
        <v>0.0029591622041686173</v>
      </c>
      <c r="F12" s="33">
        <f>IF('IO model'!$D$6=0,0,'Z imported'!F12/'IO model'!$D$6)</f>
        <v>0.0011063632874689898</v>
      </c>
      <c r="G12" s="33">
        <f>IF('IO model'!$D$7=0,0,'Z imported'!G12/'IO model'!$D$7)</f>
        <v>0.00037989157307339124</v>
      </c>
      <c r="H12" s="33">
        <f>IF('IO model'!$D$8=0,0,'Z imported'!H12/'IO model'!$D$8)</f>
        <v>0.0003025863447042559</v>
      </c>
      <c r="I12" s="33">
        <f>IF('IO model'!$D$9=0,0,'Z imported'!I12/'IO model'!$D$9)</f>
        <v>0.0004537356531558672</v>
      </c>
      <c r="J12" s="33">
        <f>IF('IO model'!$D$10=0,0,'Z imported'!J12/'IO model'!$D$10)</f>
        <v>0.0004877836643582126</v>
      </c>
      <c r="K12" s="33">
        <f>IF('IO model'!$D$11=0,0,'Z imported'!K12/'IO model'!$D$11)</f>
        <v>0.00025163455838135</v>
      </c>
      <c r="L12" s="33">
        <f>IF('IO model'!$D$12=0,0,'Z imported'!L12/'IO model'!$D$12)</f>
        <v>0.013748417370725846</v>
      </c>
      <c r="M12" s="33">
        <f>IF('IO model'!$D$13=0,0,'Z imported'!M12/'IO model'!$D$13)</f>
        <v>0.011424627290799454</v>
      </c>
      <c r="N12" s="33">
        <f>IF('IO model'!$D$14=0,0,'Z imported'!N12/'IO model'!$D$14)</f>
        <v>0.0005656872723593144</v>
      </c>
      <c r="O12" s="33">
        <f>IF('IO model'!$D$15=0,0,'Z imported'!O12/'IO model'!$D$15)</f>
        <v>0.001121681097823653</v>
      </c>
      <c r="P12" s="33">
        <f>IF('IO model'!$D$16=0,0,'Z imported'!P12/'IO model'!$D$16)</f>
        <v>0.002976360675770445</v>
      </c>
      <c r="Q12" s="33">
        <f>IF('IO model'!$D$17=0,0,'Z imported'!Q12/'IO model'!$D$17)</f>
        <v>0.0023533665498525922</v>
      </c>
      <c r="R12" s="33">
        <f>IF('IO model'!$D$18=0,0,'Z imported'!R12/'IO model'!$D$18)</f>
        <v>0.00042157484041352406</v>
      </c>
      <c r="S12" s="33">
        <f>IF('IO model'!$D$19=0,0,'Z imported'!S12/'IO model'!$D$19)</f>
        <v>0.0001386399143547461</v>
      </c>
      <c r="T12" s="33">
        <f>IF('IO model'!$D$20=0,0,'Z imported'!T12/'IO model'!$D$20)</f>
        <v>0.0006454528018802482</v>
      </c>
      <c r="U12" s="33">
        <f>IF('IO model'!$D$21=0,0,'Z imported'!U12/'IO model'!$D$21)</f>
        <v>0.000289539108913021</v>
      </c>
      <c r="V12" s="33">
        <f>IF('IO model'!$D$22=0,0,'Z imported'!V12/'IO model'!$D$22)</f>
        <v>0.0001769332296833497</v>
      </c>
      <c r="W12" s="33">
        <f>IF('IO model'!$D$23=0,0,'Z imported'!W12/'IO model'!$D$23)</f>
        <v>0.00017955268662119952</v>
      </c>
      <c r="X12" s="33">
        <f>IF('IO model'!$D$24=0,0,'Z imported'!X12/'IO model'!$D$24)</f>
        <v>0.0006061056302462782</v>
      </c>
      <c r="Y12" s="33">
        <f>IF('IO model'!$D$25=0,0,'Z imported'!Y12/'IO model'!$D$25)</f>
        <v>0.00044603340465812957</v>
      </c>
      <c r="Z12" s="33">
        <f>IF('IO model'!$D$26=0,0,'Z imported'!Z12/'IO model'!$D$26)</f>
        <v>0.0020089793761511395</v>
      </c>
      <c r="AA12" s="33">
        <f>IF('IO model'!$D$27=0,0,'Z imported'!AA12/'IO model'!$D$27)</f>
        <v>0.00030077417276411466</v>
      </c>
      <c r="AB12" s="33">
        <f>IF('IO model'!$D$28=0,0,'Z imported'!AB12/'IO model'!$D$28)</f>
        <v>0.0011865167116871037</v>
      </c>
      <c r="AC12" s="33">
        <f>IF('IO model'!$D$29=0,0,'Z imported'!AC12/'IO model'!$D$29)</f>
        <v>0.0008304698231913998</v>
      </c>
      <c r="AD12" s="33">
        <f>IF('IO model'!$D$30=0,0,'Z imported'!AD12/'IO model'!$D$30)</f>
        <v>0.0006151358874313635</v>
      </c>
      <c r="AE12" s="33">
        <f>IF('IO model'!$D$31=0,0,'Z imported'!AE12/'IO model'!$D$31)</f>
        <v>0.0004715050919145556</v>
      </c>
      <c r="AF12" s="33">
        <f>IF('IO model'!$D$32=0,0,'Z imported'!AF12/'IO model'!$D$32)</f>
        <v>0.00035043447004771093</v>
      </c>
      <c r="AG12" s="33">
        <f>IF('IO model'!$D$33=0,0,'Z imported'!AG12/'IO model'!$D$33)</f>
        <v>0.006507886883909638</v>
      </c>
      <c r="AH12" s="33">
        <f>IF('IO model'!$D$34=0,0,'Z imported'!AH12/'IO model'!$D$34)</f>
        <v>0.03044669832512265</v>
      </c>
      <c r="AI12" s="33">
        <f>IF('IO model'!$D$35=0,0,'Z imported'!AI12/'IO model'!$D$35)</f>
        <v>0.02776763711251498</v>
      </c>
      <c r="AJ12" s="33">
        <f>IF('IO model'!$D$36=0,0,'Z imported'!AJ12/'IO model'!$D$36)</f>
        <v>0.0010849279181625753</v>
      </c>
      <c r="AK12" s="33">
        <f>IF('IO model'!$D$37=0,0,'Z imported'!AK12/'IO model'!$D$37)</f>
        <v>0.000665921370053613</v>
      </c>
      <c r="AL12" s="33">
        <f>IF('IO model'!$D$38=0,0,'Z imported'!AL12/'IO model'!$D$38)</f>
        <v>0.00021822153169433984</v>
      </c>
      <c r="AM12" s="33">
        <f>IF('IO model'!$D$39=0,0,'Z imported'!AM12/'IO model'!$D$39)</f>
        <v>0.00023769047999920478</v>
      </c>
      <c r="AN12" s="33">
        <f>IF('IO model'!$D$40=0,0,'Z imported'!AN12/'IO model'!$D$40)</f>
        <v>0.00031290126690246284</v>
      </c>
      <c r="AO12" s="33">
        <f>IF('IO model'!$D$41=0,0,'Z imported'!AO12/'IO model'!$D$41)</f>
        <v>0.00014955592055589502</v>
      </c>
      <c r="AP12" s="33">
        <f>IF('IO model'!$D$42=0,0,'Z imported'!AP12/'IO model'!$D$42)</f>
        <v>0.00013780147588192943</v>
      </c>
      <c r="AQ12" s="33">
        <f>IF('IO model'!$D$43=0,0,'Z imported'!AQ12/'IO model'!$D$43)</f>
        <v>0.00003475360949190582</v>
      </c>
      <c r="AR12" s="33">
        <f>IF('IO model'!$D$44=0,0,'Z imported'!AR12/'IO model'!$D$44)</f>
        <v>0.0001203930046429824</v>
      </c>
      <c r="AS12" s="33">
        <f>IF('IO model'!$D$45=0,0,'Z imported'!AS12/'IO model'!$D$45)</f>
        <v>0.00007805548685102324</v>
      </c>
      <c r="AT12" s="33">
        <f>IF('IO model'!$D$46=0,0,'Z imported'!AT12/'IO model'!$D$46)</f>
        <v>0.000025750931301637024</v>
      </c>
      <c r="AU12" s="33">
        <f>IF('IO model'!$D$47=0,0,'Z imported'!AU12/'IO model'!$D$47)</f>
        <v>0.000124255678502145</v>
      </c>
      <c r="AV12" s="33">
        <f>IF('IO model'!$D$48=0,0,'Z imported'!AV12/'IO model'!$D$48)</f>
        <v>0.000250658871562305</v>
      </c>
      <c r="AW12" s="33">
        <f>IF('IO model'!$D$49=0,0,'Z imported'!AW12/'IO model'!$D$49)</f>
        <v>0.00018935468331141844</v>
      </c>
      <c r="AX12" s="33">
        <f>IF('IO model'!$D$50=0,0,'Z imported'!AX12/'IO model'!$D$50)</f>
        <v>0.000162742412352207</v>
      </c>
      <c r="AY12" s="33">
        <f>IF('IO model'!$D$51=0,0,'Z imported'!AY12/'IO model'!$D$51)</f>
        <v>0.00025255721865064396</v>
      </c>
      <c r="AZ12" s="33">
        <f>IF('IO model'!$D$52=0,0,'Z imported'!AZ12/'IO model'!$D$52)</f>
        <v>0.0010256836171808927</v>
      </c>
      <c r="BA12" s="33">
        <f>IF('IO model'!$D$53=0,0,'Z imported'!BA12/'IO model'!$D$53)</f>
        <v>0.00007514570752689466</v>
      </c>
      <c r="BB12" s="33">
        <f>IF('IO model'!$D$54=0,0,'Z imported'!BB12/'IO model'!$D$54)</f>
        <v>0.00012126733943446335</v>
      </c>
      <c r="BC12" s="33">
        <f>IF('IO model'!$D$55=0,0,'Z imported'!BC12/'IO model'!$D$55)</f>
        <v>0.00036875652728829645</v>
      </c>
      <c r="BD12" s="33">
        <f>IF('IO model'!$D$56=0,0,'Z imported'!BD12/'IO model'!$D$56)</f>
        <v>0.0003344000630376139</v>
      </c>
      <c r="BE12" s="33">
        <f>IF('IO model'!$D$57=0,0,'Z imported'!BE12/'IO model'!$D$57)</f>
        <v>0.00012751341220807477</v>
      </c>
      <c r="BF12" s="33">
        <f>IF('IO model'!$D$58=0,0,'Z imported'!BF12/'IO model'!$D$58)</f>
        <v>0.000196137838656695</v>
      </c>
      <c r="BG12" s="33">
        <f>IF('IO model'!$D$59=0,0,'Z imported'!BG12/'IO model'!$D$59)</f>
        <v>0.0001654333856744647</v>
      </c>
      <c r="BH12" s="33">
        <f>IF('IO model'!$D$60=0,0,'Z imported'!BH12/'IO model'!$D$60)</f>
        <v>0.0001750049315604155</v>
      </c>
      <c r="BI12" s="33">
        <f>IF('IO model'!$D$61=0,0,'Z imported'!BI12/'IO model'!$D$61)</f>
        <v>0.00028676721466515826</v>
      </c>
      <c r="BJ12" s="33">
        <f>IF('IO model'!$D$62=0,0,'Z imported'!BJ12/'IO model'!$D$62)</f>
        <v>0.00025361954193205187</v>
      </c>
      <c r="BK12" s="33">
        <f>IF('IO model'!$D$63=0,0,'Z imported'!BK12/'IO model'!$D$63)</f>
        <v>0.00023121387283236996</v>
      </c>
      <c r="BL12" s="33">
        <f>IF('IO model'!$D$64=0,0,'Z imported'!BL12/'IO model'!$D$64)</f>
        <v>0.0002837598659592648</v>
      </c>
      <c r="BM12" s="33">
        <f>IF('IO model'!$D$65=0,0,'Z imported'!BM12/'IO model'!$D$65)</f>
        <v>0</v>
      </c>
      <c r="BN12" s="33">
        <f>IF('IO model'!$D$66=0,0,'Z imported'!BN12/'IO model'!$D$66)</f>
        <v>0</v>
      </c>
    </row>
    <row r="13" spans="1:66" x14ac:dyDescent="0.25">
      <c r="A13" s="30" t="s">
        <v>93</v>
      </c>
      <c r="B13" s="31" t="s">
        <v>290</v>
      </c>
      <c r="C13" s="33">
        <f>IF('IO model'!$D$3=0,0,'Z imported'!C13/'IO model'!$D$3)</f>
        <v>0.007460806674190666</v>
      </c>
      <c r="D13" s="33">
        <f>IF('IO model'!$D$4=0,0,'Z imported'!D13/'IO model'!$D$4)</f>
        <v>0.0008582852549475499</v>
      </c>
      <c r="E13" s="33">
        <f>IF('IO model'!$D$5=0,0,'Z imported'!E13/'IO model'!$D$5)</f>
        <v>0.0025247897705291877</v>
      </c>
      <c r="F13" s="33">
        <f>IF('IO model'!$D$6=0,0,'Z imported'!F13/'IO model'!$D$6)</f>
        <v>0.0012422485709091646</v>
      </c>
      <c r="G13" s="33">
        <f>IF('IO model'!$D$7=0,0,'Z imported'!G13/'IO model'!$D$7)</f>
        <v>0.0021478626592262955</v>
      </c>
      <c r="H13" s="33">
        <f>IF('IO model'!$D$8=0,0,'Z imported'!H13/'IO model'!$D$8)</f>
        <v>0.007461454276524394</v>
      </c>
      <c r="I13" s="33">
        <f>IF('IO model'!$D$9=0,0,'Z imported'!I13/'IO model'!$D$9)</f>
        <v>0.0038510955000398855</v>
      </c>
      <c r="J13" s="33">
        <f>IF('IO model'!$D$10=0,0,'Z imported'!J13/'IO model'!$D$10)</f>
        <v>0.007952936049678614</v>
      </c>
      <c r="K13" s="33">
        <f>IF('IO model'!$D$11=0,0,'Z imported'!K13/'IO model'!$D$11)</f>
        <v>0.0054535037624342305</v>
      </c>
      <c r="L13" s="33">
        <f>IF('IO model'!$D$12=0,0,'Z imported'!L13/'IO model'!$D$12)</f>
        <v>0.005548409399031606</v>
      </c>
      <c r="M13" s="33">
        <f>IF('IO model'!$D$13=0,0,'Z imported'!M13/'IO model'!$D$13)</f>
        <v>0.059859764740736544</v>
      </c>
      <c r="N13" s="33">
        <f>IF('IO model'!$D$14=0,0,'Z imported'!N13/'IO model'!$D$14)</f>
        <v>0.020168823472738562</v>
      </c>
      <c r="O13" s="33">
        <f>IF('IO model'!$D$15=0,0,'Z imported'!O13/'IO model'!$D$15)</f>
        <v>0.03795497523865153</v>
      </c>
      <c r="P13" s="33">
        <f>IF('IO model'!$D$16=0,0,'Z imported'!P13/'IO model'!$D$16)</f>
        <v>0.005331564547635315</v>
      </c>
      <c r="Q13" s="33">
        <f>IF('IO model'!$D$17=0,0,'Z imported'!Q13/'IO model'!$D$17)</f>
        <v>0.0027230791236560435</v>
      </c>
      <c r="R13" s="33">
        <f>IF('IO model'!$D$18=0,0,'Z imported'!R13/'IO model'!$D$18)</f>
        <v>0.0028196717219916316</v>
      </c>
      <c r="S13" s="33">
        <f>IF('IO model'!$D$19=0,0,'Z imported'!S13/'IO model'!$D$19)</f>
        <v>0.002814926437865701</v>
      </c>
      <c r="T13" s="33">
        <f>IF('IO model'!$D$20=0,0,'Z imported'!T13/'IO model'!$D$20)</f>
        <v>0.005315966924371983</v>
      </c>
      <c r="U13" s="33">
        <f>IF('IO model'!$D$21=0,0,'Z imported'!U13/'IO model'!$D$21)</f>
        <v>0.0013808788271236388</v>
      </c>
      <c r="V13" s="33">
        <f>IF('IO model'!$D$22=0,0,'Z imported'!V13/'IO model'!$D$22)</f>
        <v>0.0019048141881161883</v>
      </c>
      <c r="W13" s="33">
        <f>IF('IO model'!$D$23=0,0,'Z imported'!W13/'IO model'!$D$23)</f>
        <v>0.002031143963145528</v>
      </c>
      <c r="X13" s="33">
        <f>IF('IO model'!$D$24=0,0,'Z imported'!X13/'IO model'!$D$24)</f>
        <v>0.004144162420593733</v>
      </c>
      <c r="Y13" s="33">
        <f>IF('IO model'!$D$25=0,0,'Z imported'!Y13/'IO model'!$D$25)</f>
        <v>0.0021563687690653935</v>
      </c>
      <c r="Z13" s="33">
        <f>IF('IO model'!$D$26=0,0,'Z imported'!Z13/'IO model'!$D$26)</f>
        <v>0.0016619016022456558</v>
      </c>
      <c r="AA13" s="33">
        <f>IF('IO model'!$D$27=0,0,'Z imported'!AA13/'IO model'!$D$27)</f>
        <v>0.0007740302171133378</v>
      </c>
      <c r="AB13" s="33">
        <f>IF('IO model'!$D$28=0,0,'Z imported'!AB13/'IO model'!$D$28)</f>
        <v>0.0011638115499093859</v>
      </c>
      <c r="AC13" s="33">
        <f>IF('IO model'!$D$29=0,0,'Z imported'!AC13/'IO model'!$D$29)</f>
        <v>0.001615915664309271</v>
      </c>
      <c r="AD13" s="33">
        <f>IF('IO model'!$D$30=0,0,'Z imported'!AD13/'IO model'!$D$30)</f>
        <v>0.001016611130488808</v>
      </c>
      <c r="AE13" s="33">
        <f>IF('IO model'!$D$31=0,0,'Z imported'!AE13/'IO model'!$D$31)</f>
        <v>0.0012000967748597793</v>
      </c>
      <c r="AF13" s="33">
        <f>IF('IO model'!$D$32=0,0,'Z imported'!AF13/'IO model'!$D$32)</f>
        <v>0.00040164358048747317</v>
      </c>
      <c r="AG13" s="33">
        <f>IF('IO model'!$D$33=0,0,'Z imported'!AG13/'IO model'!$D$33)</f>
        <v>0.0005566237055390663</v>
      </c>
      <c r="AH13" s="33">
        <f>IF('IO model'!$D$34=0,0,'Z imported'!AH13/'IO model'!$D$34)</f>
        <v>0.0004595582319494666</v>
      </c>
      <c r="AI13" s="33">
        <f>IF('IO model'!$D$35=0,0,'Z imported'!AI13/'IO model'!$D$35)</f>
        <v>0.0007307605920742529</v>
      </c>
      <c r="AJ13" s="33">
        <f>IF('IO model'!$D$36=0,0,'Z imported'!AJ13/'IO model'!$D$36)</f>
        <v>0.0002993672111662857</v>
      </c>
      <c r="AK13" s="33">
        <f>IF('IO model'!$D$37=0,0,'Z imported'!AK13/'IO model'!$D$37)</f>
        <v>0.00007891375902922232</v>
      </c>
      <c r="AL13" s="33">
        <f>IF('IO model'!$D$38=0,0,'Z imported'!AL13/'IO model'!$D$38)</f>
        <v>0.0005100097439237358</v>
      </c>
      <c r="AM13" s="33">
        <f>IF('IO model'!$D$39=0,0,'Z imported'!AM13/'IO model'!$D$39)</f>
        <v>0.00486678036043999</v>
      </c>
      <c r="AN13" s="33">
        <f>IF('IO model'!$D$40=0,0,'Z imported'!AN13/'IO model'!$D$40)</f>
        <v>0.0004305289653861665</v>
      </c>
      <c r="AO13" s="33">
        <f>IF('IO model'!$D$41=0,0,'Z imported'!AO13/'IO model'!$D$41)</f>
        <v>0.0001144175392214032</v>
      </c>
      <c r="AP13" s="33">
        <f>IF('IO model'!$D$42=0,0,'Z imported'!AP13/'IO model'!$D$42)</f>
        <v>0.0002426721184885854</v>
      </c>
      <c r="AQ13" s="33">
        <f>IF('IO model'!$D$43=0,0,'Z imported'!AQ13/'IO model'!$D$43)</f>
        <v>0.000021091845760604914</v>
      </c>
      <c r="AR13" s="33">
        <f>IF('IO model'!$D$44=0,0,'Z imported'!AR13/'IO model'!$D$44)</f>
        <v>0.000027418696709581914</v>
      </c>
      <c r="AS13" s="33">
        <f>IF('IO model'!$D$45=0,0,'Z imported'!AS13/'IO model'!$D$45)</f>
        <v>0.000059746175120536304</v>
      </c>
      <c r="AT13" s="33">
        <f>IF('IO model'!$D$46=0,0,'Z imported'!AT13/'IO model'!$D$46)</f>
        <v>0.00016745218862998214</v>
      </c>
      <c r="AU13" s="33">
        <f>IF('IO model'!$D$47=0,0,'Z imported'!AU13/'IO model'!$D$47)</f>
        <v>0.0001292823454110323</v>
      </c>
      <c r="AV13" s="33">
        <f>IF('IO model'!$D$48=0,0,'Z imported'!AV13/'IO model'!$D$48)</f>
        <v>0.0006558609797728993</v>
      </c>
      <c r="AW13" s="33">
        <f>IF('IO model'!$D$49=0,0,'Z imported'!AW13/'IO model'!$D$49)</f>
        <v>0.0016068679147244237</v>
      </c>
      <c r="AX13" s="33">
        <f>IF('IO model'!$D$50=0,0,'Z imported'!AX13/'IO model'!$D$50)</f>
        <v>0.00022297447955729426</v>
      </c>
      <c r="AY13" s="33">
        <f>IF('IO model'!$D$51=0,0,'Z imported'!AY13/'IO model'!$D$51)</f>
        <v>0.0007570571615026603</v>
      </c>
      <c r="AZ13" s="33">
        <f>IF('IO model'!$D$52=0,0,'Z imported'!AZ13/'IO model'!$D$52)</f>
        <v>0.00040549651338138497</v>
      </c>
      <c r="BA13" s="33">
        <f>IF('IO model'!$D$53=0,0,'Z imported'!BA13/'IO model'!$D$53)</f>
        <v>0.00005281669729033166</v>
      </c>
      <c r="BB13" s="33">
        <f>IF('IO model'!$D$54=0,0,'Z imported'!BB13/'IO model'!$D$54)</f>
        <v>0.00013881919119471462</v>
      </c>
      <c r="BC13" s="33">
        <f>IF('IO model'!$D$55=0,0,'Z imported'!BC13/'IO model'!$D$55)</f>
        <v>0.0010189778752352332</v>
      </c>
      <c r="BD13" s="33">
        <f>IF('IO model'!$D$56=0,0,'Z imported'!BD13/'IO model'!$D$56)</f>
        <v>0.00020402301930958495</v>
      </c>
      <c r="BE13" s="33">
        <f>IF('IO model'!$D$57=0,0,'Z imported'!BE13/'IO model'!$D$57)</f>
        <v>0.0001779256914531276</v>
      </c>
      <c r="BF13" s="33">
        <f>IF('IO model'!$D$58=0,0,'Z imported'!BF13/'IO model'!$D$58)</f>
        <v>0.002442633668734353</v>
      </c>
      <c r="BG13" s="33">
        <f>IF('IO model'!$D$59=0,0,'Z imported'!BG13/'IO model'!$D$59)</f>
        <v>0.00042972105754905546</v>
      </c>
      <c r="BH13" s="33">
        <f>IF('IO model'!$D$60=0,0,'Z imported'!BH13/'IO model'!$D$60)</f>
        <v>0.0003993254672762598</v>
      </c>
      <c r="BI13" s="33">
        <f>IF('IO model'!$D$61=0,0,'Z imported'!BI13/'IO model'!$D$61)</f>
        <v>0.0003447058968117923</v>
      </c>
      <c r="BJ13" s="33">
        <f>IF('IO model'!$D$62=0,0,'Z imported'!BJ13/'IO model'!$D$62)</f>
        <v>0.0004612310036950241</v>
      </c>
      <c r="BK13" s="33">
        <f>IF('IO model'!$D$63=0,0,'Z imported'!BK13/'IO model'!$D$63)</f>
        <v>0.0002812060615528824</v>
      </c>
      <c r="BL13" s="33">
        <f>IF('IO model'!$D$64=0,0,'Z imported'!BL13/'IO model'!$D$64)</f>
        <v>0.0026609780327432365</v>
      </c>
      <c r="BM13" s="33">
        <f>IF('IO model'!$D$65=0,0,'Z imported'!BM13/'IO model'!$D$65)</f>
        <v>0</v>
      </c>
      <c r="BN13" s="33">
        <f>IF('IO model'!$D$66=0,0,'Z imported'!BN13/'IO model'!$D$66)</f>
        <v>0</v>
      </c>
    </row>
    <row r="14" spans="1:66" x14ac:dyDescent="0.25">
      <c r="A14" s="30" t="s">
        <v>95</v>
      </c>
      <c r="B14" s="31" t="s">
        <v>291</v>
      </c>
      <c r="C14" s="33">
        <f>IF('IO model'!$D$3=0,0,'Z imported'!C14/'IO model'!$D$3)</f>
        <v>0.0007803314575701314</v>
      </c>
      <c r="D14" s="33">
        <f>IF('IO model'!$D$4=0,0,'Z imported'!D14/'IO model'!$D$4)</f>
        <v>0.000014411506146507371</v>
      </c>
      <c r="E14" s="33">
        <f>IF('IO model'!$D$5=0,0,'Z imported'!E14/'IO model'!$D$5)</f>
        <v>0.00046152071074189447</v>
      </c>
      <c r="F14" s="33">
        <f>IF('IO model'!$D$6=0,0,'Z imported'!F14/'IO model'!$D$6)</f>
        <v>0.00002754431421084622</v>
      </c>
      <c r="G14" s="33">
        <f>IF('IO model'!$D$7=0,0,'Z imported'!G14/'IO model'!$D$7)</f>
        <v>0.0006522097431188339</v>
      </c>
      <c r="H14" s="33">
        <f>IF('IO model'!$D$8=0,0,'Z imported'!H14/'IO model'!$D$8)</f>
        <v>0.00015151275605655774</v>
      </c>
      <c r="I14" s="33">
        <f>IF('IO model'!$D$9=0,0,'Z imported'!I14/'IO model'!$D$9)</f>
        <v>0.00007581119391881072</v>
      </c>
      <c r="J14" s="33">
        <f>IF('IO model'!$D$10=0,0,'Z imported'!J14/'IO model'!$D$10)</f>
        <v>0.00012194591608955315</v>
      </c>
      <c r="K14" s="33">
        <f>IF('IO model'!$D$11=0,0,'Z imported'!K14/'IO model'!$D$11)</f>
        <v>0.00007250487275394832</v>
      </c>
      <c r="L14" s="33">
        <f>IF('IO model'!$D$12=0,0,'Z imported'!L14/'IO model'!$D$12)</f>
        <v>0.000058961148643994615</v>
      </c>
      <c r="M14" s="33">
        <f>IF('IO model'!$D$13=0,0,'Z imported'!M14/'IO model'!$D$13)</f>
        <v>0.001616038413020337</v>
      </c>
      <c r="N14" s="33">
        <f>IF('IO model'!$D$14=0,0,'Z imported'!N14/'IO model'!$D$14)</f>
        <v>0.0433523133702959</v>
      </c>
      <c r="O14" s="33">
        <f>IF('IO model'!$D$15=0,0,'Z imported'!O14/'IO model'!$D$15)</f>
        <v>0.0005109506849906346</v>
      </c>
      <c r="P14" s="33">
        <f>IF('IO model'!$D$16=0,0,'Z imported'!P14/'IO model'!$D$16)</f>
        <v>0.0001463537230280247</v>
      </c>
      <c r="Q14" s="33">
        <f>IF('IO model'!$D$17=0,0,'Z imported'!Q14/'IO model'!$D$17)</f>
        <v>0.000053043125849286016</v>
      </c>
      <c r="R14" s="33">
        <f>IF('IO model'!$D$18=0,0,'Z imported'!R14/'IO model'!$D$18)</f>
        <v>0.00005327682043935618</v>
      </c>
      <c r="S14" s="33">
        <f>IF('IO model'!$D$19=0,0,'Z imported'!S14/'IO model'!$D$19)</f>
        <v>0.00015472520828540727</v>
      </c>
      <c r="T14" s="33">
        <f>IF('IO model'!$D$20=0,0,'Z imported'!T14/'IO model'!$D$20)</f>
        <v>0.00011263631524568865</v>
      </c>
      <c r="U14" s="33">
        <f>IF('IO model'!$D$21=0,0,'Z imported'!U14/'IO model'!$D$21)</f>
        <v>0.0000740298858016247</v>
      </c>
      <c r="V14" s="33">
        <f>IF('IO model'!$D$22=0,0,'Z imported'!V14/'IO model'!$D$22)</f>
        <v>0.00006565446887621154</v>
      </c>
      <c r="W14" s="33">
        <f>IF('IO model'!$D$23=0,0,'Z imported'!W14/'IO model'!$D$23)</f>
        <v>0.00006815673410519004</v>
      </c>
      <c r="X14" s="33">
        <f>IF('IO model'!$D$24=0,0,'Z imported'!X14/'IO model'!$D$24)</f>
        <v>0.00038216442213524906</v>
      </c>
      <c r="Y14" s="33">
        <f>IF('IO model'!$D$25=0,0,'Z imported'!Y14/'IO model'!$D$25)</f>
        <v>0.0000689324352653473</v>
      </c>
      <c r="Z14" s="33">
        <f>IF('IO model'!$D$26=0,0,'Z imported'!Z14/'IO model'!$D$26)</f>
        <v>0.00003634181990726316</v>
      </c>
      <c r="AA14" s="33">
        <f>IF('IO model'!$D$27=0,0,'Z imported'!AA14/'IO model'!$D$27)</f>
        <v>0.00001710564015720083</v>
      </c>
      <c r="AB14" s="33">
        <f>IF('IO model'!$D$28=0,0,'Z imported'!AB14/'IO model'!$D$28)</f>
        <v>0.00006949155574392431</v>
      </c>
      <c r="AC14" s="33">
        <f>IF('IO model'!$D$29=0,0,'Z imported'!AC14/'IO model'!$D$29)</f>
        <v>0.000042838752174355284</v>
      </c>
      <c r="AD14" s="33">
        <f>IF('IO model'!$D$30=0,0,'Z imported'!AD14/'IO model'!$D$30)</f>
        <v>0.000030769102012373114</v>
      </c>
      <c r="AE14" s="33">
        <f>IF('IO model'!$D$31=0,0,'Z imported'!AE14/'IO model'!$D$31)</f>
        <v>0.0018262169540748364</v>
      </c>
      <c r="AF14" s="33">
        <f>IF('IO model'!$D$32=0,0,'Z imported'!AF14/'IO model'!$D$32)</f>
        <v>0.0001447058835074814</v>
      </c>
      <c r="AG14" s="33">
        <f>IF('IO model'!$D$33=0,0,'Z imported'!AG14/'IO model'!$D$33)</f>
        <v>0.000017224512060655145</v>
      </c>
      <c r="AH14" s="33">
        <f>IF('IO model'!$D$34=0,0,'Z imported'!AH14/'IO model'!$D$34)</f>
        <v>0.000056211137614734015</v>
      </c>
      <c r="AI14" s="33">
        <f>IF('IO model'!$D$35=0,0,'Z imported'!AI14/'IO model'!$D$35)</f>
        <v>0.00008604626885030162</v>
      </c>
      <c r="AJ14" s="33">
        <f>IF('IO model'!$D$36=0,0,'Z imported'!AJ14/'IO model'!$D$36)</f>
        <v>0.000024622674896111787</v>
      </c>
      <c r="AK14" s="33">
        <f>IF('IO model'!$D$37=0,0,'Z imported'!AK14/'IO model'!$D$37)</f>
        <v>0.000011075615302346995</v>
      </c>
      <c r="AL14" s="33">
        <f>IF('IO model'!$D$38=0,0,'Z imported'!AL14/'IO model'!$D$38)</f>
        <v>0.0000370649891210314</v>
      </c>
      <c r="AM14" s="33">
        <f>IF('IO model'!$D$39=0,0,'Z imported'!AM14/'IO model'!$D$39)</f>
        <v>0.0001879833453986106</v>
      </c>
      <c r="AN14" s="33">
        <f>IF('IO model'!$D$40=0,0,'Z imported'!AN14/'IO model'!$D$40)</f>
        <v>0.00003013123310912605</v>
      </c>
      <c r="AO14" s="33">
        <f>IF('IO model'!$D$41=0,0,'Z imported'!AO14/'IO model'!$D$41)</f>
        <v>0.000045592775781117514</v>
      </c>
      <c r="AP14" s="33">
        <f>IF('IO model'!$D$42=0,0,'Z imported'!AP14/'IO model'!$D$42)</f>
        <v>0.00009298651269188787</v>
      </c>
      <c r="AQ14" s="33">
        <f>IF('IO model'!$D$43=0,0,'Z imported'!AQ14/'IO model'!$D$43)</f>
        <v>0.000005632481538343355</v>
      </c>
      <c r="AR14" s="33">
        <f>IF('IO model'!$D$44=0,0,'Z imported'!AR14/'IO model'!$D$44)</f>
        <v>0.00000872413077123061</v>
      </c>
      <c r="AS14" s="33">
        <f>IF('IO model'!$D$45=0,0,'Z imported'!AS14/'IO model'!$D$45)</f>
        <v>0.000012527423815596323</v>
      </c>
      <c r="AT14" s="33">
        <f>IF('IO model'!$D$46=0,0,'Z imported'!AT14/'IO model'!$D$46)</f>
        <v>0.000003509335020849244</v>
      </c>
      <c r="AU14" s="33">
        <f>IF('IO model'!$D$47=0,0,'Z imported'!AU14/'IO model'!$D$47)</f>
        <v>0.00009956327965147032</v>
      </c>
      <c r="AV14" s="33">
        <f>IF('IO model'!$D$48=0,0,'Z imported'!AV14/'IO model'!$D$48)</f>
        <v>0.00008407330478557738</v>
      </c>
      <c r="AW14" s="33">
        <f>IF('IO model'!$D$49=0,0,'Z imported'!AW14/'IO model'!$D$49)</f>
        <v>0.0013955236552865178</v>
      </c>
      <c r="AX14" s="33">
        <f>IF('IO model'!$D$50=0,0,'Z imported'!AX14/'IO model'!$D$50)</f>
        <v>0.00007413177502164589</v>
      </c>
      <c r="AY14" s="33">
        <f>IF('IO model'!$D$51=0,0,'Z imported'!AY14/'IO model'!$D$51)</f>
        <v>0.002279774406797783</v>
      </c>
      <c r="AZ14" s="33">
        <f>IF('IO model'!$D$52=0,0,'Z imported'!AZ14/'IO model'!$D$52)</f>
        <v>0.000035555584506667616</v>
      </c>
      <c r="BA14" s="33">
        <f>IF('IO model'!$D$53=0,0,'Z imported'!BA14/'IO model'!$D$53)</f>
        <v>0.00000772927277419488</v>
      </c>
      <c r="BB14" s="33">
        <f>IF('IO model'!$D$54=0,0,'Z imported'!BB14/'IO model'!$D$54)</f>
        <v>0.00003829494929509369</v>
      </c>
      <c r="BC14" s="33">
        <f>IF('IO model'!$D$55=0,0,'Z imported'!BC14/'IO model'!$D$55)</f>
        <v>0.00023664358529763184</v>
      </c>
      <c r="BD14" s="33">
        <f>IF('IO model'!$D$56=0,0,'Z imported'!BD14/'IO model'!$D$56)</f>
        <v>0.0005361259961523111</v>
      </c>
      <c r="BE14" s="33">
        <f>IF('IO model'!$D$57=0,0,'Z imported'!BE14/'IO model'!$D$57)</f>
        <v>0.00019465917910169555</v>
      </c>
      <c r="BF14" s="33">
        <f>IF('IO model'!$D$58=0,0,'Z imported'!BF14/'IO model'!$D$58)</f>
        <v>0.012042624101034904</v>
      </c>
      <c r="BG14" s="33">
        <f>IF('IO model'!$D$59=0,0,'Z imported'!BG14/'IO model'!$D$59)</f>
        <v>0.0020801818918866084</v>
      </c>
      <c r="BH14" s="33">
        <f>IF('IO model'!$D$60=0,0,'Z imported'!BH14/'IO model'!$D$60)</f>
        <v>0.00008641141259092835</v>
      </c>
      <c r="BI14" s="33">
        <f>IF('IO model'!$D$61=0,0,'Z imported'!BI14/'IO model'!$D$61)</f>
        <v>0.00013460501912854374</v>
      </c>
      <c r="BJ14" s="33">
        <f>IF('IO model'!$D$62=0,0,'Z imported'!BJ14/'IO model'!$D$62)</f>
        <v>0.00009259126134027289</v>
      </c>
      <c r="BK14" s="33">
        <f>IF('IO model'!$D$63=0,0,'Z imported'!BK14/'IO model'!$D$63)</f>
        <v>0.00003749414154038432</v>
      </c>
      <c r="BL14" s="33">
        <f>IF('IO model'!$D$64=0,0,'Z imported'!BL14/'IO model'!$D$64)</f>
        <v>0.0000514480504636424</v>
      </c>
      <c r="BM14" s="33">
        <f>IF('IO model'!$D$65=0,0,'Z imported'!BM14/'IO model'!$D$65)</f>
        <v>0</v>
      </c>
      <c r="BN14" s="33">
        <f>IF('IO model'!$D$66=0,0,'Z imported'!BN14/'IO model'!$D$66)</f>
        <v>0</v>
      </c>
    </row>
    <row r="15" spans="1:66" x14ac:dyDescent="0.25">
      <c r="A15" s="30" t="s">
        <v>97</v>
      </c>
      <c r="B15" s="31" t="s">
        <v>292</v>
      </c>
      <c r="C15" s="33">
        <f>IF('IO model'!$D$3=0,0,'Z imported'!C15/'IO model'!$D$3)</f>
        <v>0.0006439916659902049</v>
      </c>
      <c r="D15" s="33">
        <f>IF('IO model'!$D$4=0,0,'Z imported'!D15/'IO model'!$D$4)</f>
        <v>0.00016813423837591933</v>
      </c>
      <c r="E15" s="33">
        <f>IF('IO model'!$D$5=0,0,'Z imported'!E15/'IO model'!$D$5)</f>
        <v>0.0006583457197347612</v>
      </c>
      <c r="F15" s="33">
        <f>IF('IO model'!$D$6=0,0,'Z imported'!F15/'IO model'!$D$6)</f>
        <v>0.00046366262254924473</v>
      </c>
      <c r="G15" s="33">
        <f>IF('IO model'!$D$7=0,0,'Z imported'!G15/'IO model'!$D$7)</f>
        <v>0.0025859557109557106</v>
      </c>
      <c r="H15" s="33">
        <f>IF('IO model'!$D$8=0,0,'Z imported'!H15/'IO model'!$D$8)</f>
        <v>0.001545869279185749</v>
      </c>
      <c r="I15" s="33">
        <f>IF('IO model'!$D$9=0,0,'Z imported'!I15/'IO model'!$D$9)</f>
        <v>0.0011841255885975438</v>
      </c>
      <c r="J15" s="33">
        <f>IF('IO model'!$D$10=0,0,'Z imported'!J15/'IO model'!$D$10)</f>
        <v>0.002646495377487618</v>
      </c>
      <c r="K15" s="33">
        <f>IF('IO model'!$D$11=0,0,'Z imported'!K15/'IO model'!$D$11)</f>
        <v>0.0020926896606629788</v>
      </c>
      <c r="L15" s="33">
        <f>IF('IO model'!$D$12=0,0,'Z imported'!L15/'IO model'!$D$12)</f>
        <v>0.0004788526931928161</v>
      </c>
      <c r="M15" s="33">
        <f>IF('IO model'!$D$13=0,0,'Z imported'!M15/'IO model'!$D$13)</f>
        <v>0.002922894245217086</v>
      </c>
      <c r="N15" s="33">
        <f>IF('IO model'!$D$14=0,0,'Z imported'!N15/'IO model'!$D$14)</f>
        <v>0.0045607527139264045</v>
      </c>
      <c r="O15" s="33">
        <f>IF('IO model'!$D$15=0,0,'Z imported'!O15/'IO model'!$D$15)</f>
        <v>0.019199469485761636</v>
      </c>
      <c r="P15" s="33">
        <f>IF('IO model'!$D$16=0,0,'Z imported'!P15/'IO model'!$D$16)</f>
        <v>0.0018092931980508242</v>
      </c>
      <c r="Q15" s="33">
        <f>IF('IO model'!$D$17=0,0,'Z imported'!Q15/'IO model'!$D$17)</f>
        <v>0.0006788328128352447</v>
      </c>
      <c r="R15" s="33">
        <f>IF('IO model'!$D$18=0,0,'Z imported'!R15/'IO model'!$D$18)</f>
        <v>0.0014869512587488778</v>
      </c>
      <c r="S15" s="33">
        <f>IF('IO model'!$D$19=0,0,'Z imported'!S15/'IO model'!$D$19)</f>
        <v>0.0016105719700731831</v>
      </c>
      <c r="T15" s="33">
        <f>IF('IO model'!$D$20=0,0,'Z imported'!T15/'IO model'!$D$20)</f>
        <v>0.0032122112299444437</v>
      </c>
      <c r="U15" s="33">
        <f>IF('IO model'!$D$21=0,0,'Z imported'!U15/'IO model'!$D$21)</f>
        <v>0.001785955176612529</v>
      </c>
      <c r="V15" s="33">
        <f>IF('IO model'!$D$22=0,0,'Z imported'!V15/'IO model'!$D$22)</f>
        <v>0.0041237126786105235</v>
      </c>
      <c r="W15" s="33">
        <f>IF('IO model'!$D$23=0,0,'Z imported'!W15/'IO model'!$D$23)</f>
        <v>0.0015221670616825773</v>
      </c>
      <c r="X15" s="33">
        <f>IF('IO model'!$D$24=0,0,'Z imported'!X15/'IO model'!$D$24)</f>
        <v>0.0036230615870466976</v>
      </c>
      <c r="Y15" s="33">
        <f>IF('IO model'!$D$25=0,0,'Z imported'!Y15/'IO model'!$D$25)</f>
        <v>0.0013133656342615286</v>
      </c>
      <c r="Z15" s="33">
        <f>IF('IO model'!$D$26=0,0,'Z imported'!Z15/'IO model'!$D$26)</f>
        <v>0.0001660830098956007</v>
      </c>
      <c r="AA15" s="33">
        <f>IF('IO model'!$D$27=0,0,'Z imported'!AA15/'IO model'!$D$27)</f>
        <v>0.00019386392178160944</v>
      </c>
      <c r="AB15" s="33">
        <f>IF('IO model'!$D$28=0,0,'Z imported'!AB15/'IO model'!$D$28)</f>
        <v>0.0008094734191359104</v>
      </c>
      <c r="AC15" s="33">
        <f>IF('IO model'!$D$29=0,0,'Z imported'!AC15/'IO model'!$D$29)</f>
        <v>0.002866774243198194</v>
      </c>
      <c r="AD15" s="33">
        <f>IF('IO model'!$D$30=0,0,'Z imported'!AD15/'IO model'!$D$30)</f>
        <v>0.0021075604114395093</v>
      </c>
      <c r="AE15" s="33">
        <f>IF('IO model'!$D$31=0,0,'Z imported'!AE15/'IO model'!$D$31)</f>
        <v>0.0005883316844839984</v>
      </c>
      <c r="AF15" s="33">
        <f>IF('IO model'!$D$32=0,0,'Z imported'!AF15/'IO model'!$D$32)</f>
        <v>0.0005583934185408917</v>
      </c>
      <c r="AG15" s="33">
        <f>IF('IO model'!$D$33=0,0,'Z imported'!AG15/'IO model'!$D$33)</f>
        <v>0.001165438977698013</v>
      </c>
      <c r="AH15" s="33">
        <f>IF('IO model'!$D$34=0,0,'Z imported'!AH15/'IO model'!$D$34)</f>
        <v>0.00011113499726882526</v>
      </c>
      <c r="AI15" s="33">
        <f>IF('IO model'!$D$35=0,0,'Z imported'!AI15/'IO model'!$D$35)</f>
        <v>0.00024738302294461723</v>
      </c>
      <c r="AJ15" s="33">
        <f>IF('IO model'!$D$36=0,0,'Z imported'!AJ15/'IO model'!$D$36)</f>
        <v>0.00034763878285527317</v>
      </c>
      <c r="AK15" s="33">
        <f>IF('IO model'!$D$37=0,0,'Z imported'!AK15/'IO model'!$D$37)</f>
        <v>0.00020766778691900612</v>
      </c>
      <c r="AL15" s="33">
        <f>IF('IO model'!$D$38=0,0,'Z imported'!AL15/'IO model'!$D$38)</f>
        <v>0.00015209038089177015</v>
      </c>
      <c r="AM15" s="33">
        <f>IF('IO model'!$D$39=0,0,'Z imported'!AM15/'IO model'!$D$39)</f>
        <v>0.00029869469064538844</v>
      </c>
      <c r="AN15" s="33">
        <f>IF('IO model'!$D$40=0,0,'Z imported'!AN15/'IO model'!$D$40)</f>
        <v>0.00020048858953380022</v>
      </c>
      <c r="AO15" s="33">
        <f>IF('IO model'!$D$41=0,0,'Z imported'!AO15/'IO model'!$D$41)</f>
        <v>0.0004829349434649581</v>
      </c>
      <c r="AP15" s="33">
        <f>IF('IO model'!$D$42=0,0,'Z imported'!AP15/'IO model'!$D$42)</f>
        <v>0.000222532600617757</v>
      </c>
      <c r="AQ15" s="33">
        <f>IF('IO model'!$D$43=0,0,'Z imported'!AQ15/'IO model'!$D$43)</f>
        <v>0.000041224971259364145</v>
      </c>
      <c r="AR15" s="33">
        <f>IF('IO model'!$D$44=0,0,'Z imported'!AR15/'IO model'!$D$44)</f>
        <v>0.00007901569869943152</v>
      </c>
      <c r="AS15" s="33">
        <f>IF('IO model'!$D$45=0,0,'Z imported'!AS15/'IO model'!$D$45)</f>
        <v>0.00007644940687466475</v>
      </c>
      <c r="AT15" s="33">
        <f>IF('IO model'!$D$46=0,0,'Z imported'!AT15/'IO model'!$D$46)</f>
        <v>0.00015075913555783445</v>
      </c>
      <c r="AU15" s="33">
        <f>IF('IO model'!$D$47=0,0,'Z imported'!AU15/'IO model'!$D$47)</f>
        <v>0.00011490784179438955</v>
      </c>
      <c r="AV15" s="33">
        <f>IF('IO model'!$D$48=0,0,'Z imported'!AV15/'IO model'!$D$48)</f>
        <v>0.00040921621825340716</v>
      </c>
      <c r="AW15" s="33">
        <f>IF('IO model'!$D$49=0,0,'Z imported'!AW15/'IO model'!$D$49)</f>
        <v>0.0003510187892783714</v>
      </c>
      <c r="AX15" s="33">
        <f>IF('IO model'!$D$50=0,0,'Z imported'!AX15/'IO model'!$D$50)</f>
        <v>0.00031679750731906475</v>
      </c>
      <c r="AY15" s="33">
        <f>IF('IO model'!$D$51=0,0,'Z imported'!AY15/'IO model'!$D$51)</f>
        <v>0.00042215768664961655</v>
      </c>
      <c r="AZ15" s="33">
        <f>IF('IO model'!$D$52=0,0,'Z imported'!AZ15/'IO model'!$D$52)</f>
        <v>0.00035881284517415724</v>
      </c>
      <c r="BA15" s="33">
        <f>IF('IO model'!$D$53=0,0,'Z imported'!BA15/'IO model'!$D$53)</f>
        <v>0.000039075767913985216</v>
      </c>
      <c r="BB15" s="33">
        <f>IF('IO model'!$D$54=0,0,'Z imported'!BB15/'IO model'!$D$54)</f>
        <v>0.00007339865281559624</v>
      </c>
      <c r="BC15" s="33">
        <f>IF('IO model'!$D$55=0,0,'Z imported'!BC15/'IO model'!$D$55)</f>
        <v>0.0005897283519701911</v>
      </c>
      <c r="BD15" s="33">
        <f>IF('IO model'!$D$56=0,0,'Z imported'!BD15/'IO model'!$D$56)</f>
        <v>0.00014228012673790234</v>
      </c>
      <c r="BE15" s="33">
        <f>IF('IO model'!$D$57=0,0,'Z imported'!BE15/'IO model'!$D$57)</f>
        <v>0.00006852257283938902</v>
      </c>
      <c r="BF15" s="33">
        <f>IF('IO model'!$D$58=0,0,'Z imported'!BF15/'IO model'!$D$58)</f>
        <v>0.0006115354562995327</v>
      </c>
      <c r="BG15" s="33">
        <f>IF('IO model'!$D$59=0,0,'Z imported'!BG15/'IO model'!$D$59)</f>
        <v>0.00024455370056225215</v>
      </c>
      <c r="BH15" s="33">
        <f>IF('IO model'!$D$60=0,0,'Z imported'!BH15/'IO model'!$D$60)</f>
        <v>0.00019944452300027404</v>
      </c>
      <c r="BI15" s="33">
        <f>IF('IO model'!$D$61=0,0,'Z imported'!BI15/'IO model'!$D$61)</f>
        <v>0.00016737841509027607</v>
      </c>
      <c r="BJ15" s="33">
        <f>IF('IO model'!$D$62=0,0,'Z imported'!BJ15/'IO model'!$D$62)</f>
        <v>0.00012537201846074216</v>
      </c>
      <c r="BK15" s="33">
        <f>IF('IO model'!$D$63=0,0,'Z imported'!BK15/'IO model'!$D$63)</f>
        <v>0.0006561474769567254</v>
      </c>
      <c r="BL15" s="33">
        <f>IF('IO model'!$D$64=0,0,'Z imported'!BL15/'IO model'!$D$64)</f>
        <v>0.00026042260595513845</v>
      </c>
      <c r="BM15" s="33">
        <f>IF('IO model'!$D$65=0,0,'Z imported'!BM15/'IO model'!$D$65)</f>
        <v>0</v>
      </c>
      <c r="BN15" s="33">
        <f>IF('IO model'!$D$66=0,0,'Z imported'!BN15/'IO model'!$D$66)</f>
        <v>0</v>
      </c>
    </row>
    <row r="16" spans="1:66" x14ac:dyDescent="0.25">
      <c r="A16" s="30" t="s">
        <v>99</v>
      </c>
      <c r="B16" s="31" t="s">
        <v>293</v>
      </c>
      <c r="C16" s="33">
        <f>IF('IO model'!$D$3=0,0,'Z imported'!C16/'IO model'!$D$3)</f>
        <v>0.0003164968529249773</v>
      </c>
      <c r="D16" s="33">
        <f>IF('IO model'!$D$4=0,0,'Z imported'!D16/'IO model'!$D$4)</f>
        <v>0.00005604474612530644</v>
      </c>
      <c r="E16" s="33">
        <f>IF('IO model'!$D$5=0,0,'Z imported'!E16/'IO model'!$D$5)</f>
        <v>0.00035971467160765303</v>
      </c>
      <c r="F16" s="33">
        <f>IF('IO model'!$D$6=0,0,'Z imported'!F16/'IO model'!$D$6)</f>
        <v>0.0004388727397594832</v>
      </c>
      <c r="G16" s="33">
        <f>IF('IO model'!$D$7=0,0,'Z imported'!G16/'IO model'!$D$7)</f>
        <v>0.0009803012643921733</v>
      </c>
      <c r="H16" s="33">
        <f>IF('IO model'!$D$8=0,0,'Z imported'!H16/'IO model'!$D$8)</f>
        <v>0.0004918674979227381</v>
      </c>
      <c r="I16" s="33">
        <f>IF('IO model'!$D$9=0,0,'Z imported'!I16/'IO model'!$D$9)</f>
        <v>0.001238438085733408</v>
      </c>
      <c r="J16" s="33">
        <f>IF('IO model'!$D$10=0,0,'Z imported'!J16/'IO model'!$D$10)</f>
        <v>0.00014032746961775783</v>
      </c>
      <c r="K16" s="33">
        <f>IF('IO model'!$D$11=0,0,'Z imported'!K16/'IO model'!$D$11)</f>
        <v>0.00007819152944053251</v>
      </c>
      <c r="L16" s="33">
        <f>IF('IO model'!$D$12=0,0,'Z imported'!L16/'IO model'!$D$12)</f>
        <v>0.0004557090647531173</v>
      </c>
      <c r="M16" s="33">
        <f>IF('IO model'!$D$13=0,0,'Z imported'!M16/'IO model'!$D$13)</f>
        <v>0.001527948167005869</v>
      </c>
      <c r="N16" s="33">
        <f>IF('IO model'!$D$14=0,0,'Z imported'!N16/'IO model'!$D$14)</f>
        <v>0.0009599460040464674</v>
      </c>
      <c r="O16" s="33">
        <f>IF('IO model'!$D$15=0,0,'Z imported'!O16/'IO model'!$D$15)</f>
        <v>0.0014465257735801782</v>
      </c>
      <c r="P16" s="33">
        <f>IF('IO model'!$D$16=0,0,'Z imported'!P16/'IO model'!$D$16)</f>
        <v>0.013647766845351145</v>
      </c>
      <c r="Q16" s="33">
        <f>IF('IO model'!$D$17=0,0,'Z imported'!Q16/'IO model'!$D$17)</f>
        <v>0.0012982652712549966</v>
      </c>
      <c r="R16" s="33">
        <f>IF('IO model'!$D$18=0,0,'Z imported'!R16/'IO model'!$D$18)</f>
        <v>0.0009839412783845059</v>
      </c>
      <c r="S16" s="33">
        <f>IF('IO model'!$D$19=0,0,'Z imported'!S16/'IO model'!$D$19)</f>
        <v>0.0007437533526986657</v>
      </c>
      <c r="T16" s="33">
        <f>IF('IO model'!$D$20=0,0,'Z imported'!T16/'IO model'!$D$20)</f>
        <v>0.0018234625597147662</v>
      </c>
      <c r="U16" s="33">
        <f>IF('IO model'!$D$21=0,0,'Z imported'!U16/'IO model'!$D$21)</f>
        <v>0.0006904394135618194</v>
      </c>
      <c r="V16" s="33">
        <f>IF('IO model'!$D$22=0,0,'Z imported'!V16/'IO model'!$D$22)</f>
        <v>0.0015788601512519457</v>
      </c>
      <c r="W16" s="33">
        <f>IF('IO model'!$D$23=0,0,'Z imported'!W16/'IO model'!$D$23)</f>
        <v>0.0012411121420122504</v>
      </c>
      <c r="X16" s="33">
        <f>IF('IO model'!$D$24=0,0,'Z imported'!X16/'IO model'!$D$24)</f>
        <v>0.0014836551491119855</v>
      </c>
      <c r="Y16" s="33">
        <f>IF('IO model'!$D$25=0,0,'Z imported'!Y16/'IO model'!$D$25)</f>
        <v>0.0005761940618356383</v>
      </c>
      <c r="Z16" s="33">
        <f>IF('IO model'!$D$26=0,0,'Z imported'!Z16/'IO model'!$D$26)</f>
        <v>0.00016447575496112717</v>
      </c>
      <c r="AA16" s="33">
        <f>IF('IO model'!$D$27=0,0,'Z imported'!AA16/'IO model'!$D$27)</f>
        <v>0.00010833572099560527</v>
      </c>
      <c r="AB16" s="33">
        <f>IF('IO model'!$D$28=0,0,'Z imported'!AB16/'IO model'!$D$28)</f>
        <v>0.0003453936731034653</v>
      </c>
      <c r="AC16" s="33">
        <f>IF('IO model'!$D$29=0,0,'Z imported'!AC16/'IO model'!$D$29)</f>
        <v>0.004042469159706126</v>
      </c>
      <c r="AD16" s="33">
        <f>IF('IO model'!$D$30=0,0,'Z imported'!AD16/'IO model'!$D$30)</f>
        <v>0.0005053517314512161</v>
      </c>
      <c r="AE16" s="33">
        <f>IF('IO model'!$D$31=0,0,'Z imported'!AE16/'IO model'!$D$31)</f>
        <v>0.00010814545188798354</v>
      </c>
      <c r="AF16" s="33">
        <f>IF('IO model'!$D$32=0,0,'Z imported'!AF16/'IO model'!$D$32)</f>
        <v>0.00007476173266292817</v>
      </c>
      <c r="AG16" s="33">
        <f>IF('IO model'!$D$33=0,0,'Z imported'!AG16/'IO model'!$D$33)</f>
        <v>0.00009492907774782124</v>
      </c>
      <c r="AH16" s="33">
        <f>IF('IO model'!$D$34=0,0,'Z imported'!AH16/'IO model'!$D$34)</f>
        <v>0.00006264752741794783</v>
      </c>
      <c r="AI16" s="33">
        <f>IF('IO model'!$D$35=0,0,'Z imported'!AI16/'IO model'!$D$35)</f>
        <v>0.00010755783606287702</v>
      </c>
      <c r="AJ16" s="33">
        <f>IF('IO model'!$D$36=0,0,'Z imported'!AJ16/'IO model'!$D$36)</f>
        <v>0.00008026713793817231</v>
      </c>
      <c r="AK16" s="33">
        <f>IF('IO model'!$D$37=0,0,'Z imported'!AK16/'IO model'!$D$37)</f>
        <v>0.000008306711476760244</v>
      </c>
      <c r="AL16" s="33">
        <f>IF('IO model'!$D$38=0,0,'Z imported'!AL16/'IO model'!$D$38)</f>
        <v>0.0002911122549809882</v>
      </c>
      <c r="AM16" s="33">
        <f>IF('IO model'!$D$39=0,0,'Z imported'!AM16/'IO model'!$D$39)</f>
        <v>0.00007998329840277421</v>
      </c>
      <c r="AN16" s="33">
        <f>IF('IO model'!$D$40=0,0,'Z imported'!AN16/'IO model'!$D$40)</f>
        <v>0.00002259842483184454</v>
      </c>
      <c r="AO16" s="33">
        <f>IF('IO model'!$D$41=0,0,'Z imported'!AO16/'IO model'!$D$41)</f>
        <v>0.00006388796606271244</v>
      </c>
      <c r="AP16" s="33">
        <f>IF('IO model'!$D$42=0,0,'Z imported'!AP16/'IO model'!$D$42)</f>
        <v>0.000052707476950231075</v>
      </c>
      <c r="AQ16" s="33">
        <f>IF('IO model'!$D$43=0,0,'Z imported'!AQ16/'IO model'!$D$43)</f>
        <v>0.00000838880229114968</v>
      </c>
      <c r="AR16" s="33">
        <f>IF('IO model'!$D$44=0,0,'Z imported'!AR16/'IO model'!$D$44)</f>
        <v>0.0000032403914293142256</v>
      </c>
      <c r="AS16" s="33">
        <f>IF('IO model'!$D$45=0,0,'Z imported'!AS16/'IO model'!$D$45)</f>
        <v>0.000009957695853422719</v>
      </c>
      <c r="AT16" s="33">
        <f>IF('IO model'!$D$46=0,0,'Z imported'!AT16/'IO model'!$D$46)</f>
        <v>0.00012458139324014815</v>
      </c>
      <c r="AU16" s="33">
        <f>IF('IO model'!$D$47=0,0,'Z imported'!AU16/'IO model'!$D$47)</f>
        <v>0.00003430479697468729</v>
      </c>
      <c r="AV16" s="33">
        <f>IF('IO model'!$D$48=0,0,'Z imported'!AV16/'IO model'!$D$48)</f>
        <v>0.00010436686111313056</v>
      </c>
      <c r="AW16" s="33">
        <f>IF('IO model'!$D$49=0,0,'Z imported'!AW16/'IO model'!$D$49)</f>
        <v>0.00026265327039970947</v>
      </c>
      <c r="AX16" s="33">
        <f>IF('IO model'!$D$50=0,0,'Z imported'!AX16/'IO model'!$D$50)</f>
        <v>0.000038224196495536156</v>
      </c>
      <c r="AY16" s="33">
        <f>IF('IO model'!$D$51=0,0,'Z imported'!AY16/'IO model'!$D$51)</f>
        <v>0.00008725821179657284</v>
      </c>
      <c r="AZ16" s="33">
        <f>IF('IO model'!$D$52=0,0,'Z imported'!AZ16/'IO model'!$D$52)</f>
        <v>0.00008468200279450608</v>
      </c>
      <c r="BA16" s="33">
        <f>IF('IO model'!$D$53=0,0,'Z imported'!BA16/'IO model'!$D$53)</f>
        <v>0.000011593909161292318</v>
      </c>
      <c r="BB16" s="33">
        <f>IF('IO model'!$D$54=0,0,'Z imported'!BB16/'IO model'!$D$54)</f>
        <v>0.000020743097534842417</v>
      </c>
      <c r="BC16" s="33">
        <f>IF('IO model'!$D$55=0,0,'Z imported'!BC16/'IO model'!$D$55)</f>
        <v>0.00017818791820093204</v>
      </c>
      <c r="BD16" s="33">
        <f>IF('IO model'!$D$56=0,0,'Z imported'!BD16/'IO model'!$D$56)</f>
        <v>0.00003417785823302841</v>
      </c>
      <c r="BE16" s="33">
        <f>IF('IO model'!$D$57=0,0,'Z imported'!BE16/'IO model'!$D$57)</f>
        <v>0.00004554050436002671</v>
      </c>
      <c r="BF16" s="33">
        <f>IF('IO model'!$D$58=0,0,'Z imported'!BF16/'IO model'!$D$58)</f>
        <v>0.00017293616749852498</v>
      </c>
      <c r="BG16" s="33">
        <f>IF('IO model'!$D$59=0,0,'Z imported'!BG16/'IO model'!$D$59)</f>
        <v>0.000040021231539976416</v>
      </c>
      <c r="BH16" s="33">
        <f>IF('IO model'!$D$60=0,0,'Z imported'!BH16/'IO model'!$D$60)</f>
        <v>0.00012394364230213967</v>
      </c>
      <c r="BI16" s="33">
        <f>IF('IO model'!$D$61=0,0,'Z imported'!BI16/'IO model'!$D$61)</f>
        <v>0.000055597725292224564</v>
      </c>
      <c r="BJ16" s="33">
        <f>IF('IO model'!$D$62=0,0,'Z imported'!BJ16/'IO model'!$D$62)</f>
        <v>0.00010524348338676984</v>
      </c>
      <c r="BK16" s="33">
        <f>IF('IO model'!$D$63=0,0,'Z imported'!BK16/'IO model'!$D$63)</f>
        <v>0.00018434619590688953</v>
      </c>
      <c r="BL16" s="33">
        <f>IF('IO model'!$D$64=0,0,'Z imported'!BL16/'IO model'!$D$64)</f>
        <v>0.0003532412536988232</v>
      </c>
      <c r="BM16" s="33">
        <f>IF('IO model'!$D$65=0,0,'Z imported'!BM16/'IO model'!$D$65)</f>
        <v>0</v>
      </c>
      <c r="BN16" s="33">
        <f>IF('IO model'!$D$66=0,0,'Z imported'!BN16/'IO model'!$D$66)</f>
        <v>0</v>
      </c>
    </row>
    <row r="17" spans="1:66" x14ac:dyDescent="0.25">
      <c r="A17" s="30" t="s">
        <v>101</v>
      </c>
      <c r="B17" s="31" t="s">
        <v>294</v>
      </c>
      <c r="C17" s="33">
        <f>IF('IO model'!$D$3=0,0,'Z imported'!C17/'IO model'!$D$3)</f>
        <v>0.00012115213233862894</v>
      </c>
      <c r="D17" s="33">
        <f>IF('IO model'!$D$4=0,0,'Z imported'!D17/'IO model'!$D$4)</f>
        <v>0.000059247303046752525</v>
      </c>
      <c r="E17" s="33">
        <f>IF('IO model'!$D$5=0,0,'Z imported'!E17/'IO model'!$D$5)</f>
        <v>0.00007465776203177706</v>
      </c>
      <c r="F17" s="33">
        <f>IF('IO model'!$D$6=0,0,'Z imported'!F17/'IO model'!$D$6)</f>
        <v>0.00045723561590004717</v>
      </c>
      <c r="G17" s="33">
        <f>IF('IO model'!$D$7=0,0,'Z imported'!G17/'IO model'!$D$7)</f>
        <v>0.0003435432412705139</v>
      </c>
      <c r="H17" s="33">
        <f>IF('IO model'!$D$8=0,0,'Z imported'!H17/'IO model'!$D$8)</f>
        <v>0.0002446162467347904</v>
      </c>
      <c r="I17" s="33">
        <f>IF('IO model'!$D$9=0,0,'Z imported'!I17/'IO model'!$D$9)</f>
        <v>0.0004961672915432614</v>
      </c>
      <c r="J17" s="33">
        <f>IF('IO model'!$D$10=0,0,'Z imported'!J17/'IO model'!$D$10)</f>
        <v>0.00042770736746115324</v>
      </c>
      <c r="K17" s="33">
        <f>IF('IO model'!$D$11=0,0,'Z imported'!K17/'IO model'!$D$11)</f>
        <v>0.0002445262375231198</v>
      </c>
      <c r="L17" s="33">
        <f>IF('IO model'!$D$12=0,0,'Z imported'!L17/'IO model'!$D$12)</f>
        <v>0.00027772354127638587</v>
      </c>
      <c r="M17" s="33">
        <f>IF('IO model'!$D$13=0,0,'Z imported'!M17/'IO model'!$D$13)</f>
        <v>0.0021945344651117717</v>
      </c>
      <c r="N17" s="33">
        <f>IF('IO model'!$D$14=0,0,'Z imported'!N17/'IO model'!$D$14)</f>
        <v>0.0006684905730449747</v>
      </c>
      <c r="O17" s="33">
        <f>IF('IO model'!$D$15=0,0,'Z imported'!O17/'IO model'!$D$15)</f>
        <v>0.0018122913489574566</v>
      </c>
      <c r="P17" s="33">
        <f>IF('IO model'!$D$16=0,0,'Z imported'!P17/'IO model'!$D$16)</f>
        <v>0.0016937903883603267</v>
      </c>
      <c r="Q17" s="33">
        <f>IF('IO model'!$D$17=0,0,'Z imported'!Q17/'IO model'!$D$17)</f>
        <v>0.05241197225069732</v>
      </c>
      <c r="R17" s="33">
        <f>IF('IO model'!$D$18=0,0,'Z imported'!R17/'IO model'!$D$18)</f>
        <v>0.019462838457800842</v>
      </c>
      <c r="S17" s="33">
        <f>IF('IO model'!$D$19=0,0,'Z imported'!S17/'IO model'!$D$19)</f>
        <v>0.001781382472289252</v>
      </c>
      <c r="T17" s="33">
        <f>IF('IO model'!$D$20=0,0,'Z imported'!T17/'IO model'!$D$20)</f>
        <v>0.010707976338068817</v>
      </c>
      <c r="U17" s="33">
        <f>IF('IO model'!$D$21=0,0,'Z imported'!U17/'IO model'!$D$21)</f>
        <v>0.006925654000258661</v>
      </c>
      <c r="V17" s="33">
        <f>IF('IO model'!$D$22=0,0,'Z imported'!V17/'IO model'!$D$22)</f>
        <v>0.0036637604672743523</v>
      </c>
      <c r="W17" s="33">
        <f>IF('IO model'!$D$23=0,0,'Z imported'!W17/'IO model'!$D$23)</f>
        <v>0.003098932797460172</v>
      </c>
      <c r="X17" s="33">
        <f>IF('IO model'!$D$24=0,0,'Z imported'!X17/'IO model'!$D$24)</f>
        <v>0.006184277541375548</v>
      </c>
      <c r="Y17" s="33">
        <f>IF('IO model'!$D$25=0,0,'Z imported'!Y17/'IO model'!$D$25)</f>
        <v>0.00247629636567927</v>
      </c>
      <c r="Z17" s="33">
        <f>IF('IO model'!$D$26=0,0,'Z imported'!Z17/'IO model'!$D$26)</f>
        <v>0.00019644226976899007</v>
      </c>
      <c r="AA17" s="33">
        <f>IF('IO model'!$D$27=0,0,'Z imported'!AA17/'IO model'!$D$27)</f>
        <v>0.00021239503195191032</v>
      </c>
      <c r="AB17" s="33">
        <f>IF('IO model'!$D$28=0,0,'Z imported'!AB17/'IO model'!$D$28)</f>
        <v>0.001900353237274445</v>
      </c>
      <c r="AC17" s="33">
        <f>IF('IO model'!$D$29=0,0,'Z imported'!AC17/'IO model'!$D$29)</f>
        <v>0.0017709020641393013</v>
      </c>
      <c r="AD17" s="33">
        <f>IF('IO model'!$D$30=0,0,'Z imported'!AD17/'IO model'!$D$30)</f>
        <v>0.00013686096575103563</v>
      </c>
      <c r="AE17" s="33">
        <f>IF('IO model'!$D$31=0,0,'Z imported'!AE17/'IO model'!$D$31)</f>
        <v>0.000201198201676175</v>
      </c>
      <c r="AF17" s="33">
        <f>IF('IO model'!$D$32=0,0,'Z imported'!AF17/'IO model'!$D$32)</f>
        <v>0.00006557264141676874</v>
      </c>
      <c r="AG17" s="33">
        <f>IF('IO model'!$D$33=0,0,'Z imported'!AG17/'IO model'!$D$33)</f>
        <v>0.00021070888062169868</v>
      </c>
      <c r="AH17" s="33">
        <f>IF('IO model'!$D$34=0,0,'Z imported'!AH17/'IO model'!$D$34)</f>
        <v>0.0001235786842217053</v>
      </c>
      <c r="AI17" s="33">
        <f>IF('IO model'!$D$35=0,0,'Z imported'!AI17/'IO model'!$D$35)</f>
        <v>0.00015627520886782727</v>
      </c>
      <c r="AJ17" s="33">
        <f>IF('IO model'!$D$36=0,0,'Z imported'!AJ17/'IO model'!$D$36)</f>
        <v>0.0001603951647187395</v>
      </c>
      <c r="AK17" s="33">
        <f>IF('IO model'!$D$37=0,0,'Z imported'!AK17/'IO model'!$D$37)</f>
        <v>0.0000159211969971238</v>
      </c>
      <c r="AL17" s="33">
        <f>IF('IO model'!$D$38=0,0,'Z imported'!AL17/'IO model'!$D$38)</f>
        <v>0.000023095205987268805</v>
      </c>
      <c r="AM17" s="33">
        <f>IF('IO model'!$D$39=0,0,'Z imported'!AM17/'IO model'!$D$39)</f>
        <v>0.00009941426920118829</v>
      </c>
      <c r="AN17" s="33">
        <f>IF('IO model'!$D$40=0,0,'Z imported'!AN17/'IO model'!$D$40)</f>
        <v>0.000049252977197609894</v>
      </c>
      <c r="AO17" s="33">
        <f>IF('IO model'!$D$41=0,0,'Z imported'!AO17/'IO model'!$D$41)</f>
        <v>0.00016465671253435433</v>
      </c>
      <c r="AP17" s="33">
        <f>IF('IO model'!$D$42=0,0,'Z imported'!AP17/'IO model'!$D$42)</f>
        <v>0.000052253884205392595</v>
      </c>
      <c r="AQ17" s="33">
        <f>IF('IO model'!$D$43=0,0,'Z imported'!AQ17/'IO model'!$D$43)</f>
        <v>0.00000455392124376697</v>
      </c>
      <c r="AR17" s="33">
        <f>IF('IO model'!$D$44=0,0,'Z imported'!AR17/'IO model'!$D$44)</f>
        <v>0.0000034896523084922435</v>
      </c>
      <c r="AS17" s="33">
        <f>IF('IO model'!$D$45=0,0,'Z imported'!AS17/'IO model'!$D$45)</f>
        <v>0.000007066751895977414</v>
      </c>
      <c r="AT17" s="33">
        <f>IF('IO model'!$D$46=0,0,'Z imported'!AT17/'IO model'!$D$46)</f>
        <v>0.00002176736181851085</v>
      </c>
      <c r="AU17" s="33">
        <f>IF('IO model'!$D$47=0,0,'Z imported'!AU17/'IO model'!$D$47)</f>
        <v>0.000019577544803034912</v>
      </c>
      <c r="AV17" s="33">
        <f>IF('IO model'!$D$48=0,0,'Z imported'!AV17/'IO model'!$D$48)</f>
        <v>0.000267161323960535</v>
      </c>
      <c r="AW17" s="33">
        <f>IF('IO model'!$D$49=0,0,'Z imported'!AW17/'IO model'!$D$49)</f>
        <v>0.00013600960048605108</v>
      </c>
      <c r="AX17" s="33">
        <f>IF('IO model'!$D$50=0,0,'Z imported'!AX17/'IO model'!$D$50)</f>
        <v>0.00012567652484138402</v>
      </c>
      <c r="AY17" s="33">
        <f>IF('IO model'!$D$51=0,0,'Z imported'!AY17/'IO model'!$D$51)</f>
        <v>0.00006820888386915202</v>
      </c>
      <c r="AZ17" s="33">
        <f>IF('IO model'!$D$52=0,0,'Z imported'!AZ17/'IO model'!$D$52)</f>
        <v>0.00013082283765048698</v>
      </c>
      <c r="BA17" s="33">
        <f>IF('IO model'!$D$53=0,0,'Z imported'!BA17/'IO model'!$D$53)</f>
        <v>0.000008158676817205705</v>
      </c>
      <c r="BB17" s="33">
        <f>IF('IO model'!$D$54=0,0,'Z imported'!BB17/'IO model'!$D$54)</f>
        <v>0.000014360605985660134</v>
      </c>
      <c r="BC17" s="33">
        <f>IF('IO model'!$D$55=0,0,'Z imported'!BC17/'IO model'!$D$55)</f>
        <v>0.00012866515465520247</v>
      </c>
      <c r="BD17" s="33">
        <f>IF('IO model'!$D$56=0,0,'Z imported'!BD17/'IO model'!$D$56)</f>
        <v>0.00004134755150798141</v>
      </c>
      <c r="BE17" s="33">
        <f>IF('IO model'!$D$57=0,0,'Z imported'!BE17/'IO model'!$D$57)</f>
        <v>0.0000203343647375003</v>
      </c>
      <c r="BF17" s="33">
        <f>IF('IO model'!$D$58=0,0,'Z imported'!BF17/'IO model'!$D$58)</f>
        <v>0.00008180383026901182</v>
      </c>
      <c r="BG17" s="33">
        <f>IF('IO model'!$D$59=0,0,'Z imported'!BG17/'IO model'!$D$59)</f>
        <v>0.000017889674928007886</v>
      </c>
      <c r="BH17" s="33">
        <f>IF('IO model'!$D$60=0,0,'Z imported'!BH17/'IO model'!$D$60)</f>
        <v>0.00006939098283816973</v>
      </c>
      <c r="BI17" s="33">
        <f>IF('IO model'!$D$61=0,0,'Z imported'!BI17/'IO model'!$D$61)</f>
        <v>0.00004272246259297256</v>
      </c>
      <c r="BJ17" s="33">
        <f>IF('IO model'!$D$62=0,0,'Z imported'!BJ17/'IO model'!$D$62)</f>
        <v>0.000038531767141604257</v>
      </c>
      <c r="BK17" s="33">
        <f>IF('IO model'!$D$63=0,0,'Z imported'!BK17/'IO model'!$D$63)</f>
        <v>0.0005217934697703484</v>
      </c>
      <c r="BL17" s="33">
        <f>IF('IO model'!$D$64=0,0,'Z imported'!BL17/'IO model'!$D$64)</f>
        <v>0.000051448050463642406</v>
      </c>
      <c r="BM17" s="33">
        <f>IF('IO model'!$D$65=0,0,'Z imported'!BM17/'IO model'!$D$65)</f>
        <v>0</v>
      </c>
      <c r="BN17" s="33">
        <f>IF('IO model'!$D$66=0,0,'Z imported'!BN17/'IO model'!$D$66)</f>
        <v>0</v>
      </c>
    </row>
    <row r="18" spans="1:66" x14ac:dyDescent="0.25">
      <c r="A18" s="30" t="s">
        <v>103</v>
      </c>
      <c r="B18" s="31" t="s">
        <v>295</v>
      </c>
      <c r="C18" s="33">
        <f>IF('IO model'!$D$3=0,0,'Z imported'!C18/'IO model'!$D$3)</f>
        <v>0.0008147219043578982</v>
      </c>
      <c r="D18" s="33">
        <f>IF('IO model'!$D$4=0,0,'Z imported'!D18/'IO model'!$D$4)</f>
        <v>0.00033146464136966946</v>
      </c>
      <c r="E18" s="33">
        <f>IF('IO model'!$D$5=0,0,'Z imported'!E18/'IO model'!$D$5)</f>
        <v>0.0005497526113249036</v>
      </c>
      <c r="F18" s="33">
        <f>IF('IO model'!$D$6=0,0,'Z imported'!F18/'IO model'!$D$6)</f>
        <v>0.0010448476523980997</v>
      </c>
      <c r="G18" s="33">
        <f>IF('IO model'!$D$7=0,0,'Z imported'!G18/'IO model'!$D$7)</f>
        <v>0.0012176691153963875</v>
      </c>
      <c r="H18" s="33">
        <f>IF('IO model'!$D$8=0,0,'Z imported'!H18/'IO model'!$D$8)</f>
        <v>0.0010812301606123048</v>
      </c>
      <c r="I18" s="33">
        <f>IF('IO model'!$D$9=0,0,'Z imported'!I18/'IO model'!$D$9)</f>
        <v>0.0020372843977734135</v>
      </c>
      <c r="J18" s="33">
        <f>IF('IO model'!$D$10=0,0,'Z imported'!J18/'IO model'!$D$10)</f>
        <v>0.0006231794976635252</v>
      </c>
      <c r="K18" s="33">
        <f>IF('IO model'!$D$11=0,0,'Z imported'!K18/'IO model'!$D$11)</f>
        <v>0.0003269827594785905</v>
      </c>
      <c r="L18" s="33">
        <f>IF('IO model'!$D$12=0,0,'Z imported'!L18/'IO model'!$D$12)</f>
        <v>0.00033925620419145814</v>
      </c>
      <c r="M18" s="33">
        <f>IF('IO model'!$D$13=0,0,'Z imported'!M18/'IO model'!$D$13)</f>
        <v>0.0011349301463259354</v>
      </c>
      <c r="N18" s="33">
        <f>IF('IO model'!$D$14=0,0,'Z imported'!N18/'IO model'!$D$14)</f>
        <v>0.0009257679433473078</v>
      </c>
      <c r="O18" s="33">
        <f>IF('IO model'!$D$15=0,0,'Z imported'!O18/'IO model'!$D$15)</f>
        <v>0.002966204662235812</v>
      </c>
      <c r="P18" s="33">
        <f>IF('IO model'!$D$16=0,0,'Z imported'!P18/'IO model'!$D$16)</f>
        <v>0.001389796022790548</v>
      </c>
      <c r="Q18" s="33">
        <f>IF('IO model'!$D$17=0,0,'Z imported'!Q18/'IO model'!$D$17)</f>
        <v>0.0028420784958797228</v>
      </c>
      <c r="R18" s="33">
        <f>IF('IO model'!$D$18=0,0,'Z imported'!R18/'IO model'!$D$18)</f>
        <v>0.012503413796264636</v>
      </c>
      <c r="S18" s="33">
        <f>IF('IO model'!$D$19=0,0,'Z imported'!S18/'IO model'!$D$19)</f>
        <v>0.0016996793920065285</v>
      </c>
      <c r="T18" s="33">
        <f>IF('IO model'!$D$20=0,0,'Z imported'!T18/'IO model'!$D$20)</f>
        <v>0.004570335279899948</v>
      </c>
      <c r="U18" s="33">
        <f>IF('IO model'!$D$21=0,0,'Z imported'!U18/'IO model'!$D$21)</f>
        <v>0.005188166253153861</v>
      </c>
      <c r="V18" s="33">
        <f>IF('IO model'!$D$22=0,0,'Z imported'!V18/'IO model'!$D$22)</f>
        <v>0.004609908131037046</v>
      </c>
      <c r="W18" s="33">
        <f>IF('IO model'!$D$23=0,0,'Z imported'!W18/'IO model'!$D$23)</f>
        <v>0.004763642706276722</v>
      </c>
      <c r="X18" s="33">
        <f>IF('IO model'!$D$24=0,0,'Z imported'!X18/'IO model'!$D$24)</f>
        <v>0.004304885775697343</v>
      </c>
      <c r="Y18" s="33">
        <f>IF('IO model'!$D$25=0,0,'Z imported'!Y18/'IO model'!$D$25)</f>
        <v>0.004493583809473994</v>
      </c>
      <c r="Z18" s="33">
        <f>IF('IO model'!$D$26=0,0,'Z imported'!Z18/'IO model'!$D$26)</f>
        <v>0.00034109521387161006</v>
      </c>
      <c r="AA18" s="33">
        <f>IF('IO model'!$D$27=0,0,'Z imported'!AA18/'IO model'!$D$27)</f>
        <v>0.00031217793286891516</v>
      </c>
      <c r="AB18" s="33">
        <f>IF('IO model'!$D$28=0,0,'Z imported'!AB18/'IO model'!$D$28)</f>
        <v>0.0009057983478898647</v>
      </c>
      <c r="AC18" s="33">
        <f>IF('IO model'!$D$29=0,0,'Z imported'!AC18/'IO model'!$D$29)</f>
        <v>0.0037396292802829886</v>
      </c>
      <c r="AD18" s="33">
        <f>IF('IO model'!$D$30=0,0,'Z imported'!AD18/'IO model'!$D$30)</f>
        <v>0.0009277499638770745</v>
      </c>
      <c r="AE18" s="33">
        <f>IF('IO model'!$D$31=0,0,'Z imported'!AE18/'IO model'!$D$31)</f>
        <v>0.00035825308668453726</v>
      </c>
      <c r="AF18" s="33">
        <f>IF('IO model'!$D$32=0,0,'Z imported'!AF18/'IO model'!$D$32)</f>
        <v>0.00017075651111795286</v>
      </c>
      <c r="AG18" s="33">
        <f>IF('IO model'!$D$33=0,0,'Z imported'!AG18/'IO model'!$D$33)</f>
        <v>0.00032182640955434616</v>
      </c>
      <c r="AH18" s="33">
        <f>IF('IO model'!$D$34=0,0,'Z imported'!AH18/'IO model'!$D$34)</f>
        <v>0.0003733106085864014</v>
      </c>
      <c r="AI18" s="33">
        <f>IF('IO model'!$D$35=0,0,'Z imported'!AI18/'IO model'!$D$35)</f>
        <v>0.0004865410348961908</v>
      </c>
      <c r="AJ18" s="33">
        <f>IF('IO model'!$D$36=0,0,'Z imported'!AJ18/'IO model'!$D$36)</f>
        <v>0.0003639147882950758</v>
      </c>
      <c r="AK18" s="33">
        <f>IF('IO model'!$D$37=0,0,'Z imported'!AK18/'IO model'!$D$37)</f>
        <v>0.00011214060493626327</v>
      </c>
      <c r="AL18" s="33">
        <f>IF('IO model'!$D$38=0,0,'Z imported'!AL18/'IO model'!$D$38)</f>
        <v>0.000280184279465061</v>
      </c>
      <c r="AM18" s="33">
        <f>IF('IO model'!$D$39=0,0,'Z imported'!AM18/'IO model'!$D$39)</f>
        <v>0.0002214226904935557</v>
      </c>
      <c r="AN18" s="33">
        <f>IF('IO model'!$D$40=0,0,'Z imported'!AN18/'IO model'!$D$40)</f>
        <v>0.00011357157094978277</v>
      </c>
      <c r="AO18" s="33">
        <f>IF('IO model'!$D$41=0,0,'Z imported'!AO18/'IO model'!$D$41)</f>
        <v>0.00025090546671901613</v>
      </c>
      <c r="AP18" s="33">
        <f>IF('IO model'!$D$42=0,0,'Z imported'!AP18/'IO model'!$D$42)</f>
        <v>0.00018497512134513106</v>
      </c>
      <c r="AQ18" s="33">
        <f>IF('IO model'!$D$43=0,0,'Z imported'!AQ18/'IO model'!$D$43)</f>
        <v>0.00003103856847725381</v>
      </c>
      <c r="AR18" s="33">
        <f>IF('IO model'!$D$44=0,0,'Z imported'!AR18/'IO model'!$D$44)</f>
        <v>0.000025923131434513805</v>
      </c>
      <c r="AS18" s="33">
        <f>IF('IO model'!$D$45=0,0,'Z imported'!AS18/'IO model'!$D$45)</f>
        <v>0.00003950956741841917</v>
      </c>
      <c r="AT18" s="33">
        <f>IF('IO model'!$D$46=0,0,'Z imported'!AT18/'IO model'!$D$46)</f>
        <v>0.0000834178419145111</v>
      </c>
      <c r="AU18" s="33">
        <f>IF('IO model'!$D$47=0,0,'Z imported'!AU18/'IO model'!$D$47)</f>
        <v>0.00007681099785334869</v>
      </c>
      <c r="AV18" s="33">
        <f>IF('IO model'!$D$48=0,0,'Z imported'!AV18/'IO model'!$D$48)</f>
        <v>0.0011308640015057372</v>
      </c>
      <c r="AW18" s="33">
        <f>IF('IO model'!$D$49=0,0,'Z imported'!AW18/'IO model'!$D$49)</f>
        <v>0.0001461899598038693</v>
      </c>
      <c r="AX18" s="33">
        <f>IF('IO model'!$D$50=0,0,'Z imported'!AX18/'IO model'!$D$50)</f>
        <v>0.00035444254932224444</v>
      </c>
      <c r="AY18" s="33">
        <f>IF('IO model'!$D$51=0,0,'Z imported'!AY18/'IO model'!$D$51)</f>
        <v>0.00015792507346281144</v>
      </c>
      <c r="AZ18" s="33">
        <f>IF('IO model'!$D$52=0,0,'Z imported'!AZ18/'IO model'!$D$52)</f>
        <v>0.00039518267970769513</v>
      </c>
      <c r="BA18" s="33">
        <f>IF('IO model'!$D$53=0,0,'Z imported'!BA18/'IO model'!$D$53)</f>
        <v>0.00003220530322581199</v>
      </c>
      <c r="BB18" s="33">
        <f>IF('IO model'!$D$54=0,0,'Z imported'!BB18/'IO model'!$D$54)</f>
        <v>0.00009254612746314307</v>
      </c>
      <c r="BC18" s="33">
        <f>IF('IO model'!$D$55=0,0,'Z imported'!BC18/'IO model'!$D$55)</f>
        <v>0.00038552531114713514</v>
      </c>
      <c r="BD18" s="33">
        <f>IF('IO model'!$D$56=0,0,'Z imported'!BD18/'IO model'!$D$56)</f>
        <v>0.0003873722628651793</v>
      </c>
      <c r="BE18" s="33">
        <f>IF('IO model'!$D$57=0,0,'Z imported'!BE18/'IO model'!$D$57)</f>
        <v>0.00006852257283938905</v>
      </c>
      <c r="BF18" s="33">
        <f>IF('IO model'!$D$58=0,0,'Z imported'!BF18/'IO model'!$D$58)</f>
        <v>0.00015276426783179985</v>
      </c>
      <c r="BG18" s="33">
        <f>IF('IO model'!$D$59=0,0,'Z imported'!BG18/'IO model'!$D$59)</f>
        <v>0.00008723521897884259</v>
      </c>
      <c r="BH18" s="33">
        <f>IF('IO model'!$D$60=0,0,'Z imported'!BH18/'IO model'!$D$60)</f>
        <v>0.0001601666081862157</v>
      </c>
      <c r="BI18" s="33">
        <f>IF('IO model'!$D$61=0,0,'Z imported'!BI18/'IO model'!$D$61)</f>
        <v>0.00017791272093511864</v>
      </c>
      <c r="BJ18" s="33">
        <f>IF('IO model'!$D$62=0,0,'Z imported'!BJ18/'IO model'!$D$62)</f>
        <v>0.00012077121044383422</v>
      </c>
      <c r="BK18" s="33">
        <f>IF('IO model'!$D$63=0,0,'Z imported'!BK18/'IO model'!$D$63)</f>
        <v>0.0010123418215903766</v>
      </c>
      <c r="BL18" s="33">
        <f>IF('IO model'!$D$64=0,0,'Z imported'!BL18/'IO model'!$D$64)</f>
        <v>0.00021640004731099074</v>
      </c>
      <c r="BM18" s="33">
        <f>IF('IO model'!$D$65=0,0,'Z imported'!BM18/'IO model'!$D$65)</f>
        <v>0</v>
      </c>
      <c r="BN18" s="33">
        <f>IF('IO model'!$D$66=0,0,'Z imported'!BN18/'IO model'!$D$66)</f>
        <v>0</v>
      </c>
    </row>
    <row r="19" spans="1:66" x14ac:dyDescent="0.25">
      <c r="A19" s="30" t="s">
        <v>105</v>
      </c>
      <c r="B19" s="31" t="s">
        <v>296</v>
      </c>
      <c r="C19" s="33">
        <f>IF('IO model'!$D$3=0,0,'Z imported'!C19/'IO model'!$D$3)</f>
        <v>0.00012551640223555362</v>
      </c>
      <c r="D19" s="33">
        <f>IF('IO model'!$D$4=0,0,'Z imported'!D19/'IO model'!$D$4)</f>
        <v>0.00014571633992579677</v>
      </c>
      <c r="E19" s="33">
        <f>IF('IO model'!$D$5=0,0,'Z imported'!E19/'IO model'!$D$5)</f>
        <v>0.00027826984030025997</v>
      </c>
      <c r="F19" s="33">
        <f>IF('IO model'!$D$6=0,0,'Z imported'!F19/'IO model'!$D$6)</f>
        <v>0.00034338578382854957</v>
      </c>
      <c r="G19" s="33">
        <f>IF('IO model'!$D$7=0,0,'Z imported'!G19/'IO model'!$D$7)</f>
        <v>0.0001872601304419486</v>
      </c>
      <c r="H19" s="33">
        <f>IF('IO model'!$D$8=0,0,'Z imported'!H19/'IO model'!$D$8)</f>
        <v>0.00016205277386918785</v>
      </c>
      <c r="I19" s="33">
        <f>IF('IO model'!$D$9=0,0,'Z imported'!I19/'IO model'!$D$9)</f>
        <v>0.00016293749140759324</v>
      </c>
      <c r="J19" s="33">
        <f>IF('IO model'!$D$10=0,0,'Z imported'!J19/'IO model'!$D$10)</f>
        <v>0.0001905404938899268</v>
      </c>
      <c r="K19" s="33">
        <f>IF('IO model'!$D$11=0,0,'Z imported'!K19/'IO model'!$D$11)</f>
        <v>0.0012268961801305373</v>
      </c>
      <c r="L19" s="33">
        <f>IF('IO model'!$D$12=0,0,'Z imported'!L19/'IO model'!$D$12)</f>
        <v>0.00020682321923095936</v>
      </c>
      <c r="M19" s="33">
        <f>IF('IO model'!$D$13=0,0,'Z imported'!M19/'IO model'!$D$13)</f>
        <v>0.0004300505927969284</v>
      </c>
      <c r="N19" s="33">
        <f>IF('IO model'!$D$14=0,0,'Z imported'!N19/'IO model'!$D$14)</f>
        <v>0.000986050507100156</v>
      </c>
      <c r="O19" s="33">
        <f>IF('IO model'!$D$15=0,0,'Z imported'!O19/'IO model'!$D$15)</f>
        <v>0.0006611808370229878</v>
      </c>
      <c r="P19" s="33">
        <f>IF('IO model'!$D$16=0,0,'Z imported'!P19/'IO model'!$D$16)</f>
        <v>0.0007396694587997339</v>
      </c>
      <c r="Q19" s="33">
        <f>IF('IO model'!$D$17=0,0,'Z imported'!Q19/'IO model'!$D$17)</f>
        <v>0.00041639847108652987</v>
      </c>
      <c r="R19" s="33">
        <f>IF('IO model'!$D$18=0,0,'Z imported'!R19/'IO model'!$D$18)</f>
        <v>0.0013498394415821264</v>
      </c>
      <c r="S19" s="33">
        <f>IF('IO model'!$D$19=0,0,'Z imported'!S19/'IO model'!$D$19)</f>
        <v>0.06567982962865186</v>
      </c>
      <c r="T19" s="33">
        <f>IF('IO model'!$D$20=0,0,'Z imported'!T19/'IO model'!$D$20)</f>
        <v>0.01509300671224199</v>
      </c>
      <c r="U19" s="33">
        <f>IF('IO model'!$D$21=0,0,'Z imported'!U19/'IO model'!$D$21)</f>
        <v>0.00499530890962963</v>
      </c>
      <c r="V19" s="33">
        <f>IF('IO model'!$D$22=0,0,'Z imported'!V19/'IO model'!$D$22)</f>
        <v>0.0040511032871838664</v>
      </c>
      <c r="W19" s="33">
        <f>IF('IO model'!$D$23=0,0,'Z imported'!W19/'IO model'!$D$23)</f>
        <v>0.00746902532938757</v>
      </c>
      <c r="X19" s="33">
        <f>IF('IO model'!$D$24=0,0,'Z imported'!X19/'IO model'!$D$24)</f>
        <v>0.0028844484795927765</v>
      </c>
      <c r="Y19" s="33">
        <f>IF('IO model'!$D$25=0,0,'Z imported'!Y19/'IO model'!$D$25)</f>
        <v>0.007935745238694775</v>
      </c>
      <c r="Z19" s="33">
        <f>IF('IO model'!$D$26=0,0,'Z imported'!Z19/'IO model'!$D$26)</f>
        <v>0.0006016490971379341</v>
      </c>
      <c r="AA19" s="33">
        <f>IF('IO model'!$D$27=0,0,'Z imported'!AA19/'IO model'!$D$27)</f>
        <v>0.0009237045684888451</v>
      </c>
      <c r="AB19" s="33">
        <f>IF('IO model'!$D$28=0,0,'Z imported'!AB19/'IO model'!$D$28)</f>
        <v>0.0004496310067193519</v>
      </c>
      <c r="AC19" s="33">
        <f>IF('IO model'!$D$29=0,0,'Z imported'!AC19/'IO model'!$D$29)</f>
        <v>0.0012407158136965347</v>
      </c>
      <c r="AD19" s="33">
        <f>IF('IO model'!$D$30=0,0,'Z imported'!AD19/'IO model'!$D$30)</f>
        <v>0.0006454126838115386</v>
      </c>
      <c r="AE19" s="33">
        <f>IF('IO model'!$D$31=0,0,'Z imported'!AE19/'IO model'!$D$31)</f>
        <v>0.0010202326182569945</v>
      </c>
      <c r="AF19" s="33">
        <f>IF('IO model'!$D$32=0,0,'Z imported'!AF19/'IO model'!$D$32)</f>
        <v>0.0003769311700487727</v>
      </c>
      <c r="AG19" s="33">
        <f>IF('IO model'!$D$33=0,0,'Z imported'!AG19/'IO model'!$D$33)</f>
        <v>0.00029955110072402526</v>
      </c>
      <c r="AH19" s="33">
        <f>IF('IO model'!$D$34=0,0,'Z imported'!AH19/'IO model'!$D$34)</f>
        <v>0.0003398413816096896</v>
      </c>
      <c r="AI19" s="33">
        <f>IF('IO model'!$D$35=0,0,'Z imported'!AI19/'IO model'!$D$35)</f>
        <v>0.0007706202607328485</v>
      </c>
      <c r="AJ19" s="33">
        <f>IF('IO model'!$D$36=0,0,'Z imported'!AJ19/'IO model'!$D$36)</f>
        <v>0.0004152468054513767</v>
      </c>
      <c r="AK19" s="33">
        <f>IF('IO model'!$D$37=0,0,'Z imported'!AK19/'IO model'!$D$37)</f>
        <v>0.0006846114708763235</v>
      </c>
      <c r="AL19" s="33">
        <f>IF('IO model'!$D$38=0,0,'Z imported'!AL19/'IO model'!$D$38)</f>
        <v>0.00024537248117205586</v>
      </c>
      <c r="AM19" s="33">
        <f>IF('IO model'!$D$39=0,0,'Z imported'!AM19/'IO model'!$D$39)</f>
        <v>0.002666561829800963</v>
      </c>
      <c r="AN19" s="33">
        <f>IF('IO model'!$D$40=0,0,'Z imported'!AN19/'IO model'!$D$40)</f>
        <v>0.002514219624240345</v>
      </c>
      <c r="AO19" s="33">
        <f>IF('IO model'!$D$41=0,0,'Z imported'!AO19/'IO model'!$D$41)</f>
        <v>0.00831037238553019</v>
      </c>
      <c r="AP19" s="33">
        <f>IF('IO model'!$D$42=0,0,'Z imported'!AP19/'IO model'!$D$42)</f>
        <v>0.004969199238254488</v>
      </c>
      <c r="AQ19" s="33">
        <f>IF('IO model'!$D$43=0,0,'Z imported'!AQ19/'IO model'!$D$43)</f>
        <v>0.00018886789158359851</v>
      </c>
      <c r="AR19" s="33">
        <f>IF('IO model'!$D$44=0,0,'Z imported'!AR19/'IO model'!$D$44)</f>
        <v>0.00028291109786704975</v>
      </c>
      <c r="AS19" s="33">
        <f>IF('IO model'!$D$45=0,0,'Z imported'!AS19/'IO model'!$D$45)</f>
        <v>0.0003909198662456596</v>
      </c>
      <c r="AT19" s="33">
        <f>IF('IO model'!$D$46=0,0,'Z imported'!AT19/'IO model'!$D$46)</f>
        <v>0.00007251044928214181</v>
      </c>
      <c r="AU19" s="33">
        <f>IF('IO model'!$D$47=0,0,'Z imported'!AU19/'IO model'!$D$47)</f>
        <v>0.0004508126533023174</v>
      </c>
      <c r="AV19" s="33">
        <f>IF('IO model'!$D$48=0,0,'Z imported'!AV19/'IO model'!$D$48)</f>
        <v>0.0026490896221429013</v>
      </c>
      <c r="AW19" s="33">
        <f>IF('IO model'!$D$49=0,0,'Z imported'!AW19/'IO model'!$D$49)</f>
        <v>0.0024033792277505196</v>
      </c>
      <c r="AX19" s="33">
        <f>IF('IO model'!$D$50=0,0,'Z imported'!AX19/'IO model'!$D$50)</f>
        <v>0.0016384280588768454</v>
      </c>
      <c r="AY19" s="33">
        <f>IF('IO model'!$D$51=0,0,'Z imported'!AY19/'IO model'!$D$51)</f>
        <v>0.0011478756312394232</v>
      </c>
      <c r="AZ19" s="33">
        <f>IF('IO model'!$D$52=0,0,'Z imported'!AZ19/'IO model'!$D$52)</f>
        <v>0.001009670033319111</v>
      </c>
      <c r="BA19" s="33">
        <f>IF('IO model'!$D$53=0,0,'Z imported'!BA19/'IO model'!$D$53)</f>
        <v>0.0003005828301075786</v>
      </c>
      <c r="BB19" s="33">
        <f>IF('IO model'!$D$54=0,0,'Z imported'!BB19/'IO model'!$D$54)</f>
        <v>0.0002752449480584859</v>
      </c>
      <c r="BC19" s="33">
        <f>IF('IO model'!$D$55=0,0,'Z imported'!BC19/'IO model'!$D$55)</f>
        <v>0.0014858396239780442</v>
      </c>
      <c r="BD19" s="33">
        <f>IF('IO model'!$D$56=0,0,'Z imported'!BD19/'IO model'!$D$56)</f>
        <v>0.0007858819133419361</v>
      </c>
      <c r="BE19" s="33">
        <f>IF('IO model'!$D$57=0,0,'Z imported'!BE19/'IO model'!$D$57)</f>
        <v>0.00038910654190404216</v>
      </c>
      <c r="BF19" s="33">
        <f>IF('IO model'!$D$58=0,0,'Z imported'!BF19/'IO model'!$D$58)</f>
        <v>0.0011199789510612174</v>
      </c>
      <c r="BG19" s="33">
        <f>IF('IO model'!$D$59=0,0,'Z imported'!BG19/'IO model'!$D$59)</f>
        <v>0.0005132676837592367</v>
      </c>
      <c r="BH19" s="33">
        <f>IF('IO model'!$D$60=0,0,'Z imported'!BH19/'IO model'!$D$60)</f>
        <v>0.0020856572766264985</v>
      </c>
      <c r="BI19" s="33">
        <f>IF('IO model'!$D$61=0,0,'Z imported'!BI19/'IO model'!$D$61)</f>
        <v>0.0009357975025501797</v>
      </c>
      <c r="BJ19" s="33">
        <f>IF('IO model'!$D$62=0,0,'Z imported'!BJ19/'IO model'!$D$62)</f>
        <v>0.0007976650899314193</v>
      </c>
      <c r="BK19" s="33">
        <f>IF('IO model'!$D$63=0,0,'Z imported'!BK19/'IO model'!$D$63)</f>
        <v>0.01335416341196688</v>
      </c>
      <c r="BL19" s="33">
        <f>IF('IO model'!$D$64=0,0,'Z imported'!BL19/'IO model'!$D$64)</f>
        <v>0.00030497555687210705</v>
      </c>
      <c r="BM19" s="33">
        <f>IF('IO model'!$D$65=0,0,'Z imported'!BM19/'IO model'!$D$65)</f>
        <v>0</v>
      </c>
      <c r="BN19" s="33">
        <f>IF('IO model'!$D$66=0,0,'Z imported'!BN19/'IO model'!$D$66)</f>
        <v>0</v>
      </c>
    </row>
    <row r="20" spans="1:66" x14ac:dyDescent="0.25">
      <c r="A20" s="30" t="s">
        <v>107</v>
      </c>
      <c r="B20" s="31" t="s">
        <v>297</v>
      </c>
      <c r="C20" s="33">
        <f>IF('IO model'!$D$3=0,0,'Z imported'!C20/'IO model'!$D$3)</f>
        <v>0.0002435262602483968</v>
      </c>
      <c r="D20" s="33">
        <f>IF('IO model'!$D$4=0,0,'Z imported'!D20/'IO model'!$D$4)</f>
        <v>0.0001585265676115811</v>
      </c>
      <c r="E20" s="33">
        <f>IF('IO model'!$D$5=0,0,'Z imported'!E20/'IO model'!$D$5)</f>
        <v>0.00018325087044163458</v>
      </c>
      <c r="F20" s="33">
        <f>IF('IO model'!$D$6=0,0,'Z imported'!F20/'IO model'!$D$6)</f>
        <v>0.0005325234080763602</v>
      </c>
      <c r="G20" s="33">
        <f>IF('IO model'!$D$7=0,0,'Z imported'!G20/'IO model'!$D$7)</f>
        <v>0.0004681871159143885</v>
      </c>
      <c r="H20" s="33">
        <f>IF('IO model'!$D$8=0,0,'Z imported'!H20/'IO model'!$D$8)</f>
        <v>0.00017566696354383505</v>
      </c>
      <c r="I20" s="33">
        <f>IF('IO model'!$D$9=0,0,'Z imported'!I20/'IO model'!$D$9)</f>
        <v>0.00037962172477255227</v>
      </c>
      <c r="J20" s="33">
        <f>IF('IO model'!$D$10=0,0,'Z imported'!J20/'IO model'!$D$10)</f>
        <v>0.0004120157973761004</v>
      </c>
      <c r="K20" s="33">
        <f>IF('IO model'!$D$11=0,0,'Z imported'!K20/'IO model'!$D$11)</f>
        <v>0.0003795843338294941</v>
      </c>
      <c r="L20" s="33">
        <f>IF('IO model'!$D$12=0,0,'Z imported'!L20/'IO model'!$D$12)</f>
        <v>0.00023970186598259497</v>
      </c>
      <c r="M20" s="33">
        <f>IF('IO model'!$D$13=0,0,'Z imported'!M20/'IO model'!$D$13)</f>
        <v>0.000493084758102451</v>
      </c>
      <c r="N20" s="33">
        <f>IF('IO model'!$D$14=0,0,'Z imported'!N20/'IO model'!$D$14)</f>
        <v>0.0006878671113941044</v>
      </c>
      <c r="O20" s="33">
        <f>IF('IO model'!$D$15=0,0,'Z imported'!O20/'IO model'!$D$15)</f>
        <v>0.0010356350965663162</v>
      </c>
      <c r="P20" s="33">
        <f>IF('IO model'!$D$16=0,0,'Z imported'!P20/'IO model'!$D$16)</f>
        <v>0.0006444831042339492</v>
      </c>
      <c r="Q20" s="33">
        <f>IF('IO model'!$D$17=0,0,'Z imported'!Q20/'IO model'!$D$17)</f>
        <v>0.001628245166519656</v>
      </c>
      <c r="R20" s="33">
        <f>IF('IO model'!$D$18=0,0,'Z imported'!R20/'IO model'!$D$18)</f>
        <v>0.0022774640809436484</v>
      </c>
      <c r="S20" s="33">
        <f>IF('IO model'!$D$19=0,0,'Z imported'!S20/'IO model'!$D$19)</f>
        <v>0.00968385759050978</v>
      </c>
      <c r="T20" s="33">
        <f>IF('IO model'!$D$20=0,0,'Z imported'!T20/'IO model'!$D$20)</f>
        <v>0.044372219939794094</v>
      </c>
      <c r="U20" s="33">
        <f>IF('IO model'!$D$21=0,0,'Z imported'!U20/'IO model'!$D$21)</f>
        <v>0.007731504107583013</v>
      </c>
      <c r="V20" s="33">
        <f>IF('IO model'!$D$22=0,0,'Z imported'!V20/'IO model'!$D$22)</f>
        <v>0.008108790567715489</v>
      </c>
      <c r="W20" s="33">
        <f>IF('IO model'!$D$23=0,0,'Z imported'!W20/'IO model'!$D$23)</f>
        <v>0.006514831051914911</v>
      </c>
      <c r="X20" s="33">
        <f>IF('IO model'!$D$24=0,0,'Z imported'!X20/'IO model'!$D$24)</f>
        <v>0.0022154821593504204</v>
      </c>
      <c r="Y20" s="33">
        <f>IF('IO model'!$D$25=0,0,'Z imported'!Y20/'IO model'!$D$25)</f>
        <v>0.007194924302048956</v>
      </c>
      <c r="Z20" s="33">
        <f>IF('IO model'!$D$26=0,0,'Z imported'!Z20/'IO model'!$D$26)</f>
        <v>0.0019961213366753517</v>
      </c>
      <c r="AA20" s="33">
        <f>IF('IO model'!$D$27=0,0,'Z imported'!AA20/'IO model'!$D$27)</f>
        <v>0.0007326915867334356</v>
      </c>
      <c r="AB20" s="33">
        <f>IF('IO model'!$D$28=0,0,'Z imported'!AB20/'IO model'!$D$28)</f>
        <v>0.0008892855029606155</v>
      </c>
      <c r="AC20" s="33">
        <f>IF('IO model'!$D$29=0,0,'Z imported'!AC20/'IO model'!$D$29)</f>
        <v>0.005098388739287685</v>
      </c>
      <c r="AD20" s="33">
        <f>IF('IO model'!$D$30=0,0,'Z imported'!AD20/'IO model'!$D$30)</f>
        <v>0.0012514409170472393</v>
      </c>
      <c r="AE20" s="33">
        <f>IF('IO model'!$D$31=0,0,'Z imported'!AE20/'IO model'!$D$31)</f>
        <v>0.00048710844934855114</v>
      </c>
      <c r="AF20" s="33">
        <f>IF('IO model'!$D$32=0,0,'Z imported'!AF20/'IO model'!$D$32)</f>
        <v>0.000282720681156109</v>
      </c>
      <c r="AG20" s="33">
        <f>IF('IO model'!$D$33=0,0,'Z imported'!AG20/'IO model'!$D$33)</f>
        <v>0.0005211386205419272</v>
      </c>
      <c r="AH20" s="33">
        <f>IF('IO model'!$D$34=0,0,'Z imported'!AH20/'IO model'!$D$34)</f>
        <v>0.00015919337446615512</v>
      </c>
      <c r="AI20" s="33">
        <f>IF('IO model'!$D$35=0,0,'Z imported'!AI20/'IO model'!$D$35)</f>
        <v>0.0003460831548611397</v>
      </c>
      <c r="AJ20" s="33">
        <f>IF('IO model'!$D$36=0,0,'Z imported'!AJ20/'IO model'!$D$36)</f>
        <v>0.0004294361435271021</v>
      </c>
      <c r="AK20" s="33">
        <f>IF('IO model'!$D$37=0,0,'Z imported'!AK20/'IO model'!$D$37)</f>
        <v>0.00032396174759364947</v>
      </c>
      <c r="AL20" s="33">
        <f>IF('IO model'!$D$38=0,0,'Z imported'!AL20/'IO model'!$D$38)</f>
        <v>0.00040354647729949676</v>
      </c>
      <c r="AM20" s="33">
        <f>IF('IO model'!$D$39=0,0,'Z imported'!AM20/'IO model'!$D$39)</f>
        <v>0.0002277490530790859</v>
      </c>
      <c r="AN20" s="33">
        <f>IF('IO model'!$D$40=0,0,'Z imported'!AN20/'IO model'!$D$40)</f>
        <v>0.0005510538978226706</v>
      </c>
      <c r="AO20" s="33">
        <f>IF('IO model'!$D$41=0,0,'Z imported'!AO20/'IO model'!$D$41)</f>
        <v>0.002194842034099912</v>
      </c>
      <c r="AP20" s="33">
        <f>IF('IO model'!$D$42=0,0,'Z imported'!AP20/'IO model'!$D$42)</f>
        <v>0.0006207870305859401</v>
      </c>
      <c r="AQ20" s="33">
        <f>IF('IO model'!$D$43=0,0,'Z imported'!AQ20/'IO model'!$D$43)</f>
        <v>0.000014141123862223748</v>
      </c>
      <c r="AR20" s="33">
        <f>IF('IO model'!$D$44=0,0,'Z imported'!AR20/'IO model'!$D$44)</f>
        <v>0.000028914261984650023</v>
      </c>
      <c r="AS20" s="33">
        <f>IF('IO model'!$D$45=0,0,'Z imported'!AS20/'IO model'!$D$45)</f>
        <v>0.00004818239929075509</v>
      </c>
      <c r="AT20" s="33">
        <f>IF('IO model'!$D$46=0,0,'Z imported'!AT20/'IO model'!$D$46)</f>
        <v>0.0002276325418929239</v>
      </c>
      <c r="AU20" s="33">
        <f>IF('IO model'!$D$47=0,0,'Z imported'!AU20/'IO model'!$D$47)</f>
        <v>0.00020618153040313344</v>
      </c>
      <c r="AV20" s="33">
        <f>IF('IO model'!$D$48=0,0,'Z imported'!AV20/'IO model'!$D$48)</f>
        <v>0.0010418845622233888</v>
      </c>
      <c r="AW20" s="33">
        <f>IF('IO model'!$D$49=0,0,'Z imported'!AW20/'IO model'!$D$49)</f>
        <v>0.000511461252127186</v>
      </c>
      <c r="AX20" s="33">
        <f>IF('IO model'!$D$50=0,0,'Z imported'!AX20/'IO model'!$D$50)</f>
        <v>0.00024208657780506237</v>
      </c>
      <c r="AY20" s="33">
        <f>IF('IO model'!$D$51=0,0,'Z imported'!AY20/'IO model'!$D$51)</f>
        <v>0.0005131028651418192</v>
      </c>
      <c r="AZ20" s="33">
        <f>IF('IO model'!$D$52=0,0,'Z imported'!AZ20/'IO model'!$D$52)</f>
        <v>0.0006223584372044951</v>
      </c>
      <c r="BA20" s="33">
        <f>IF('IO model'!$D$53=0,0,'Z imported'!BA20/'IO model'!$D$53)</f>
        <v>0.000050240273032266704</v>
      </c>
      <c r="BB20" s="33">
        <f>IF('IO model'!$D$54=0,0,'Z imported'!BB20/'IO model'!$D$54)</f>
        <v>0.00008456801302666523</v>
      </c>
      <c r="BC20" s="33">
        <f>IF('IO model'!$D$55=0,0,'Z imported'!BC20/'IO model'!$D$55)</f>
        <v>0.000423764407049534</v>
      </c>
      <c r="BD20" s="33">
        <f>IF('IO model'!$D$56=0,0,'Z imported'!BD20/'IO model'!$D$56)</f>
        <v>0.00021376823346971533</v>
      </c>
      <c r="BE20" s="33">
        <f>IF('IO model'!$D$57=0,0,'Z imported'!BE20/'IO model'!$D$57)</f>
        <v>0.00012338299437077003</v>
      </c>
      <c r="BF20" s="33">
        <f>IF('IO model'!$D$58=0,0,'Z imported'!BF20/'IO model'!$D$58)</f>
        <v>0.0002049082298161407</v>
      </c>
      <c r="BG20" s="33">
        <f>IF('IO model'!$D$59=0,0,'Z imported'!BG20/'IO model'!$D$59)</f>
        <v>0.00013592464352517333</v>
      </c>
      <c r="BH20" s="33">
        <f>IF('IO model'!$D$60=0,0,'Z imported'!BH20/'IO model'!$D$60)</f>
        <v>0.0004944653053814233</v>
      </c>
      <c r="BI20" s="33">
        <f>IF('IO model'!$D$61=0,0,'Z imported'!BI20/'IO model'!$D$61)</f>
        <v>0.00035758115951104434</v>
      </c>
      <c r="BJ20" s="33">
        <f>IF('IO model'!$D$62=0,0,'Z imported'!BJ20/'IO model'!$D$62)</f>
        <v>0.00014550055353471455</v>
      </c>
      <c r="BK20" s="33">
        <f>IF('IO model'!$D$63=0,0,'Z imported'!BK20/'IO model'!$D$63)</f>
        <v>0.004830495235119513</v>
      </c>
      <c r="BL20" s="33">
        <f>IF('IO model'!$D$64=0,0,'Z imported'!BL20/'IO model'!$D$64)</f>
        <v>0.0010522982692769745</v>
      </c>
      <c r="BM20" s="33">
        <f>IF('IO model'!$D$65=0,0,'Z imported'!BM20/'IO model'!$D$65)</f>
        <v>0</v>
      </c>
      <c r="BN20" s="33">
        <f>IF('IO model'!$D$66=0,0,'Z imported'!BN20/'IO model'!$D$66)</f>
        <v>0</v>
      </c>
    </row>
    <row r="21" spans="1:66" x14ac:dyDescent="0.25">
      <c r="A21" s="30" t="s">
        <v>109</v>
      </c>
      <c r="B21" s="31" t="s">
        <v>298</v>
      </c>
      <c r="C21" s="33">
        <f>IF('IO model'!$D$3=0,0,'Z imported'!C21/'IO model'!$D$3)</f>
        <v>0.0011406455802602327</v>
      </c>
      <c r="D21" s="33">
        <f>IF('IO model'!$D$4=0,0,'Z imported'!D21/'IO model'!$D$4)</f>
        <v>0.0006805433458072926</v>
      </c>
      <c r="E21" s="33">
        <f>IF('IO model'!$D$5=0,0,'Z imported'!E21/'IO model'!$D$5)</f>
        <v>0.0009637638371374855</v>
      </c>
      <c r="F21" s="33">
        <f>IF('IO model'!$D$6=0,0,'Z imported'!F21/'IO model'!$D$6)</f>
        <v>0.0021209121942351587</v>
      </c>
      <c r="G21" s="33">
        <f>IF('IO model'!$D$7=0,0,'Z imported'!G21/'IO model'!$D$7)</f>
        <v>0.0006484571825480915</v>
      </c>
      <c r="H21" s="33">
        <f>IF('IO model'!$D$8=0,0,'Z imported'!H21/'IO model'!$D$8)</f>
        <v>0.0006842228230032376</v>
      </c>
      <c r="I21" s="33">
        <f>IF('IO model'!$D$9=0,0,'Z imported'!I21/'IO model'!$D$9)</f>
        <v>0.0007626379806160962</v>
      </c>
      <c r="J21" s="33">
        <f>IF('IO model'!$D$10=0,0,'Z imported'!J21/'IO model'!$D$10)</f>
        <v>0.0013050903005025335</v>
      </c>
      <c r="K21" s="33">
        <f>IF('IO model'!$D$11=0,0,'Z imported'!K21/'IO model'!$D$11)</f>
        <v>0.0012695461052799181</v>
      </c>
      <c r="L21" s="33">
        <f>IF('IO model'!$D$12=0,0,'Z imported'!L21/'IO model'!$D$12)</f>
        <v>0.0007189219183569936</v>
      </c>
      <c r="M21" s="33">
        <f>IF('IO model'!$D$13=0,0,'Z imported'!M21/'IO model'!$D$13)</f>
        <v>0.0014006191530887139</v>
      </c>
      <c r="N21" s="33">
        <f>IF('IO model'!$D$14=0,0,'Z imported'!N21/'IO model'!$D$14)</f>
        <v>0.0010070417569783801</v>
      </c>
      <c r="O21" s="33">
        <f>IF('IO model'!$D$15=0,0,'Z imported'!O21/'IO model'!$D$15)</f>
        <v>0.0025906292821549284</v>
      </c>
      <c r="P21" s="33">
        <f>IF('IO model'!$D$16=0,0,'Z imported'!P21/'IO model'!$D$16)</f>
        <v>0.0013525491883952412</v>
      </c>
      <c r="Q21" s="33">
        <f>IF('IO model'!$D$17=0,0,'Z imported'!Q21/'IO model'!$D$17)</f>
        <v>0.002049212895638147</v>
      </c>
      <c r="R21" s="33">
        <f>IF('IO model'!$D$18=0,0,'Z imported'!R21/'IO model'!$D$18)</f>
        <v>0.003151331928510506</v>
      </c>
      <c r="S21" s="33">
        <f>IF('IO model'!$D$19=0,0,'Z imported'!S21/'IO model'!$D$19)</f>
        <v>0.0035737437959914944</v>
      </c>
      <c r="T21" s="33">
        <f>IF('IO model'!$D$20=0,0,'Z imported'!T21/'IO model'!$D$20)</f>
        <v>0.004922777943733231</v>
      </c>
      <c r="U21" s="33">
        <f>IF('IO model'!$D$21=0,0,'Z imported'!U21/'IO model'!$D$21)</f>
        <v>0.024820638874118058</v>
      </c>
      <c r="V21" s="33">
        <f>IF('IO model'!$D$22=0,0,'Z imported'!V21/'IO model'!$D$22)</f>
        <v>0.008211816153762765</v>
      </c>
      <c r="W21" s="33">
        <f>IF('IO model'!$D$23=0,0,'Z imported'!W21/'IO model'!$D$23)</f>
        <v>0.008565396019939876</v>
      </c>
      <c r="X21" s="33">
        <f>IF('IO model'!$D$24=0,0,'Z imported'!X21/'IO model'!$D$24)</f>
        <v>0.0012922157750330195</v>
      </c>
      <c r="Y21" s="33">
        <f>IF('IO model'!$D$25=0,0,'Z imported'!Y21/'IO model'!$D$25)</f>
        <v>0.010721426593241459</v>
      </c>
      <c r="Z21" s="33">
        <f>IF('IO model'!$D$26=0,0,'Z imported'!Z21/'IO model'!$D$26)</f>
        <v>0.0007613923792364446</v>
      </c>
      <c r="AA21" s="33">
        <f>IF('IO model'!$D$27=0,0,'Z imported'!AA21/'IO model'!$D$27)</f>
        <v>0.0012358825013577602</v>
      </c>
      <c r="AB21" s="33">
        <f>IF('IO model'!$D$28=0,0,'Z imported'!AB21/'IO model'!$D$28)</f>
        <v>0.0016729576018945736</v>
      </c>
      <c r="AC21" s="33">
        <f>IF('IO model'!$D$29=0,0,'Z imported'!AC21/'IO model'!$D$29)</f>
        <v>0.0021418963779649505</v>
      </c>
      <c r="AD21" s="33">
        <f>IF('IO model'!$D$30=0,0,'Z imported'!AD21/'IO model'!$D$30)</f>
        <v>0.0016204239883796177</v>
      </c>
      <c r="AE21" s="33">
        <f>IF('IO model'!$D$31=0,0,'Z imported'!AE21/'IO model'!$D$31)</f>
        <v>0.0003438412583636832</v>
      </c>
      <c r="AF21" s="33">
        <f>IF('IO model'!$D$32=0,0,'Z imported'!AF21/'IO model'!$D$32)</f>
        <v>0.00023124392728199257</v>
      </c>
      <c r="AG21" s="33">
        <f>IF('IO model'!$D$33=0,0,'Z imported'!AG21/'IO model'!$D$33)</f>
        <v>0.00039305559476758166</v>
      </c>
      <c r="AH21" s="33">
        <f>IF('IO model'!$D$34=0,0,'Z imported'!AH21/'IO model'!$D$34)</f>
        <v>0.0006487880921639529</v>
      </c>
      <c r="AI21" s="33">
        <f>IF('IO model'!$D$35=0,0,'Z imported'!AI21/'IO model'!$D$35)</f>
        <v>0.0010015532616913785</v>
      </c>
      <c r="AJ21" s="33">
        <f>IF('IO model'!$D$36=0,0,'Z imported'!AJ21/'IO model'!$D$36)</f>
        <v>0.0009232807530253894</v>
      </c>
      <c r="AK21" s="33">
        <f>IF('IO model'!$D$37=0,0,'Z imported'!AK21/'IO model'!$D$37)</f>
        <v>0.00014605967679970095</v>
      </c>
      <c r="AL21" s="33">
        <f>IF('IO model'!$D$38=0,0,'Z imported'!AL21/'IO model'!$D$38)</f>
        <v>0.0001782273944968744</v>
      </c>
      <c r="AM21" s="33">
        <f>IF('IO model'!$D$39=0,0,'Z imported'!AM21/'IO model'!$D$39)</f>
        <v>0.0004057909715575776</v>
      </c>
      <c r="AN21" s="33">
        <f>IF('IO model'!$D$40=0,0,'Z imported'!AN21/'IO model'!$D$40)</f>
        <v>0.00026248939612373275</v>
      </c>
      <c r="AO21" s="33">
        <f>IF('IO model'!$D$41=0,0,'Z imported'!AO21/'IO model'!$D$41)</f>
        <v>0.0006592076498288966</v>
      </c>
      <c r="AP21" s="33">
        <f>IF('IO model'!$D$42=0,0,'Z imported'!AP21/'IO model'!$D$42)</f>
        <v>0.00036913377574955287</v>
      </c>
      <c r="AQ21" s="33">
        <f>IF('IO model'!$D$43=0,0,'Z imported'!AQ21/'IO model'!$D$43)</f>
        <v>0.00003834881047382711</v>
      </c>
      <c r="AR21" s="33">
        <f>IF('IO model'!$D$44=0,0,'Z imported'!AR21/'IO model'!$D$44)</f>
        <v>0.000053092567264917696</v>
      </c>
      <c r="AS21" s="33">
        <f>IF('IO model'!$D$45=0,0,'Z imported'!AS21/'IO model'!$D$45)</f>
        <v>0.00004047321540423427</v>
      </c>
      <c r="AT21" s="33">
        <f>IF('IO model'!$D$46=0,0,'Z imported'!AT21/'IO model'!$D$46)</f>
        <v>0.00005202352051177866</v>
      </c>
      <c r="AU21" s="33">
        <f>IF('IO model'!$D$47=0,0,'Z imported'!AU21/'IO model'!$D$47)</f>
        <v>0.0001735522890647419</v>
      </c>
      <c r="AV21" s="33">
        <f>IF('IO model'!$D$48=0,0,'Z imported'!AV21/'IO model'!$D$48)</f>
        <v>0.0010490207578550555</v>
      </c>
      <c r="AW21" s="33">
        <f>IF('IO model'!$D$49=0,0,'Z imported'!AW21/'IO model'!$D$49)</f>
        <v>0.0005151261814816006</v>
      </c>
      <c r="AX21" s="33">
        <f>IF('IO model'!$D$50=0,0,'Z imported'!AX21/'IO model'!$D$50)</f>
        <v>0.00015463424945921447</v>
      </c>
      <c r="AY21" s="33">
        <f>IF('IO model'!$D$51=0,0,'Z imported'!AY21/'IO model'!$D$51)</f>
        <v>0.0003600937472731809</v>
      </c>
      <c r="AZ21" s="33">
        <f>IF('IO model'!$D$52=0,0,'Z imported'!AZ21/'IO model'!$D$52)</f>
        <v>0.0011160653701634904</v>
      </c>
      <c r="BA21" s="33">
        <f>IF('IO model'!$D$53=0,0,'Z imported'!BA21/'IO model'!$D$53)</f>
        <v>0.00006441060645162399</v>
      </c>
      <c r="BB21" s="33">
        <f>IF('IO model'!$D$54=0,0,'Z imported'!BB21/'IO model'!$D$54)</f>
        <v>0.0001723272718279216</v>
      </c>
      <c r="BC21" s="33">
        <f>IF('IO model'!$D$55=0,0,'Z imported'!BC21/'IO model'!$D$55)</f>
        <v>0.0006295346239341635</v>
      </c>
      <c r="BD21" s="33">
        <f>IF('IO model'!$D$56=0,0,'Z imported'!BD21/'IO model'!$D$56)</f>
        <v>0.00015689794797809777</v>
      </c>
      <c r="BE21" s="33">
        <f>IF('IO model'!$D$57=0,0,'Z imported'!BE21/'IO model'!$D$57)</f>
        <v>0.00007148800103027449</v>
      </c>
      <c r="BF21" s="33">
        <f>IF('IO model'!$D$58=0,0,'Z imported'!BF21/'IO model'!$D$58)</f>
        <v>0.00019916761014813987</v>
      </c>
      <c r="BG21" s="33">
        <f>IF('IO model'!$D$59=0,0,'Z imported'!BG21/'IO model'!$D$59)</f>
        <v>0.00016100707435207103</v>
      </c>
      <c r="BH21" s="33">
        <f>IF('IO model'!$D$60=0,0,'Z imported'!BH21/'IO model'!$D$60)</f>
        <v>0.0004473318076045533</v>
      </c>
      <c r="BI21" s="33">
        <f>IF('IO model'!$D$61=0,0,'Z imported'!BI21/'IO model'!$D$61)</f>
        <v>0.00026803955982988273</v>
      </c>
      <c r="BJ21" s="33">
        <f>IF('IO model'!$D$62=0,0,'Z imported'!BJ21/'IO model'!$D$62)</f>
        <v>0.0003249320661941254</v>
      </c>
      <c r="BK21" s="33">
        <f>IF('IO model'!$D$63=0,0,'Z imported'!BK21/'IO model'!$D$63)</f>
        <v>0.0013716606780190595</v>
      </c>
      <c r="BL21" s="33">
        <f>IF('IO model'!$D$64=0,0,'Z imported'!BL21/'IO model'!$D$64)</f>
        <v>0.0002418588764064014</v>
      </c>
      <c r="BM21" s="33">
        <f>IF('IO model'!$D$65=0,0,'Z imported'!BM21/'IO model'!$D$65)</f>
        <v>0</v>
      </c>
      <c r="BN21" s="33">
        <f>IF('IO model'!$D$66=0,0,'Z imported'!BN21/'IO model'!$D$66)</f>
        <v>0</v>
      </c>
    </row>
    <row r="22" spans="1:66" x14ac:dyDescent="0.25">
      <c r="A22" s="30" t="s">
        <v>111</v>
      </c>
      <c r="B22" s="31" t="s">
        <v>299</v>
      </c>
      <c r="C22" s="33">
        <f>IF('IO model'!$D$3=0,0,'Z imported'!C22/'IO model'!$D$3)</f>
        <v>0.00019848699491213415</v>
      </c>
      <c r="D22" s="33">
        <f>IF('IO model'!$D$4=0,0,'Z imported'!D22/'IO model'!$D$4)</f>
        <v>0.00019375469374748795</v>
      </c>
      <c r="E22" s="33">
        <f>IF('IO model'!$D$5=0,0,'Z imported'!E22/'IO model'!$D$5)</f>
        <v>0.00016288966261478627</v>
      </c>
      <c r="F22" s="33">
        <f>IF('IO model'!$D$6=0,0,'Z imported'!F22/'IO model'!$D$6)</f>
        <v>0.0001156861196855541</v>
      </c>
      <c r="G22" s="33">
        <f>IF('IO model'!$D$7=0,0,'Z imported'!G22/'IO model'!$D$7)</f>
        <v>0.00005834863789409244</v>
      </c>
      <c r="H22" s="33">
        <f>IF('IO model'!$D$8=0,0,'Z imported'!H22/'IO model'!$D$8)</f>
        <v>0.000112866024076914</v>
      </c>
      <c r="I22" s="33">
        <f>IF('IO model'!$D$9=0,0,'Z imported'!I22/'IO model'!$D$9)</f>
        <v>0.00012559764962668643</v>
      </c>
      <c r="J22" s="33">
        <f>IF('IO model'!$D$10=0,0,'Z imported'!J22/'IO model'!$D$10)</f>
        <v>0.00003721143763026806</v>
      </c>
      <c r="K22" s="33">
        <f>IF('IO model'!$D$11=0,0,'Z imported'!K22/'IO model'!$D$11)</f>
        <v>0.0000341199401195051</v>
      </c>
      <c r="L22" s="33">
        <f>IF('IO model'!$D$12=0,0,'Z imported'!L22/'IO model'!$D$12)</f>
        <v>0.00004445046097148504</v>
      </c>
      <c r="M22" s="33">
        <f>IF('IO model'!$D$13=0,0,'Z imported'!M22/'IO model'!$D$13)</f>
        <v>0.0003183225347928894</v>
      </c>
      <c r="N22" s="33">
        <f>IF('IO model'!$D$14=0,0,'Z imported'!N22/'IO model'!$D$14)</f>
        <v>0.00009311503151109556</v>
      </c>
      <c r="O22" s="33">
        <f>IF('IO model'!$D$15=0,0,'Z imported'!O22/'IO model'!$D$15)</f>
        <v>0.00030018002393031795</v>
      </c>
      <c r="P22" s="33">
        <f>IF('IO model'!$D$16=0,0,'Z imported'!P22/'IO model'!$D$16)</f>
        <v>0.0006128797295955069</v>
      </c>
      <c r="Q22" s="33">
        <f>IF('IO model'!$D$17=0,0,'Z imported'!Q22/'IO model'!$D$17)</f>
        <v>0.00012754189810951916</v>
      </c>
      <c r="R22" s="33">
        <f>IF('IO model'!$D$18=0,0,'Z imported'!R22/'IO model'!$D$18)</f>
        <v>0.0003940564827091119</v>
      </c>
      <c r="S22" s="33">
        <f>IF('IO model'!$D$19=0,0,'Z imported'!S22/'IO model'!$D$19)</f>
        <v>0.00041949425282660754</v>
      </c>
      <c r="T22" s="33">
        <f>IF('IO model'!$D$20=0,0,'Z imported'!T22/'IO model'!$D$20)</f>
        <v>0.0011598426102142458</v>
      </c>
      <c r="U22" s="33">
        <f>IF('IO model'!$D$21=0,0,'Z imported'!U22/'IO model'!$D$21)</f>
        <v>0.0015290651455402242</v>
      </c>
      <c r="V22" s="33">
        <f>IF('IO model'!$D$22=0,0,'Z imported'!V22/'IO model'!$D$22)</f>
        <v>0.03333262547677152</v>
      </c>
      <c r="W22" s="33">
        <f>IF('IO model'!$D$23=0,0,'Z imported'!W22/'IO model'!$D$23)</f>
        <v>0.0013231933701819418</v>
      </c>
      <c r="X22" s="33">
        <f>IF('IO model'!$D$24=0,0,'Z imported'!X22/'IO model'!$D$24)</f>
        <v>0.00025930034623382315</v>
      </c>
      <c r="Y22" s="33">
        <f>IF('IO model'!$D$25=0,0,'Z imported'!Y22/'IO model'!$D$25)</f>
        <v>0.0026052405681168023</v>
      </c>
      <c r="Z22" s="33">
        <f>IF('IO model'!$D$26=0,0,'Z imported'!Z22/'IO model'!$D$26)</f>
        <v>0.00007214788816970179</v>
      </c>
      <c r="AA22" s="33">
        <f>IF('IO model'!$D$27=0,0,'Z imported'!AA22/'IO model'!$D$27)</f>
        <v>0.00007982632073360388</v>
      </c>
      <c r="AB22" s="33">
        <f>IF('IO model'!$D$28=0,0,'Z imported'!AB22/'IO model'!$D$28)</f>
        <v>0.00027934229338646803</v>
      </c>
      <c r="AC22" s="33">
        <f>IF('IO model'!$D$29=0,0,'Z imported'!AC22/'IO model'!$D$29)</f>
        <v>0.0001445137886151254</v>
      </c>
      <c r="AD22" s="33">
        <f>IF('IO model'!$D$30=0,0,'Z imported'!AD22/'IO model'!$D$30)</f>
        <v>0.008202304138050375</v>
      </c>
      <c r="AE22" s="33">
        <f>IF('IO model'!$D$31=0,0,'Z imported'!AE22/'IO model'!$D$31)</f>
        <v>0.000100428882393353</v>
      </c>
      <c r="AF22" s="33">
        <f>IF('IO model'!$D$32=0,0,'Z imported'!AF22/'IO model'!$D$32)</f>
        <v>0.000058257054211088406</v>
      </c>
      <c r="AG22" s="33">
        <f>IF('IO model'!$D$33=0,0,'Z imported'!AG22/'IO model'!$D$33)</f>
        <v>0.0017071693081470388</v>
      </c>
      <c r="AH22" s="33">
        <f>IF('IO model'!$D$34=0,0,'Z imported'!AH22/'IO model'!$D$34)</f>
        <v>0.00011027681196173011</v>
      </c>
      <c r="AI22" s="33">
        <f>IF('IO model'!$D$35=0,0,'Z imported'!AI22/'IO model'!$D$35)</f>
        <v>0.00044984483200415044</v>
      </c>
      <c r="AJ22" s="33">
        <f>IF('IO model'!$D$36=0,0,'Z imported'!AJ22/'IO model'!$D$36)</f>
        <v>0.00030701832483456896</v>
      </c>
      <c r="AK22" s="33">
        <f>IF('IO model'!$D$37=0,0,'Z imported'!AK22/'IO model'!$D$37)</f>
        <v>0.00008998937433156932</v>
      </c>
      <c r="AL22" s="33">
        <f>IF('IO model'!$D$38=0,0,'Z imported'!AL22/'IO model'!$D$38)</f>
        <v>0.000019264781579624223</v>
      </c>
      <c r="AM22" s="33">
        <f>IF('IO model'!$D$39=0,0,'Z imported'!AM22/'IO model'!$D$39)</f>
        <v>0.00005422596501882997</v>
      </c>
      <c r="AN22" s="33">
        <f>IF('IO model'!$D$40=0,0,'Z imported'!AN22/'IO model'!$D$40)</f>
        <v>0.0000567857854748914</v>
      </c>
      <c r="AO22" s="33">
        <f>IF('IO model'!$D$41=0,0,'Z imported'!AO22/'IO model'!$D$41)</f>
        <v>0.00008537755464744301</v>
      </c>
      <c r="AP22" s="33">
        <f>IF('IO model'!$D$42=0,0,'Z imported'!AP22/'IO model'!$D$42)</f>
        <v>0.00006985328270512551</v>
      </c>
      <c r="AQ22" s="33">
        <f>IF('IO model'!$D$43=0,0,'Z imported'!AQ22/'IO model'!$D$43)</f>
        <v>0.00001989344543329781</v>
      </c>
      <c r="AR22" s="33">
        <f>IF('IO model'!$D$44=0,0,'Z imported'!AR22/'IO model'!$D$44)</f>
        <v>0.000011216739563010783</v>
      </c>
      <c r="AS22" s="33">
        <f>IF('IO model'!$D$45=0,0,'Z imported'!AS22/'IO model'!$D$45)</f>
        <v>0.000024733631635920947</v>
      </c>
      <c r="AT22" s="33">
        <f>IF('IO model'!$D$46=0,0,'Z imported'!AT22/'IO model'!$D$46)</f>
        <v>0.00001185586155692312</v>
      </c>
      <c r="AU22" s="33">
        <f>IF('IO model'!$D$47=0,0,'Z imported'!AU22/'IO model'!$D$47)</f>
        <v>0.00004479906648622403</v>
      </c>
      <c r="AV22" s="33">
        <f>IF('IO model'!$D$48=0,0,'Z imported'!AV22/'IO model'!$D$48)</f>
        <v>0.00006935490129526409</v>
      </c>
      <c r="AW22" s="33">
        <f>IF('IO model'!$D$49=0,0,'Z imported'!AW22/'IO model'!$D$49)</f>
        <v>0.0002027927576109385</v>
      </c>
      <c r="AX22" s="33">
        <f>IF('IO model'!$D$50=0,0,'Z imported'!AX22/'IO model'!$D$50)</f>
        <v>0.000057336294743304234</v>
      </c>
      <c r="AY22" s="33">
        <f>IF('IO model'!$D$51=0,0,'Z imported'!AY22/'IO model'!$D$51)</f>
        <v>0.00020401215715818436</v>
      </c>
      <c r="AZ22" s="33">
        <f>IF('IO model'!$D$52=0,0,'Z imported'!AZ22/'IO model'!$D$52)</f>
        <v>0.0003748264290359388</v>
      </c>
      <c r="BA22" s="33">
        <f>IF('IO model'!$D$53=0,0,'Z imported'!BA22/'IO model'!$D$53)</f>
        <v>0.000028340666838714553</v>
      </c>
      <c r="BB22" s="33">
        <f>IF('IO model'!$D$54=0,0,'Z imported'!BB22/'IO model'!$D$54)</f>
        <v>0.00005824023538628831</v>
      </c>
      <c r="BC22" s="33">
        <f>IF('IO model'!$D$55=0,0,'Z imported'!BC22/'IO model'!$D$55)</f>
        <v>0.00008102300238336136</v>
      </c>
      <c r="BD22" s="33">
        <f>IF('IO model'!$D$56=0,0,'Z imported'!BD22/'IO model'!$D$56)</f>
        <v>0.00007141849805924062</v>
      </c>
      <c r="BE22" s="33">
        <f>IF('IO model'!$D$57=0,0,'Z imported'!BE22/'IO model'!$D$57)</f>
        <v>0.00001800438544466172</v>
      </c>
      <c r="BF22" s="33">
        <f>IF('IO model'!$D$58=0,0,'Z imported'!BF22/'IO model'!$D$58)</f>
        <v>0.000037393758670727626</v>
      </c>
      <c r="BG22" s="33">
        <f>IF('IO model'!$D$59=0,0,'Z imported'!BG22/'IO model'!$D$59)</f>
        <v>0.00003633263877131499</v>
      </c>
      <c r="BH22" s="33">
        <f>IF('IO model'!$D$60=0,0,'Z imported'!BH22/'IO model'!$D$60)</f>
        <v>0.00005629834456681695</v>
      </c>
      <c r="BI22" s="33">
        <f>IF('IO model'!$D$61=0,0,'Z imported'!BI22/'IO model'!$D$61)</f>
        <v>0.00011704784272047277</v>
      </c>
      <c r="BJ22" s="33">
        <f>IF('IO model'!$D$62=0,0,'Z imported'!BJ22/'IO model'!$D$62)</f>
        <v>0.00013457363449455813</v>
      </c>
      <c r="BK22" s="33">
        <f>IF('IO model'!$D$63=0,0,'Z imported'!BK22/'IO model'!$D$63)</f>
        <v>0.00010310888923605686</v>
      </c>
      <c r="BL22" s="33">
        <f>IF('IO model'!$D$64=0,0,'Z imported'!BL22/'IO model'!$D$64)</f>
        <v>0.00003765785137029496</v>
      </c>
      <c r="BM22" s="33">
        <f>IF('IO model'!$D$65=0,0,'Z imported'!BM22/'IO model'!$D$65)</f>
        <v>0</v>
      </c>
      <c r="BN22" s="33">
        <f>IF('IO model'!$D$66=0,0,'Z imported'!BN22/'IO model'!$D$66)</f>
        <v>0</v>
      </c>
    </row>
    <row r="23" spans="1:66" x14ac:dyDescent="0.25">
      <c r="A23" s="30" t="s">
        <v>113</v>
      </c>
      <c r="B23" s="31" t="s">
        <v>300</v>
      </c>
      <c r="C23" s="33">
        <f>IF('IO model'!$D$3=0,0,'Z imported'!C23/'IO model'!$D$3)</f>
        <v>0.0000787314289405211</v>
      </c>
      <c r="D23" s="33">
        <f>IF('IO model'!$D$4=0,0,'Z imported'!D23/'IO model'!$D$4)</f>
        <v>0.00023058409834411788</v>
      </c>
      <c r="E23" s="33">
        <f>IF('IO model'!$D$5=0,0,'Z imported'!E23/'IO model'!$D$5)</f>
        <v>0.00013574138551232192</v>
      </c>
      <c r="F23" s="33">
        <f>IF('IO model'!$D$6=0,0,'Z imported'!F23/'IO model'!$D$6)</f>
        <v>0.00038837483037293163</v>
      </c>
      <c r="G23" s="33">
        <f>IF('IO model'!$D$7=0,0,'Z imported'!G23/'IO model'!$D$7)</f>
        <v>0.00003892361846907301</v>
      </c>
      <c r="H23" s="33">
        <f>IF('IO model'!$D$8=0,0,'Z imported'!H23/'IO model'!$D$8)</f>
        <v>0.000043916740885958755</v>
      </c>
      <c r="I23" s="33">
        <f>IF('IO model'!$D$9=0,0,'Z imported'!I23/'IO model'!$D$9)</f>
        <v>0.00005148372124337147</v>
      </c>
      <c r="J23" s="33">
        <f>IF('IO model'!$D$10=0,0,'Z imported'!J23/'IO model'!$D$10)</f>
        <v>0.0000376597682041267</v>
      </c>
      <c r="K23" s="33">
        <f>IF('IO model'!$D$11=0,0,'Z imported'!K23/'IO model'!$D$11)</f>
        <v>0.000027011619261274867</v>
      </c>
      <c r="L23" s="33">
        <f>IF('IO model'!$D$12=0,0,'Z imported'!L23/'IO model'!$D$12)</f>
        <v>0.000022225230485742523</v>
      </c>
      <c r="M23" s="33">
        <f>IF('IO model'!$D$13=0,0,'Z imported'!M23/'IO model'!$D$13)</f>
        <v>0.00005247594261684762</v>
      </c>
      <c r="N23" s="33">
        <f>IF('IO model'!$D$14=0,0,'Z imported'!N23/'IO model'!$D$14)</f>
        <v>0.00010145770774474862</v>
      </c>
      <c r="O23" s="33">
        <f>IF('IO model'!$D$15=0,0,'Z imported'!O23/'IO model'!$D$15)</f>
        <v>0.0002331930718114141</v>
      </c>
      <c r="P23" s="33">
        <f>IF('IO model'!$D$16=0,0,'Z imported'!P23/'IO model'!$D$16)</f>
        <v>0.00005982067342276587</v>
      </c>
      <c r="Q23" s="33">
        <f>IF('IO model'!$D$17=0,0,'Z imported'!Q23/'IO model'!$D$17)</f>
        <v>0.00008542525885840069</v>
      </c>
      <c r="R23" s="33">
        <f>IF('IO model'!$D$18=0,0,'Z imported'!R23/'IO model'!$D$18)</f>
        <v>0.0001833490577282348</v>
      </c>
      <c r="S23" s="33">
        <f>IF('IO model'!$D$19=0,0,'Z imported'!S23/'IO model'!$D$19)</f>
        <v>0.00033319537427798095</v>
      </c>
      <c r="T23" s="33">
        <f>IF('IO model'!$D$20=0,0,'Z imported'!T23/'IO model'!$D$20)</f>
        <v>0.0003861816522709325</v>
      </c>
      <c r="U23" s="33">
        <f>IF('IO model'!$D$21=0,0,'Z imported'!U23/'IO model'!$D$21)</f>
        <v>0.00017298949383046314</v>
      </c>
      <c r="V23" s="33">
        <f>IF('IO model'!$D$22=0,0,'Z imported'!V23/'IO model'!$D$22)</f>
        <v>0.00043194705653304145</v>
      </c>
      <c r="W23" s="33">
        <f>IF('IO model'!$D$23=0,0,'Z imported'!W23/'IO model'!$D$23)</f>
        <v>0.09176021728073686</v>
      </c>
      <c r="X23" s="33">
        <f>IF('IO model'!$D$24=0,0,'Z imported'!X23/'IO model'!$D$24)</f>
        <v>0.0005107431062181365</v>
      </c>
      <c r="Y23" s="33">
        <f>IF('IO model'!$D$25=0,0,'Z imported'!Y23/'IO model'!$D$25)</f>
        <v>0.008266620927968444</v>
      </c>
      <c r="Z23" s="33">
        <f>IF('IO model'!$D$26=0,0,'Z imported'!Z23/'IO model'!$D$26)</f>
        <v>0.000058039761522656143</v>
      </c>
      <c r="AA23" s="33">
        <f>IF('IO model'!$D$27=0,0,'Z imported'!AA23/'IO model'!$D$27)</f>
        <v>0.000019956580183400973</v>
      </c>
      <c r="AB23" s="33">
        <f>IF('IO model'!$D$28=0,0,'Z imported'!AB23/'IO model'!$D$28)</f>
        <v>0.00008394029505701747</v>
      </c>
      <c r="AC23" s="33">
        <f>IF('IO model'!$D$29=0,0,'Z imported'!AC23/'IO model'!$D$29)</f>
        <v>0.00009487196222636335</v>
      </c>
      <c r="AD23" s="33">
        <f>IF('IO model'!$D$30=0,0,'Z imported'!AD23/'IO model'!$D$30)</f>
        <v>0.0006161204986957592</v>
      </c>
      <c r="AE23" s="33">
        <f>IF('IO model'!$D$31=0,0,'Z imported'!AE23/'IO model'!$D$31)</f>
        <v>0.00006411561418332706</v>
      </c>
      <c r="AF23" s="33">
        <f>IF('IO model'!$D$32=0,0,'Z imported'!AF23/'IO model'!$D$32)</f>
        <v>0.00004862189057433871</v>
      </c>
      <c r="AG23" s="33">
        <f>IF('IO model'!$D$33=0,0,'Z imported'!AG23/'IO model'!$D$33)</f>
        <v>0.001701082450501544</v>
      </c>
      <c r="AH23" s="33">
        <f>IF('IO model'!$D$34=0,0,'Z imported'!AH23/'IO model'!$D$34)</f>
        <v>0.0008118433005120363</v>
      </c>
      <c r="AI23" s="33">
        <f>IF('IO model'!$D$35=0,0,'Z imported'!AI23/'IO model'!$D$35)</f>
        <v>0.012674741940280091</v>
      </c>
      <c r="AJ23" s="33">
        <f>IF('IO model'!$D$36=0,0,'Z imported'!AJ23/'IO model'!$D$36)</f>
        <v>0.0004518330399015315</v>
      </c>
      <c r="AK23" s="33">
        <f>IF('IO model'!$D$37=0,0,'Z imported'!AK23/'IO model'!$D$37)</f>
        <v>0.000020074552735503927</v>
      </c>
      <c r="AL23" s="33">
        <f>IF('IO model'!$D$38=0,0,'Z imported'!AL23/'IO model'!$D$38)</f>
        <v>0.00002275722736306487</v>
      </c>
      <c r="AM23" s="33">
        <f>IF('IO model'!$D$39=0,0,'Z imported'!AM23/'IO model'!$D$39)</f>
        <v>0.00006507115802259596</v>
      </c>
      <c r="AN23" s="33">
        <f>IF('IO model'!$D$40=0,0,'Z imported'!AN23/'IO model'!$D$40)</f>
        <v>0.000019701190879043962</v>
      </c>
      <c r="AO23" s="33">
        <f>IF('IO model'!$D$41=0,0,'Z imported'!AO23/'IO model'!$D$41)</f>
        <v>0.00004965837362147195</v>
      </c>
      <c r="AP23" s="33">
        <f>IF('IO model'!$D$42=0,0,'Z imported'!AP23/'IO model'!$D$42)</f>
        <v>0.00009933681111962653</v>
      </c>
      <c r="AQ23" s="33">
        <f>IF('IO model'!$D$43=0,0,'Z imported'!AQ23/'IO model'!$D$43)</f>
        <v>0.000011025283011225293</v>
      </c>
      <c r="AR23" s="33">
        <f>IF('IO model'!$D$44=0,0,'Z imported'!AR23/'IO model'!$D$44)</f>
        <v>0.000008225609012874573</v>
      </c>
      <c r="AS23" s="33">
        <f>IF('IO model'!$D$45=0,0,'Z imported'!AS23/'IO model'!$D$45)</f>
        <v>0.00001863052772575863</v>
      </c>
      <c r="AT23" s="33">
        <f>IF('IO model'!$D$46=0,0,'Z imported'!AT23/'IO model'!$D$46)</f>
        <v>0.000003461911574621551</v>
      </c>
      <c r="AU23" s="33">
        <f>IF('IO model'!$D$47=0,0,'Z imported'!AU23/'IO model'!$D$47)</f>
        <v>0.000027867135845761404</v>
      </c>
      <c r="AV23" s="33">
        <f>IF('IO model'!$D$48=0,0,'Z imported'!AV23/'IO model'!$D$48)</f>
        <v>0.000040810118768595914</v>
      </c>
      <c r="AW23" s="33">
        <f>IF('IO model'!$D$49=0,0,'Z imported'!AW23/'IO model'!$D$49)</f>
        <v>0.0001746949658937602</v>
      </c>
      <c r="AX23" s="33">
        <f>IF('IO model'!$D$50=0,0,'Z imported'!AX23/'IO model'!$D$50)</f>
        <v>0.00002142871621719452</v>
      </c>
      <c r="AY23" s="33">
        <f>IF('IO model'!$D$51=0,0,'Z imported'!AY23/'IO model'!$D$51)</f>
        <v>0.00038405903079477484</v>
      </c>
      <c r="AZ23" s="33">
        <f>IF('IO model'!$D$52=0,0,'Z imported'!AZ23/'IO model'!$D$52)</f>
        <v>0.0005281768507631693</v>
      </c>
      <c r="BA23" s="33">
        <f>IF('IO model'!$D$53=0,0,'Z imported'!BA23/'IO model'!$D$53)</f>
        <v>0.000011164505118281493</v>
      </c>
      <c r="BB23" s="33">
        <f>IF('IO model'!$D$54=0,0,'Z imported'!BB23/'IO model'!$D$54)</f>
        <v>0.000027923400527672487</v>
      </c>
      <c r="BC23" s="33">
        <f>IF('IO model'!$D$55=0,0,'Z imported'!BC23/'IO model'!$D$55)</f>
        <v>0.0001278815666244156</v>
      </c>
      <c r="BD23" s="33">
        <f>IF('IO model'!$D$56=0,0,'Z imported'!BD23/'IO model'!$D$56)</f>
        <v>0.0010531792160197956</v>
      </c>
      <c r="BE23" s="33">
        <f>IF('IO model'!$D$57=0,0,'Z imported'!BE23/'IO model'!$D$57)</f>
        <v>0.000009319917171354305</v>
      </c>
      <c r="BF23" s="33">
        <f>IF('IO model'!$D$58=0,0,'Z imported'!BF23/'IO model'!$D$58)</f>
        <v>0.0000612332764586755</v>
      </c>
      <c r="BG23" s="33">
        <f>IF('IO model'!$D$59=0,0,'Z imported'!BG23/'IO model'!$D$59)</f>
        <v>0.000016414237820543317</v>
      </c>
      <c r="BH23" s="33">
        <f>IF('IO model'!$D$60=0,0,'Z imported'!BH23/'IO model'!$D$60)</f>
        <v>0.00004276928501975242</v>
      </c>
      <c r="BI23" s="33">
        <f>IF('IO model'!$D$61=0,0,'Z imported'!BI23/'IO model'!$D$61)</f>
        <v>0.00009012683889476402</v>
      </c>
      <c r="BJ23" s="33">
        <f>IF('IO model'!$D$62=0,0,'Z imported'!BJ23/'IO model'!$D$62)</f>
        <v>0.00008856555432547841</v>
      </c>
      <c r="BK23" s="33">
        <f>IF('IO model'!$D$63=0,0,'Z imported'!BK23/'IO model'!$D$63)</f>
        <v>0.00022496484924230592</v>
      </c>
      <c r="BL23" s="33">
        <f>IF('IO model'!$D$64=0,0,'Z imported'!BL23/'IO model'!$D$64)</f>
        <v>0.00009069707865240053</v>
      </c>
      <c r="BM23" s="33">
        <f>IF('IO model'!$D$65=0,0,'Z imported'!BM23/'IO model'!$D$65)</f>
        <v>0</v>
      </c>
      <c r="BN23" s="33">
        <f>IF('IO model'!$D$66=0,0,'Z imported'!BN23/'IO model'!$D$66)</f>
        <v>0</v>
      </c>
    </row>
    <row r="24" spans="1:66" x14ac:dyDescent="0.25">
      <c r="A24" s="30" t="s">
        <v>301</v>
      </c>
      <c r="B24" s="31" t="s">
        <v>302</v>
      </c>
      <c r="C24" s="33">
        <f>IF('IO model'!$D$3=0,0,'Z imported'!C24/'IO model'!$D$3)</f>
        <v>0.00010753561026022395</v>
      </c>
      <c r="D24" s="33">
        <f>IF('IO model'!$D$4=0,0,'Z imported'!D24/'IO model'!$D$4)</f>
        <v>0.000051240910743137316</v>
      </c>
      <c r="E24" s="33">
        <f>IF('IO model'!$D$5=0,0,'Z imported'!E24/'IO model'!$D$5)</f>
        <v>0.00025790863247341164</v>
      </c>
      <c r="F24" s="33">
        <f>IF('IO model'!$D$6=0,0,'Z imported'!F24/'IO model'!$D$6)</f>
        <v>0.00013129456440503365</v>
      </c>
      <c r="G24" s="33">
        <f>IF('IO model'!$D$7=0,0,'Z imported'!G24/'IO model'!$D$7)</f>
        <v>0.0002901980174707447</v>
      </c>
      <c r="H24" s="33">
        <f>IF('IO model'!$D$8=0,0,'Z imported'!H24/'IO model'!$D$8)</f>
        <v>0.0009547499468607434</v>
      </c>
      <c r="I24" s="33">
        <f>IF('IO model'!$D$9=0,0,'Z imported'!I24/'IO model'!$D$9)</f>
        <v>0.0006687226209853306</v>
      </c>
      <c r="J24" s="33">
        <f>IF('IO model'!$D$10=0,0,'Z imported'!J24/'IO model'!$D$10)</f>
        <v>0.0003761493514674084</v>
      </c>
      <c r="K24" s="33">
        <f>IF('IO model'!$D$11=0,0,'Z imported'!K24/'IO model'!$D$11)</f>
        <v>0.00045777586327002654</v>
      </c>
      <c r="L24" s="33">
        <f>IF('IO model'!$D$12=0,0,'Z imported'!L24/'IO model'!$D$12)</f>
        <v>0.00006190002209665479</v>
      </c>
      <c r="M24" s="33">
        <f>IF('IO model'!$D$13=0,0,'Z imported'!M24/'IO model'!$D$13)</f>
        <v>0.000694321330840332</v>
      </c>
      <c r="N24" s="33">
        <f>IF('IO model'!$D$14=0,0,'Z imported'!N24/'IO model'!$D$14)</f>
        <v>0.0016994838843715845</v>
      </c>
      <c r="O24" s="33">
        <f>IF('IO model'!$D$15=0,0,'Z imported'!O24/'IO model'!$D$15)</f>
        <v>0.0005518715846113875</v>
      </c>
      <c r="P24" s="33">
        <f>IF('IO model'!$D$16=0,0,'Z imported'!P24/'IO model'!$D$16)</f>
        <v>0.00035553796468247643</v>
      </c>
      <c r="Q24" s="33">
        <f>IF('IO model'!$D$17=0,0,'Z imported'!Q24/'IO model'!$D$17)</f>
        <v>0.0003105108827806518</v>
      </c>
      <c r="R24" s="33">
        <f>IF('IO model'!$D$18=0,0,'Z imported'!R24/'IO model'!$D$18)</f>
        <v>0.0003559787551878903</v>
      </c>
      <c r="S24" s="33">
        <f>IF('IO model'!$D$19=0,0,'Z imported'!S24/'IO model'!$D$19)</f>
        <v>0.001299334298621184</v>
      </c>
      <c r="T24" s="33">
        <f>IF('IO model'!$D$20=0,0,'Z imported'!T24/'IO model'!$D$20)</f>
        <v>0.0006249498781373694</v>
      </c>
      <c r="U24" s="33">
        <f>IF('IO model'!$D$21=0,0,'Z imported'!U24/'IO model'!$D$21)</f>
        <v>0.00048492738870397587</v>
      </c>
      <c r="V24" s="33">
        <f>IF('IO model'!$D$22=0,0,'Z imported'!V24/'IO model'!$D$22)</f>
        <v>0.0006501461600157048</v>
      </c>
      <c r="W24" s="33">
        <f>IF('IO model'!$D$23=0,0,'Z imported'!W24/'IO model'!$D$23)</f>
        <v>0.0005536818560910869</v>
      </c>
      <c r="X24" s="33">
        <f>IF('IO model'!$D$24=0,0,'Z imported'!X24/'IO model'!$D$24)</f>
        <v>0.010161644835672869</v>
      </c>
      <c r="Y24" s="33">
        <f>IF('IO model'!$D$25=0,0,'Z imported'!Y24/'IO model'!$D$25)</f>
        <v>0.0011434674555781139</v>
      </c>
      <c r="Z24" s="33">
        <f>IF('IO model'!$D$26=0,0,'Z imported'!Z24/'IO model'!$D$26)</f>
        <v>0.00012822322699466805</v>
      </c>
      <c r="AA24" s="33">
        <f>IF('IO model'!$D$27=0,0,'Z imported'!AA24/'IO model'!$D$27)</f>
        <v>0.00011118666102180542</v>
      </c>
      <c r="AB24" s="33">
        <f>IF('IO model'!$D$28=0,0,'Z imported'!AB24/'IO model'!$D$28)</f>
        <v>0.00022154733613409533</v>
      </c>
      <c r="AC24" s="33">
        <f>IF('IO model'!$D$29=0,0,'Z imported'!AC24/'IO model'!$D$29)</f>
        <v>0.0004758853489859565</v>
      </c>
      <c r="AD24" s="33">
        <f>IF('IO model'!$D$30=0,0,'Z imported'!AD24/'IO model'!$D$30)</f>
        <v>0.0001880607514996245</v>
      </c>
      <c r="AE24" s="33">
        <f>IF('IO model'!$D$31=0,0,'Z imported'!AE24/'IO model'!$D$31)</f>
        <v>0.00023098642950471193</v>
      </c>
      <c r="AF24" s="33">
        <f>IF('IO model'!$D$32=0,0,'Z imported'!AF24/'IO model'!$D$32)</f>
        <v>0.0003424943814952043</v>
      </c>
      <c r="AG24" s="33">
        <f>IF('IO model'!$D$33=0,0,'Z imported'!AG24/'IO model'!$D$33)</f>
        <v>0.0001392206801895059</v>
      </c>
      <c r="AH24" s="33">
        <f>IF('IO model'!$D$34=0,0,'Z imported'!AH24/'IO model'!$D$34)</f>
        <v>0.00017464070999386827</v>
      </c>
      <c r="AI24" s="33">
        <f>IF('IO model'!$D$35=0,0,'Z imported'!AI24/'IO model'!$D$35)</f>
        <v>0.00018854255968669034</v>
      </c>
      <c r="AJ24" s="33">
        <f>IF('IO model'!$D$36=0,0,'Z imported'!AJ24/'IO model'!$D$36)</f>
        <v>0.00010238581199739138</v>
      </c>
      <c r="AK24" s="33">
        <f>IF('IO model'!$D$37=0,0,'Z imported'!AK24/'IO model'!$D$37)</f>
        <v>0.00004430246120938797</v>
      </c>
      <c r="AL24" s="33">
        <f>IF('IO model'!$D$38=0,0,'Z imported'!AL24/'IO model'!$D$38)</f>
        <v>0.0003854082911338857</v>
      </c>
      <c r="AM24" s="33">
        <f>IF('IO model'!$D$39=0,0,'Z imported'!AM24/'IO model'!$D$39)</f>
        <v>0.0004017240241811653</v>
      </c>
      <c r="AN24" s="33">
        <f>IF('IO model'!$D$40=0,0,'Z imported'!AN24/'IO model'!$D$40)</f>
        <v>0.001030256393615887</v>
      </c>
      <c r="AO24" s="33">
        <f>IF('IO model'!$D$41=0,0,'Z imported'!AO24/'IO model'!$D$41)</f>
        <v>0.0002909806454310812</v>
      </c>
      <c r="AP24" s="33">
        <f>IF('IO model'!$D$42=0,0,'Z imported'!AP24/'IO model'!$D$42)</f>
        <v>0.0002853098365034022</v>
      </c>
      <c r="AQ24" s="33">
        <f>IF('IO model'!$D$43=0,0,'Z imported'!AQ24/'IO model'!$D$43)</f>
        <v>0.00004985345361597525</v>
      </c>
      <c r="AR24" s="33">
        <f>IF('IO model'!$D$44=0,0,'Z imported'!AR24/'IO model'!$D$44)</f>
        <v>0.000035395044843278466</v>
      </c>
      <c r="AS24" s="33">
        <f>IF('IO model'!$D$45=0,0,'Z imported'!AS24/'IO model'!$D$45)</f>
        <v>0.00007677062286993645</v>
      </c>
      <c r="AT24" s="33">
        <f>IF('IO model'!$D$46=0,0,'Z imported'!AT24/'IO model'!$D$46)</f>
        <v>0.00005837826230628944</v>
      </c>
      <c r="AU24" s="33">
        <f>IF('IO model'!$D$47=0,0,'Z imported'!AU24/'IO model'!$D$47)</f>
        <v>0.00012972328110479435</v>
      </c>
      <c r="AV24" s="33">
        <f>IF('IO model'!$D$48=0,0,'Z imported'!AV24/'IO model'!$D$48)</f>
        <v>0.00019713740432480213</v>
      </c>
      <c r="AW24" s="33">
        <f>IF('IO model'!$D$49=0,0,'Z imported'!AW24/'IO model'!$D$49)</f>
        <v>0.0004662604567560732</v>
      </c>
      <c r="AX24" s="33">
        <f>IF('IO model'!$D$50=0,0,'Z imported'!AX24/'IO model'!$D$50)</f>
        <v>0.00041641208000440155</v>
      </c>
      <c r="AY24" s="33">
        <f>IF('IO model'!$D$51=0,0,'Z imported'!AY24/'IO model'!$D$51)</f>
        <v>0.0005124883706925476</v>
      </c>
      <c r="AZ24" s="33">
        <f>IF('IO model'!$D$52=0,0,'Z imported'!AZ24/'IO model'!$D$52)</f>
        <v>0.0003650554287134958</v>
      </c>
      <c r="BA24" s="33">
        <f>IF('IO model'!$D$53=0,0,'Z imported'!BA24/'IO model'!$D$53)</f>
        <v>0.00011937432395700979</v>
      </c>
      <c r="BB24" s="33">
        <f>IF('IO model'!$D$54=0,0,'Z imported'!BB24/'IO model'!$D$54)</f>
        <v>0.00006063366971723168</v>
      </c>
      <c r="BC24" s="33">
        <f>IF('IO model'!$D$55=0,0,'Z imported'!BC24/'IO model'!$D$55)</f>
        <v>0.0003308308665982124</v>
      </c>
      <c r="BD24" s="33">
        <f>IF('IO model'!$D$56=0,0,'Z imported'!BD24/'IO model'!$D$56)</f>
        <v>0.00018982285010482372</v>
      </c>
      <c r="BE24" s="33">
        <f>IF('IO model'!$D$57=0,0,'Z imported'!BE24/'IO model'!$D$57)</f>
        <v>0.0002353279085766962</v>
      </c>
      <c r="BF24" s="33">
        <f>IF('IO model'!$D$58=0,0,'Z imported'!BF24/'IO model'!$D$58)</f>
        <v>0.005915549106217409</v>
      </c>
      <c r="BG24" s="33">
        <f>IF('IO model'!$D$59=0,0,'Z imported'!BG24/'IO model'!$D$59)</f>
        <v>0.0008422901587238353</v>
      </c>
      <c r="BH24" s="33">
        <f>IF('IO model'!$D$60=0,0,'Z imported'!BH24/'IO model'!$D$60)</f>
        <v>0.0009483434321216532</v>
      </c>
      <c r="BI24" s="33">
        <f>IF('IO model'!$D$61=0,0,'Z imported'!BI24/'IO model'!$D$61)</f>
        <v>0.0015274743475021696</v>
      </c>
      <c r="BJ24" s="33">
        <f>IF('IO model'!$D$62=0,0,'Z imported'!BJ24/'IO model'!$D$62)</f>
        <v>0.00043247595358934923</v>
      </c>
      <c r="BK24" s="33">
        <f>IF('IO model'!$D$63=0,0,'Z imported'!BK24/'IO model'!$D$63)</f>
        <v>0.0004967973754100922</v>
      </c>
      <c r="BL24" s="33">
        <f>IF('IO model'!$D$64=0,0,'Z imported'!BL24/'IO model'!$D$64)</f>
        <v>0.00023761573822383297</v>
      </c>
      <c r="BM24" s="33">
        <f>IF('IO model'!$D$65=0,0,'Z imported'!BM24/'IO model'!$D$65)</f>
        <v>0</v>
      </c>
      <c r="BN24" s="33">
        <f>IF('IO model'!$D$66=0,0,'Z imported'!BN24/'IO model'!$D$66)</f>
        <v>0</v>
      </c>
    </row>
    <row r="25" spans="1:66" x14ac:dyDescent="0.25">
      <c r="A25" s="30" t="s">
        <v>119</v>
      </c>
      <c r="B25" s="31" t="s">
        <v>303</v>
      </c>
      <c r="C25" s="33">
        <f>IF('IO model'!$D$3=0,0,'Z imported'!C25/'IO model'!$D$3)</f>
        <v>0.0008320044131497199</v>
      </c>
      <c r="D25" s="33">
        <f>IF('IO model'!$D$4=0,0,'Z imported'!D25/'IO model'!$D$4)</f>
        <v>0.0000736588091932599</v>
      </c>
      <c r="E25" s="33">
        <f>IF('IO model'!$D$5=0,0,'Z imported'!E25/'IO model'!$D$5)</f>
        <v>0.0008891060751057085</v>
      </c>
      <c r="F25" s="33">
        <f>IF('IO model'!$D$6=0,0,'Z imported'!F25/'IO model'!$D$6)</f>
        <v>0.001306518637401139</v>
      </c>
      <c r="G25" s="33">
        <f>IF('IO model'!$D$7=0,0,'Z imported'!G25/'IO model'!$D$7)</f>
        <v>0.0003349344258435167</v>
      </c>
      <c r="H25" s="33">
        <f>IF('IO model'!$D$8=0,0,'Z imported'!H25/'IO model'!$D$8)</f>
        <v>0.00022617121556268763</v>
      </c>
      <c r="I25" s="33">
        <f>IF('IO model'!$D$9=0,0,'Z imported'!I25/'IO model'!$D$9)</f>
        <v>0.0002845748547847896</v>
      </c>
      <c r="J25" s="33">
        <f>IF('IO model'!$D$10=0,0,'Z imported'!J25/'IO model'!$D$10)</f>
        <v>0.00045774551590968294</v>
      </c>
      <c r="K25" s="33">
        <f>IF('IO model'!$D$11=0,0,'Z imported'!K25/'IO model'!$D$11)</f>
        <v>0.00019903298403044638</v>
      </c>
      <c r="L25" s="33">
        <f>IF('IO model'!$D$12=0,0,'Z imported'!L25/'IO model'!$D$12)</f>
        <v>0.00021619087836131364</v>
      </c>
      <c r="M25" s="33">
        <f>IF('IO model'!$D$13=0,0,'Z imported'!M25/'IO model'!$D$13)</f>
        <v>0.0004250078595724865</v>
      </c>
      <c r="N25" s="33">
        <f>IF('IO model'!$D$14=0,0,'Z imported'!N25/'IO model'!$D$14)</f>
        <v>0.00037622778627893516</v>
      </c>
      <c r="O25" s="33">
        <f>IF('IO model'!$D$15=0,0,'Z imported'!O25/'IO model'!$D$15)</f>
        <v>0.000297096942452042</v>
      </c>
      <c r="P25" s="33">
        <f>IF('IO model'!$D$16=0,0,'Z imported'!P25/'IO model'!$D$16)</f>
        <v>0.0005602074385314363</v>
      </c>
      <c r="Q25" s="33">
        <f>IF('IO model'!$D$17=0,0,'Z imported'!Q25/'IO model'!$D$17)</f>
        <v>0.00047599748889471646</v>
      </c>
      <c r="R25" s="33">
        <f>IF('IO model'!$D$18=0,0,'Z imported'!R25/'IO model'!$D$18)</f>
        <v>0.0004073356902060085</v>
      </c>
      <c r="S25" s="33">
        <f>IF('IO model'!$D$19=0,0,'Z imported'!S25/'IO model'!$D$19)</f>
        <v>0.0003043439740531443</v>
      </c>
      <c r="T25" s="33">
        <f>IF('IO model'!$D$20=0,0,'Z imported'!T25/'IO model'!$D$20)</f>
        <v>0.0005753795182020547</v>
      </c>
      <c r="U25" s="33">
        <f>IF('IO model'!$D$21=0,0,'Z imported'!U25/'IO model'!$D$21)</f>
        <v>0.00048543357595732026</v>
      </c>
      <c r="V25" s="33">
        <f>IF('IO model'!$D$22=0,0,'Z imported'!V25/'IO model'!$D$22)</f>
        <v>0.0001565321235353744</v>
      </c>
      <c r="W25" s="33">
        <f>IF('IO model'!$D$23=0,0,'Z imported'!W25/'IO model'!$D$23)</f>
        <v>0.0017881981851254156</v>
      </c>
      <c r="X25" s="33">
        <f>IF('IO model'!$D$24=0,0,'Z imported'!X25/'IO model'!$D$24)</f>
        <v>0.0005989623700194511</v>
      </c>
      <c r="Y25" s="33">
        <f>IF('IO model'!$D$25=0,0,'Z imported'!Y25/'IO model'!$D$25)</f>
        <v>0.0023319437365353665</v>
      </c>
      <c r="Z25" s="33">
        <f>IF('IO model'!$D$26=0,0,'Z imported'!Z25/'IO model'!$D$26)</f>
        <v>0.0007456769976549255</v>
      </c>
      <c r="AA25" s="33">
        <f>IF('IO model'!$D$27=0,0,'Z imported'!AA25/'IO model'!$D$27)</f>
        <v>0.0002451808422532119</v>
      </c>
      <c r="AB25" s="33">
        <f>IF('IO model'!$D$28=0,0,'Z imported'!AB25/'IO model'!$D$28)</f>
        <v>0.00041454121124469696</v>
      </c>
      <c r="AC25" s="33">
        <f>IF('IO model'!$D$29=0,0,'Z imported'!AC25/'IO model'!$D$29)</f>
        <v>0.00022883067812095464</v>
      </c>
      <c r="AD25" s="33">
        <f>IF('IO model'!$D$30=0,0,'Z imported'!AD25/'IO model'!$D$30)</f>
        <v>0.00011864565735971075</v>
      </c>
      <c r="AE25" s="33">
        <f>IF('IO model'!$D$31=0,0,'Z imported'!AE25/'IO model'!$D$31)</f>
        <v>0.00015160789477685832</v>
      </c>
      <c r="AF25" s="33">
        <f>IF('IO model'!$D$32=0,0,'Z imported'!AF25/'IO model'!$D$32)</f>
        <v>0.00013471386195825958</v>
      </c>
      <c r="AG25" s="33">
        <f>IF('IO model'!$D$33=0,0,'Z imported'!AG25/'IO model'!$D$33)</f>
        <v>0.0006079087188925959</v>
      </c>
      <c r="AH25" s="33">
        <f>IF('IO model'!$D$34=0,0,'Z imported'!AH25/'IO model'!$D$34)</f>
        <v>0.00739841553246751</v>
      </c>
      <c r="AI25" s="33">
        <f>IF('IO model'!$D$35=0,0,'Z imported'!AI25/'IO model'!$D$35)</f>
        <v>0.013215694586361034</v>
      </c>
      <c r="AJ25" s="33">
        <f>IF('IO model'!$D$36=0,0,'Z imported'!AJ25/'IO model'!$D$36)</f>
        <v>0.00034847344980090407</v>
      </c>
      <c r="AK25" s="33">
        <f>IF('IO model'!$D$37=0,0,'Z imported'!AK25/'IO model'!$D$37)</f>
        <v>0.00007614485520363558</v>
      </c>
      <c r="AL25" s="33">
        <f>IF('IO model'!$D$38=0,0,'Z imported'!AL25/'IO model'!$D$38)</f>
        <v>0.0001783400540382757</v>
      </c>
      <c r="AM25" s="33">
        <f>IF('IO model'!$D$39=0,0,'Z imported'!AM25/'IO model'!$D$39)</f>
        <v>0.00010483686570307129</v>
      </c>
      <c r="AN25" s="33">
        <f>IF('IO model'!$D$40=0,0,'Z imported'!AN25/'IO model'!$D$40)</f>
        <v>0.000044617402873128965</v>
      </c>
      <c r="AO25" s="33">
        <f>IF('IO model'!$D$41=0,0,'Z imported'!AO25/'IO model'!$D$41)</f>
        <v>0.0004373421676838406</v>
      </c>
      <c r="AP25" s="33">
        <f>IF('IO model'!$D$42=0,0,'Z imported'!AP25/'IO model'!$D$42)</f>
        <v>0.00031579126895654795</v>
      </c>
      <c r="AQ25" s="33">
        <f>IF('IO model'!$D$43=0,0,'Z imported'!AQ25/'IO model'!$D$43)</f>
        <v>0.000011504643142148135</v>
      </c>
      <c r="AR25" s="33">
        <f>IF('IO model'!$D$44=0,0,'Z imported'!AR25/'IO model'!$D$44)</f>
        <v>0.000005982261100272419</v>
      </c>
      <c r="AS25" s="33">
        <f>IF('IO model'!$D$45=0,0,'Z imported'!AS25/'IO model'!$D$45)</f>
        <v>0.00004786118329548339</v>
      </c>
      <c r="AT25" s="33">
        <f>IF('IO model'!$D$46=0,0,'Z imported'!AT25/'IO model'!$D$46)</f>
        <v>0.000014890962115495439</v>
      </c>
      <c r="AU25" s="33">
        <f>IF('IO model'!$D$47=0,0,'Z imported'!AU25/'IO model'!$D$47)</f>
        <v>0.00009700585262765045</v>
      </c>
      <c r="AV25" s="33">
        <f>IF('IO model'!$D$48=0,0,'Z imported'!AV25/'IO model'!$D$48)</f>
        <v>0.00011886225848995423</v>
      </c>
      <c r="AW25" s="33">
        <f>IF('IO model'!$D$49=0,0,'Z imported'!AW25/'IO model'!$D$49)</f>
        <v>0.00010424687941445832</v>
      </c>
      <c r="AX25" s="33">
        <f>IF('IO model'!$D$50=0,0,'Z imported'!AX25/'IO model'!$D$50)</f>
        <v>0.000037645042003179556</v>
      </c>
      <c r="AY25" s="33">
        <f>IF('IO model'!$D$51=0,0,'Z imported'!AY25/'IO model'!$D$51)</f>
        <v>0.00011368147311525335</v>
      </c>
      <c r="AZ25" s="33">
        <f>IF('IO model'!$D$52=0,0,'Z imported'!AZ25/'IO model'!$D$52)</f>
        <v>0.0005775746857266313</v>
      </c>
      <c r="BA25" s="33">
        <f>IF('IO model'!$D$53=0,0,'Z imported'!BA25/'IO model'!$D$53)</f>
        <v>0.00013612108163443202</v>
      </c>
      <c r="BB25" s="33">
        <f>IF('IO model'!$D$54=0,0,'Z imported'!BB25/'IO model'!$D$54)</f>
        <v>0.00002951902341496806</v>
      </c>
      <c r="BC25" s="33">
        <f>IF('IO model'!$D$55=0,0,'Z imported'!BC25/'IO model'!$D$55)</f>
        <v>0.00010923217149168832</v>
      </c>
      <c r="BD25" s="33">
        <f>IF('IO model'!$D$56=0,0,'Z imported'!BD25/'IO model'!$D$56)</f>
        <v>0.0003859104807411598</v>
      </c>
      <c r="BE25" s="33">
        <f>IF('IO model'!$D$57=0,0,'Z imported'!BE25/'IO model'!$D$57)</f>
        <v>0.00002573568037089881</v>
      </c>
      <c r="BF25" s="33">
        <f>IF('IO model'!$D$58=0,0,'Z imported'!BF25/'IO model'!$D$58)</f>
        <v>0.0001280477109279074</v>
      </c>
      <c r="BG25" s="33">
        <f>IF('IO model'!$D$59=0,0,'Z imported'!BG25/'IO model'!$D$59)</f>
        <v>0.00013131390256434654</v>
      </c>
      <c r="BH25" s="33">
        <f>IF('IO model'!$D$60=0,0,'Z imported'!BH25/'IO model'!$D$60)</f>
        <v>0.00017587777411183904</v>
      </c>
      <c r="BI25" s="33">
        <f>IF('IO model'!$D$61=0,0,'Z imported'!BI25/'IO model'!$D$61)</f>
        <v>0.00015977030531344534</v>
      </c>
      <c r="BJ25" s="33">
        <f>IF('IO model'!$D$62=0,0,'Z imported'!BJ25/'IO model'!$D$62)</f>
        <v>0.00004370767616062571</v>
      </c>
      <c r="BK25" s="33">
        <f>IF('IO model'!$D$63=0,0,'Z imported'!BK25/'IO model'!$D$63)</f>
        <v>0.00007498828308076863</v>
      </c>
      <c r="BL25" s="33">
        <f>IF('IO model'!$D$64=0,0,'Z imported'!BL25/'IO model'!$D$64)</f>
        <v>0.00018510690321454847</v>
      </c>
      <c r="BM25" s="33">
        <f>IF('IO model'!$D$65=0,0,'Z imported'!BM25/'IO model'!$D$65)</f>
        <v>0</v>
      </c>
      <c r="BN25" s="33">
        <f>IF('IO model'!$D$66=0,0,'Z imported'!BN25/'IO model'!$D$66)</f>
        <v>0</v>
      </c>
    </row>
    <row r="26" spans="1:66" x14ac:dyDescent="0.25">
      <c r="A26" s="30" t="s">
        <v>304</v>
      </c>
      <c r="B26" s="31" t="s">
        <v>305</v>
      </c>
      <c r="C26" s="33">
        <f>IF('IO model'!$D$3=0,0,'Z imported'!C26/'IO model'!$D$3)</f>
        <v>0.00013005524292835523</v>
      </c>
      <c r="D26" s="33">
        <f>IF('IO model'!$D$4=0,0,'Z imported'!D26/'IO model'!$D$4)</f>
        <v>0.000025620455371568665</v>
      </c>
      <c r="E26" s="33">
        <f>IF('IO model'!$D$5=0,0,'Z imported'!E26/'IO model'!$D$5)</f>
        <v>0.00006108362348054486</v>
      </c>
      <c r="F26" s="33">
        <f>IF('IO model'!$D$6=0,0,'Z imported'!F26/'IO model'!$D$6)</f>
        <v>0.00017261103572130293</v>
      </c>
      <c r="G26" s="33">
        <f>IF('IO model'!$D$7=0,0,'Z imported'!G26/'IO model'!$D$7)</f>
        <v>0.00014841009159190975</v>
      </c>
      <c r="H26" s="33">
        <f>IF('IO model'!$D$8=0,0,'Z imported'!H26/'IO model'!$D$8)</f>
        <v>0.0001348243945198934</v>
      </c>
      <c r="I26" s="33">
        <f>IF('IO model'!$D$9=0,0,'Z imported'!I26/'IO model'!$D$9)</f>
        <v>0.00013691275319665822</v>
      </c>
      <c r="J26" s="33">
        <f>IF('IO model'!$D$10=0,0,'Z imported'!J26/'IO model'!$D$10)</f>
        <v>0.0002084737168442728</v>
      </c>
      <c r="K26" s="33">
        <f>IF('IO model'!$D$11=0,0,'Z imported'!K26/'IO model'!$D$11)</f>
        <v>0.00009382983532863898</v>
      </c>
      <c r="L26" s="33">
        <f>IF('IO model'!$D$12=0,0,'Z imported'!L26/'IO model'!$D$12)</f>
        <v>0.0002836012881817062</v>
      </c>
      <c r="M26" s="33">
        <f>IF('IO model'!$D$13=0,0,'Z imported'!M26/'IO model'!$D$13)</f>
        <v>0.00029074508747172325</v>
      </c>
      <c r="N26" s="33">
        <f>IF('IO model'!$D$14=0,0,'Z imported'!N26/'IO model'!$D$14)</f>
        <v>0.00011383716280113703</v>
      </c>
      <c r="O26" s="33">
        <f>IF('IO model'!$D$15=0,0,'Z imported'!O26/'IO model'!$D$15)</f>
        <v>0.00023823811423041104</v>
      </c>
      <c r="P26" s="33">
        <f>IF('IO model'!$D$16=0,0,'Z imported'!P26/'IO model'!$D$16)</f>
        <v>0.0002851828330468965</v>
      </c>
      <c r="Q26" s="33">
        <f>IF('IO model'!$D$17=0,0,'Z imported'!Q26/'IO model'!$D$17)</f>
        <v>0.00047440818175316477</v>
      </c>
      <c r="R26" s="33">
        <f>IF('IO model'!$D$18=0,0,'Z imported'!R26/'IO model'!$D$18)</f>
        <v>0.00016415020351585413</v>
      </c>
      <c r="S26" s="33">
        <f>IF('IO model'!$D$19=0,0,'Z imported'!S26/'IO model'!$D$19)</f>
        <v>0.00011183109113697754</v>
      </c>
      <c r="T26" s="33">
        <f>IF('IO model'!$D$20=0,0,'Z imported'!T26/'IO model'!$D$20)</f>
        <v>0.0003347945775735907</v>
      </c>
      <c r="U26" s="33">
        <f>IF('IO model'!$D$21=0,0,'Z imported'!U26/'IO model'!$D$21)</f>
        <v>0.00012705300058945502</v>
      </c>
      <c r="V26" s="33">
        <f>IF('IO model'!$D$22=0,0,'Z imported'!V26/'IO model'!$D$22)</f>
        <v>0.00011406072982731664</v>
      </c>
      <c r="W26" s="33">
        <f>IF('IO model'!$D$23=0,0,'Z imported'!W26/'IO model'!$D$23)</f>
        <v>0.00009050921141925772</v>
      </c>
      <c r="X26" s="33">
        <f>IF('IO model'!$D$24=0,0,'Z imported'!X26/'IO model'!$D$24)</f>
        <v>0.00012072109783337775</v>
      </c>
      <c r="Y26" s="33">
        <f>IF('IO model'!$D$25=0,0,'Z imported'!Y26/'IO model'!$D$25)</f>
        <v>0.00008717925636499805</v>
      </c>
      <c r="Z26" s="33">
        <f>IF('IO model'!$D$26=0,0,'Z imported'!Z26/'IO model'!$D$26)</f>
        <v>0.0013709884591059426</v>
      </c>
      <c r="AA26" s="33">
        <f>IF('IO model'!$D$27=0,0,'Z imported'!AA26/'IO model'!$D$27)</f>
        <v>0.0003549420332619173</v>
      </c>
      <c r="AB26" s="33">
        <f>IF('IO model'!$D$28=0,0,'Z imported'!AB26/'IO model'!$D$28)</f>
        <v>0.00013347882984476555</v>
      </c>
      <c r="AC26" s="33">
        <f>IF('IO model'!$D$29=0,0,'Z imported'!AC26/'IO model'!$D$29)</f>
        <v>0.00007075197182983027</v>
      </c>
      <c r="AD26" s="33">
        <f>IF('IO model'!$D$30=0,0,'Z imported'!AD26/'IO model'!$D$30)</f>
        <v>0.00006843048287551782</v>
      </c>
      <c r="AE26" s="33">
        <f>IF('IO model'!$D$31=0,0,'Z imported'!AE26/'IO model'!$D$31)</f>
        <v>0.00005015770171509834</v>
      </c>
      <c r="AF26" s="33">
        <f>IF('IO model'!$D$32=0,0,'Z imported'!AF26/'IO model'!$D$32)</f>
        <v>0.0001127671003412186</v>
      </c>
      <c r="AG26" s="33">
        <f>IF('IO model'!$D$33=0,0,'Z imported'!AG26/'IO model'!$D$33)</f>
        <v>0.00011953552354875719</v>
      </c>
      <c r="AH26" s="33">
        <f>IF('IO model'!$D$34=0,0,'Z imported'!AH26/'IO model'!$D$34)</f>
        <v>0.00009096764255208864</v>
      </c>
      <c r="AI26" s="33">
        <f>IF('IO model'!$D$35=0,0,'Z imported'!AI26/'IO model'!$D$35)</f>
        <v>0.00012843671012214143</v>
      </c>
      <c r="AJ26" s="33">
        <f>IF('IO model'!$D$36=0,0,'Z imported'!AJ26/'IO model'!$D$36)</f>
        <v>0.00007164224616665294</v>
      </c>
      <c r="AK26" s="33">
        <f>IF('IO model'!$D$37=0,0,'Z imported'!AK26/'IO model'!$D$37)</f>
        <v>0.00004361023525299128</v>
      </c>
      <c r="AL26" s="33">
        <f>IF('IO model'!$D$38=0,0,'Z imported'!AL26/'IO model'!$D$38)</f>
        <v>0.00012009507113379775</v>
      </c>
      <c r="AM26" s="33">
        <f>IF('IO model'!$D$39=0,0,'Z imported'!AM26/'IO model'!$D$39)</f>
        <v>0.00004970713460059414</v>
      </c>
      <c r="AN26" s="33">
        <f>IF('IO model'!$D$40=0,0,'Z imported'!AN26/'IO model'!$D$40)</f>
        <v>0.00005388855152209082</v>
      </c>
      <c r="AO26" s="33">
        <f>IF('IO model'!$D$41=0,0,'Z imported'!AO26/'IO model'!$D$41)</f>
        <v>0.00010163994600886072</v>
      </c>
      <c r="AP26" s="33">
        <f>IF('IO model'!$D$42=0,0,'Z imported'!AP26/'IO model'!$D$42)</f>
        <v>0.00008064879003228128</v>
      </c>
      <c r="AQ26" s="33">
        <f>IF('IO model'!$D$43=0,0,'Z imported'!AQ26/'IO model'!$D$43)</f>
        <v>0.00001701728464776078</v>
      </c>
      <c r="AR26" s="33">
        <f>IF('IO model'!$D$44=0,0,'Z imported'!AR26/'IO model'!$D$44)</f>
        <v>0.000017946783300817252</v>
      </c>
      <c r="AS26" s="33">
        <f>IF('IO model'!$D$45=0,0,'Z imported'!AS26/'IO model'!$D$45)</f>
        <v>0.000028267007583909655</v>
      </c>
      <c r="AT26" s="33">
        <f>IF('IO model'!$D$46=0,0,'Z imported'!AT26/'IO model'!$D$46)</f>
        <v>0.00002916541943003088</v>
      </c>
      <c r="AU26" s="33">
        <f>IF('IO model'!$D$47=0,0,'Z imported'!AU26/'IO model'!$D$47)</f>
        <v>0.000049737546256358955</v>
      </c>
      <c r="AV26" s="33">
        <f>IF('IO model'!$D$48=0,0,'Z imported'!AV26/'IO model'!$D$48)</f>
        <v>0.000039026069860679154</v>
      </c>
      <c r="AW26" s="33">
        <f>IF('IO model'!$D$49=0,0,'Z imported'!AW26/'IO model'!$D$49)</f>
        <v>0.00007940680267898191</v>
      </c>
      <c r="AX26" s="33">
        <f>IF('IO model'!$D$50=0,0,'Z imported'!AX26/'IO model'!$D$50)</f>
        <v>0.00004227827794203242</v>
      </c>
      <c r="AY26" s="33">
        <f>IF('IO model'!$D$51=0,0,'Z imported'!AY26/'IO model'!$D$51)</f>
        <v>0.00007558281726041167</v>
      </c>
      <c r="AZ26" s="33">
        <f>IF('IO model'!$D$52=0,0,'Z imported'!AZ26/'IO model'!$D$52)</f>
        <v>0.00004342666809974671</v>
      </c>
      <c r="BA26" s="33">
        <f>IF('IO model'!$D$53=0,0,'Z imported'!BA26/'IO model'!$D$53)</f>
        <v>0.000019323181935487195</v>
      </c>
      <c r="BB26" s="33">
        <f>IF('IO model'!$D$54=0,0,'Z imported'!BB26/'IO model'!$D$54)</f>
        <v>0.00004387962940062818</v>
      </c>
      <c r="BC26" s="33">
        <f>IF('IO model'!$D$55=0,0,'Z imported'!BC26/'IO model'!$D$55)</f>
        <v>0.000052657115668877025</v>
      </c>
      <c r="BD26" s="33">
        <f>IF('IO model'!$D$56=0,0,'Z imported'!BD26/'IO model'!$D$56)</f>
        <v>0.00004622015858804656</v>
      </c>
      <c r="BE26" s="33">
        <f>IF('IO model'!$D$57=0,0,'Z imported'!BE26/'IO model'!$D$57)</f>
        <v>0.000037385576835091705</v>
      </c>
      <c r="BF26" s="33">
        <f>IF('IO model'!$D$58=0,0,'Z imported'!BF26/'IO model'!$D$58)</f>
        <v>0.0000586021591108418</v>
      </c>
      <c r="BG26" s="33">
        <f>IF('IO model'!$D$59=0,0,'Z imported'!BG26/'IO model'!$D$59)</f>
        <v>0.00004979600237692918</v>
      </c>
      <c r="BH26" s="33">
        <f>IF('IO model'!$D$60=0,0,'Z imported'!BH26/'IO model'!$D$60)</f>
        <v>0.000053679816912546397</v>
      </c>
      <c r="BI26" s="33">
        <f>IF('IO model'!$D$61=0,0,'Z imported'!BI26/'IO model'!$D$61)</f>
        <v>0.00010417258002122074</v>
      </c>
      <c r="BJ26" s="33">
        <f>IF('IO model'!$D$62=0,0,'Z imported'!BJ26/'IO model'!$D$62)</f>
        <v>0.00004715828217330669</v>
      </c>
      <c r="BK26" s="33">
        <f>IF('IO model'!$D$63=0,0,'Z imported'!BK26/'IO model'!$D$63)</f>
        <v>0.00006873925949070458</v>
      </c>
      <c r="BL26" s="33">
        <f>IF('IO model'!$D$64=0,0,'Z imported'!BL26/'IO model'!$D$64)</f>
        <v>0.00009918335501753742</v>
      </c>
      <c r="BM26" s="33">
        <f>IF('IO model'!$D$65=0,0,'Z imported'!BM26/'IO model'!$D$65)</f>
        <v>0</v>
      </c>
      <c r="BN26" s="33">
        <f>IF('IO model'!$D$66=0,0,'Z imported'!BN26/'IO model'!$D$66)</f>
        <v>0</v>
      </c>
    </row>
    <row r="27" spans="1:66" x14ac:dyDescent="0.25">
      <c r="A27" s="30" t="s">
        <v>307</v>
      </c>
      <c r="B27" s="31" t="s">
        <v>308</v>
      </c>
      <c r="C27" s="33">
        <f>IF('IO model'!$D$3=0,0,'Z imported'!C27/'IO model'!$D$3)</f>
        <v>0.000006982831835079478</v>
      </c>
      <c r="D27" s="33">
        <f>IF('IO model'!$D$4=0,0,'Z imported'!D27/'IO model'!$D$4)</f>
        <v>0.000004803835382169124</v>
      </c>
      <c r="E27" s="33">
        <f>IF('IO model'!$D$5=0,0,'Z imported'!E27/'IO model'!$D$5)</f>
        <v>0.00002036120782684829</v>
      </c>
      <c r="F27" s="33">
        <f>IF('IO model'!$D$6=0,0,'Z imported'!F27/'IO model'!$D$6)</f>
        <v>0.000010099581877310281</v>
      </c>
      <c r="G27" s="33">
        <f>IF('IO model'!$D$7=0,0,'Z imported'!G27/'IO model'!$D$7)</f>
        <v>0.0000027960255232982504</v>
      </c>
      <c r="H27" s="33">
        <f>IF('IO model'!$D$8=0,0,'Z imported'!H27/'IO model'!$D$8)</f>
        <v>0.0000043916740885958765</v>
      </c>
      <c r="I27" s="33">
        <f>IF('IO model'!$D$9=0,0,'Z imported'!I27/'IO model'!$D$9)</f>
        <v>0.000005091796606487289</v>
      </c>
      <c r="J27" s="33">
        <f>IF('IO model'!$D$10=0,0,'Z imported'!J27/'IO model'!$D$10)</f>
        <v>0.000009414942051031675</v>
      </c>
      <c r="K27" s="33">
        <f>IF('IO model'!$D$11=0,0,'Z imported'!K27/'IO model'!$D$11)</f>
        <v>0.000008529985029876272</v>
      </c>
      <c r="L27" s="33">
        <f>IF('IO model'!$D$12=0,0,'Z imported'!L27/'IO model'!$D$12)</f>
        <v>0.00012361636460251832</v>
      </c>
      <c r="M27" s="33">
        <f>IF('IO model'!$D$13=0,0,'Z imported'!M27/'IO model'!$D$13)</f>
        <v>0.000015758541326380664</v>
      </c>
      <c r="N27" s="33">
        <f>IF('IO model'!$D$14=0,0,'Z imported'!N27/'IO model'!$D$14)</f>
        <v>0.000008342676233653068</v>
      </c>
      <c r="O27" s="33">
        <f>IF('IO model'!$D$15=0,0,'Z imported'!O27/'IO model'!$D$15)</f>
        <v>0.000020460449810376474</v>
      </c>
      <c r="P27" s="33">
        <f>IF('IO model'!$D$16=0,0,'Z imported'!P27/'IO model'!$D$16)</f>
        <v>0.000008277074310068235</v>
      </c>
      <c r="Q27" s="33">
        <f>IF('IO model'!$D$17=0,0,'Z imported'!Q27/'IO model'!$D$17)</f>
        <v>0.00004350728299997618</v>
      </c>
      <c r="R27" s="33">
        <f>IF('IO model'!$D$18=0,0,'Z imported'!R27/'IO model'!$D$18)</f>
        <v>0.000016159035628753673</v>
      </c>
      <c r="S27" s="33">
        <f>IF('IO model'!$D$19=0,0,'Z imported'!S27/'IO model'!$D$19)</f>
        <v>0.000004085154014136166</v>
      </c>
      <c r="T27" s="33">
        <f>IF('IO model'!$D$20=0,0,'Z imported'!T27/'IO model'!$D$20)</f>
        <v>0.000004152490884633683</v>
      </c>
      <c r="U27" s="33">
        <f>IF('IO model'!$D$21=0,0,'Z imported'!U27/'IO model'!$D$21)</f>
        <v>0.0000027840298933944334</v>
      </c>
      <c r="V27" s="33">
        <f>IF('IO model'!$D$22=0,0,'Z imported'!V27/'IO model'!$D$22)</f>
        <v>0.0000019473783141249184</v>
      </c>
      <c r="W27" s="33">
        <f>IF('IO model'!$D$23=0,0,'Z imported'!W27/'IO model'!$D$23)</f>
        <v>0.000004030774597618765</v>
      </c>
      <c r="X27" s="33">
        <f>IF('IO model'!$D$24=0,0,'Z imported'!X27/'IO model'!$D$24)</f>
        <v>0.000006428934204144377</v>
      </c>
      <c r="Y27" s="33">
        <f>IF('IO model'!$D$25=0,0,'Z imported'!Y27/'IO model'!$D$25)</f>
        <v>0.0000040548491332557234</v>
      </c>
      <c r="Z27" s="33">
        <f>IF('IO model'!$D$26=0,0,'Z imported'!Z27/'IO model'!$D$26)</f>
        <v>0.000017501220397600937</v>
      </c>
      <c r="AA27" s="33">
        <f>IF('IO model'!$D$27=0,0,'Z imported'!AA27/'IO model'!$D$27)</f>
        <v>0.000017105640157200835</v>
      </c>
      <c r="AB27" s="33">
        <f>IF('IO model'!$D$28=0,0,'Z imported'!AB27/'IO model'!$D$28)</f>
        <v>0.00005401076362275305</v>
      </c>
      <c r="AC27" s="33">
        <f>IF('IO model'!$D$29=0,0,'Z imported'!AC27/'IO model'!$D$29)</f>
        <v>0.000002267691404802253</v>
      </c>
      <c r="AD27" s="33">
        <f>IF('IO model'!$D$30=0,0,'Z imported'!AD27/'IO model'!$D$30)</f>
        <v>0.000004184597873682744</v>
      </c>
      <c r="AE27" s="33">
        <f>IF('IO model'!$D$31=0,0,'Z imported'!AE27/'IO model'!$D$31)</f>
        <v>0.000002383058226282953</v>
      </c>
      <c r="AF27" s="33">
        <f>IF('IO model'!$D$32=0,0,'Z imported'!AF27/'IO model'!$D$32)</f>
        <v>0.000002498005387305476</v>
      </c>
      <c r="AG27" s="33">
        <f>IF('IO model'!$D$33=0,0,'Z imported'!AG27/'IO model'!$D$33)</f>
        <v>0.000002460644580093593</v>
      </c>
      <c r="AH27" s="33">
        <f>IF('IO model'!$D$34=0,0,'Z imported'!AH27/'IO model'!$D$34)</f>
        <v>0.0000072945751103089935</v>
      </c>
      <c r="AI27" s="33">
        <f>IF('IO model'!$D$35=0,0,'Z imported'!AI27/'IO model'!$D$35)</f>
        <v>0.000009490397299665622</v>
      </c>
      <c r="AJ27" s="33">
        <f>IF('IO model'!$D$36=0,0,'Z imported'!AJ27/'IO model'!$D$36)</f>
        <v>0.000003895112412944238</v>
      </c>
      <c r="AK27" s="33">
        <f>IF('IO model'!$D$37=0,0,'Z imported'!AK27/'IO model'!$D$37)</f>
        <v>0.0000055378076511734966</v>
      </c>
      <c r="AL27" s="33">
        <f>IF('IO model'!$D$38=0,0,'Z imported'!AL27/'IO model'!$D$38)</f>
        <v>0.0000032671267006380258</v>
      </c>
      <c r="AM27" s="33">
        <f>IF('IO model'!$D$39=0,0,'Z imported'!AM27/'IO model'!$D$39)</f>
        <v>0.000006326362585530164</v>
      </c>
      <c r="AN27" s="33">
        <f>IF('IO model'!$D$40=0,0,'Z imported'!AN27/'IO model'!$D$40)</f>
        <v>0.000005794467905601164</v>
      </c>
      <c r="AO27" s="33">
        <f>IF('IO model'!$D$41=0,0,'Z imported'!AO27/'IO model'!$D$41)</f>
        <v>0.000006388796606271245</v>
      </c>
      <c r="AP27" s="33">
        <f>IF('IO model'!$D$42=0,0,'Z imported'!AP27/'IO model'!$D$42)</f>
        <v>0.000009797603288511108</v>
      </c>
      <c r="AQ27" s="33">
        <f>IF('IO model'!$D$43=0,0,'Z imported'!AQ27/'IO model'!$D$43)</f>
        <v>0.0000019174405236913557</v>
      </c>
      <c r="AR27" s="33">
        <f>IF('IO model'!$D$44=0,0,'Z imported'!AR27/'IO model'!$D$44)</f>
        <v>0.000003988174066848279</v>
      </c>
      <c r="AS27" s="33">
        <f>IF('IO model'!$D$45=0,0,'Z imported'!AS27/'IO model'!$D$45)</f>
        <v>0.000006103103910162311</v>
      </c>
      <c r="AT27" s="33">
        <f>IF('IO model'!$D$46=0,0,'Z imported'!AT27/'IO model'!$D$46)</f>
        <v>9.958923707815422e-7</v>
      </c>
      <c r="AU27" s="33">
        <f>IF('IO model'!$D$47=0,0,'Z imported'!AU27/'IO model'!$D$47)</f>
        <v>0.000006261286851421073</v>
      </c>
      <c r="AV27" s="33">
        <f>IF('IO model'!$D$48=0,0,'Z imported'!AV27/'IO model'!$D$48)</f>
        <v>0.000004906134496771094</v>
      </c>
      <c r="AW27" s="33">
        <f>IF('IO model'!$D$49=0,0,'Z imported'!AW27/'IO model'!$D$49)</f>
        <v>0.0000061082155906909166</v>
      </c>
      <c r="AX27" s="33">
        <f>IF('IO model'!$D$50=0,0,'Z imported'!AX27/'IO model'!$D$50)</f>
        <v>0.000006949853908279302</v>
      </c>
      <c r="AY27" s="33">
        <f>IF('IO model'!$D$51=0,0,'Z imported'!AY27/'IO model'!$D$51)</f>
        <v>0.000006759438941988037</v>
      </c>
      <c r="AZ27" s="33">
        <f>IF('IO model'!$D$52=0,0,'Z imported'!AZ27/'IO model'!$D$52)</f>
        <v>0.000005971166863715173</v>
      </c>
      <c r="BA27" s="33">
        <f>IF('IO model'!$D$53=0,0,'Z imported'!BA27/'IO model'!$D$53)</f>
        <v>0.0000038646363870974395</v>
      </c>
      <c r="BB27" s="33">
        <f>IF('IO model'!$D$54=0,0,'Z imported'!BB27/'IO model'!$D$54)</f>
        <v>0.000009573737323773424</v>
      </c>
      <c r="BC27" s="33">
        <f>IF('IO model'!$D$55=0,0,'Z imported'!BC27/'IO model'!$D$55)</f>
        <v>0.0000065821394586096255</v>
      </c>
      <c r="BD27" s="33">
        <f>IF('IO model'!$D$56=0,0,'Z imported'!BD27/'IO model'!$D$56)</f>
        <v>0.000004315737699486274</v>
      </c>
      <c r="BE27" s="33">
        <f>IF('IO model'!$D$57=0,0,'Z imported'!BE27/'IO model'!$D$57)</f>
        <v>0.0000018004385444661724</v>
      </c>
      <c r="BF27" s="33">
        <f>IF('IO model'!$D$58=0,0,'Z imported'!BF27/'IO model'!$D$58)</f>
        <v>0.000003747348949944986</v>
      </c>
      <c r="BG27" s="33">
        <f>IF('IO model'!$D$59=0,0,'Z imported'!BG27/'IO model'!$D$59)</f>
        <v>0.0000036885927686614202</v>
      </c>
      <c r="BH27" s="33">
        <f>IF('IO model'!$D$60=0,0,'Z imported'!BH27/'IO model'!$D$60)</f>
        <v>0.0000069827404113881505</v>
      </c>
      <c r="BI27" s="33">
        <f>IF('IO model'!$D$61=0,0,'Z imported'!BI27/'IO model'!$D$61)</f>
        <v>0.000006437631349626002</v>
      </c>
      <c r="BJ27" s="33">
        <f>IF('IO model'!$D$62=0,0,'Z imported'!BJ27/'IO model'!$D$62)</f>
        <v>0.0000046008080169079705</v>
      </c>
      <c r="BK27" s="33">
        <f>IF('IO model'!$D$63=0,0,'Z imported'!BK27/'IO model'!$D$63)</f>
        <v>0.000012498047180128105</v>
      </c>
      <c r="BL27" s="33">
        <f>IF('IO model'!$D$64=0,0,'Z imported'!BL27/'IO model'!$D$64)</f>
        <v>0.000005303922728210558</v>
      </c>
      <c r="BM27" s="33">
        <f>IF('IO model'!$D$65=0,0,'Z imported'!BM27/'IO model'!$D$65)</f>
        <v>0</v>
      </c>
      <c r="BN27" s="33">
        <f>IF('IO model'!$D$66=0,0,'Z imported'!BN27/'IO model'!$D$66)</f>
        <v>0</v>
      </c>
    </row>
    <row r="28" spans="1:66" x14ac:dyDescent="0.25">
      <c r="A28" s="30" t="s">
        <v>310</v>
      </c>
      <c r="B28" s="31" t="s">
        <v>311</v>
      </c>
      <c r="C28" s="33">
        <f>IF('IO model'!$D$3=0,0,'Z imported'!C28/'IO model'!$D$3)</f>
        <v>0.000013441951282527994</v>
      </c>
      <c r="D28" s="33">
        <f>IF('IO model'!$D$4=0,0,'Z imported'!D28/'IO model'!$D$4)</f>
        <v>0.000009607670764338246</v>
      </c>
      <c r="E28" s="33">
        <f>IF('IO model'!$D$5=0,0,'Z imported'!E28/'IO model'!$D$5)</f>
        <v>0.00003393534637808048</v>
      </c>
      <c r="F28" s="33">
        <f>IF('IO model'!$D$6=0,0,'Z imported'!F28/'IO model'!$D$6)</f>
        <v>0.000024789882789761603</v>
      </c>
      <c r="G28" s="33">
        <f>IF('IO model'!$D$7=0,0,'Z imported'!G28/'IO model'!$D$7)</f>
        <v>0.00003781992418356054</v>
      </c>
      <c r="H28" s="33">
        <f>IF('IO model'!$D$8=0,0,'Z imported'!H28/'IO model'!$D$8)</f>
        <v>0.00005050425201885256</v>
      </c>
      <c r="I28" s="33">
        <f>IF('IO model'!$D$9=0,0,'Z imported'!I28/'IO model'!$D$9)</f>
        <v>0.0000407343728518983</v>
      </c>
      <c r="J28" s="33">
        <f>IF('IO model'!$D$10=0,0,'Z imported'!J28/'IO model'!$D$10)</f>
        <v>0.00044339893754620616</v>
      </c>
      <c r="K28" s="33">
        <f>IF('IO model'!$D$11=0,0,'Z imported'!K28/'IO model'!$D$11)</f>
        <v>0.00005544490269419577</v>
      </c>
      <c r="L28" s="33">
        <f>IF('IO model'!$D$12=0,0,'Z imported'!L28/'IO model'!$D$12)</f>
        <v>0.0000773291077231207</v>
      </c>
      <c r="M28" s="33">
        <f>IF('IO model'!$D$13=0,0,'Z imported'!M28/'IO model'!$D$13)</f>
        <v>0.0001036912019275848</v>
      </c>
      <c r="N28" s="33">
        <f>IF('IO model'!$D$14=0,0,'Z imported'!N28/'IO model'!$D$14)</f>
        <v>0.00007804439057288354</v>
      </c>
      <c r="O28" s="33">
        <f>IF('IO model'!$D$15=0,0,'Z imported'!O28/'IO model'!$D$15)</f>
        <v>0.0006922919319401356</v>
      </c>
      <c r="P28" s="33">
        <f>IF('IO model'!$D$16=0,0,'Z imported'!P28/'IO model'!$D$16)</f>
        <v>0.00010948311928317528</v>
      </c>
      <c r="Q28" s="33">
        <f>IF('IO model'!$D$17=0,0,'Z imported'!Q28/'IO model'!$D$17)</f>
        <v>0.0027177152120533062</v>
      </c>
      <c r="R28" s="33">
        <f>IF('IO model'!$D$18=0,0,'Z imported'!R28/'IO model'!$D$18)</f>
        <v>0.0005615664857121327</v>
      </c>
      <c r="S28" s="33">
        <f>IF('IO model'!$D$19=0,0,'Z imported'!S28/'IO model'!$D$19)</f>
        <v>0.00003012801085425422</v>
      </c>
      <c r="T28" s="33">
        <f>IF('IO model'!$D$20=0,0,'Z imported'!T28/'IO model'!$D$20)</f>
        <v>0.0003599690535616824</v>
      </c>
      <c r="U28" s="33">
        <f>IF('IO model'!$D$21=0,0,'Z imported'!U28/'IO model'!$D$21)</f>
        <v>0.000029358860693977656</v>
      </c>
      <c r="V28" s="33">
        <f>IF('IO model'!$D$22=0,0,'Z imported'!V28/'IO model'!$D$22)</f>
        <v>0.000016228152617707654</v>
      </c>
      <c r="W28" s="33">
        <f>IF('IO model'!$D$23=0,0,'Z imported'!W28/'IO model'!$D$23)</f>
        <v>0.000024917515694370543</v>
      </c>
      <c r="X28" s="33">
        <f>IF('IO model'!$D$24=0,0,'Z imported'!X28/'IO model'!$D$24)</f>
        <v>0.00006964678721156409</v>
      </c>
      <c r="Y28" s="33">
        <f>IF('IO model'!$D$25=0,0,'Z imported'!Y28/'IO model'!$D$25)</f>
        <v>0.000025951034452836627</v>
      </c>
      <c r="Z28" s="33">
        <f>IF('IO model'!$D$26=0,0,'Z imported'!Z28/'IO model'!$D$26)</f>
        <v>0.0001232228783096392</v>
      </c>
      <c r="AA28" s="33">
        <f>IF('IO model'!$D$27=0,0,'Z imported'!AA28/'IO model'!$D$27)</f>
        <v>0.00015395076141480745</v>
      </c>
      <c r="AB28" s="33">
        <f>IF('IO model'!$D$28=0,0,'Z imported'!AB28/'IO model'!$D$28)</f>
        <v>0.004404801384877262</v>
      </c>
      <c r="AC28" s="33">
        <f>IF('IO model'!$D$29=0,0,'Z imported'!AC28/'IO model'!$D$29)</f>
        <v>0.00003739629280282988</v>
      </c>
      <c r="AD28" s="33">
        <f>IF('IO model'!$D$30=0,0,'Z imported'!AD28/'IO model'!$D$30)</f>
        <v>0.000024615281609898494</v>
      </c>
      <c r="AE28" s="33">
        <f>IF('IO model'!$D$31=0,0,'Z imported'!AE28/'IO model'!$D$31)</f>
        <v>0.000038582847473152565</v>
      </c>
      <c r="AF28" s="33">
        <f>IF('IO model'!$D$32=0,0,'Z imported'!AF28/'IO model'!$D$32)</f>
        <v>0.000034258359597332234</v>
      </c>
      <c r="AG28" s="33">
        <f>IF('IO model'!$D$33=0,0,'Z imported'!AG28/'IO model'!$D$33)</f>
        <v>0.000016835989232219316</v>
      </c>
      <c r="AH28" s="33">
        <f>IF('IO model'!$D$34=0,0,'Z imported'!AH28/'IO model'!$D$34)</f>
        <v>0.000015447335527713167</v>
      </c>
      <c r="AI28" s="33">
        <f>IF('IO model'!$D$35=0,0,'Z imported'!AI28/'IO model'!$D$35)</f>
        <v>0.000055044304338060616</v>
      </c>
      <c r="AJ28" s="33">
        <f>IF('IO model'!$D$36=0,0,'Z imported'!AJ28/'IO model'!$D$36)</f>
        <v>0.00001891911743430058</v>
      </c>
      <c r="AK28" s="33">
        <f>IF('IO model'!$D$37=0,0,'Z imported'!AK28/'IO model'!$D$37)</f>
        <v>0.000010383389345950308</v>
      </c>
      <c r="AL28" s="33">
        <f>IF('IO model'!$D$38=0,0,'Z imported'!AL28/'IO model'!$D$38)</f>
        <v>0.000027038289936314697</v>
      </c>
      <c r="AM28" s="33">
        <f>IF('IO model'!$D$39=0,0,'Z imported'!AM28/'IO model'!$D$39)</f>
        <v>0.00004428453809871113</v>
      </c>
      <c r="AN28" s="33">
        <f>IF('IO model'!$D$40=0,0,'Z imported'!AN28/'IO model'!$D$40)</f>
        <v>0.00002781344594688558</v>
      </c>
      <c r="AO28" s="33">
        <f>IF('IO model'!$D$41=0,0,'Z imported'!AO28/'IO model'!$D$41)</f>
        <v>0.00003600958087171064</v>
      </c>
      <c r="AP28" s="33">
        <f>IF('IO model'!$D$42=0,0,'Z imported'!AP28/'IO model'!$D$42)</f>
        <v>0.00004771795675700783</v>
      </c>
      <c r="AQ28" s="33">
        <f>IF('IO model'!$D$43=0,0,'Z imported'!AQ28/'IO model'!$D$43)</f>
        <v>0.000003834881047382711</v>
      </c>
      <c r="AR28" s="33">
        <f>IF('IO model'!$D$44=0,0,'Z imported'!AR28/'IO model'!$D$44)</f>
        <v>0.000004486695825204313</v>
      </c>
      <c r="AS28" s="33">
        <f>IF('IO model'!$D$45=0,0,'Z imported'!AS28/'IO model'!$D$45)</f>
        <v>0.000013491071801411427</v>
      </c>
      <c r="AT28" s="33">
        <f>IF('IO model'!$D$46=0,0,'Z imported'!AT28/'IO model'!$D$46)</f>
        <v>0.000011239356755963117</v>
      </c>
      <c r="AU28" s="33">
        <f>IF('IO model'!$D$47=0,0,'Z imported'!AU28/'IO model'!$D$47)</f>
        <v>0.000025838831654455987</v>
      </c>
      <c r="AV28" s="33">
        <f>IF('IO model'!$D$48=0,0,'Z imported'!AV28/'IO model'!$D$48)</f>
        <v>0.000021185580781511545</v>
      </c>
      <c r="AW28" s="33">
        <f>IF('IO model'!$D$49=0,0,'Z imported'!AW28/'IO model'!$D$49)</f>
        <v>0.00001710300365393457</v>
      </c>
      <c r="AX28" s="33">
        <f>IF('IO model'!$D$50=0,0,'Z imported'!AX28/'IO model'!$D$50)</f>
        <v>0.0000341701150490399</v>
      </c>
      <c r="AY28" s="33">
        <f>IF('IO model'!$D$51=0,0,'Z imported'!AY28/'IO model'!$D$51)</f>
        <v>0.00003994213920265658</v>
      </c>
      <c r="AZ28" s="33">
        <f>IF('IO model'!$D$52=0,0,'Z imported'!AZ28/'IO model'!$D$52)</f>
        <v>0.000019270583969262602</v>
      </c>
      <c r="BA28" s="33">
        <f>IF('IO model'!$D$53=0,0,'Z imported'!BA28/'IO model'!$D$53)</f>
        <v>0.0000060116566021515735</v>
      </c>
      <c r="BB28" s="33">
        <f>IF('IO model'!$D$54=0,0,'Z imported'!BB28/'IO model'!$D$54)</f>
        <v>0.000019945286091194635</v>
      </c>
      <c r="BC28" s="33">
        <f>IF('IO model'!$D$55=0,0,'Z imported'!BC28/'IO model'!$D$55)</f>
        <v>0.000046545129028739505</v>
      </c>
      <c r="BD28" s="33">
        <f>IF('IO model'!$D$56=0,0,'Z imported'!BD28/'IO model'!$D$56)</f>
        <v>0.0000229012532763062</v>
      </c>
      <c r="BE28" s="33">
        <f>IF('IO model'!$D$57=0,0,'Z imported'!BE28/'IO model'!$D$57)</f>
        <v>0.000005401315633398517</v>
      </c>
      <c r="BF28" s="33">
        <f>IF('IO model'!$D$58=0,0,'Z imported'!BF28/'IO model'!$D$58)</f>
        <v>0.0000338058713782271</v>
      </c>
      <c r="BG28" s="33">
        <f>IF('IO model'!$D$59=0,0,'Z imported'!BG28/'IO model'!$D$59)</f>
        <v>0.000037254786963480336</v>
      </c>
      <c r="BH28" s="33">
        <f>IF('IO model'!$D$60=0,0,'Z imported'!BH28/'IO model'!$D$60)</f>
        <v>0.000051061289258275845</v>
      </c>
      <c r="BI28" s="33">
        <f>IF('IO model'!$D$61=0,0,'Z imported'!BI28/'IO model'!$D$61)</f>
        <v>0.000049160093942598557</v>
      </c>
      <c r="BJ28" s="33">
        <f>IF('IO model'!$D$62=0,0,'Z imported'!BJ28/'IO model'!$D$62)</f>
        <v>0.000045432979166966206</v>
      </c>
      <c r="BK28" s="33">
        <f>IF('IO model'!$D$63=0,0,'Z imported'!BK28/'IO model'!$D$63)</f>
        <v>0.000009373535385096079</v>
      </c>
      <c r="BL28" s="33">
        <f>IF('IO model'!$D$64=0,0,'Z imported'!BL28/'IO model'!$D$64)</f>
        <v>0.000022806867731305404</v>
      </c>
      <c r="BM28" s="33">
        <f>IF('IO model'!$D$65=0,0,'Z imported'!BM28/'IO model'!$D$65)</f>
        <v>0</v>
      </c>
      <c r="BN28" s="33">
        <f>IF('IO model'!$D$66=0,0,'Z imported'!BN28/'IO model'!$D$66)</f>
        <v>0</v>
      </c>
    </row>
    <row r="29" spans="1:66" x14ac:dyDescent="0.25">
      <c r="A29" s="30" t="s">
        <v>312</v>
      </c>
      <c r="B29" s="31" t="s">
        <v>313</v>
      </c>
      <c r="C29" s="33">
        <f>IF('IO model'!$D$3=0,0,'Z imported'!C29/'IO model'!$D$3)</f>
        <v>0.00004224613260223083</v>
      </c>
      <c r="D29" s="33">
        <f>IF('IO model'!$D$4=0,0,'Z imported'!D29/'IO model'!$D$4)</f>
        <v>0.00004323451843952211</v>
      </c>
      <c r="E29" s="33">
        <f>IF('IO model'!$D$5=0,0,'Z imported'!E29/'IO model'!$D$5)</f>
        <v>0.00007465776203177704</v>
      </c>
      <c r="F29" s="33">
        <f>IF('IO model'!$D$6=0,0,'Z imported'!F29/'IO model'!$D$6)</f>
        <v>0.00006243377887791808</v>
      </c>
      <c r="G29" s="33">
        <f>IF('IO model'!$D$7=0,0,'Z imported'!G29/'IO model'!$D$7)</f>
        <v>0.000053198064561700923</v>
      </c>
      <c r="H29" s="33">
        <f>IF('IO model'!$D$8=0,0,'Z imported'!H29/'IO model'!$D$8)</f>
        <v>0.00005313925647201011</v>
      </c>
      <c r="I29" s="33">
        <f>IF('IO model'!$D$9=0,0,'Z imported'!I29/'IO model'!$D$9)</f>
        <v>0.00006110155927784746</v>
      </c>
      <c r="J29" s="33">
        <f>IF('IO model'!$D$10=0,0,'Z imported'!J29/'IO model'!$D$10)</f>
        <v>0.00005290300771532083</v>
      </c>
      <c r="K29" s="33">
        <f>IF('IO model'!$D$11=0,0,'Z imported'!K29/'IO model'!$D$11)</f>
        <v>0.000045493253492673446</v>
      </c>
      <c r="L29" s="33">
        <f>IF('IO model'!$D$12=0,0,'Z imported'!L29/'IO model'!$D$12)</f>
        <v>0.00019819027846377008</v>
      </c>
      <c r="M29" s="33">
        <f>IF('IO model'!$D$13=0,0,'Z imported'!M29/'IO model'!$D$13)</f>
        <v>0.00006571311733100738</v>
      </c>
      <c r="N29" s="33">
        <f>IF('IO model'!$D$14=0,0,'Z imported'!N29/'IO model'!$D$14)</f>
        <v>0.0001606637971448672</v>
      </c>
      <c r="O29" s="33">
        <f>IF('IO model'!$D$15=0,0,'Z imported'!O29/'IO model'!$D$15)</f>
        <v>0.00007959955816639617</v>
      </c>
      <c r="P29" s="33">
        <f>IF('IO model'!$D$16=0,0,'Z imported'!P29/'IO model'!$D$16)</f>
        <v>0.00009970112237127647</v>
      </c>
      <c r="Q29" s="33">
        <f>IF('IO model'!$D$17=0,0,'Z imported'!Q29/'IO model'!$D$17)</f>
        <v>0.00011522476776249397</v>
      </c>
      <c r="R29" s="33">
        <f>IF('IO model'!$D$18=0,0,'Z imported'!R29/'IO model'!$D$18)</f>
        <v>0.00009023461479818883</v>
      </c>
      <c r="S29" s="33">
        <f>IF('IO model'!$D$19=0,0,'Z imported'!S29/'IO model'!$D$19)</f>
        <v>0.00009472450870278237</v>
      </c>
      <c r="T29" s="33">
        <f>IF('IO model'!$D$20=0,0,'Z imported'!T29/'IO model'!$D$20)</f>
        <v>0.00007526389728398552</v>
      </c>
      <c r="U29" s="33">
        <f>IF('IO model'!$D$21=0,0,'Z imported'!U29/'IO model'!$D$21)</f>
        <v>0.00010262946561558569</v>
      </c>
      <c r="V29" s="33">
        <f>IF('IO model'!$D$22=0,0,'Z imported'!V29/'IO model'!$D$22)</f>
        <v>0.000053228340586081106</v>
      </c>
      <c r="W29" s="33">
        <f>IF('IO model'!$D$23=0,0,'Z imported'!W29/'IO model'!$D$23)</f>
        <v>0.0000699889043768349</v>
      </c>
      <c r="X29" s="33">
        <f>IF('IO model'!$D$24=0,0,'Z imported'!X29/'IO model'!$D$24)</f>
        <v>0.00007857586249509794</v>
      </c>
      <c r="Y29" s="33">
        <f>IF('IO model'!$D$25=0,0,'Z imported'!Y29/'IO model'!$D$25)</f>
        <v>0.00010704801711795111</v>
      </c>
      <c r="Z29" s="33">
        <f>IF('IO model'!$D$26=0,0,'Z imported'!Z29/'IO model'!$D$26)</f>
        <v>0.00009491733307474385</v>
      </c>
      <c r="AA29" s="33">
        <f>IF('IO model'!$D$27=0,0,'Z imported'!AA29/'IO model'!$D$27)</f>
        <v>0.000055593330510902705</v>
      </c>
      <c r="AB29" s="33">
        <f>IF('IO model'!$D$28=0,0,'Z imported'!AB29/'IO model'!$D$28)</f>
        <v>0.00008256422464624668</v>
      </c>
      <c r="AC29" s="33">
        <f>IF('IO model'!$D$29=0,0,'Z imported'!AC29/'IO model'!$D$29)</f>
        <v>0.00036711862306107744</v>
      </c>
      <c r="AD29" s="33">
        <f>IF('IO model'!$D$30=0,0,'Z imported'!AD29/'IO model'!$D$30)</f>
        <v>0.00003470754706995687</v>
      </c>
      <c r="AE29" s="33">
        <f>IF('IO model'!$D$31=0,0,'Z imported'!AE29/'IO model'!$D$31)</f>
        <v>0.00004147656103363902</v>
      </c>
      <c r="AF29" s="33">
        <f>IF('IO model'!$D$32=0,0,'Z imported'!AF29/'IO model'!$D$32)</f>
        <v>0.000028459418519658816</v>
      </c>
      <c r="AG29" s="33">
        <f>IF('IO model'!$D$33=0,0,'Z imported'!AG29/'IO model'!$D$33)</f>
        <v>0.0000396293285004547</v>
      </c>
      <c r="AH29" s="33">
        <f>IF('IO model'!$D$34=0,0,'Z imported'!AH29/'IO model'!$D$34)</f>
        <v>0.0001767861732616062</v>
      </c>
      <c r="AI29" s="33">
        <f>IF('IO model'!$D$35=0,0,'Z imported'!AI29/'IO model'!$D$35)</f>
        <v>0.00022523876257873077</v>
      </c>
      <c r="AJ29" s="33">
        <f>IF('IO model'!$D$36=0,0,'Z imported'!AJ29/'IO model'!$D$36)</f>
        <v>0.00007039024574820657</v>
      </c>
      <c r="AK29" s="33">
        <f>IF('IO model'!$D$37=0,0,'Z imported'!AK29/'IO model'!$D$37)</f>
        <v>0.00002768903825586748</v>
      </c>
      <c r="AL29" s="33">
        <f>IF('IO model'!$D$38=0,0,'Z imported'!AL29/'IO model'!$D$38)</f>
        <v>0.000026925630394913388</v>
      </c>
      <c r="AM29" s="33">
        <f>IF('IO model'!$D$39=0,0,'Z imported'!AM29/'IO model'!$D$39)</f>
        <v>0.00008133894752824495</v>
      </c>
      <c r="AN29" s="33">
        <f>IF('IO model'!$D$40=0,0,'Z imported'!AN29/'IO model'!$D$40)</f>
        <v>0.00005562689189377116</v>
      </c>
      <c r="AO29" s="33">
        <f>IF('IO model'!$D$41=0,0,'Z imported'!AO29/'IO model'!$D$41)</f>
        <v>0.00004733517485555512</v>
      </c>
      <c r="AP29" s="33">
        <f>IF('IO model'!$D$42=0,0,'Z imported'!AP29/'IO model'!$D$42)</f>
        <v>0.00008119310132608746</v>
      </c>
      <c r="AQ29" s="33">
        <f>IF('IO model'!$D$43=0,0,'Z imported'!AQ29/'IO model'!$D$43)</f>
        <v>0.000011984003273070971</v>
      </c>
      <c r="AR29" s="33">
        <f>IF('IO model'!$D$44=0,0,'Z imported'!AR29/'IO model'!$D$44)</f>
        <v>0.00002343052264273363</v>
      </c>
      <c r="AS29" s="33">
        <f>IF('IO model'!$D$45=0,0,'Z imported'!AS29/'IO model'!$D$45)</f>
        <v>0.00003051551955081155</v>
      </c>
      <c r="AT29" s="33">
        <f>IF('IO model'!$D$46=0,0,'Z imported'!AT29/'IO model'!$D$46)</f>
        <v>0.000031157204171593965</v>
      </c>
      <c r="AU29" s="33">
        <f>IF('IO model'!$D$47=0,0,'Z imported'!AU29/'IO model'!$D$47)</f>
        <v>0.00003783228252478369</v>
      </c>
      <c r="AV29" s="33">
        <f>IF('IO model'!$D$48=0,0,'Z imported'!AV29/'IO model'!$D$48)</f>
        <v>0.00008451931701255658</v>
      </c>
      <c r="AW29" s="33">
        <f>IF('IO model'!$D$49=0,0,'Z imported'!AW29/'IO model'!$D$49)</f>
        <v>0.00006637594275217461</v>
      </c>
      <c r="AX29" s="33">
        <f>IF('IO model'!$D$50=0,0,'Z imported'!AX29/'IO model'!$D$50)</f>
        <v>0.00004575320489617207</v>
      </c>
      <c r="AY29" s="33">
        <f>IF('IO model'!$D$51=0,0,'Z imported'!AY29/'IO model'!$D$51)</f>
        <v>0.00003932764475338495</v>
      </c>
      <c r="AZ29" s="33">
        <f>IF('IO model'!$D$52=0,0,'Z imported'!AZ29/'IO model'!$D$52)</f>
        <v>0.000050754918341578965</v>
      </c>
      <c r="BA29" s="33">
        <f>IF('IO model'!$D$53=0,0,'Z imported'!BA29/'IO model'!$D$53)</f>
        <v>0.000019323181935487195</v>
      </c>
      <c r="BB29" s="33">
        <f>IF('IO model'!$D$54=0,0,'Z imported'!BB29/'IO model'!$D$54)</f>
        <v>0.000054251178168049385</v>
      </c>
      <c r="BC29" s="33">
        <f>IF('IO model'!$D$55=0,0,'Z imported'!BC29/'IO model'!$D$55)</f>
        <v>0.000042313753662490454</v>
      </c>
      <c r="BD29" s="33">
        <f>IF('IO model'!$D$56=0,0,'Z imported'!BD29/'IO model'!$D$56)</f>
        <v>0.00006341350071341928</v>
      </c>
      <c r="BE29" s="33">
        <f>IF('IO model'!$D$57=0,0,'Z imported'!BE29/'IO model'!$D$57)</f>
        <v>0.000017051212097591395</v>
      </c>
      <c r="BF29" s="33">
        <f>IF('IO model'!$D$58=0,0,'Z imported'!BF29/'IO model'!$D$58)</f>
        <v>0.000022165170384780976</v>
      </c>
      <c r="BG29" s="33">
        <f>IF('IO model'!$D$59=0,0,'Z imported'!BG29/'IO model'!$D$59)</f>
        <v>0.000022500415888834667</v>
      </c>
      <c r="BH29" s="33">
        <f>IF('IO model'!$D$60=0,0,'Z imported'!BH29/'IO model'!$D$60)</f>
        <v>0.000041023599916905375</v>
      </c>
      <c r="BI29" s="33">
        <f>IF('IO model'!$D$61=0,0,'Z imported'!BI29/'IO model'!$D$61)</f>
        <v>0.000040966744952165466</v>
      </c>
      <c r="BJ29" s="33">
        <f>IF('IO model'!$D$62=0,0,'Z imported'!BJ29/'IO model'!$D$62)</f>
        <v>0.00003105545411412879</v>
      </c>
      <c r="BK29" s="33">
        <f>IF('IO model'!$D$63=0,0,'Z imported'!BK29/'IO model'!$D$63)</f>
        <v>0.00006249023590064054</v>
      </c>
      <c r="BL29" s="33">
        <f>IF('IO model'!$D$64=0,0,'Z imported'!BL29/'IO model'!$D$64)</f>
        <v>0.000025989221368231734</v>
      </c>
      <c r="BM29" s="33">
        <f>IF('IO model'!$D$65=0,0,'Z imported'!BM29/'IO model'!$D$65)</f>
        <v>0</v>
      </c>
      <c r="BN29" s="33">
        <f>IF('IO model'!$D$66=0,0,'Z imported'!BN29/'IO model'!$D$66)</f>
        <v>0</v>
      </c>
    </row>
    <row r="30" spans="1:66" x14ac:dyDescent="0.25">
      <c r="A30" s="30" t="s">
        <v>314</v>
      </c>
      <c r="B30" s="31" t="s">
        <v>315</v>
      </c>
      <c r="C30" s="33">
        <f>IF('IO model'!$D$3=0,0,'Z imported'!C30/'IO model'!$D$3)</f>
        <v>0.00039086401196857375</v>
      </c>
      <c r="D30" s="33">
        <f>IF('IO model'!$D$4=0,0,'Z imported'!D30/'IO model'!$D$4)</f>
        <v>0.0005908717520068022</v>
      </c>
      <c r="E30" s="33">
        <f>IF('IO model'!$D$5=0,0,'Z imported'!E30/'IO model'!$D$5)</f>
        <v>0.0028777173728612242</v>
      </c>
      <c r="F30" s="33">
        <f>IF('IO model'!$D$6=0,0,'Z imported'!F30/'IO model'!$D$6)</f>
        <v>0.0007069707314117196</v>
      </c>
      <c r="G30" s="33">
        <f>IF('IO model'!$D$7=0,0,'Z imported'!G30/'IO model'!$D$7)</f>
        <v>0.00015900555673282945</v>
      </c>
      <c r="H30" s="33">
        <f>IF('IO model'!$D$8=0,0,'Z imported'!H30/'IO model'!$D$8)</f>
        <v>0.0004453157525836219</v>
      </c>
      <c r="I30" s="33">
        <f>IF('IO model'!$D$9=0,0,'Z imported'!I30/'IO model'!$D$9)</f>
        <v>0.0006387375965249057</v>
      </c>
      <c r="J30" s="33">
        <f>IF('IO model'!$D$10=0,0,'Z imported'!J30/'IO model'!$D$10)</f>
        <v>0.0005003369204262547</v>
      </c>
      <c r="K30" s="33">
        <f>IF('IO model'!$D$11=0,0,'Z imported'!K30/'IO model'!$D$11)</f>
        <v>0.0010747781137644102</v>
      </c>
      <c r="L30" s="33">
        <f>IF('IO model'!$D$12=0,0,'Z imported'!L30/'IO model'!$D$12)</f>
        <v>0.00024062026393655128</v>
      </c>
      <c r="M30" s="33">
        <f>IF('IO model'!$D$13=0,0,'Z imported'!M30/'IO model'!$D$13)</f>
        <v>0.00036402230463939333</v>
      </c>
      <c r="N30" s="33">
        <f>IF('IO model'!$D$14=0,0,'Z imported'!N30/'IO model'!$D$14)</f>
        <v>0.000533662160365614</v>
      </c>
      <c r="O30" s="33">
        <f>IF('IO model'!$D$15=0,0,'Z imported'!O30/'IO model'!$D$15)</f>
        <v>0.00045601577865044565</v>
      </c>
      <c r="P30" s="33">
        <f>IF('IO model'!$D$16=0,0,'Z imported'!P30/'IO model'!$D$16)</f>
        <v>0.0005677320515405893</v>
      </c>
      <c r="Q30" s="33">
        <f>IF('IO model'!$D$17=0,0,'Z imported'!Q30/'IO model'!$D$17)</f>
        <v>0.0003295825684792715</v>
      </c>
      <c r="R30" s="33">
        <f>IF('IO model'!$D$18=0,0,'Z imported'!R30/'IO model'!$D$18)</f>
        <v>0.00030798161965693886</v>
      </c>
      <c r="S30" s="33">
        <f>IF('IO model'!$D$19=0,0,'Z imported'!S30/'IO model'!$D$19)</f>
        <v>0.00038936624197235327</v>
      </c>
      <c r="T30" s="33">
        <f>IF('IO model'!$D$20=0,0,'Z imported'!T30/'IO model'!$D$20)</f>
        <v>0.00036412154444631607</v>
      </c>
      <c r="U30" s="33">
        <f>IF('IO model'!$D$21=0,0,'Z imported'!U30/'IO model'!$D$21)</f>
        <v>0.00024474153699203795</v>
      </c>
      <c r="V30" s="33">
        <f>IF('IO model'!$D$22=0,0,'Z imported'!V30/'IO model'!$D$22)</f>
        <v>0.0004982506515139614</v>
      </c>
      <c r="W30" s="33">
        <f>IF('IO model'!$D$23=0,0,'Z imported'!W30/'IO model'!$D$23)</f>
        <v>0.0004371558268144715</v>
      </c>
      <c r="X30" s="33">
        <f>IF('IO model'!$D$24=0,0,'Z imported'!X30/'IO model'!$D$24)</f>
        <v>0.0005100287801954539</v>
      </c>
      <c r="Y30" s="33">
        <f>IF('IO model'!$D$25=0,0,'Z imported'!Y30/'IO model'!$D$25)</f>
        <v>0.0005048287170903375</v>
      </c>
      <c r="Z30" s="33">
        <f>IF('IO model'!$D$26=0,0,'Z imported'!Z30/'IO model'!$D$26)</f>
        <v>0.00013500941449577864</v>
      </c>
      <c r="AA30" s="33">
        <f>IF('IO model'!$D$27=0,0,'Z imported'!AA30/'IO model'!$D$27)</f>
        <v>0.001086208149982253</v>
      </c>
      <c r="AB30" s="33">
        <f>IF('IO model'!$D$28=0,0,'Z imported'!AB30/'IO model'!$D$28)</f>
        <v>0.0006808108357288426</v>
      </c>
      <c r="AC30" s="33">
        <f>IF('IO model'!$D$29=0,0,'Z imported'!AC30/'IO model'!$D$29)</f>
        <v>0.00017725100634990702</v>
      </c>
      <c r="AD30" s="33">
        <f>IF('IO model'!$D$30=0,0,'Z imported'!AD30/'IO model'!$D$30)</f>
        <v>0.0018532845524092578</v>
      </c>
      <c r="AE30" s="33">
        <f>IF('IO model'!$D$31=0,0,'Z imported'!AE30/'IO model'!$D$31)</f>
        <v>0.00015813293515834736</v>
      </c>
      <c r="AF30" s="33">
        <f>IF('IO model'!$D$32=0,0,'Z imported'!AF30/'IO model'!$D$32)</f>
        <v>0.00021036773940236826</v>
      </c>
      <c r="AG30" s="33">
        <f>IF('IO model'!$D$33=0,0,'Z imported'!AG30/'IO model'!$D$33)</f>
        <v>0.0008568223443104847</v>
      </c>
      <c r="AH30" s="33">
        <f>IF('IO model'!$D$34=0,0,'Z imported'!AH30/'IO model'!$D$34)</f>
        <v>0.0004934565515797262</v>
      </c>
      <c r="AI30" s="33">
        <f>IF('IO model'!$D$35=0,0,'Z imported'!AI30/'IO model'!$D$35)</f>
        <v>0.001386230698904492</v>
      </c>
      <c r="AJ30" s="33">
        <f>IF('IO model'!$D$36=0,0,'Z imported'!AJ30/'IO model'!$D$36)</f>
        <v>0.000675802003645825</v>
      </c>
      <c r="AK30" s="33">
        <f>IF('IO model'!$D$37=0,0,'Z imported'!AK30/'IO model'!$D$37)</f>
        <v>0.0021998940894286715</v>
      </c>
      <c r="AL30" s="33">
        <f>IF('IO model'!$D$38=0,0,'Z imported'!AL30/'IO model'!$D$38)</f>
        <v>0.00015006250914654658</v>
      </c>
      <c r="AM30" s="33">
        <f>IF('IO model'!$D$39=0,0,'Z imported'!AM30/'IO model'!$D$39)</f>
        <v>0.000450979275739936</v>
      </c>
      <c r="AN30" s="33">
        <f>IF('IO model'!$D$40=0,0,'Z imported'!AN30/'IO model'!$D$40)</f>
        <v>0.0006200080658993245</v>
      </c>
      <c r="AO30" s="33">
        <f>IF('IO model'!$D$41=0,0,'Z imported'!AO30/'IO model'!$D$41)</f>
        <v>0.0005169117254164915</v>
      </c>
      <c r="AP30" s="33">
        <f>IF('IO model'!$D$42=0,0,'Z imported'!AP30/'IO model'!$D$42)</f>
        <v>0.0002590921758517383</v>
      </c>
      <c r="AQ30" s="33">
        <f>IF('IO model'!$D$43=0,0,'Z imported'!AQ30/'IO model'!$D$43)</f>
        <v>0.00016741652572480149</v>
      </c>
      <c r="AR30" s="33">
        <f>IF('IO model'!$D$44=0,0,'Z imported'!AR30/'IO model'!$D$44)</f>
        <v>0.0003549474919494967</v>
      </c>
      <c r="AS30" s="33">
        <f>IF('IO model'!$D$45=0,0,'Z imported'!AS30/'IO model'!$D$45)</f>
        <v>0.00043492645759788263</v>
      </c>
      <c r="AT30" s="33">
        <f>IF('IO model'!$D$46=0,0,'Z imported'!AT30/'IO model'!$D$46)</f>
        <v>0.00004178005612659708</v>
      </c>
      <c r="AU30" s="33">
        <f>IF('IO model'!$D$47=0,0,'Z imported'!AU30/'IO model'!$D$47)</f>
        <v>0.0001794608273611533</v>
      </c>
      <c r="AV30" s="33">
        <f>IF('IO model'!$D$48=0,0,'Z imported'!AV30/'IO model'!$D$48)</f>
        <v>0.0002812107091103795</v>
      </c>
      <c r="AW30" s="33">
        <f>IF('IO model'!$D$49=0,0,'Z imported'!AW30/'IO model'!$D$49)</f>
        <v>0.00037341557977757137</v>
      </c>
      <c r="AX30" s="33">
        <f>IF('IO model'!$D$50=0,0,'Z imported'!AX30/'IO model'!$D$50)</f>
        <v>0.0005003894813961098</v>
      </c>
      <c r="AY30" s="33">
        <f>IF('IO model'!$D$51=0,0,'Z imported'!AY30/'IO model'!$D$51)</f>
        <v>0.0005622624210835504</v>
      </c>
      <c r="AZ30" s="33">
        <f>IF('IO model'!$D$52=0,0,'Z imported'!AZ30/'IO model'!$D$52)</f>
        <v>0.000863919278509336</v>
      </c>
      <c r="BA30" s="33">
        <f>IF('IO model'!$D$53=0,0,'Z imported'!BA30/'IO model'!$D$53)</f>
        <v>0.00043155106322588066</v>
      </c>
      <c r="BB30" s="33">
        <f>IF('IO model'!$D$54=0,0,'Z imported'!BB30/'IO model'!$D$54)</f>
        <v>0.000909505045758475</v>
      </c>
      <c r="BC30" s="33">
        <f>IF('IO model'!$D$55=0,0,'Z imported'!BC30/'IO model'!$D$55)</f>
        <v>0.0002950992523943316</v>
      </c>
      <c r="BD30" s="33">
        <f>IF('IO model'!$D$56=0,0,'Z imported'!BD30/'IO model'!$D$56)</f>
        <v>0.00014221051806532996</v>
      </c>
      <c r="BE30" s="33">
        <f>IF('IO model'!$D$57=0,0,'Z imported'!BE30/'IO model'!$D$57)</f>
        <v>0.00010972084306276203</v>
      </c>
      <c r="BF30" s="33">
        <f>IF('IO model'!$D$58=0,0,'Z imported'!BF30/'IO model'!$D$58)</f>
        <v>0.00016703608617307968</v>
      </c>
      <c r="BG30" s="33">
        <f>IF('IO model'!$D$59=0,0,'Z imported'!BG30/'IO model'!$D$59)</f>
        <v>0.00023275020370253565</v>
      </c>
      <c r="BH30" s="33">
        <f>IF('IO model'!$D$60=0,0,'Z imported'!BH30/'IO model'!$D$60)</f>
        <v>0.0003377900674009018</v>
      </c>
      <c r="BI30" s="33">
        <f>IF('IO model'!$D$61=0,0,'Z imported'!BI30/'IO model'!$D$61)</f>
        <v>0.0004441965631241942</v>
      </c>
      <c r="BJ30" s="33">
        <f>IF('IO model'!$D$62=0,0,'Z imported'!BJ30/'IO model'!$D$62)</f>
        <v>0.00043477635759780315</v>
      </c>
      <c r="BK30" s="33">
        <f>IF('IO model'!$D$63=0,0,'Z imported'!BK30/'IO model'!$D$63)</f>
        <v>0.0015497578503358854</v>
      </c>
      <c r="BL30" s="33">
        <f>IF('IO model'!$D$64=0,0,'Z imported'!BL30/'IO model'!$D$64)</f>
        <v>0.00054259129509594</v>
      </c>
      <c r="BM30" s="33">
        <f>IF('IO model'!$D$65=0,0,'Z imported'!BM30/'IO model'!$D$65)</f>
        <v>0</v>
      </c>
      <c r="BN30" s="33">
        <f>IF('IO model'!$D$66=0,0,'Z imported'!BN30/'IO model'!$D$66)</f>
        <v>0</v>
      </c>
    </row>
    <row r="31" spans="1:66" x14ac:dyDescent="0.25">
      <c r="A31" s="30" t="s">
        <v>317</v>
      </c>
      <c r="B31" s="31" t="s">
        <v>318</v>
      </c>
      <c r="C31" s="33">
        <f>IF('IO model'!$D$3=0,0,'Z imported'!C31/'IO model'!$D$3)</f>
        <v>0.00663910193799769</v>
      </c>
      <c r="D31" s="33">
        <f>IF('IO model'!$D$4=0,0,'Z imported'!D31/'IO model'!$D$4)</f>
        <v>0.002805439863186768</v>
      </c>
      <c r="E31" s="33">
        <f>IF('IO model'!$D$5=0,0,'Z imported'!E31/'IO model'!$D$5)</f>
        <v>0.010072010805014284</v>
      </c>
      <c r="F31" s="33">
        <f>IF('IO model'!$D$6=0,0,'Z imported'!F31/'IO model'!$D$6)</f>
        <v>0.0027727942972251857</v>
      </c>
      <c r="G31" s="33">
        <f>IF('IO model'!$D$7=0,0,'Z imported'!G31/'IO model'!$D$7)</f>
        <v>0.01706502672411763</v>
      </c>
      <c r="H31" s="33">
        <f>IF('IO model'!$D$8=0,0,'Z imported'!H31/'IO model'!$D$8)</f>
        <v>0.018575903059942837</v>
      </c>
      <c r="I31" s="33">
        <f>IF('IO model'!$D$9=0,0,'Z imported'!I31/'IO model'!$D$9)</f>
        <v>0.010717666101477242</v>
      </c>
      <c r="J31" s="33">
        <f>IF('IO model'!$D$10=0,0,'Z imported'!J31/'IO model'!$D$10)</f>
        <v>0.009990598507866181</v>
      </c>
      <c r="K31" s="33">
        <f>IF('IO model'!$D$11=0,0,'Z imported'!K31/'IO model'!$D$11)</f>
        <v>0.006195612460033466</v>
      </c>
      <c r="L31" s="33">
        <f>IF('IO model'!$D$12=0,0,'Z imported'!L31/'IO model'!$D$12)</f>
        <v>0.005677719830948655</v>
      </c>
      <c r="M31" s="33">
        <f>IF('IO model'!$D$13=0,0,'Z imported'!M31/'IO model'!$D$13)</f>
        <v>0.014123435078355407</v>
      </c>
      <c r="N31" s="33">
        <f>IF('IO model'!$D$14=0,0,'Z imported'!N31/'IO model'!$D$14)</f>
        <v>0.02581762263868623</v>
      </c>
      <c r="O31" s="33">
        <f>IF('IO model'!$D$15=0,0,'Z imported'!O31/'IO model'!$D$15)</f>
        <v>0.013646839743386721</v>
      </c>
      <c r="P31" s="33">
        <f>IF('IO model'!$D$16=0,0,'Z imported'!P31/'IO model'!$D$16)</f>
        <v>0.009737225464494364</v>
      </c>
      <c r="Q31" s="33">
        <f>IF('IO model'!$D$17=0,0,'Z imported'!Q31/'IO model'!$D$17)</f>
        <v>0.0072774374011649635</v>
      </c>
      <c r="R31" s="33">
        <f>IF('IO model'!$D$18=0,0,'Z imported'!R31/'IO model'!$D$18)</f>
        <v>0.008259027101262596</v>
      </c>
      <c r="S31" s="33">
        <f>IF('IO model'!$D$19=0,0,'Z imported'!S31/'IO model'!$D$19)</f>
        <v>0.028907826414656928</v>
      </c>
      <c r="T31" s="33">
        <f>IF('IO model'!$D$20=0,0,'Z imported'!T31/'IO model'!$D$20)</f>
        <v>0.013075155672990309</v>
      </c>
      <c r="U31" s="33">
        <f>IF('IO model'!$D$21=0,0,'Z imported'!U31/'IO model'!$D$21)</f>
        <v>0.01168925569466987</v>
      </c>
      <c r="V31" s="33">
        <f>IF('IO model'!$D$22=0,0,'Z imported'!V31/'IO model'!$D$22)</f>
        <v>0.009027489470479086</v>
      </c>
      <c r="W31" s="33">
        <f>IF('IO model'!$D$23=0,0,'Z imported'!W31/'IO model'!$D$23)</f>
        <v>0.0073041300049395295</v>
      </c>
      <c r="X31" s="33">
        <f>IF('IO model'!$D$24=0,0,'Z imported'!X31/'IO model'!$D$24)</f>
        <v>0.023122019028216593</v>
      </c>
      <c r="Y31" s="33">
        <f>IF('IO model'!$D$25=0,0,'Z imported'!Y31/'IO model'!$D$25)</f>
        <v>0.009180989407517607</v>
      </c>
      <c r="Z31" s="33">
        <f>IF('IO model'!$D$26=0,0,'Z imported'!Z31/'IO model'!$D$26)</f>
        <v>0.004782833517230084</v>
      </c>
      <c r="AA31" s="33">
        <f>IF('IO model'!$D$27=0,0,'Z imported'!AA31/'IO model'!$D$27)</f>
        <v>0.002406193382112917</v>
      </c>
      <c r="AB31" s="33">
        <f>IF('IO model'!$D$28=0,0,'Z imported'!AB31/'IO model'!$D$28)</f>
        <v>0.006201605323741206</v>
      </c>
      <c r="AC31" s="33">
        <f>IF('IO model'!$D$29=0,0,'Z imported'!AC31/'IO model'!$D$29)</f>
        <v>0.004126167587919736</v>
      </c>
      <c r="AD31" s="33">
        <f>IF('IO model'!$D$30=0,0,'Z imported'!AD31/'IO model'!$D$30)</f>
        <v>0.005763175883325534</v>
      </c>
      <c r="AE31" s="33">
        <f>IF('IO model'!$D$31=0,0,'Z imported'!AE31/'IO model'!$D$31)</f>
        <v>0.025197095937158066</v>
      </c>
      <c r="AF31" s="33">
        <f>IF('IO model'!$D$32=0,0,'Z imported'!AF31/'IO model'!$D$32)</f>
        <v>0.009043671646827001</v>
      </c>
      <c r="AG31" s="33">
        <f>IF('IO model'!$D$33=0,0,'Z imported'!AG31/'IO model'!$D$33)</f>
        <v>0.0023281582955969743</v>
      </c>
      <c r="AH31" s="33">
        <f>IF('IO model'!$D$34=0,0,'Z imported'!AH31/'IO model'!$D$34)</f>
        <v>0.007219054803284618</v>
      </c>
      <c r="AI31" s="33">
        <f>IF('IO model'!$D$35=0,0,'Z imported'!AI31/'IO model'!$D$35)</f>
        <v>0.015071383605022321</v>
      </c>
      <c r="AJ31" s="33">
        <f>IF('IO model'!$D$36=0,0,'Z imported'!AJ31/'IO model'!$D$36)</f>
        <v>0.004085138254232875</v>
      </c>
      <c r="AK31" s="33">
        <f>IF('IO model'!$D$37=0,0,'Z imported'!AK31/'IO model'!$D$37)</f>
        <v>0.0012280088466477227</v>
      </c>
      <c r="AL31" s="33">
        <f>IF('IO model'!$D$38=0,0,'Z imported'!AL31/'IO model'!$D$38)</f>
        <v>0.004899788774625828</v>
      </c>
      <c r="AM31" s="33">
        <f>IF('IO model'!$D$39=0,0,'Z imported'!AM31/'IO model'!$D$39)</f>
        <v>0.05944973298231057</v>
      </c>
      <c r="AN31" s="33">
        <f>IF('IO model'!$D$40=0,0,'Z imported'!AN31/'IO model'!$D$40)</f>
        <v>0.005454912086332936</v>
      </c>
      <c r="AO31" s="33">
        <f>IF('IO model'!$D$41=0,0,'Z imported'!AO31/'IO model'!$D$41)</f>
        <v>0.005140658069282435</v>
      </c>
      <c r="AP31" s="33">
        <f>IF('IO model'!$D$42=0,0,'Z imported'!AP31/'IO model'!$D$42)</f>
        <v>0.03599194927309041</v>
      </c>
      <c r="AQ31" s="33">
        <f>IF('IO model'!$D$43=0,0,'Z imported'!AQ31/'IO model'!$D$43)</f>
        <v>0.00031817528690003435</v>
      </c>
      <c r="AR31" s="33">
        <f>IF('IO model'!$D$44=0,0,'Z imported'!AR31/'IO model'!$D$44)</f>
        <v>0.0004955306278058986</v>
      </c>
      <c r="AS31" s="33">
        <f>IF('IO model'!$D$45=0,0,'Z imported'!AS31/'IO model'!$D$45)</f>
        <v>0.0038378887115062786</v>
      </c>
      <c r="AT31" s="33">
        <f>IF('IO model'!$D$46=0,0,'Z imported'!AT31/'IO model'!$D$46)</f>
        <v>0.00032821767134185966</v>
      </c>
      <c r="AU31" s="33">
        <f>IF('IO model'!$D$47=0,0,'Z imported'!AU31/'IO model'!$D$47)</f>
        <v>0.003137081086839463</v>
      </c>
      <c r="AV31" s="33">
        <f>IF('IO model'!$D$48=0,0,'Z imported'!AV31/'IO model'!$D$48)</f>
        <v>0.0025487368710725832</v>
      </c>
      <c r="AW31" s="33">
        <f>IF('IO model'!$D$49=0,0,'Z imported'!AW31/'IO model'!$D$49)</f>
        <v>0.003077726228962797</v>
      </c>
      <c r="AX31" s="33">
        <f>IF('IO model'!$D$50=0,0,'Z imported'!AX31/'IO model'!$D$50)</f>
        <v>0.0063741743428768335</v>
      </c>
      <c r="AY31" s="33">
        <f>IF('IO model'!$D$51=0,0,'Z imported'!AY31/'IO model'!$D$51)</f>
        <v>0.0028592426724609395</v>
      </c>
      <c r="AZ31" s="33">
        <f>IF('IO model'!$D$52=0,0,'Z imported'!AZ31/'IO model'!$D$52)</f>
        <v>0.0042731841410150765</v>
      </c>
      <c r="BA31" s="33">
        <f>IF('IO model'!$D$53=0,0,'Z imported'!BA31/'IO model'!$D$53)</f>
        <v>0.0008403437121721876</v>
      </c>
      <c r="BB31" s="33">
        <f>IF('IO model'!$D$54=0,0,'Z imported'!BB31/'IO model'!$D$54)</f>
        <v>0.006404830269604421</v>
      </c>
      <c r="BC31" s="33">
        <f>IF('IO model'!$D$55=0,0,'Z imported'!BC31/'IO model'!$D$55)</f>
        <v>0.0031624045746496106</v>
      </c>
      <c r="BD31" s="33">
        <f>IF('IO model'!$D$56=0,0,'Z imported'!BD31/'IO model'!$D$56)</f>
        <v>0.000710704546963788</v>
      </c>
      <c r="BE31" s="33">
        <f>IF('IO model'!$D$57=0,0,'Z imported'!BE31/'IO model'!$D$57)</f>
        <v>0.0007351084668905706</v>
      </c>
      <c r="BF31" s="33">
        <f>IF('IO model'!$D$58=0,0,'Z imported'!BF31/'IO model'!$D$58)</f>
        <v>0.002700802092136946</v>
      </c>
      <c r="BG31" s="33">
        <f>IF('IO model'!$D$59=0,0,'Z imported'!BG31/'IO model'!$D$59)</f>
        <v>0.0012661094678430326</v>
      </c>
      <c r="BH31" s="33">
        <f>IF('IO model'!$D$60=0,0,'Z imported'!BH31/'IO model'!$D$60)</f>
        <v>0.003254829874258301</v>
      </c>
      <c r="BI31" s="33">
        <f>IF('IO model'!$D$61=0,0,'Z imported'!BI31/'IO model'!$D$61)</f>
        <v>0.0031304445535590445</v>
      </c>
      <c r="BJ31" s="33">
        <f>IF('IO model'!$D$62=0,0,'Z imported'!BJ31/'IO model'!$D$62)</f>
        <v>0.0017713110865095686</v>
      </c>
      <c r="BK31" s="33">
        <f>IF('IO model'!$D$63=0,0,'Z imported'!BK31/'IO model'!$D$63)</f>
        <v>0.006264646149039213</v>
      </c>
      <c r="BL31" s="33">
        <f>IF('IO model'!$D$64=0,0,'Z imported'!BL31/'IO model'!$D$64)</f>
        <v>0.0017646150916756525</v>
      </c>
      <c r="BM31" s="33">
        <f>IF('IO model'!$D$65=0,0,'Z imported'!BM31/'IO model'!$D$65)</f>
        <v>0</v>
      </c>
      <c r="BN31" s="33">
        <f>IF('IO model'!$D$66=0,0,'Z imported'!BN31/'IO model'!$D$66)</f>
        <v>0</v>
      </c>
    </row>
    <row r="32" spans="1:66" x14ac:dyDescent="0.25">
      <c r="A32" s="30" t="s">
        <v>319</v>
      </c>
      <c r="B32" s="31" t="s">
        <v>320</v>
      </c>
      <c r="C32" s="33">
        <f>IF('IO model'!$D$3=0,0,'Z imported'!C32/'IO model'!$D$3)</f>
        <v>0.002175326687423134</v>
      </c>
      <c r="D32" s="33">
        <f>IF('IO model'!$D$4=0,0,'Z imported'!D32/'IO model'!$D$4)</f>
        <v>0.006787819395004972</v>
      </c>
      <c r="E32" s="33">
        <f>IF('IO model'!$D$5=0,0,'Z imported'!E32/'IO model'!$D$5)</f>
        <v>0.029625557388064258</v>
      </c>
      <c r="F32" s="33">
        <f>IF('IO model'!$D$6=0,0,'Z imported'!F32/'IO model'!$D$6)</f>
        <v>0.0074075842351035755</v>
      </c>
      <c r="G32" s="33">
        <f>IF('IO model'!$D$7=0,0,'Z imported'!G32/'IO model'!$D$7)</f>
        <v>0.0011549057003602456</v>
      </c>
      <c r="H32" s="33">
        <f>IF('IO model'!$D$8=0,0,'Z imported'!H32/'IO model'!$D$8)</f>
        <v>0.004445691679885605</v>
      </c>
      <c r="I32" s="33">
        <f>IF('IO model'!$D$9=0,0,'Z imported'!I32/'IO model'!$D$9)</f>
        <v>0.005321493208957715</v>
      </c>
      <c r="J32" s="33">
        <f>IF('IO model'!$D$10=0,0,'Z imported'!J32/'IO model'!$D$10)</f>
        <v>0.005005162526557983</v>
      </c>
      <c r="K32" s="33">
        <f>IF('IO model'!$D$11=0,0,'Z imported'!K32/'IO model'!$D$11)</f>
        <v>0.012634329493418405</v>
      </c>
      <c r="L32" s="33">
        <f>IF('IO model'!$D$12=0,0,'Z imported'!L32/'IO model'!$D$12)</f>
        <v>0.0025292679651956573</v>
      </c>
      <c r="M32" s="33">
        <f>IF('IO model'!$D$13=0,0,'Z imported'!M32/'IO model'!$D$13)</f>
        <v>0.002337622020355308</v>
      </c>
      <c r="N32" s="33">
        <f>IF('IO model'!$D$14=0,0,'Z imported'!N32/'IO model'!$D$14)</f>
        <v>0.0036217979597581605</v>
      </c>
      <c r="O32" s="33">
        <f>IF('IO model'!$D$15=0,0,'Z imported'!O32/'IO model'!$D$15)</f>
        <v>0.0038272252350779563</v>
      </c>
      <c r="P32" s="33">
        <f>IF('IO model'!$D$16=0,0,'Z imported'!P32/'IO model'!$D$16)</f>
        <v>0.004190456984797273</v>
      </c>
      <c r="Q32" s="33">
        <f>IF('IO model'!$D$17=0,0,'Z imported'!Q32/'IO model'!$D$17)</f>
        <v>0.003009949062706114</v>
      </c>
      <c r="R32" s="33">
        <f>IF('IO model'!$D$18=0,0,'Z imported'!R32/'IO model'!$D$18)</f>
        <v>0.002221947394179515</v>
      </c>
      <c r="S32" s="33">
        <f>IF('IO model'!$D$19=0,0,'Z imported'!S32/'IO model'!$D$19)</f>
        <v>0.003157058086549605</v>
      </c>
      <c r="T32" s="33">
        <f>IF('IO model'!$D$20=0,0,'Z imported'!T32/'IO model'!$D$20)</f>
        <v>0.0030723241932683466</v>
      </c>
      <c r="U32" s="33">
        <f>IF('IO model'!$D$21=0,0,'Z imported'!U32/'IO model'!$D$21)</f>
        <v>0.0015366579543403909</v>
      </c>
      <c r="V32" s="33">
        <f>IF('IO model'!$D$22=0,0,'Z imported'!V32/'IO model'!$D$22)</f>
        <v>0.0011840060149879506</v>
      </c>
      <c r="W32" s="33">
        <f>IF('IO model'!$D$23=0,0,'Z imported'!W32/'IO model'!$D$23)</f>
        <v>0.003984970340827642</v>
      </c>
      <c r="X32" s="33">
        <f>IF('IO model'!$D$24=0,0,'Z imported'!X32/'IO model'!$D$24)</f>
        <v>0.0038052147228307886</v>
      </c>
      <c r="Y32" s="33">
        <f>IF('IO model'!$D$25=0,0,'Z imported'!Y32/'IO model'!$D$25)</f>
        <v>0.00450209899265383</v>
      </c>
      <c r="Z32" s="33">
        <f>IF('IO model'!$D$26=0,0,'Z imported'!Z32/'IO model'!$D$26)</f>
        <v>0.0011913330742081207</v>
      </c>
      <c r="AA32" s="33">
        <f>IF('IO model'!$D$27=0,0,'Z imported'!AA32/'IO model'!$D$27)</f>
        <v>0.007867169002299284</v>
      </c>
      <c r="AB32" s="33">
        <f>IF('IO model'!$D$28=0,0,'Z imported'!AB32/'IO model'!$D$28)</f>
        <v>0.00440583343768534</v>
      </c>
      <c r="AC32" s="33">
        <f>IF('IO model'!$D$29=0,0,'Z imported'!AC32/'IO model'!$D$29)</f>
        <v>0.0005429677838152886</v>
      </c>
      <c r="AD32" s="33">
        <f>IF('IO model'!$D$30=0,0,'Z imported'!AD32/'IO model'!$D$30)</f>
        <v>0.0026801118616857486</v>
      </c>
      <c r="AE32" s="33">
        <f>IF('IO model'!$D$31=0,0,'Z imported'!AE32/'IO model'!$D$31)</f>
        <v>0.0005401031251425578</v>
      </c>
      <c r="AF32" s="33">
        <f>IF('IO model'!$D$32=0,0,'Z imported'!AF32/'IO model'!$D$32)</f>
        <v>0.0019855574249953807</v>
      </c>
      <c r="AG32" s="33">
        <f>IF('IO model'!$D$33=0,0,'Z imported'!AG32/'IO model'!$D$33)</f>
        <v>0.0015957927639954337</v>
      </c>
      <c r="AH32" s="33">
        <f>IF('IO model'!$D$34=0,0,'Z imported'!AH32/'IO model'!$D$34)</f>
        <v>0.006118861239588603</v>
      </c>
      <c r="AI32" s="33">
        <f>IF('IO model'!$D$35=0,0,'Z imported'!AI32/'IO model'!$D$35)</f>
        <v>0.007387957951213032</v>
      </c>
      <c r="AJ32" s="33">
        <f>IF('IO model'!$D$36=0,0,'Z imported'!AJ32/'IO model'!$D$36)</f>
        <v>0.0017644859230637395</v>
      </c>
      <c r="AK32" s="33">
        <f>IF('IO model'!$D$37=0,0,'Z imported'!AK32/'IO model'!$D$37)</f>
        <v>0.006025826950433161</v>
      </c>
      <c r="AL32" s="33">
        <f>IF('IO model'!$D$38=0,0,'Z imported'!AL32/'IO model'!$D$38)</f>
        <v>0.0013519144968157349</v>
      </c>
      <c r="AM32" s="33">
        <f>IF('IO model'!$D$39=0,0,'Z imported'!AM32/'IO model'!$D$39)</f>
        <v>0.0042404704644725035</v>
      </c>
      <c r="AN32" s="33">
        <f>IF('IO model'!$D$40=0,0,'Z imported'!AN32/'IO model'!$D$40)</f>
        <v>0.007659707124414179</v>
      </c>
      <c r="AO32" s="33">
        <f>IF('IO model'!$D$41=0,0,'Z imported'!AO32/'IO model'!$D$41)</f>
        <v>0.0033079446428198067</v>
      </c>
      <c r="AP32" s="33">
        <f>IF('IO model'!$D$42=0,0,'Z imported'!AP32/'IO model'!$D$42)</f>
        <v>0.0011866893390464245</v>
      </c>
      <c r="AQ32" s="33">
        <f>IF('IO model'!$D$43=0,0,'Z imported'!AQ32/'IO model'!$D$43)</f>
        <v>0.0008276152660382813</v>
      </c>
      <c r="AR32" s="33">
        <f>IF('IO model'!$D$44=0,0,'Z imported'!AR32/'IO model'!$D$44)</f>
        <v>0.0024302935719856694</v>
      </c>
      <c r="AS32" s="33">
        <f>IF('IO model'!$D$45=0,0,'Z imported'!AS32/'IO model'!$D$45)</f>
        <v>0.003252954384116512</v>
      </c>
      <c r="AT32" s="33">
        <f>IF('IO model'!$D$46=0,0,'Z imported'!AT32/'IO model'!$D$46)</f>
        <v>0.0003666306627862906</v>
      </c>
      <c r="AU32" s="33">
        <f>IF('IO model'!$D$47=0,0,'Z imported'!AU32/'IO model'!$D$47)</f>
        <v>0.0009655609822001316</v>
      </c>
      <c r="AV32" s="33">
        <f>IF('IO model'!$D$48=0,0,'Z imported'!AV32/'IO model'!$D$48)</f>
        <v>0.0023045451768014765</v>
      </c>
      <c r="AW32" s="33">
        <f>IF('IO model'!$D$49=0,0,'Z imported'!AW32/'IO model'!$D$49)</f>
        <v>0.004562429831873402</v>
      </c>
      <c r="AX32" s="33">
        <f>IF('IO model'!$D$50=0,0,'Z imported'!AX32/'IO model'!$D$50)</f>
        <v>0.00563864813758394</v>
      </c>
      <c r="AY32" s="33">
        <f>IF('IO model'!$D$51=0,0,'Z imported'!AY32/'IO model'!$D$51)</f>
        <v>0.00545240924838726</v>
      </c>
      <c r="AZ32" s="33">
        <f>IF('IO model'!$D$52=0,0,'Z imported'!AZ32/'IO model'!$D$52)</f>
        <v>0.0030238531831204888</v>
      </c>
      <c r="BA32" s="33">
        <f>IF('IO model'!$D$53=0,0,'Z imported'!BA32/'IO model'!$D$53)</f>
        <v>0.003055639170065042</v>
      </c>
      <c r="BB32" s="33">
        <f>IF('IO model'!$D$54=0,0,'Z imported'!BB32/'IO model'!$D$54)</f>
        <v>0.00912855853821796</v>
      </c>
      <c r="BC32" s="33">
        <f>IF('IO model'!$D$55=0,0,'Z imported'!BC32/'IO model'!$D$55)</f>
        <v>0.0015278399424282203</v>
      </c>
      <c r="BD32" s="33">
        <f>IF('IO model'!$D$56=0,0,'Z imported'!BD32/'IO model'!$D$56)</f>
        <v>0.0006950425956350072</v>
      </c>
      <c r="BE32" s="33">
        <f>IF('IO model'!$D$57=0,0,'Z imported'!BE32/'IO model'!$D$57)</f>
        <v>0.001054633354458479</v>
      </c>
      <c r="BF32" s="33">
        <f>IF('IO model'!$D$58=0,0,'Z imported'!BF32/'IO model'!$D$58)</f>
        <v>0.0011111288290730492</v>
      </c>
      <c r="BG32" s="33">
        <f>IF('IO model'!$D$59=0,0,'Z imported'!BG32/'IO model'!$D$59)</f>
        <v>0.0018557310219135604</v>
      </c>
      <c r="BH32" s="33">
        <f>IF('IO model'!$D$60=0,0,'Z imported'!BH32/'IO model'!$D$60)</f>
        <v>0.004299185987036541</v>
      </c>
      <c r="BI32" s="33">
        <f>IF('IO model'!$D$61=0,0,'Z imported'!BI32/'IO model'!$D$61)</f>
        <v>0.004948197551007986</v>
      </c>
      <c r="BJ32" s="33">
        <f>IF('IO model'!$D$62=0,0,'Z imported'!BJ32/'IO model'!$D$62)</f>
        <v>0.004642215289060142</v>
      </c>
      <c r="BK32" s="33">
        <f>IF('IO model'!$D$63=0,0,'Z imported'!BK32/'IO model'!$D$63)</f>
        <v>0.019553194813310422</v>
      </c>
      <c r="BL32" s="33">
        <f>IF('IO model'!$D$64=0,0,'Z imported'!BL32/'IO model'!$D$64)</f>
        <v>0.004644645133093986</v>
      </c>
      <c r="BM32" s="33">
        <f>IF('IO model'!$D$65=0,0,'Z imported'!BM32/'IO model'!$D$65)</f>
        <v>0</v>
      </c>
      <c r="BN32" s="33">
        <f>IF('IO model'!$D$66=0,0,'Z imported'!BN32/'IO model'!$D$66)</f>
        <v>0</v>
      </c>
    </row>
    <row r="33" spans="1:66" x14ac:dyDescent="0.25">
      <c r="A33" s="30" t="s">
        <v>321</v>
      </c>
      <c r="B33" s="31" t="s">
        <v>322</v>
      </c>
      <c r="C33" s="33">
        <f>IF('IO model'!$D$3=0,0,'Z imported'!C33/'IO model'!$D$3)</f>
        <v>0.0011883034075346503</v>
      </c>
      <c r="D33" s="33">
        <f>IF('IO model'!$D$4=0,0,'Z imported'!D33/'IO model'!$D$4)</f>
        <v>0.0006517203335142778</v>
      </c>
      <c r="E33" s="33">
        <f>IF('IO model'!$D$5=0,0,'Z imported'!E33/'IO model'!$D$5)</f>
        <v>0.0009434026293106373</v>
      </c>
      <c r="F33" s="33">
        <f>IF('IO model'!$D$6=0,0,'Z imported'!F33/'IO model'!$D$6)</f>
        <v>0.0016792850230545908</v>
      </c>
      <c r="G33" s="33">
        <f>IF('IO model'!$D$7=0,0,'Z imported'!G33/'IO model'!$D$7)</f>
        <v>0.003758741258741258</v>
      </c>
      <c r="H33" s="33">
        <f>IF('IO model'!$D$8=0,0,'Z imported'!H33/'IO model'!$D$8)</f>
        <v>0.004620919476020581</v>
      </c>
      <c r="I33" s="33">
        <f>IF('IO model'!$D$9=0,0,'Z imported'!I33/'IO model'!$D$9)</f>
        <v>0.0032219757415494566</v>
      </c>
      <c r="J33" s="33">
        <f>IF('IO model'!$D$10=0,0,'Z imported'!J33/'IO model'!$D$10)</f>
        <v>0.004819105338406642</v>
      </c>
      <c r="K33" s="33">
        <f>IF('IO model'!$D$11=0,0,'Z imported'!K33/'IO model'!$D$11)</f>
        <v>0.002031558101282199</v>
      </c>
      <c r="L33" s="33">
        <f>IF('IO model'!$D$12=0,0,'Z imported'!L33/'IO model'!$D$12)</f>
        <v>0.022967296032539216</v>
      </c>
      <c r="M33" s="33">
        <f>IF('IO model'!$D$13=0,0,'Z imported'!M33/'IO model'!$D$13)</f>
        <v>0.006641437242003131</v>
      </c>
      <c r="N33" s="33">
        <f>IF('IO model'!$D$14=0,0,'Z imported'!N33/'IO model'!$D$14)</f>
        <v>0.0022164606922698924</v>
      </c>
      <c r="O33" s="33">
        <f>IF('IO model'!$D$15=0,0,'Z imported'!O33/'IO model'!$D$15)</f>
        <v>0.0056910881287629365</v>
      </c>
      <c r="P33" s="33">
        <f>IF('IO model'!$D$16=0,0,'Z imported'!P33/'IO model'!$D$16)</f>
        <v>0.005020045569056384</v>
      </c>
      <c r="Q33" s="33">
        <f>IF('IO model'!$D$17=0,0,'Z imported'!Q33/'IO model'!$D$17)</f>
        <v>0.009849333682980906</v>
      </c>
      <c r="R33" s="33">
        <f>IF('IO model'!$D$18=0,0,'Z imported'!R33/'IO model'!$D$18)</f>
        <v>0.0025964850417727068</v>
      </c>
      <c r="S33" s="33">
        <f>IF('IO model'!$D$19=0,0,'Z imported'!S33/'IO model'!$D$19)</f>
        <v>0.003378422369690609</v>
      </c>
      <c r="T33" s="33">
        <f>IF('IO model'!$D$20=0,0,'Z imported'!T33/'IO model'!$D$20)</f>
        <v>0.004582014160512979</v>
      </c>
      <c r="U33" s="33">
        <f>IF('IO model'!$D$21=0,0,'Z imported'!U33/'IO model'!$D$21)</f>
        <v>0.0024353934226534484</v>
      </c>
      <c r="V33" s="33">
        <f>IF('IO model'!$D$22=0,0,'Z imported'!V33/'IO model'!$D$22)</f>
        <v>0.004052401539393282</v>
      </c>
      <c r="W33" s="33">
        <f>IF('IO model'!$D$23=0,0,'Z imported'!W33/'IO model'!$D$23)</f>
        <v>0.0031260489174805167</v>
      </c>
      <c r="X33" s="33">
        <f>IF('IO model'!$D$24=0,0,'Z imported'!X33/'IO model'!$D$24)</f>
        <v>0.003606274925513654</v>
      </c>
      <c r="Y33" s="33">
        <f>IF('IO model'!$D$25=0,0,'Z imported'!Y33/'IO model'!$D$25)</f>
        <v>0.0017707526164927744</v>
      </c>
      <c r="Z33" s="33">
        <f>IF('IO model'!$D$26=0,0,'Z imported'!Z33/'IO model'!$D$26)</f>
        <v>0.00382633824733671</v>
      </c>
      <c r="AA33" s="33">
        <f>IF('IO model'!$D$27=0,0,'Z imported'!AA33/'IO model'!$D$27)</f>
        <v>0.0002907958826724141</v>
      </c>
      <c r="AB33" s="33">
        <f>IF('IO model'!$D$28=0,0,'Z imported'!AB33/'IO model'!$D$28)</f>
        <v>0.0012835296756464436</v>
      </c>
      <c r="AC33" s="33">
        <f>IF('IO model'!$D$29=0,0,'Z imported'!AC33/'IO model'!$D$29)</f>
        <v>0.001622718738523678</v>
      </c>
      <c r="AD33" s="33">
        <f>IF('IO model'!$D$30=0,0,'Z imported'!AD33/'IO model'!$D$30)</f>
        <v>0.0015121167492960644</v>
      </c>
      <c r="AE33" s="33">
        <f>IF('IO model'!$D$31=0,0,'Z imported'!AE33/'IO model'!$D$31)</f>
        <v>0.001761023289741524</v>
      </c>
      <c r="AF33" s="33">
        <f>IF('IO model'!$D$32=0,0,'Z imported'!AF33/'IO model'!$D$32)</f>
        <v>0.0009619997175469622</v>
      </c>
      <c r="AG33" s="33">
        <f>IF('IO model'!$D$33=0,0,'Z imported'!AG33/'IO model'!$D$33)</f>
        <v>0.005476747297240943</v>
      </c>
      <c r="AH33" s="33">
        <f>IF('IO model'!$D$34=0,0,'Z imported'!AH33/'IO model'!$D$34)</f>
        <v>0.0013353363378400933</v>
      </c>
      <c r="AI33" s="33">
        <f>IF('IO model'!$D$35=0,0,'Z imported'!AI33/'IO model'!$D$35)</f>
        <v>0.0013204306109601438</v>
      </c>
      <c r="AJ33" s="33">
        <f>IF('IO model'!$D$36=0,0,'Z imported'!AJ33/'IO model'!$D$36)</f>
        <v>0.005341451118564994</v>
      </c>
      <c r="AK33" s="33">
        <f>IF('IO model'!$D$37=0,0,'Z imported'!AK33/'IO model'!$D$37)</f>
        <v>0.0010307244490746668</v>
      </c>
      <c r="AL33" s="33">
        <f>IF('IO model'!$D$38=0,0,'Z imported'!AL33/'IO model'!$D$38)</f>
        <v>0.0005115869775033544</v>
      </c>
      <c r="AM33" s="33">
        <f>IF('IO model'!$D$39=0,0,'Z imported'!AM33/'IO model'!$D$39)</f>
        <v>0.0024808378996114704</v>
      </c>
      <c r="AN33" s="33">
        <f>IF('IO model'!$D$40=0,0,'Z imported'!AN33/'IO model'!$D$40)</f>
        <v>0.001120070646152705</v>
      </c>
      <c r="AO33" s="33">
        <f>IF('IO model'!$D$41=0,0,'Z imported'!AO33/'IO model'!$D$41)</f>
        <v>0.0006533996529141045</v>
      </c>
      <c r="AP33" s="33">
        <f>IF('IO model'!$D$42=0,0,'Z imported'!AP33/'IO model'!$D$42)</f>
        <v>0.0004505990327225435</v>
      </c>
      <c r="AQ33" s="33">
        <f>IF('IO model'!$D$43=0,0,'Z imported'!AQ33/'IO model'!$D$43)</f>
        <v>0.00006687073826373602</v>
      </c>
      <c r="AR33" s="33">
        <f>IF('IO model'!$D$44=0,0,'Z imported'!AR33/'IO model'!$D$44)</f>
        <v>0.00006505708946546254</v>
      </c>
      <c r="AS33" s="33">
        <f>IF('IO model'!$D$45=0,0,'Z imported'!AS33/'IO model'!$D$45)</f>
        <v>0.00013266220604721236</v>
      </c>
      <c r="AT33" s="33">
        <f>IF('IO model'!$D$46=0,0,'Z imported'!AT33/'IO model'!$D$46)</f>
        <v>0.000042396560927557073</v>
      </c>
      <c r="AU33" s="33">
        <f>IF('IO model'!$D$47=0,0,'Z imported'!AU33/'IO model'!$D$47)</f>
        <v>0.0002656196619222574</v>
      </c>
      <c r="AV33" s="33">
        <f>IF('IO model'!$D$48=0,0,'Z imported'!AV33/'IO model'!$D$48)</f>
        <v>0.0005291935073108093</v>
      </c>
      <c r="AW33" s="33">
        <f>IF('IO model'!$D$49=0,0,'Z imported'!AW33/'IO model'!$D$49)</f>
        <v>0.0006250740621140371</v>
      </c>
      <c r="AX33" s="33">
        <f>IF('IO model'!$D$50=0,0,'Z imported'!AX33/'IO model'!$D$50)</f>
        <v>0.0009776127830979553</v>
      </c>
      <c r="AY33" s="33">
        <f>IF('IO model'!$D$51=0,0,'Z imported'!AY33/'IO model'!$D$51)</f>
        <v>0.0005395261264604996</v>
      </c>
      <c r="AZ33" s="33">
        <f>IF('IO model'!$D$52=0,0,'Z imported'!AZ33/'IO model'!$D$52)</f>
        <v>0.0003384565945024009</v>
      </c>
      <c r="BA33" s="33">
        <f>IF('IO model'!$D$53=0,0,'Z imported'!BA33/'IO model'!$D$53)</f>
        <v>0.0001339740614193779</v>
      </c>
      <c r="BB33" s="33">
        <f>IF('IO model'!$D$54=0,0,'Z imported'!BB33/'IO model'!$D$54)</f>
        <v>0.0009198765945258962</v>
      </c>
      <c r="BC33" s="33">
        <f>IF('IO model'!$D$55=0,0,'Z imported'!BC33/'IO model'!$D$55)</f>
        <v>0.0003419578166353858</v>
      </c>
      <c r="BD33" s="33">
        <f>IF('IO model'!$D$56=0,0,'Z imported'!BD33/'IO model'!$D$56)</f>
        <v>0.00045809467419869636</v>
      </c>
      <c r="BE33" s="33">
        <f>IF('IO model'!$D$57=0,0,'Z imported'!BE33/'IO model'!$D$57)</f>
        <v>0.0002376578878695348</v>
      </c>
      <c r="BF33" s="33">
        <f>IF('IO model'!$D$58=0,0,'Z imported'!BF33/'IO model'!$D$58)</f>
        <v>0.0008400440114174547</v>
      </c>
      <c r="BG33" s="33">
        <f>IF('IO model'!$D$59=0,0,'Z imported'!BG33/'IO model'!$D$59)</f>
        <v>0.00026834512392011833</v>
      </c>
      <c r="BH33" s="33">
        <f>IF('IO model'!$D$60=0,0,'Z imported'!BH33/'IO model'!$D$60)</f>
        <v>0.0003382264886766135</v>
      </c>
      <c r="BI33" s="33">
        <f>IF('IO model'!$D$61=0,0,'Z imported'!BI33/'IO model'!$D$61)</f>
        <v>0.00043658845334736346</v>
      </c>
      <c r="BJ33" s="33">
        <f>IF('IO model'!$D$62=0,0,'Z imported'!BJ33/'IO model'!$D$62)</f>
        <v>0.0006832199905108335</v>
      </c>
      <c r="BK33" s="33">
        <f>IF('IO model'!$D$63=0,0,'Z imported'!BK33/'IO model'!$D$63)</f>
        <v>0.0012091860646773942</v>
      </c>
      <c r="BL33" s="33">
        <f>IF('IO model'!$D$64=0,0,'Z imported'!BL33/'IO model'!$D$64)</f>
        <v>0.0003691530218834548</v>
      </c>
      <c r="BM33" s="33">
        <f>IF('IO model'!$D$65=0,0,'Z imported'!BM33/'IO model'!$D$65)</f>
        <v>0</v>
      </c>
      <c r="BN33" s="33">
        <f>IF('IO model'!$D$66=0,0,'Z imported'!BN33/'IO model'!$D$66)</f>
        <v>0</v>
      </c>
    </row>
    <row r="34" spans="1:66" x14ac:dyDescent="0.25">
      <c r="A34" s="30" t="s">
        <v>134</v>
      </c>
      <c r="B34" s="31" t="s">
        <v>324</v>
      </c>
      <c r="C34" s="33">
        <f>IF('IO model'!$D$3=0,0,'Z imported'!C34/'IO model'!$D$3)</f>
        <v>0.00008187370326630689</v>
      </c>
      <c r="D34" s="33">
        <f>IF('IO model'!$D$4=0,0,'Z imported'!D34/'IO model'!$D$4)</f>
        <v>0.0003795029951913608</v>
      </c>
      <c r="E34" s="33">
        <f>IF('IO model'!$D$5=0,0,'Z imported'!E34/'IO model'!$D$5)</f>
        <v>0.0008891060751057085</v>
      </c>
      <c r="F34" s="33">
        <f>IF('IO model'!$D$6=0,0,'Z imported'!F34/'IO model'!$D$6)</f>
        <v>0.0005637402975153193</v>
      </c>
      <c r="G34" s="33">
        <f>IF('IO model'!$D$7=0,0,'Z imported'!G34/'IO model'!$D$7)</f>
        <v>0.0005422817922817922</v>
      </c>
      <c r="H34" s="33">
        <f>IF('IO model'!$D$8=0,0,'Z imported'!H34/'IO model'!$D$8)</f>
        <v>0.0003754881345749474</v>
      </c>
      <c r="I34" s="33">
        <f>IF('IO model'!$D$9=0,0,'Z imported'!I34/'IO model'!$D$9)</f>
        <v>0.00041809307691045627</v>
      </c>
      <c r="J34" s="33">
        <f>IF('IO model'!$D$10=0,0,'Z imported'!J34/'IO model'!$D$10)</f>
        <v>0.0005478599612552717</v>
      </c>
      <c r="K34" s="33">
        <f>IF('IO model'!$D$11=0,0,'Z imported'!K34/'IO model'!$D$11)</f>
        <v>0.00021751461826184494</v>
      </c>
      <c r="L34" s="33">
        <f>IF('IO model'!$D$12=0,0,'Z imported'!L34/'IO model'!$D$12)</f>
        <v>0.00692453689323973</v>
      </c>
      <c r="M34" s="33">
        <f>IF('IO model'!$D$13=0,0,'Z imported'!M34/'IO model'!$D$13)</f>
        <v>0.0009965701534803133</v>
      </c>
      <c r="N34" s="33">
        <f>IF('IO model'!$D$14=0,0,'Z imported'!N34/'IO model'!$D$14)</f>
        <v>0.0007056289382141401</v>
      </c>
      <c r="O34" s="33">
        <f>IF('IO model'!$D$15=0,0,'Z imported'!O34/'IO model'!$D$15)</f>
        <v>0.0003674472561836105</v>
      </c>
      <c r="P34" s="33">
        <f>IF('IO model'!$D$16=0,0,'Z imported'!P34/'IO model'!$D$16)</f>
        <v>0.0007569760687207857</v>
      </c>
      <c r="Q34" s="33">
        <f>IF('IO model'!$D$17=0,0,'Z imported'!Q34/'IO model'!$D$17)</f>
        <v>0.001326872799802926</v>
      </c>
      <c r="R34" s="33">
        <f>IF('IO model'!$D$18=0,0,'Z imported'!R34/'IO model'!$D$18)</f>
        <v>0.0003449394140157715</v>
      </c>
      <c r="S34" s="33">
        <f>IF('IO model'!$D$19=0,0,'Z imported'!S34/'IO model'!$D$19)</f>
        <v>0.0008931167963405191</v>
      </c>
      <c r="T34" s="33">
        <f>IF('IO model'!$D$20=0,0,'Z imported'!T34/'IO model'!$D$20)</f>
        <v>0.0005694103125553938</v>
      </c>
      <c r="U34" s="33">
        <f>IF('IO model'!$D$21=0,0,'Z imported'!U34/'IO model'!$D$21)</f>
        <v>0.0004202619670892232</v>
      </c>
      <c r="V34" s="33">
        <f>IF('IO model'!$D$22=0,0,'Z imported'!V34/'IO model'!$D$22)</f>
        <v>0.00037779139294023416</v>
      </c>
      <c r="W34" s="33">
        <f>IF('IO model'!$D$23=0,0,'Z imported'!W34/'IO model'!$D$23)</f>
        <v>0.0006757043961826366</v>
      </c>
      <c r="X34" s="33">
        <f>IF('IO model'!$D$24=0,0,'Z imported'!X34/'IO model'!$D$24)</f>
        <v>0.0003239468512866083</v>
      </c>
      <c r="Y34" s="33">
        <f>IF('IO model'!$D$25=0,0,'Z imported'!Y34/'IO model'!$D$25)</f>
        <v>0.00023883061394876212</v>
      </c>
      <c r="Z34" s="33">
        <f>IF('IO model'!$D$26=0,0,'Z imported'!Z34/'IO model'!$D$26)</f>
        <v>0.0004243153027010186</v>
      </c>
      <c r="AA34" s="33">
        <f>IF('IO model'!$D$27=0,0,'Z imported'!AA34/'IO model'!$D$27)</f>
        <v>0.000041338630379902015</v>
      </c>
      <c r="AB34" s="33">
        <f>IF('IO model'!$D$28=0,0,'Z imported'!AB34/'IO model'!$D$28)</f>
        <v>0.00027968631098916077</v>
      </c>
      <c r="AC34" s="33">
        <f>IF('IO model'!$D$29=0,0,'Z imported'!AC34/'IO model'!$D$29)</f>
        <v>0.00013890640623234166</v>
      </c>
      <c r="AD34" s="33">
        <f>IF('IO model'!$D$30=0,0,'Z imported'!AD34/'IO model'!$D$30)</f>
        <v>0.00024369128793799507</v>
      </c>
      <c r="AE34" s="33">
        <f>IF('IO model'!$D$31=0,0,'Z imported'!AE34/'IO model'!$D$31)</f>
        <v>0.0003661966141054805</v>
      </c>
      <c r="AF34" s="33">
        <f>IF('IO model'!$D$32=0,0,'Z imported'!AF34/'IO model'!$D$32)</f>
        <v>0.00005522376195507463</v>
      </c>
      <c r="AG34" s="33">
        <f>IF('IO model'!$D$33=0,0,'Z imported'!AG34/'IO model'!$D$33)</f>
        <v>0.0006422282354044276</v>
      </c>
      <c r="AH34" s="33">
        <f>IF('IO model'!$D$34=0,0,'Z imported'!AH34/'IO model'!$D$34)</f>
        <v>0.04242610702686421</v>
      </c>
      <c r="AI34" s="33">
        <f>IF('IO model'!$D$35=0,0,'Z imported'!AI34/'IO model'!$D$35)</f>
        <v>0.0004340275031713744</v>
      </c>
      <c r="AJ34" s="33">
        <f>IF('IO model'!$D$36=0,0,'Z imported'!AJ34/'IO model'!$D$36)</f>
        <v>0.0018386321700672849</v>
      </c>
      <c r="AK34" s="33">
        <f>IF('IO model'!$D$37=0,0,'Z imported'!AK34/'IO model'!$D$37)</f>
        <v>0.00015021303253808107</v>
      </c>
      <c r="AL34" s="33">
        <f>IF('IO model'!$D$38=0,0,'Z imported'!AL34/'IO model'!$D$38)</f>
        <v>0.00007503125457327328</v>
      </c>
      <c r="AM34" s="33">
        <f>IF('IO model'!$D$39=0,0,'Z imported'!AM34/'IO model'!$D$39)</f>
        <v>0.00066336430539702</v>
      </c>
      <c r="AN34" s="33">
        <f>IF('IO model'!$D$40=0,0,'Z imported'!AN34/'IO model'!$D$40)</f>
        <v>0.00011820714527426373</v>
      </c>
      <c r="AO34" s="33">
        <f>IF('IO model'!$D$41=0,0,'Z imported'!AO34/'IO model'!$D$41)</f>
        <v>0.00011209434045548635</v>
      </c>
      <c r="AP34" s="33">
        <f>IF('IO model'!$D$42=0,0,'Z imported'!AP34/'IO model'!$D$42)</f>
        <v>0.00003483592280359506</v>
      </c>
      <c r="AQ34" s="33">
        <f>IF('IO model'!$D$43=0,0,'Z imported'!AQ34/'IO model'!$D$43)</f>
        <v>0.000008868162422072518</v>
      </c>
      <c r="AR34" s="33">
        <f>IF('IO model'!$D$44=0,0,'Z imported'!AR34/'IO model'!$D$44)</f>
        <v>0.000004735956704382331</v>
      </c>
      <c r="AS34" s="33">
        <f>IF('IO model'!$D$45=0,0,'Z imported'!AS34/'IO model'!$D$45)</f>
        <v>0.00003276403151771346</v>
      </c>
      <c r="AT34" s="33">
        <f>IF('IO model'!$D$46=0,0,'Z imported'!AT34/'IO model'!$D$46)</f>
        <v>0.000002371172311384624</v>
      </c>
      <c r="AU34" s="33">
        <f>IF('IO model'!$D$47=0,0,'Z imported'!AU34/'IO model'!$D$47)</f>
        <v>0.000025750644515703573</v>
      </c>
      <c r="AV34" s="33">
        <f>IF('IO model'!$D$48=0,0,'Z imported'!AV34/'IO model'!$D$48)</f>
        <v>0.00004237116156302308</v>
      </c>
      <c r="AW34" s="33">
        <f>IF('IO model'!$D$49=0,0,'Z imported'!AW34/'IO model'!$D$49)</f>
        <v>0.00004275750913483643</v>
      </c>
      <c r="AX34" s="33">
        <f>IF('IO model'!$D$50=0,0,'Z imported'!AX34/'IO model'!$D$50)</f>
        <v>0.0000689193845904364</v>
      </c>
      <c r="AY34" s="33">
        <f>IF('IO model'!$D$51=0,0,'Z imported'!AY34/'IO model'!$D$51)</f>
        <v>0.00004977405039100282</v>
      </c>
      <c r="AZ34" s="33">
        <f>IF('IO model'!$D$52=0,0,'Z imported'!AZ34/'IO model'!$D$52)</f>
        <v>0.00013706542118982557</v>
      </c>
      <c r="BA34" s="33">
        <f>IF('IO model'!$D$53=0,0,'Z imported'!BA34/'IO model'!$D$53)</f>
        <v>0.000015887949591400584</v>
      </c>
      <c r="BB34" s="33">
        <f>IF('IO model'!$D$54=0,0,'Z imported'!BB34/'IO model'!$D$54)</f>
        <v>0.0008688166621324382</v>
      </c>
      <c r="BC34" s="33">
        <f>IF('IO model'!$D$55=0,0,'Z imported'!BC34/'IO model'!$D$55)</f>
        <v>0.000046858564241054254</v>
      </c>
      <c r="BD34" s="33">
        <f>IF('IO model'!$D$56=0,0,'Z imported'!BD34/'IO model'!$D$56)</f>
        <v>0.00006668510832432018</v>
      </c>
      <c r="BE34" s="33">
        <f>IF('IO model'!$D$57=0,0,'Z imported'!BE34/'IO model'!$D$57)</f>
        <v>0.000032407893800391104</v>
      </c>
      <c r="BF34" s="33">
        <f>IF('IO model'!$D$58=0,0,'Z imported'!BF34/'IO model'!$D$58)</f>
        <v>0.00008969718231251296</v>
      </c>
      <c r="BG34" s="33">
        <f>IF('IO model'!$D$59=0,0,'Z imported'!BG34/'IO model'!$D$59)</f>
        <v>0.00004776727635416539</v>
      </c>
      <c r="BH34" s="33">
        <f>IF('IO model'!$D$60=0,0,'Z imported'!BH34/'IO model'!$D$60)</f>
        <v>0.000049752025431140565</v>
      </c>
      <c r="BI34" s="33">
        <f>IF('IO model'!$D$61=0,0,'Z imported'!BI34/'IO model'!$D$61)</f>
        <v>0.00004974533315620093</v>
      </c>
      <c r="BJ34" s="33">
        <f>IF('IO model'!$D$62=0,0,'Z imported'!BJ34/'IO model'!$D$62)</f>
        <v>0.00003450606012680978</v>
      </c>
      <c r="BK34" s="33">
        <f>IF('IO model'!$D$63=0,0,'Z imported'!BK34/'IO model'!$D$63)</f>
        <v>0.00008748633026089674</v>
      </c>
      <c r="BL34" s="33">
        <f>IF('IO model'!$D$64=0,0,'Z imported'!BL34/'IO model'!$D$64)</f>
        <v>0.000025458829095410683</v>
      </c>
      <c r="BM34" s="33">
        <f>IF('IO model'!$D$65=0,0,'Z imported'!BM34/'IO model'!$D$65)</f>
        <v>0</v>
      </c>
      <c r="BN34" s="33">
        <f>IF('IO model'!$D$66=0,0,'Z imported'!BN34/'IO model'!$D$66)</f>
        <v>0</v>
      </c>
    </row>
    <row r="35" spans="1:66" x14ac:dyDescent="0.25">
      <c r="A35" s="30" t="s">
        <v>137</v>
      </c>
      <c r="B35" s="31" t="s">
        <v>325</v>
      </c>
      <c r="C35" s="33">
        <f>IF('IO model'!$D$3=0,0,'Z imported'!C35/'IO model'!$D$3)</f>
        <v>0.000057259221047651715</v>
      </c>
      <c r="D35" s="33">
        <f>IF('IO model'!$D$4=0,0,'Z imported'!D35/'IO model'!$D$4)</f>
        <v>0.000044835796900245154</v>
      </c>
      <c r="E35" s="33">
        <f>IF('IO model'!$D$5=0,0,'Z imported'!E35/'IO model'!$D$5)</f>
        <v>0.00009501896985862533</v>
      </c>
      <c r="F35" s="33">
        <f>IF('IO model'!$D$6=0,0,'Z imported'!F35/'IO model'!$D$6)</f>
        <v>0.00004774347796546678</v>
      </c>
      <c r="G35" s="33">
        <f>IF('IO model'!$D$7=0,0,'Z imported'!G35/'IO model'!$D$7)</f>
        <v>0.00010536601445692354</v>
      </c>
      <c r="H35" s="33">
        <f>IF('IO model'!$D$8=0,0,'Z imported'!H35/'IO model'!$D$8)</f>
        <v>0.00016776195018436247</v>
      </c>
      <c r="I35" s="33">
        <f>IF('IO model'!$D$9=0,0,'Z imported'!I35/'IO model'!$D$9)</f>
        <v>0.00006732486624133191</v>
      </c>
      <c r="J35" s="33">
        <f>IF('IO model'!$D$10=0,0,'Z imported'!J35/'IO model'!$D$10)</f>
        <v>0.00007487120583439474</v>
      </c>
      <c r="K35" s="33">
        <f>IF('IO model'!$D$11=0,0,'Z imported'!K35/'IO model'!$D$11)</f>
        <v>0.00013221476796308222</v>
      </c>
      <c r="L35" s="33">
        <f>IF('IO model'!$D$12=0,0,'Z imported'!L35/'IO model'!$D$12)</f>
        <v>0.0006674916329354408</v>
      </c>
      <c r="M35" s="33">
        <f>IF('IO model'!$D$13=0,0,'Z imported'!M35/'IO model'!$D$13)</f>
        <v>0.0002463060009313298</v>
      </c>
      <c r="N35" s="33">
        <f>IF('IO model'!$D$14=0,0,'Z imported'!N35/'IO model'!$D$14)</f>
        <v>0.0002325184601895565</v>
      </c>
      <c r="O35" s="33">
        <f>IF('IO model'!$D$15=0,0,'Z imported'!O35/'IO model'!$D$15)</f>
        <v>0.0001620019176766795</v>
      </c>
      <c r="P35" s="33">
        <f>IF('IO model'!$D$16=0,0,'Z imported'!P35/'IO model'!$D$16)</f>
        <v>0.00012867088245651525</v>
      </c>
      <c r="Q35" s="33">
        <f>IF('IO model'!$D$17=0,0,'Z imported'!Q35/'IO model'!$D$17)</f>
        <v>0.00016747324004100418</v>
      </c>
      <c r="R35" s="33">
        <f>IF('IO model'!$D$18=0,0,'Z imported'!R35/'IO model'!$D$18)</f>
        <v>0.0001710297929419572</v>
      </c>
      <c r="S35" s="33">
        <f>IF('IO model'!$D$19=0,0,'Z imported'!S35/'IO model'!$D$19)</f>
        <v>0.00047004803375154256</v>
      </c>
      <c r="T35" s="33">
        <f>IF('IO model'!$D$20=0,0,'Z imported'!T35/'IO model'!$D$20)</f>
        <v>0.0004440569939755145</v>
      </c>
      <c r="U35" s="33">
        <f>IF('IO model'!$D$21=0,0,'Z imported'!U35/'IO model'!$D$21)</f>
        <v>0.0003044716328866821</v>
      </c>
      <c r="V35" s="33">
        <f>IF('IO model'!$D$22=0,0,'Z imported'!V35/'IO model'!$D$22)</f>
        <v>0.00017711869428469496</v>
      </c>
      <c r="W35" s="33">
        <f>IF('IO model'!$D$23=0,0,'Z imported'!W35/'IO model'!$D$23)</f>
        <v>0.0007991926724915024</v>
      </c>
      <c r="X35" s="33">
        <f>IF('IO model'!$D$24=0,0,'Z imported'!X35/'IO model'!$D$24)</f>
        <v>0.00017179540845519139</v>
      </c>
      <c r="Y35" s="33">
        <f>IF('IO model'!$D$25=0,0,'Z imported'!Y35/'IO model'!$D$25)</f>
        <v>0.00027654071088804025</v>
      </c>
      <c r="Z35" s="33">
        <f>IF('IO model'!$D$26=0,0,'Z imported'!Z35/'IO model'!$D$26)</f>
        <v>0.00026608998359617744</v>
      </c>
      <c r="AA35" s="33">
        <f>IF('IO model'!$D$27=0,0,'Z imported'!AA35/'IO model'!$D$27)</f>
        <v>0.00002565846023580125</v>
      </c>
      <c r="AB35" s="33">
        <f>IF('IO model'!$D$28=0,0,'Z imported'!AB35/'IO model'!$D$28)</f>
        <v>0.00006811548533315352</v>
      </c>
      <c r="AC35" s="33">
        <f>IF('IO model'!$D$29=0,0,'Z imported'!AC35/'IO model'!$D$29)</f>
        <v>0.00006048551437899828</v>
      </c>
      <c r="AD35" s="33">
        <f>IF('IO model'!$D$30=0,0,'Z imported'!AD35/'IO model'!$D$30)</f>
        <v>0.00006547664908232998</v>
      </c>
      <c r="AE35" s="33">
        <f>IF('IO model'!$D$31=0,0,'Z imported'!AE35/'IO model'!$D$31)</f>
        <v>0.0000653638827780467</v>
      </c>
      <c r="AF35" s="33">
        <f>IF('IO model'!$D$32=0,0,'Z imported'!AF35/'IO model'!$D$32)</f>
        <v>0.000051565968352234456</v>
      </c>
      <c r="AG35" s="33">
        <f>IF('IO model'!$D$33=0,0,'Z imported'!AG35/'IO model'!$D$33)</f>
        <v>0.0000472702774596927</v>
      </c>
      <c r="AH35" s="33">
        <f>IF('IO model'!$D$34=0,0,'Z imported'!AH35/'IO model'!$D$34)</f>
        <v>0.00031838674893231014</v>
      </c>
      <c r="AI35" s="33">
        <f>IF('IO model'!$D$35=0,0,'Z imported'!AI35/'IO model'!$D$35)</f>
        <v>0.006399691245741184</v>
      </c>
      <c r="AJ35" s="33">
        <f>IF('IO model'!$D$36=0,0,'Z imported'!AJ35/'IO model'!$D$36)</f>
        <v>0.0003504210060073761</v>
      </c>
      <c r="AK35" s="33">
        <f>IF('IO model'!$D$37=0,0,'Z imported'!AK35/'IO model'!$D$37)</f>
        <v>0.0007448351290828351</v>
      </c>
      <c r="AL35" s="33">
        <f>IF('IO model'!$D$38=0,0,'Z imported'!AL35/'IO model'!$D$38)</f>
        <v>0.00006308934318473428</v>
      </c>
      <c r="AM35" s="33">
        <f>IF('IO model'!$D$39=0,0,'Z imported'!AM35/'IO model'!$D$39)</f>
        <v>0.00013240173125430985</v>
      </c>
      <c r="AN35" s="33">
        <f>IF('IO model'!$D$40=0,0,'Z imported'!AN35/'IO model'!$D$40)</f>
        <v>0.0004438562415690492</v>
      </c>
      <c r="AO35" s="33">
        <f>IF('IO model'!$D$41=0,0,'Z imported'!AO35/'IO model'!$D$41)</f>
        <v>0.00011703113783305962</v>
      </c>
      <c r="AP35" s="33">
        <f>IF('IO model'!$D$42=0,0,'Z imported'!AP35/'IO model'!$D$42)</f>
        <v>0.00010840866601639612</v>
      </c>
      <c r="AQ35" s="33">
        <f>IF('IO model'!$D$43=0,0,'Z imported'!AQ35/'IO model'!$D$43)</f>
        <v>0.000058721616038047765</v>
      </c>
      <c r="AR35" s="33">
        <f>IF('IO model'!$D$44=0,0,'Z imported'!AR35/'IO model'!$D$44)</f>
        <v>0.00007577530727011731</v>
      </c>
      <c r="AS35" s="33">
        <f>IF('IO model'!$D$45=0,0,'Z imported'!AS35/'IO model'!$D$45)</f>
        <v>0.00023095430060035275</v>
      </c>
      <c r="AT35" s="33">
        <f>IF('IO model'!$D$46=0,0,'Z imported'!AT35/'IO model'!$D$46)</f>
        <v>0.000004457803945403094</v>
      </c>
      <c r="AU35" s="33">
        <f>IF('IO model'!$D$47=0,0,'Z imported'!AU35/'IO model'!$D$47)</f>
        <v>0.00015194644007040159</v>
      </c>
      <c r="AV35" s="33">
        <f>IF('IO model'!$D$48=0,0,'Z imported'!AV35/'IO model'!$D$48)</f>
        <v>0.00014562299210870564</v>
      </c>
      <c r="AW35" s="33">
        <f>IF('IO model'!$D$49=0,0,'Z imported'!AW35/'IO model'!$D$49)</f>
        <v>0.0001938340414112584</v>
      </c>
      <c r="AX35" s="33">
        <f>IF('IO model'!$D$50=0,0,'Z imported'!AX35/'IO model'!$D$50)</f>
        <v>0.00018590859204647137</v>
      </c>
      <c r="AY35" s="33">
        <f>IF('IO model'!$D$51=0,0,'Z imported'!AY35/'IO model'!$D$51)</f>
        <v>0.00013211630659340254</v>
      </c>
      <c r="AZ35" s="33">
        <f>IF('IO model'!$D$52=0,0,'Z imported'!AZ35/'IO model'!$D$52)</f>
        <v>0.00009716716987318328</v>
      </c>
      <c r="BA35" s="33">
        <f>IF('IO model'!$D$53=0,0,'Z imported'!BA35/'IO model'!$D$53)</f>
        <v>0.00003735815174194191</v>
      </c>
      <c r="BB35" s="33">
        <f>IF('IO model'!$D$54=0,0,'Z imported'!BB35/'IO model'!$D$54)</f>
        <v>0.008281282785064011</v>
      </c>
      <c r="BC35" s="33">
        <f>IF('IO model'!$D$55=0,0,'Z imported'!BC35/'IO model'!$D$55)</f>
        <v>0.00009293354045132163</v>
      </c>
      <c r="BD35" s="33">
        <f>IF('IO model'!$D$56=0,0,'Z imported'!BD35/'IO model'!$D$56)</f>
        <v>0.00012536521930281904</v>
      </c>
      <c r="BE35" s="33">
        <f>IF('IO model'!$D$57=0,0,'Z imported'!BE35/'IO model'!$D$57)</f>
        <v>0.00004024509687630267</v>
      </c>
      <c r="BF35" s="33">
        <f>IF('IO model'!$D$58=0,0,'Z imported'!BF35/'IO model'!$D$58)</f>
        <v>0.00009798918849962526</v>
      </c>
      <c r="BG35" s="33">
        <f>IF('IO model'!$D$59=0,0,'Z imported'!BG35/'IO model'!$D$59)</f>
        <v>0.00007284970718106305</v>
      </c>
      <c r="BH35" s="33">
        <f>IF('IO model'!$D$60=0,0,'Z imported'!BH35/'IO model'!$D$60)</f>
        <v>0.00020991863361735622</v>
      </c>
      <c r="BI35" s="33">
        <f>IF('IO model'!$D$61=0,0,'Z imported'!BI35/'IO model'!$D$61)</f>
        <v>0.0001147068858660633</v>
      </c>
      <c r="BJ35" s="33">
        <f>IF('IO model'!$D$62=0,0,'Z imported'!BJ35/'IO model'!$D$62)</f>
        <v>0.0002944517130821101</v>
      </c>
      <c r="BK35" s="33">
        <f>IF('IO model'!$D$63=0,0,'Z imported'!BK35/'IO model'!$D$63)</f>
        <v>0.00009998437744102484</v>
      </c>
      <c r="BL35" s="33">
        <f>IF('IO model'!$D$64=0,0,'Z imported'!BL35/'IO model'!$D$64)</f>
        <v>0.00009387943228932687</v>
      </c>
      <c r="BM35" s="33">
        <f>IF('IO model'!$D$65=0,0,'Z imported'!BM35/'IO model'!$D$65)</f>
        <v>0</v>
      </c>
      <c r="BN35" s="33">
        <f>IF('IO model'!$D$66=0,0,'Z imported'!BN35/'IO model'!$D$66)</f>
        <v>0</v>
      </c>
    </row>
    <row r="36" spans="1:66" x14ac:dyDescent="0.25">
      <c r="A36" s="30" t="s">
        <v>326</v>
      </c>
      <c r="B36" s="31" t="s">
        <v>327</v>
      </c>
      <c r="C36" s="33">
        <f>IF('IO model'!$D$3=0,0,'Z imported'!C36/'IO model'!$D$3)</f>
        <v>0.00010631361468908506</v>
      </c>
      <c r="D36" s="33">
        <f>IF('IO model'!$D$4=0,0,'Z imported'!D36/'IO model'!$D$4)</f>
        <v>0.0001216971630149511</v>
      </c>
      <c r="E36" s="33">
        <f>IF('IO model'!$D$5=0,0,'Z imported'!E36/'IO model'!$D$5)</f>
        <v>0.0007737258974202348</v>
      </c>
      <c r="F36" s="33">
        <f>IF('IO model'!$D$6=0,0,'Z imported'!F36/'IO model'!$D$6)</f>
        <v>0.00036909381042533933</v>
      </c>
      <c r="G36" s="33">
        <f>IF('IO model'!$D$7=0,0,'Z imported'!G36/'IO model'!$D$7)</f>
        <v>0.00036304184031456753</v>
      </c>
      <c r="H36" s="33">
        <f>IF('IO model'!$D$8=0,0,'Z imported'!H36/'IO model'!$D$8)</f>
        <v>0.00033244972850670783</v>
      </c>
      <c r="I36" s="33">
        <f>IF('IO model'!$D$9=0,0,'Z imported'!I36/'IO model'!$D$9)</f>
        <v>0.00035642576245411016</v>
      </c>
      <c r="J36" s="33">
        <f>IF('IO model'!$D$10=0,0,'Z imported'!J36/'IO model'!$D$10)</f>
        <v>0.0004519172184495205</v>
      </c>
      <c r="K36" s="33">
        <f>IF('IO model'!$D$11=0,0,'Z imported'!K36/'IO model'!$D$11)</f>
        <v>0.00021182796157526073</v>
      </c>
      <c r="L36" s="33">
        <f>IF('IO model'!$D$12=0,0,'Z imported'!L36/'IO model'!$D$12)</f>
        <v>0.0005102619032181216</v>
      </c>
      <c r="M36" s="33">
        <f>IF('IO model'!$D$13=0,0,'Z imported'!M36/'IO model'!$D$13)</f>
        <v>0.0005011216141789051</v>
      </c>
      <c r="N36" s="33">
        <f>IF('IO model'!$D$14=0,0,'Z imported'!N36/'IO model'!$D$14)</f>
        <v>0.0003638483312225467</v>
      </c>
      <c r="O36" s="33">
        <f>IF('IO model'!$D$15=0,0,'Z imported'!O36/'IO model'!$D$15)</f>
        <v>0.00031139122930586667</v>
      </c>
      <c r="P36" s="33">
        <f>IF('IO model'!$D$16=0,0,'Z imported'!P36/'IO model'!$D$16)</f>
        <v>0.00046050631616015997</v>
      </c>
      <c r="Q36" s="33">
        <f>IF('IO model'!$D$17=0,0,'Z imported'!Q36/'IO model'!$D$17)</f>
        <v>0.0004225570362600425</v>
      </c>
      <c r="R36" s="33">
        <f>IF('IO model'!$D$18=0,0,'Z imported'!R36/'IO model'!$D$18)</f>
        <v>0.00022654647970609112</v>
      </c>
      <c r="S36" s="33">
        <f>IF('IO model'!$D$19=0,0,'Z imported'!S36/'IO model'!$D$19)</f>
        <v>0.00020272576795150724</v>
      </c>
      <c r="T36" s="33">
        <f>IF('IO model'!$D$20=0,0,'Z imported'!T36/'IO model'!$D$20)</f>
        <v>0.00021255562715718663</v>
      </c>
      <c r="U36" s="33">
        <f>IF('IO model'!$D$21=0,0,'Z imported'!U36/'IO model'!$D$21)</f>
        <v>0.00018437870703071313</v>
      </c>
      <c r="V36" s="33">
        <f>IF('IO model'!$D$22=0,0,'Z imported'!V36/'IO model'!$D$22)</f>
        <v>0.00021847730038468134</v>
      </c>
      <c r="W36" s="33">
        <f>IF('IO model'!$D$23=0,0,'Z imported'!W36/'IO model'!$D$23)</f>
        <v>0.0005459867409501781</v>
      </c>
      <c r="X36" s="33">
        <f>IF('IO model'!$D$24=0,0,'Z imported'!X36/'IO model'!$D$24)</f>
        <v>0.00019572533021506214</v>
      </c>
      <c r="Y36" s="33">
        <f>IF('IO model'!$D$25=0,0,'Z imported'!Y36/'IO model'!$D$25)</f>
        <v>0.0002335593100755297</v>
      </c>
      <c r="Z36" s="33">
        <f>IF('IO model'!$D$26=0,0,'Z imported'!Z36/'IO model'!$D$26)</f>
        <v>0.00017045831499500094</v>
      </c>
      <c r="AA36" s="33">
        <f>IF('IO model'!$D$27=0,0,'Z imported'!AA36/'IO model'!$D$27)</f>
        <v>0.00008410273077290408</v>
      </c>
      <c r="AB36" s="33">
        <f>IF('IO model'!$D$28=0,0,'Z imported'!AB36/'IO model'!$D$28)</f>
        <v>0.00023909223387142274</v>
      </c>
      <c r="AC36" s="33">
        <f>IF('IO model'!$D$29=0,0,'Z imported'!AC36/'IO model'!$D$29)</f>
        <v>0.00015478024606595744</v>
      </c>
      <c r="AD36" s="33">
        <f>IF('IO model'!$D$30=0,0,'Z imported'!AD36/'IO model'!$D$30)</f>
        <v>0.0005843667854189903</v>
      </c>
      <c r="AE36" s="33">
        <f>IF('IO model'!$D$31=0,0,'Z imported'!AE36/'IO model'!$D$31)</f>
        <v>0.001181769922310032</v>
      </c>
      <c r="AF36" s="33">
        <f>IF('IO model'!$D$32=0,0,'Z imported'!AF36/'IO model'!$D$32)</f>
        <v>0.0004862189057433872</v>
      </c>
      <c r="AG36" s="33">
        <f>IF('IO model'!$D$33=0,0,'Z imported'!AG36/'IO model'!$D$33)</f>
        <v>0.00226793725718942</v>
      </c>
      <c r="AH36" s="33">
        <f>IF('IO model'!$D$34=0,0,'Z imported'!AH36/'IO model'!$D$34)</f>
        <v>0.060268208654026455</v>
      </c>
      <c r="AI36" s="33">
        <f>IF('IO model'!$D$35=0,0,'Z imported'!AI36/'IO model'!$D$35)</f>
        <v>0.013501671891657624</v>
      </c>
      <c r="AJ36" s="33">
        <f>IF('IO model'!$D$36=0,0,'Z imported'!AJ36/'IO model'!$D$36)</f>
        <v>0.009897341530133701</v>
      </c>
      <c r="AK36" s="33">
        <f>IF('IO model'!$D$37=0,0,'Z imported'!AK36/'IO model'!$D$37)</f>
        <v>0.002257348843809596</v>
      </c>
      <c r="AL36" s="33">
        <f>IF('IO model'!$D$38=0,0,'Z imported'!AL36/'IO model'!$D$38)</f>
        <v>0.00006432859814014871</v>
      </c>
      <c r="AM36" s="33">
        <f>IF('IO model'!$D$39=0,0,'Z imported'!AM36/'IO model'!$D$39)</f>
        <v>0.000274293006386915</v>
      </c>
      <c r="AN36" s="33">
        <f>IF('IO model'!$D$40=0,0,'Z imported'!AN36/'IO model'!$D$40)</f>
        <v>0.0001141510177403429</v>
      </c>
      <c r="AO36" s="33">
        <f>IF('IO model'!$D$41=0,0,'Z imported'!AO36/'IO model'!$D$41)</f>
        <v>0.00048641974161383337</v>
      </c>
      <c r="AP36" s="33">
        <f>IF('IO model'!$D$42=0,0,'Z imported'!AP36/'IO model'!$D$42)</f>
        <v>0.0003788406604890962</v>
      </c>
      <c r="AQ36" s="33">
        <f>IF('IO model'!$D$43=0,0,'Z imported'!AQ36/'IO model'!$D$43)</f>
        <v>0.000033195689066406605</v>
      </c>
      <c r="AR36" s="33">
        <f>IF('IO model'!$D$44=0,0,'Z imported'!AR36/'IO model'!$D$44)</f>
        <v>0.00004661178440628924</v>
      </c>
      <c r="AS36" s="33">
        <f>IF('IO model'!$D$45=0,0,'Z imported'!AS36/'IO model'!$D$45)</f>
        <v>0.00008158886279901197</v>
      </c>
      <c r="AT36" s="33">
        <f>IF('IO model'!$D$46=0,0,'Z imported'!AT36/'IO model'!$D$46)</f>
        <v>0.000009247572014400032</v>
      </c>
      <c r="AU36" s="33">
        <f>IF('IO model'!$D$47=0,0,'Z imported'!AU36/'IO model'!$D$47)</f>
        <v>0.000143215913333913</v>
      </c>
      <c r="AV36" s="33">
        <f>IF('IO model'!$D$48=0,0,'Z imported'!AV36/'IO model'!$D$48)</f>
        <v>0.00009009446984979646</v>
      </c>
      <c r="AW36" s="33">
        <f>IF('IO model'!$D$49=0,0,'Z imported'!AW36/'IO model'!$D$49)</f>
        <v>0.00006963365773387644</v>
      </c>
      <c r="AX36" s="33">
        <f>IF('IO model'!$D$50=0,0,'Z imported'!AX36/'IO model'!$D$50)</f>
        <v>0.0001384179236732294</v>
      </c>
      <c r="AY36" s="33">
        <f>IF('IO model'!$D$51=0,0,'Z imported'!AY36/'IO model'!$D$51)</f>
        <v>0.00013826125108611892</v>
      </c>
      <c r="AZ36" s="33">
        <f>IF('IO model'!$D$52=0,0,'Z imported'!AZ36/'IO model'!$D$52)</f>
        <v>0.00027793067583837904</v>
      </c>
      <c r="BA36" s="33">
        <f>IF('IO model'!$D$53=0,0,'Z imported'!BA36/'IO model'!$D$53)</f>
        <v>0.00005238729324732084</v>
      </c>
      <c r="BB36" s="33">
        <f>IF('IO model'!$D$54=0,0,'Z imported'!BB36/'IO model'!$D$54)</f>
        <v>0.00041007508203496176</v>
      </c>
      <c r="BC36" s="33">
        <f>IF('IO model'!$D$55=0,0,'Z imported'!BC36/'IO model'!$D$55)</f>
        <v>0.00013979210469237585</v>
      </c>
      <c r="BD36" s="33">
        <f>IF('IO model'!$D$56=0,0,'Z imported'!BD36/'IO model'!$D$56)</f>
        <v>0.0000996100104510461</v>
      </c>
      <c r="BE36" s="33">
        <f>IF('IO model'!$D$57=0,0,'Z imported'!BE36/'IO model'!$D$57)</f>
        <v>0.000021817078832943027</v>
      </c>
      <c r="BF36" s="33">
        <f>IF('IO model'!$D$58=0,0,'Z imported'!BF36/'IO model'!$D$58)</f>
        <v>0.00004313437833872846</v>
      </c>
      <c r="BG36" s="33">
        <f>IF('IO model'!$D$59=0,0,'Z imported'!BG36/'IO model'!$D$59)</f>
        <v>0.000028955453233992142</v>
      </c>
      <c r="BH36" s="33">
        <f>IF('IO model'!$D$60=0,0,'Z imported'!BH36/'IO model'!$D$60)</f>
        <v>0.00008641141259092834</v>
      </c>
      <c r="BI36" s="33">
        <f>IF('IO model'!$D$61=0,0,'Z imported'!BI36/'IO model'!$D$61)</f>
        <v>0.00009012683889476401</v>
      </c>
      <c r="BJ36" s="33">
        <f>IF('IO model'!$D$62=0,0,'Z imported'!BJ36/'IO model'!$D$62)</f>
        <v>0.00005233419119232815</v>
      </c>
      <c r="BK36" s="33">
        <f>IF('IO model'!$D$63=0,0,'Z imported'!BK36/'IO model'!$D$63)</f>
        <v>0.0002843305733479143</v>
      </c>
      <c r="BL36" s="33">
        <f>IF('IO model'!$D$64=0,0,'Z imported'!BL36/'IO model'!$D$64)</f>
        <v>0.00009494021683496898</v>
      </c>
      <c r="BM36" s="33">
        <f>IF('IO model'!$D$65=0,0,'Z imported'!BM36/'IO model'!$D$65)</f>
        <v>0</v>
      </c>
      <c r="BN36" s="33">
        <f>IF('IO model'!$D$66=0,0,'Z imported'!BN36/'IO model'!$D$66)</f>
        <v>0</v>
      </c>
    </row>
    <row r="37" spans="1:66" x14ac:dyDescent="0.25">
      <c r="A37" s="30" t="s">
        <v>328</v>
      </c>
      <c r="B37" s="31" t="s">
        <v>329</v>
      </c>
      <c r="C37" s="33">
        <f>IF('IO model'!$D$3=0,0,'Z imported'!C37/'IO model'!$D$3)</f>
        <v>0.00007855685814464414</v>
      </c>
      <c r="D37" s="33">
        <f>IF('IO model'!$D$4=0,0,'Z imported'!D37/'IO model'!$D$4)</f>
        <v>0.000056044746125306444</v>
      </c>
      <c r="E37" s="33">
        <f>IF('IO model'!$D$5=0,0,'Z imported'!E37/'IO model'!$D$5)</f>
        <v>0.000054296554204928765</v>
      </c>
      <c r="F37" s="33">
        <f>IF('IO model'!$D$6=0,0,'Z imported'!F37/'IO model'!$D$6)</f>
        <v>0.0000624337788779181</v>
      </c>
      <c r="G37" s="33">
        <f>IF('IO model'!$D$7=0,0,'Z imported'!G37/'IO model'!$D$7)</f>
        <v>0.00015731322549504366</v>
      </c>
      <c r="H37" s="33">
        <f>IF('IO model'!$D$8=0,0,'Z imported'!H37/'IO model'!$D$8)</f>
        <v>0.00036494811676231735</v>
      </c>
      <c r="I37" s="33">
        <f>IF('IO model'!$D$9=0,0,'Z imported'!I37/'IO model'!$D$9)</f>
        <v>0.00008486327677478814</v>
      </c>
      <c r="J37" s="33">
        <f>IF('IO model'!$D$10=0,0,'Z imported'!J37/'IO model'!$D$10)</f>
        <v>0.0001313608581405848</v>
      </c>
      <c r="K37" s="33">
        <f>IF('IO model'!$D$11=0,0,'Z imported'!K37/'IO model'!$D$11)</f>
        <v>0.00039522263971760054</v>
      </c>
      <c r="L37" s="33">
        <f>IF('IO model'!$D$12=0,0,'Z imported'!L37/'IO model'!$D$12)</f>
        <v>0.00012545316051043096</v>
      </c>
      <c r="M37" s="33">
        <f>IF('IO model'!$D$13=0,0,'Z imported'!M37/'IO model'!$D$13)</f>
        <v>0.000569671268948661</v>
      </c>
      <c r="N37" s="33">
        <f>IF('IO model'!$D$14=0,0,'Z imported'!N37/'IO model'!$D$14)</f>
        <v>0.0005745681857693322</v>
      </c>
      <c r="O37" s="33">
        <f>IF('IO model'!$D$15=0,0,'Z imported'!O37/'IO model'!$D$15)</f>
        <v>0.00021777766442003461</v>
      </c>
      <c r="P37" s="33">
        <f>IF('IO model'!$D$16=0,0,'Z imported'!P37/'IO model'!$D$16)</f>
        <v>0.00015350210538672</v>
      </c>
      <c r="Q37" s="33">
        <f>IF('IO model'!$D$17=0,0,'Z imported'!Q37/'IO model'!$D$17)</f>
        <v>0.00007966402047027602</v>
      </c>
      <c r="R37" s="33">
        <f>IF('IO model'!$D$18=0,0,'Z imported'!R37/'IO model'!$D$18)</f>
        <v>0.00019134858031672668</v>
      </c>
      <c r="S37" s="33">
        <f>IF('IO model'!$D$19=0,0,'Z imported'!S37/'IO model'!$D$19)</f>
        <v>0.00043021778211371493</v>
      </c>
      <c r="T37" s="33">
        <f>IF('IO model'!$D$20=0,0,'Z imported'!T37/'IO model'!$D$20)</f>
        <v>0.000534373670716297</v>
      </c>
      <c r="U37" s="33">
        <f>IF('IO model'!$D$21=0,0,'Z imported'!U37/'IO model'!$D$21)</f>
        <v>0.0003443338790875569</v>
      </c>
      <c r="V37" s="33">
        <f>IF('IO model'!$D$22=0,0,'Z imported'!V37/'IO model'!$D$22)</f>
        <v>0.00017906607259881986</v>
      </c>
      <c r="W37" s="33">
        <f>IF('IO model'!$D$23=0,0,'Z imported'!W37/'IO model'!$D$23)</f>
        <v>0.0000787833216807304</v>
      </c>
      <c r="X37" s="33">
        <f>IF('IO model'!$D$24=0,0,'Z imported'!X37/'IO model'!$D$24)</f>
        <v>0.0005157433883769154</v>
      </c>
      <c r="Y37" s="33">
        <f>IF('IO model'!$D$25=0,0,'Z imported'!Y37/'IO model'!$D$25)</f>
        <v>0.00017516948255664723</v>
      </c>
      <c r="Z37" s="33">
        <f>IF('IO model'!$D$26=0,0,'Z imported'!Z37/'IO model'!$D$26)</f>
        <v>0.00021778304362116667</v>
      </c>
      <c r="AA37" s="33">
        <f>IF('IO model'!$D$27=0,0,'Z imported'!AA37/'IO model'!$D$27)</f>
        <v>0.00033783639310471636</v>
      </c>
      <c r="AB37" s="33">
        <f>IF('IO model'!$D$28=0,0,'Z imported'!AB37/'IO model'!$D$28)</f>
        <v>0.0003601864300192512</v>
      </c>
      <c r="AC37" s="33">
        <f>IF('IO model'!$D$29=0,0,'Z imported'!AC37/'IO model'!$D$29)</f>
        <v>0.00007203012516708248</v>
      </c>
      <c r="AD37" s="33">
        <f>IF('IO model'!$D$30=0,0,'Z imported'!AD37/'IO model'!$D$30)</f>
        <v>0.00044209045771377695</v>
      </c>
      <c r="AE37" s="33">
        <f>IF('IO model'!$D$31=0,0,'Z imported'!AE37/'IO model'!$D$31)</f>
        <v>0.0005800477201735864</v>
      </c>
      <c r="AF37" s="33">
        <f>IF('IO model'!$D$32=0,0,'Z imported'!AF37/'IO model'!$D$32)</f>
        <v>0.0009914404953259195</v>
      </c>
      <c r="AG37" s="33">
        <f>IF('IO model'!$D$33=0,0,'Z imported'!AG37/'IO model'!$D$33)</f>
        <v>0.0003635278598064586</v>
      </c>
      <c r="AH37" s="33">
        <f>IF('IO model'!$D$34=0,0,'Z imported'!AH37/'IO model'!$D$34)</f>
        <v>0.0008526071025990572</v>
      </c>
      <c r="AI37" s="33">
        <f>IF('IO model'!$D$35=0,0,'Z imported'!AI37/'IO model'!$D$35)</f>
        <v>0.0006852066850358577</v>
      </c>
      <c r="AJ37" s="33">
        <f>IF('IO model'!$D$36=0,0,'Z imported'!AJ37/'IO model'!$D$36)</f>
        <v>0.0006758020036458253</v>
      </c>
      <c r="AK37" s="33">
        <f>IF('IO model'!$D$37=0,0,'Z imported'!AK37/'IO model'!$D$37)</f>
        <v>0.01483024888984262</v>
      </c>
      <c r="AL37" s="33">
        <f>IF('IO model'!$D$38=0,0,'Z imported'!AL37/'IO model'!$D$38)</f>
        <v>0.00044444189082817274</v>
      </c>
      <c r="AM37" s="33">
        <f>IF('IO model'!$D$39=0,0,'Z imported'!AM37/'IO model'!$D$39)</f>
        <v>0.0011179586454715445</v>
      </c>
      <c r="AN37" s="33">
        <f>IF('IO model'!$D$40=0,0,'Z imported'!AN37/'IO model'!$D$40)</f>
        <v>0.000642027043940609</v>
      </c>
      <c r="AO37" s="33">
        <f>IF('IO model'!$D$41=0,0,'Z imported'!AO37/'IO model'!$D$41)</f>
        <v>0.0015742575637543823</v>
      </c>
      <c r="AP37" s="33">
        <f>IF('IO model'!$D$42=0,0,'Z imported'!AP37/'IO model'!$D$42)</f>
        <v>0.0006811148656494576</v>
      </c>
      <c r="AQ37" s="33">
        <f>IF('IO model'!$D$43=0,0,'Z imported'!AQ37/'IO model'!$D$43)</f>
        <v>0.0004968567757015226</v>
      </c>
      <c r="AR37" s="33">
        <f>IF('IO model'!$D$44=0,0,'Z imported'!AR37/'IO model'!$D$44)</f>
        <v>0.00045664593065412786</v>
      </c>
      <c r="AS37" s="33">
        <f>IF('IO model'!$D$45=0,0,'Z imported'!AS37/'IO model'!$D$45)</f>
        <v>0.0010571218404391667</v>
      </c>
      <c r="AT37" s="33">
        <f>IF('IO model'!$D$46=0,0,'Z imported'!AT37/'IO model'!$D$46)</f>
        <v>0.000027553022258289337</v>
      </c>
      <c r="AU37" s="33">
        <f>IF('IO model'!$D$47=0,0,'Z imported'!AU37/'IO model'!$D$47)</f>
        <v>0.0026179234010040285</v>
      </c>
      <c r="AV37" s="33">
        <f>IF('IO model'!$D$48=0,0,'Z imported'!AV37/'IO model'!$D$48)</f>
        <v>0.00022033004012772002</v>
      </c>
      <c r="AW37" s="33">
        <f>IF('IO model'!$D$49=0,0,'Z imported'!AW37/'IO model'!$D$49)</f>
        <v>0.0003929618696677824</v>
      </c>
      <c r="AX37" s="33">
        <f>IF('IO model'!$D$50=0,0,'Z imported'!AX37/'IO model'!$D$50)</f>
        <v>0.0005368762144145761</v>
      </c>
      <c r="AY37" s="33">
        <f>IF('IO model'!$D$51=0,0,'Z imported'!AY37/'IO model'!$D$51)</f>
        <v>0.0004664012869971746</v>
      </c>
      <c r="AZ37" s="33">
        <f>IF('IO model'!$D$52=0,0,'Z imported'!AZ37/'IO model'!$D$52)</f>
        <v>0.00036016992855227427</v>
      </c>
      <c r="BA37" s="33">
        <f>IF('IO model'!$D$53=0,0,'Z imported'!BA37/'IO model'!$D$53)</f>
        <v>0.00042124536619362083</v>
      </c>
      <c r="BB37" s="33">
        <f>IF('IO model'!$D$54=0,0,'Z imported'!BB37/'IO model'!$D$54)</f>
        <v>0.0003781626242890502</v>
      </c>
      <c r="BC37" s="33">
        <f>IF('IO model'!$D$55=0,0,'Z imported'!BC37/'IO model'!$D$55)</f>
        <v>0.00042407784226184883</v>
      </c>
      <c r="BD37" s="33">
        <f>IF('IO model'!$D$56=0,0,'Z imported'!BD37/'IO model'!$D$56)</f>
        <v>0.0006801463397045225</v>
      </c>
      <c r="BE37" s="33">
        <f>IF('IO model'!$D$57=0,0,'Z imported'!BE37/'IO model'!$D$57)</f>
        <v>0.00015515543927311425</v>
      </c>
      <c r="BF37" s="33">
        <f>IF('IO model'!$D$58=0,0,'Z imported'!BF37/'IO model'!$D$58)</f>
        <v>0.00017803894053674795</v>
      </c>
      <c r="BG37" s="33">
        <f>IF('IO model'!$D$59=0,0,'Z imported'!BG37/'IO model'!$D$59)</f>
        <v>0.00036904370650457516</v>
      </c>
      <c r="BH37" s="33">
        <f>IF('IO model'!$D$60=0,0,'Z imported'!BH37/'IO model'!$D$60)</f>
        <v>0.0004578059182216355</v>
      </c>
      <c r="BI37" s="33">
        <f>IF('IO model'!$D$61=0,0,'Z imported'!BI37/'IO model'!$D$61)</f>
        <v>0.00033592730860775694</v>
      </c>
      <c r="BJ37" s="33">
        <f>IF('IO model'!$D$62=0,0,'Z imported'!BJ37/'IO model'!$D$62)</f>
        <v>0.0005308182249507571</v>
      </c>
      <c r="BK37" s="33">
        <f>IF('IO model'!$D$63=0,0,'Z imported'!BK37/'IO model'!$D$63)</f>
        <v>0.00022808936103733792</v>
      </c>
      <c r="BL37" s="33">
        <f>IF('IO model'!$D$64=0,0,'Z imported'!BL37/'IO model'!$D$64)</f>
        <v>0.00035165007688035994</v>
      </c>
      <c r="BM37" s="33">
        <f>IF('IO model'!$D$65=0,0,'Z imported'!BM37/'IO model'!$D$65)</f>
        <v>0</v>
      </c>
      <c r="BN37" s="33">
        <f>IF('IO model'!$D$66=0,0,'Z imported'!BN37/'IO model'!$D$66)</f>
        <v>0</v>
      </c>
    </row>
    <row r="38" spans="1:66" x14ac:dyDescent="0.25">
      <c r="A38" s="30" t="s">
        <v>330</v>
      </c>
      <c r="B38" s="31" t="s">
        <v>331</v>
      </c>
      <c r="C38" s="33">
        <f>IF('IO model'!$D$3=0,0,'Z imported'!C38/'IO model'!$D$3)</f>
        <v>0.000029677035299087774</v>
      </c>
      <c r="D38" s="33">
        <f>IF('IO model'!$D$4=0,0,'Z imported'!D38/'IO model'!$D$4)</f>
        <v>0.00005284218920386037</v>
      </c>
      <c r="E38" s="33">
        <f>IF('IO model'!$D$5=0,0,'Z imported'!E38/'IO model'!$D$5)</f>
        <v>0.0004683077800175106</v>
      </c>
      <c r="F38" s="33">
        <f>IF('IO model'!$D$6=0,0,'Z imported'!F38/'IO model'!$D$6)</f>
        <v>0.00007987851121145402</v>
      </c>
      <c r="G38" s="33">
        <f>IF('IO model'!$D$7=0,0,'Z imported'!G38/'IO model'!$D$7)</f>
        <v>0.000038776459231004674</v>
      </c>
      <c r="H38" s="33">
        <f>IF('IO model'!$D$8=0,0,'Z imported'!H38/'IO model'!$D$8)</f>
        <v>0.00009090765363393462</v>
      </c>
      <c r="I38" s="33">
        <f>IF('IO model'!$D$9=0,0,'Z imported'!I38/'IO model'!$D$9)</f>
        <v>0.00006336457999184181</v>
      </c>
      <c r="J38" s="33">
        <f>IF('IO model'!$D$10=0,0,'Z imported'!J38/'IO model'!$D$10)</f>
        <v>0.00006231794976635251</v>
      </c>
      <c r="K38" s="33">
        <f>IF('IO model'!$D$11=0,0,'Z imported'!K38/'IO model'!$D$11)</f>
        <v>0.00014358808133625058</v>
      </c>
      <c r="L38" s="33">
        <f>IF('IO model'!$D$12=0,0,'Z imported'!L38/'IO model'!$D$12)</f>
        <v>0.000029756093708184195</v>
      </c>
      <c r="M38" s="33">
        <f>IF('IO model'!$D$13=0,0,'Z imported'!M38/'IO model'!$D$13)</f>
        <v>0.000066028288157535</v>
      </c>
      <c r="N38" s="33">
        <f>IF('IO model'!$D$14=0,0,'Z imported'!N38/'IO model'!$D$14)</f>
        <v>0.00007212378163287167</v>
      </c>
      <c r="O38" s="33">
        <f>IF('IO model'!$D$15=0,0,'Z imported'!O38/'IO model'!$D$15)</f>
        <v>0.00007987983830078487</v>
      </c>
      <c r="P38" s="33">
        <f>IF('IO model'!$D$16=0,0,'Z imported'!P38/'IO model'!$D$16)</f>
        <v>0.00007900843659610587</v>
      </c>
      <c r="Q38" s="33">
        <f>IF('IO model'!$D$17=0,0,'Z imported'!Q38/'IO model'!$D$17)</f>
        <v>0.00005562574995430743</v>
      </c>
      <c r="R38" s="33">
        <f>IF('IO model'!$D$18=0,0,'Z imported'!R38/'IO model'!$D$18)</f>
        <v>0.00005807653399245132</v>
      </c>
      <c r="S38" s="33">
        <f>IF('IO model'!$D$19=0,0,'Z imported'!S38/'IO model'!$D$19)</f>
        <v>0.00009268193169571425</v>
      </c>
      <c r="T38" s="33">
        <f>IF('IO model'!$D$20=0,0,'Z imported'!T38/'IO model'!$D$20)</f>
        <v>0.00008045451088977761</v>
      </c>
      <c r="U38" s="33">
        <f>IF('IO model'!$D$21=0,0,'Z imported'!U38/'IO model'!$D$21)</f>
        <v>0.00007921830514840523</v>
      </c>
      <c r="V38" s="33">
        <f>IF('IO model'!$D$22=0,0,'Z imported'!V38/'IO model'!$D$22)</f>
        <v>0.00004812806404908727</v>
      </c>
      <c r="W38" s="33">
        <f>IF('IO model'!$D$23=0,0,'Z imported'!W38/'IO model'!$D$23)</f>
        <v>0.0000941735519625475</v>
      </c>
      <c r="X38" s="33">
        <f>IF('IO model'!$D$24=0,0,'Z imported'!X38/'IO model'!$D$24)</f>
        <v>0.0000850047966992423</v>
      </c>
      <c r="Y38" s="33">
        <f>IF('IO model'!$D$25=0,0,'Z imported'!Y38/'IO model'!$D$25)</f>
        <v>0.0000965054093714862</v>
      </c>
      <c r="Z38" s="33">
        <f>IF('IO model'!$D$26=0,0,'Z imported'!Z38/'IO model'!$D$26)</f>
        <v>0.00003232368257107928</v>
      </c>
      <c r="AA38" s="33">
        <f>IF('IO model'!$D$27=0,0,'Z imported'!AA38/'IO model'!$D$27)</f>
        <v>0.00008695367079910426</v>
      </c>
      <c r="AB38" s="33">
        <f>IF('IO model'!$D$28=0,0,'Z imported'!AB38/'IO model'!$D$28)</f>
        <v>0.00006845950293584622</v>
      </c>
      <c r="AC38" s="33">
        <f>IF('IO model'!$D$29=0,0,'Z imported'!AC38/'IO model'!$D$29)</f>
        <v>0.00003731383129720071</v>
      </c>
      <c r="AD38" s="33">
        <f>IF('IO model'!$D$30=0,0,'Z imported'!AD38/'IO model'!$D$30)</f>
        <v>0.00006153820402474623</v>
      </c>
      <c r="AE38" s="33">
        <f>IF('IO model'!$D$31=0,0,'Z imported'!AE38/'IO model'!$D$31)</f>
        <v>0.0000372210999152766</v>
      </c>
      <c r="AF38" s="33">
        <f>IF('IO model'!$D$32=0,0,'Z imported'!AF38/'IO model'!$D$32)</f>
        <v>0.000034436788553568336</v>
      </c>
      <c r="AG38" s="33">
        <f>IF('IO model'!$D$33=0,0,'Z imported'!AG38/'IO model'!$D$33)</f>
        <v>0.0001050306712871528</v>
      </c>
      <c r="AH38" s="33">
        <f>IF('IO model'!$D$34=0,0,'Z imported'!AH38/'IO model'!$D$34)</f>
        <v>0.000105127700119159</v>
      </c>
      <c r="AI38" s="33">
        <f>IF('IO model'!$D$35=0,0,'Z imported'!AI38/'IO model'!$D$35)</f>
        <v>0.00023409646672508533</v>
      </c>
      <c r="AJ38" s="33">
        <f>IF('IO model'!$D$36=0,0,'Z imported'!AJ38/'IO model'!$D$36)</f>
        <v>0.00009640403222036987</v>
      </c>
      <c r="AK38" s="33">
        <f>IF('IO model'!$D$37=0,0,'Z imported'!AK38/'IO model'!$D$37)</f>
        <v>0.0000581469803373217</v>
      </c>
      <c r="AL38" s="33">
        <f>IF('IO model'!$D$38=0,0,'Z imported'!AL38/'IO model'!$D$38)</f>
        <v>0.00005824498290447791</v>
      </c>
      <c r="AM38" s="33">
        <f>IF('IO model'!$D$39=0,0,'Z imported'!AM38/'IO model'!$D$39)</f>
        <v>0.00007862764927730344</v>
      </c>
      <c r="AN38" s="33">
        <f>IF('IO model'!$D$40=0,0,'Z imported'!AN38/'IO model'!$D$40)</f>
        <v>0.00016630122889075338</v>
      </c>
      <c r="AO38" s="33">
        <f>IF('IO model'!$D$41=0,0,'Z imported'!AO38/'IO model'!$D$41)</f>
        <v>0.00012516233351376847</v>
      </c>
      <c r="AP38" s="33">
        <f>IF('IO model'!$D$42=0,0,'Z imported'!AP38/'IO model'!$D$42)</f>
        <v>0.00007076046819480247</v>
      </c>
      <c r="AQ38" s="33">
        <f>IF('IO model'!$D$43=0,0,'Z imported'!AQ38/'IO model'!$D$43)</f>
        <v>0.000025166406873449042</v>
      </c>
      <c r="AR38" s="33">
        <f>IF('IO model'!$D$44=0,0,'Z imported'!AR38/'IO model'!$D$44)</f>
        <v>0.000057330002210944</v>
      </c>
      <c r="AS38" s="33">
        <f>IF('IO model'!$D$45=0,0,'Z imported'!AS38/'IO model'!$D$45)</f>
        <v>0.00009668601457678188</v>
      </c>
      <c r="AT38" s="33">
        <f>IF('IO model'!$D$46=0,0,'Z imported'!AT38/'IO model'!$D$46)</f>
        <v>0.000007730021735113874</v>
      </c>
      <c r="AU38" s="33">
        <f>IF('IO model'!$D$47=0,0,'Z imported'!AU38/'IO model'!$D$47)</f>
        <v>0.00006940327819814628</v>
      </c>
      <c r="AV38" s="33">
        <f>IF('IO model'!$D$48=0,0,'Z imported'!AV38/'IO model'!$D$48)</f>
        <v>0.00006110367509614907</v>
      </c>
      <c r="AW38" s="33">
        <f>IF('IO model'!$D$49=0,0,'Z imported'!AW38/'IO model'!$D$49)</f>
        <v>0.0000851078038969601</v>
      </c>
      <c r="AX38" s="33">
        <f>IF('IO model'!$D$50=0,0,'Z imported'!AX38/'IO model'!$D$50)</f>
        <v>0.00011003935354775561</v>
      </c>
      <c r="AY38" s="33">
        <f>IF('IO model'!$D$51=0,0,'Z imported'!AY38/'IO model'!$D$51)</f>
        <v>0.00011675394536161156</v>
      </c>
      <c r="AZ38" s="33">
        <f>IF('IO model'!$D$52=0,0,'Z imported'!AZ38/'IO model'!$D$52)</f>
        <v>0.00005971166863715173</v>
      </c>
      <c r="BA38" s="33">
        <f>IF('IO model'!$D$53=0,0,'Z imported'!BA38/'IO model'!$D$53)</f>
        <v>0.00007428689944087299</v>
      </c>
      <c r="BB38" s="33">
        <f>IF('IO model'!$D$54=0,0,'Z imported'!BB38/'IO model'!$D$54)</f>
        <v>0.006169475893728323</v>
      </c>
      <c r="BC38" s="33">
        <f>IF('IO model'!$D$55=0,0,'Z imported'!BC38/'IO model'!$D$55)</f>
        <v>0.00007099307558928954</v>
      </c>
      <c r="BD38" s="33">
        <f>IF('IO model'!$D$56=0,0,'Z imported'!BD38/'IO model'!$D$56)</f>
        <v>0.00003403864088788368</v>
      </c>
      <c r="BE38" s="33">
        <f>IF('IO model'!$D$57=0,0,'Z imported'!BE38/'IO model'!$D$57)</f>
        <v>0.0000499886466463549</v>
      </c>
      <c r="BF38" s="33">
        <f>IF('IO model'!$D$58=0,0,'Z imported'!BF38/'IO model'!$D$58)</f>
        <v>0.00004241680088022835</v>
      </c>
      <c r="BG38" s="33">
        <f>IF('IO model'!$D$59=0,0,'Z imported'!BG38/'IO model'!$D$59)</f>
        <v>0.00007082098115829928</v>
      </c>
      <c r="BH38" s="33">
        <f>IF('IO model'!$D$60=0,0,'Z imported'!BH38/'IO model'!$D$60)</f>
        <v>0.00012088869337215732</v>
      </c>
      <c r="BI38" s="33">
        <f>IF('IO model'!$D$61=0,0,'Z imported'!BI38/'IO model'!$D$61)</f>
        <v>0.00009949066631240186</v>
      </c>
      <c r="BJ38" s="33">
        <f>IF('IO model'!$D$62=0,0,'Z imported'!BJ38/'IO model'!$D$62)</f>
        <v>0.00013974954351357957</v>
      </c>
      <c r="BK38" s="33">
        <f>IF('IO model'!$D$63=0,0,'Z imported'!BK38/'IO model'!$D$63)</f>
        <v>0.00032182471488829875</v>
      </c>
      <c r="BL38" s="33">
        <f>IF('IO model'!$D$64=0,0,'Z imported'!BL38/'IO model'!$D$64)</f>
        <v>0.00010554806229139009</v>
      </c>
      <c r="BM38" s="33">
        <f>IF('IO model'!$D$65=0,0,'Z imported'!BM38/'IO model'!$D$65)</f>
        <v>0</v>
      </c>
      <c r="BN38" s="33">
        <f>IF('IO model'!$D$66=0,0,'Z imported'!BN38/'IO model'!$D$66)</f>
        <v>0</v>
      </c>
    </row>
    <row r="39" spans="1:66" x14ac:dyDescent="0.25">
      <c r="A39" s="30" t="s">
        <v>332</v>
      </c>
      <c r="B39" s="31" t="s">
        <v>333</v>
      </c>
      <c r="C39" s="33">
        <f>IF('IO model'!$D$3=0,0,'Z imported'!C39/'IO model'!$D$3)</f>
        <v>0.00007000288914667177</v>
      </c>
      <c r="D39" s="33">
        <f>IF('IO model'!$D$4=0,0,'Z imported'!D39/'IO model'!$D$4)</f>
        <v>0.00004323451843952211</v>
      </c>
      <c r="E39" s="33">
        <f>IF('IO model'!$D$5=0,0,'Z imported'!E39/'IO model'!$D$5)</f>
        <v>0.00004072241565369658</v>
      </c>
      <c r="F39" s="33">
        <f>IF('IO model'!$D$6=0,0,'Z imported'!F39/'IO model'!$D$6)</f>
        <v>0.00018087432998455685</v>
      </c>
      <c r="G39" s="33">
        <f>IF('IO model'!$D$7=0,0,'Z imported'!G39/'IO model'!$D$7)</f>
        <v>0.0004634780202962021</v>
      </c>
      <c r="H39" s="33">
        <f>IF('IO model'!$D$8=0,0,'Z imported'!H39/'IO model'!$D$8)</f>
        <v>0.000215192030341198</v>
      </c>
      <c r="I39" s="33">
        <f>IF('IO model'!$D$9=0,0,'Z imported'!I39/'IO model'!$D$9)</f>
        <v>0.00015501691890861303</v>
      </c>
      <c r="J39" s="33">
        <f>IF('IO model'!$D$10=0,0,'Z imported'!J39/'IO model'!$D$10)</f>
        <v>0.0006088329193000484</v>
      </c>
      <c r="K39" s="33">
        <f>IF('IO model'!$D$11=0,0,'Z imported'!K39/'IO model'!$D$11)</f>
        <v>0.0022490727195440437</v>
      </c>
      <c r="L39" s="33">
        <f>IF('IO model'!$D$12=0,0,'Z imported'!L39/'IO model'!$D$12)</f>
        <v>0.00019763923969139626</v>
      </c>
      <c r="M39" s="33">
        <f>IF('IO model'!$D$13=0,0,'Z imported'!M39/'IO model'!$D$13)</f>
        <v>0.0007745323061916098</v>
      </c>
      <c r="N39" s="33">
        <f>IF('IO model'!$D$14=0,0,'Z imported'!N39/'IO model'!$D$14)</f>
        <v>0.00460704111109377</v>
      </c>
      <c r="O39" s="33">
        <f>IF('IO model'!$D$15=0,0,'Z imported'!O39/'IO model'!$D$15)</f>
        <v>0.00035315296932978573</v>
      </c>
      <c r="P39" s="33">
        <f>IF('IO model'!$D$16=0,0,'Z imported'!P39/'IO model'!$D$16)</f>
        <v>0.0002486884599525047</v>
      </c>
      <c r="Q39" s="33">
        <f>IF('IO model'!$D$17=0,0,'Z imported'!Q39/'IO model'!$D$17)</f>
        <v>0.00015535477308667287</v>
      </c>
      <c r="R39" s="33">
        <f>IF('IO model'!$D$18=0,0,'Z imported'!R39/'IO model'!$D$18)</f>
        <v>0.00033262014922949394</v>
      </c>
      <c r="S39" s="33">
        <f>IF('IO model'!$D$19=0,0,'Z imported'!S39/'IO model'!$D$19)</f>
        <v>0.0006007729622038997</v>
      </c>
      <c r="T39" s="33">
        <f>IF('IO model'!$D$20=0,0,'Z imported'!T39/'IO model'!$D$20)</f>
        <v>0.00026731660069829327</v>
      </c>
      <c r="U39" s="33">
        <f>IF('IO model'!$D$21=0,0,'Z imported'!U39/'IO model'!$D$21)</f>
        <v>0.00028599579813960995</v>
      </c>
      <c r="V39" s="33">
        <f>IF('IO model'!$D$22=0,0,'Z imported'!V39/'IO model'!$D$22)</f>
        <v>0.00016413617219052885</v>
      </c>
      <c r="W39" s="33">
        <f>IF('IO model'!$D$23=0,0,'Z imported'!W39/'IO model'!$D$23)</f>
        <v>0.00019201144446838483</v>
      </c>
      <c r="X39" s="33">
        <f>IF('IO model'!$D$24=0,0,'Z imported'!X39/'IO model'!$D$24)</f>
        <v>0.000864334487446077</v>
      </c>
      <c r="Y39" s="33">
        <f>IF('IO model'!$D$25=0,0,'Z imported'!Y39/'IO model'!$D$25)</f>
        <v>0.00023031543076892512</v>
      </c>
      <c r="Z39" s="33">
        <f>IF('IO model'!$D$26=0,0,'Z imported'!Z39/'IO model'!$D$26)</f>
        <v>0.0006053993586517057</v>
      </c>
      <c r="AA39" s="33">
        <f>IF('IO model'!$D$27=0,0,'Z imported'!AA39/'IO model'!$D$27)</f>
        <v>0.00042193912387762065</v>
      </c>
      <c r="AB39" s="33">
        <f>IF('IO model'!$D$28=0,0,'Z imported'!AB39/'IO model'!$D$28)</f>
        <v>0.0005273789849279009</v>
      </c>
      <c r="AC39" s="33">
        <f>IF('IO model'!$D$29=0,0,'Z imported'!AC39/'IO model'!$D$29)</f>
        <v>0.00009070765619209015</v>
      </c>
      <c r="AD39" s="33">
        <f>IF('IO model'!$D$30=0,0,'Z imported'!AD39/'IO model'!$D$30)</f>
        <v>0.0003049833391466423</v>
      </c>
      <c r="AE39" s="33">
        <f>IF('IO model'!$D$31=0,0,'Z imported'!AE39/'IO model'!$D$31)</f>
        <v>0.00037697711560533186</v>
      </c>
      <c r="AF39" s="33">
        <f>IF('IO model'!$D$32=0,0,'Z imported'!AF39/'IO model'!$D$32)</f>
        <v>0.0003637274272873009</v>
      </c>
      <c r="AG39" s="33">
        <f>IF('IO model'!$D$33=0,0,'Z imported'!AG39/'IO model'!$D$33)</f>
        <v>0.0001570927302975541</v>
      </c>
      <c r="AH39" s="33">
        <f>IF('IO model'!$D$34=0,0,'Z imported'!AH39/'IO model'!$D$34)</f>
        <v>0.00016863341284420206</v>
      </c>
      <c r="AI39" s="33">
        <f>IF('IO model'!$D$35=0,0,'Z imported'!AI39/'IO model'!$D$35)</f>
        <v>0.00116035924317245</v>
      </c>
      <c r="AJ39" s="33">
        <f>IF('IO model'!$D$36=0,0,'Z imported'!AJ39/'IO model'!$D$36)</f>
        <v>0.00019600762106565823</v>
      </c>
      <c r="AK39" s="33">
        <f>IF('IO model'!$D$37=0,0,'Z imported'!AK39/'IO model'!$D$37)</f>
        <v>0.0002575080557795676</v>
      </c>
      <c r="AL39" s="33">
        <f>IF('IO model'!$D$38=0,0,'Z imported'!AL39/'IO model'!$D$38)</f>
        <v>0.00017372101284082196</v>
      </c>
      <c r="AM39" s="33">
        <f>IF('IO model'!$D$39=0,0,'Z imported'!AM39/'IO model'!$D$39)</f>
        <v>0.03575479380124919</v>
      </c>
      <c r="AN39" s="33">
        <f>IF('IO model'!$D$40=0,0,'Z imported'!AN39/'IO model'!$D$40)</f>
        <v>0.0013727094468369157</v>
      </c>
      <c r="AO39" s="33">
        <f>IF('IO model'!$D$41=0,0,'Z imported'!AO39/'IO model'!$D$41)</f>
        <v>0.0006185516714253522</v>
      </c>
      <c r="AP39" s="33">
        <f>IF('IO model'!$D$42=0,0,'Z imported'!AP39/'IO model'!$D$42)</f>
        <v>0.001729912010264985</v>
      </c>
      <c r="AQ39" s="33">
        <f>IF('IO model'!$D$43=0,0,'Z imported'!AQ39/'IO model'!$D$43)</f>
        <v>0.0004964972556033303</v>
      </c>
      <c r="AR39" s="33">
        <f>IF('IO model'!$D$44=0,0,'Z imported'!AR39/'IO model'!$D$44)</f>
        <v>0.0004601355829626201</v>
      </c>
      <c r="AS39" s="33">
        <f>IF('IO model'!$D$45=0,0,'Z imported'!AS39/'IO model'!$D$45)</f>
        <v>0.0012357179338102324</v>
      </c>
      <c r="AT39" s="33">
        <f>IF('IO model'!$D$46=0,0,'Z imported'!AT39/'IO model'!$D$46)</f>
        <v>0.00002494473271576625</v>
      </c>
      <c r="AU39" s="33">
        <f>IF('IO model'!$D$47=0,0,'Z imported'!AU39/'IO model'!$D$47)</f>
        <v>0.001224919357270968</v>
      </c>
      <c r="AV39" s="33">
        <f>IF('IO model'!$D$48=0,0,'Z imported'!AV39/'IO model'!$D$48)</f>
        <v>0.0005436889046876331</v>
      </c>
      <c r="AW39" s="33">
        <f>IF('IO model'!$D$49=0,0,'Z imported'!AW39/'IO model'!$D$49)</f>
        <v>0.0009724279220379941</v>
      </c>
      <c r="AX39" s="33">
        <f>IF('IO model'!$D$50=0,0,'Z imported'!AX39/'IO model'!$D$50)</f>
        <v>0.002181095818214987</v>
      </c>
      <c r="AY39" s="33">
        <f>IF('IO model'!$D$51=0,0,'Z imported'!AY39/'IO model'!$D$51)</f>
        <v>0.0006304713049527025</v>
      </c>
      <c r="AZ39" s="33">
        <f>IF('IO model'!$D$52=0,0,'Z imported'!AZ39/'IO model'!$D$52)</f>
        <v>0.0003045295100494738</v>
      </c>
      <c r="BA39" s="33">
        <f>IF('IO model'!$D$53=0,0,'Z imported'!BA39/'IO model'!$D$53)</f>
        <v>0.0002512013651613336</v>
      </c>
      <c r="BB39" s="33">
        <f>IF('IO model'!$D$54=0,0,'Z imported'!BB39/'IO model'!$D$54)</f>
        <v>0.0014145196895875233</v>
      </c>
      <c r="BC39" s="33">
        <f>IF('IO model'!$D$55=0,0,'Z imported'!BC39/'IO model'!$D$55)</f>
        <v>0.00048065289808466006</v>
      </c>
      <c r="BD39" s="33">
        <f>IF('IO model'!$D$56=0,0,'Z imported'!BD39/'IO model'!$D$56)</f>
        <v>0.0005007647904855525</v>
      </c>
      <c r="BE39" s="33">
        <f>IF('IO model'!$D$57=0,0,'Z imported'!BE39/'IO model'!$D$57)</f>
        <v>0.0011486797913694178</v>
      </c>
      <c r="BF39" s="33">
        <f>IF('IO model'!$D$58=0,0,'Z imported'!BF39/'IO model'!$D$58)</f>
        <v>0.00036373204063083026</v>
      </c>
      <c r="BG39" s="33">
        <f>IF('IO model'!$D$59=0,0,'Z imported'!BG39/'IO model'!$D$59)</f>
        <v>0.0005433297148238272</v>
      </c>
      <c r="BH39" s="33">
        <f>IF('IO model'!$D$60=0,0,'Z imported'!BH39/'IO model'!$D$60)</f>
        <v>0.0022951394889681423</v>
      </c>
      <c r="BI39" s="33">
        <f>IF('IO model'!$D$61=0,0,'Z imported'!BI39/'IO model'!$D$61)</f>
        <v>0.0005489543823590172</v>
      </c>
      <c r="BJ39" s="33">
        <f>IF('IO model'!$D$62=0,0,'Z imported'!BJ39/'IO model'!$D$62)</f>
        <v>0.0017902894195793136</v>
      </c>
      <c r="BK39" s="33">
        <f>IF('IO model'!$D$63=0,0,'Z imported'!BK39/'IO model'!$D$63)</f>
        <v>0.0000937353538509608</v>
      </c>
      <c r="BL39" s="33">
        <f>IF('IO model'!$D$64=0,0,'Z imported'!BL39/'IO model'!$D$64)</f>
        <v>0.00024822358368025414</v>
      </c>
      <c r="BM39" s="33">
        <f>IF('IO model'!$D$65=0,0,'Z imported'!BM39/'IO model'!$D$65)</f>
        <v>0</v>
      </c>
      <c r="BN39" s="33">
        <f>IF('IO model'!$D$66=0,0,'Z imported'!BN39/'IO model'!$D$66)</f>
        <v>0</v>
      </c>
    </row>
    <row r="40" spans="1:66" x14ac:dyDescent="0.25">
      <c r="A40" s="30" t="s">
        <v>335</v>
      </c>
      <c r="B40" s="31" t="s">
        <v>336</v>
      </c>
      <c r="C40" s="33">
        <f>IF('IO model'!$D$3=0,0,'Z imported'!C40/'IO model'!$D$3)</f>
        <v>0.000004364269896924674</v>
      </c>
      <c r="D40" s="33">
        <f>IF('IO model'!$D$4=0,0,'Z imported'!D40/'IO model'!$D$4)</f>
        <v>0.000004803835382169124</v>
      </c>
      <c r="E40" s="33">
        <f>IF('IO model'!$D$5=0,0,'Z imported'!E40/'IO model'!$D$5)</f>
        <v>0.00004750948492931266</v>
      </c>
      <c r="F40" s="33">
        <f>IF('IO model'!$D$6=0,0,'Z imported'!F40/'IO model'!$D$6)</f>
        <v>0.000014690300912451317</v>
      </c>
      <c r="G40" s="33">
        <f>IF('IO model'!$D$7=0,0,'Z imported'!G40/'IO model'!$D$7)</f>
        <v>0.00013303195121376938</v>
      </c>
      <c r="H40" s="33">
        <f>IF('IO model'!$D$8=0,0,'Z imported'!H40/'IO model'!$D$8)</f>
        <v>0.00003776839716192453</v>
      </c>
      <c r="I40" s="33">
        <f>IF('IO model'!$D$9=0,0,'Z imported'!I40/'IO model'!$D$9)</f>
        <v>0.000057707028206855934</v>
      </c>
      <c r="J40" s="33">
        <f>IF('IO model'!$D$10=0,0,'Z imported'!J40/'IO model'!$D$10)</f>
        <v>0.000039004759925702654</v>
      </c>
      <c r="K40" s="33">
        <f>IF('IO model'!$D$11=0,0,'Z imported'!K40/'IO model'!$D$11)</f>
        <v>0.00017486469311246355</v>
      </c>
      <c r="L40" s="33">
        <f>IF('IO model'!$D$12=0,0,'Z imported'!L40/'IO model'!$D$12)</f>
        <v>0.000019286357033082354</v>
      </c>
      <c r="M40" s="33">
        <f>IF('IO model'!$D$13=0,0,'Z imported'!M40/'IO model'!$D$13)</f>
        <v>0.00032241975553774836</v>
      </c>
      <c r="N40" s="33">
        <f>IF('IO model'!$D$14=0,0,'Z imported'!N40/'IO model'!$D$14)</f>
        <v>0.0011432157625986528</v>
      </c>
      <c r="O40" s="33">
        <f>IF('IO model'!$D$15=0,0,'Z imported'!O40/'IO model'!$D$15)</f>
        <v>0.00004092089962075295</v>
      </c>
      <c r="P40" s="33">
        <f>IF('IO model'!$D$16=0,0,'Z imported'!P40/'IO model'!$D$16)</f>
        <v>0.00003837552634667999</v>
      </c>
      <c r="Q40" s="33">
        <f>IF('IO model'!$D$17=0,0,'Z imported'!Q40/'IO model'!$D$17)</f>
        <v>0.000012913120525107081</v>
      </c>
      <c r="R40" s="33">
        <f>IF('IO model'!$D$18=0,0,'Z imported'!R40/'IO model'!$D$18)</f>
        <v>0.00002607844363848365</v>
      </c>
      <c r="S40" s="33">
        <f>IF('IO model'!$D$19=0,0,'Z imported'!S40/'IO model'!$D$19)</f>
        <v>0.0002014491573220896</v>
      </c>
      <c r="T40" s="33">
        <f>IF('IO model'!$D$20=0,0,'Z imported'!T40/'IO model'!$D$20)</f>
        <v>0.00004048678612517841</v>
      </c>
      <c r="U40" s="33">
        <f>IF('IO model'!$D$21=0,0,'Z imported'!U40/'IO model'!$D$21)</f>
        <v>0.000020627130573786027</v>
      </c>
      <c r="V40" s="33">
        <f>IF('IO model'!$D$22=0,0,'Z imported'!V40/'IO model'!$D$22)</f>
        <v>0.00003477461275223069</v>
      </c>
      <c r="W40" s="33">
        <f>IF('IO model'!$D$23=0,0,'Z imported'!W40/'IO model'!$D$23)</f>
        <v>0.0000307804605636342</v>
      </c>
      <c r="X40" s="33">
        <f>IF('IO model'!$D$24=0,0,'Z imported'!X40/'IO model'!$D$24)</f>
        <v>0.0004932421186624102</v>
      </c>
      <c r="Y40" s="33">
        <f>IF('IO model'!$D$25=0,0,'Z imported'!Y40/'IO model'!$D$25)</f>
        <v>0.000026356519366162202</v>
      </c>
      <c r="Z40" s="33">
        <f>IF('IO model'!$D$26=0,0,'Z imported'!Z40/'IO model'!$D$26)</f>
        <v>0.00002678758224122592</v>
      </c>
      <c r="AA40" s="33">
        <f>IF('IO model'!$D$27=0,0,'Z imported'!AA40/'IO model'!$D$27)</f>
        <v>0.000018531110170300904</v>
      </c>
      <c r="AB40" s="33">
        <f>IF('IO model'!$D$28=0,0,'Z imported'!AB40/'IO model'!$D$28)</f>
        <v>0.000030617566639649815</v>
      </c>
      <c r="AC40" s="33">
        <f>IF('IO model'!$D$29=0,0,'Z imported'!AC40/'IO model'!$D$29)</f>
        <v>0.00001970829984537231</v>
      </c>
      <c r="AD40" s="33">
        <f>IF('IO model'!$D$30=0,0,'Z imported'!AD40/'IO model'!$D$30)</f>
        <v>0.000245168204834589</v>
      </c>
      <c r="AE40" s="33">
        <f>IF('IO model'!$D$31=0,0,'Z imported'!AE40/'IO model'!$D$31)</f>
        <v>0.00015779249826887833</v>
      </c>
      <c r="AF40" s="33">
        <f>IF('IO model'!$D$32=0,0,'Z imported'!AF40/'IO model'!$D$32)</f>
        <v>0.0003661362181964883</v>
      </c>
      <c r="AG40" s="33">
        <f>IF('IO model'!$D$33=0,0,'Z imported'!AG40/'IO model'!$D$33)</f>
        <v>0.000021109740345013448</v>
      </c>
      <c r="AH40" s="33">
        <f>IF('IO model'!$D$34=0,0,'Z imported'!AH40/'IO model'!$D$34)</f>
        <v>0.00004076380208702084</v>
      </c>
      <c r="AI40" s="33">
        <f>IF('IO model'!$D$35=0,0,'Z imported'!AI40/'IO model'!$D$35)</f>
        <v>0.0000626366221777931</v>
      </c>
      <c r="AJ40" s="33">
        <f>IF('IO model'!$D$36=0,0,'Z imported'!AJ40/'IO model'!$D$36)</f>
        <v>0.00004618490432491024</v>
      </c>
      <c r="AK40" s="33">
        <f>IF('IO model'!$D$37=0,0,'Z imported'!AK40/'IO model'!$D$37)</f>
        <v>0.00003945687951461116</v>
      </c>
      <c r="AL40" s="33">
        <f>IF('IO model'!$D$38=0,0,'Z imported'!AL40/'IO model'!$D$38)</f>
        <v>0.0002205873820637674</v>
      </c>
      <c r="AM40" s="33">
        <f>IF('IO model'!$D$39=0,0,'Z imported'!AM40/'IO model'!$D$39)</f>
        <v>0.000909188680149049</v>
      </c>
      <c r="AN40" s="33">
        <f>IF('IO model'!$D$40=0,0,'Z imported'!AN40/'IO model'!$D$40)</f>
        <v>0.030358376251025616</v>
      </c>
      <c r="AO40" s="33">
        <f>IF('IO model'!$D$41=0,0,'Z imported'!AO40/'IO model'!$D$41)</f>
        <v>0.002219526020987778</v>
      </c>
      <c r="AP40" s="33">
        <f>IF('IO model'!$D$42=0,0,'Z imported'!AP40/'IO model'!$D$42)</f>
        <v>0.0031420369434961327</v>
      </c>
      <c r="AQ40" s="33">
        <f>IF('IO model'!$D$43=0,0,'Z imported'!AQ40/'IO model'!$D$43)</f>
        <v>0.00003175760867363808</v>
      </c>
      <c r="AR40" s="33">
        <f>IF('IO model'!$D$44=0,0,'Z imported'!AR40/'IO model'!$D$44)</f>
        <v>0.00015030431014434448</v>
      </c>
      <c r="AS40" s="33">
        <f>IF('IO model'!$D$45=0,0,'Z imported'!AS40/'IO model'!$D$45)</f>
        <v>0.00011403167832145374</v>
      </c>
      <c r="AT40" s="33">
        <f>IF('IO model'!$D$46=0,0,'Z imported'!AT40/'IO model'!$D$46)</f>
        <v>0.000011334203648418504</v>
      </c>
      <c r="AU40" s="33">
        <f>IF('IO model'!$D$47=0,0,'Z imported'!AU40/'IO model'!$D$47)</f>
        <v>0.00039199183175446024</v>
      </c>
      <c r="AV40" s="33">
        <f>IF('IO model'!$D$48=0,0,'Z imported'!AV40/'IO model'!$D$48)</f>
        <v>0.00022501316851100147</v>
      </c>
      <c r="AW40" s="33">
        <f>IF('IO model'!$D$49=0,0,'Z imported'!AW40/'IO model'!$D$49)</f>
        <v>0.00027975627405364407</v>
      </c>
      <c r="AX40" s="33">
        <f>IF('IO model'!$D$50=0,0,'Z imported'!AX40/'IO model'!$D$50)</f>
        <v>0.011149303132357069</v>
      </c>
      <c r="AY40" s="33">
        <f>IF('IO model'!$D$51=0,0,'Z imported'!AY40/'IO model'!$D$51)</f>
        <v>0.0002783659855200528</v>
      </c>
      <c r="AZ40" s="33">
        <f>IF('IO model'!$D$52=0,0,'Z imported'!AZ40/'IO model'!$D$52)</f>
        <v>0.0020225970667457033</v>
      </c>
      <c r="BA40" s="33">
        <f>IF('IO model'!$D$53=0,0,'Z imported'!BA40/'IO model'!$D$53)</f>
        <v>0.00005066967707527753</v>
      </c>
      <c r="BB40" s="33">
        <f>IF('IO model'!$D$54=0,0,'Z imported'!BB40/'IO model'!$D$54)</f>
        <v>0.0005624570677716884</v>
      </c>
      <c r="BC40" s="33">
        <f>IF('IO model'!$D$55=0,0,'Z imported'!BC40/'IO model'!$D$55)</f>
        <v>0.00021313594437402596</v>
      </c>
      <c r="BD40" s="33">
        <f>IF('IO model'!$D$56=0,0,'Z imported'!BD40/'IO model'!$D$56)</f>
        <v>0.0011291222777962396</v>
      </c>
      <c r="BE40" s="33">
        <f>IF('IO model'!$D$57=0,0,'Z imported'!BE40/'IO model'!$D$57)</f>
        <v>0.00008303198934479288</v>
      </c>
      <c r="BF40" s="33">
        <f>IF('IO model'!$D$58=0,0,'Z imported'!BF40/'IO model'!$D$58)</f>
        <v>0.00005294127027156321</v>
      </c>
      <c r="BG40" s="33">
        <f>IF('IO model'!$D$59=0,0,'Z imported'!BG40/'IO model'!$D$59)</f>
        <v>0.0003856423739635515</v>
      </c>
      <c r="BH40" s="33">
        <f>IF('IO model'!$D$60=0,0,'Z imported'!BH40/'IO model'!$D$60)</f>
        <v>0.0015113268777898227</v>
      </c>
      <c r="BI40" s="33">
        <f>IF('IO model'!$D$61=0,0,'Z imported'!BI40/'IO model'!$D$61)</f>
        <v>0.0007684190874599036</v>
      </c>
      <c r="BJ40" s="33">
        <f>IF('IO model'!$D$62=0,0,'Z imported'!BJ40/'IO model'!$D$62)</f>
        <v>0.00230615501847512</v>
      </c>
      <c r="BK40" s="33">
        <f>IF('IO model'!$D$63=0,0,'Z imported'!BK40/'IO model'!$D$63)</f>
        <v>0.000049992188720512415</v>
      </c>
      <c r="BL40" s="33">
        <f>IF('IO model'!$D$64=0,0,'Z imported'!BL40/'IO model'!$D$64)</f>
        <v>0.00017715101912223265</v>
      </c>
      <c r="BM40" s="33">
        <f>IF('IO model'!$D$65=0,0,'Z imported'!BM40/'IO model'!$D$65)</f>
        <v>0</v>
      </c>
      <c r="BN40" s="33">
        <f>IF('IO model'!$D$66=0,0,'Z imported'!BN40/'IO model'!$D$66)</f>
        <v>0</v>
      </c>
    </row>
    <row r="41" spans="1:66" x14ac:dyDescent="0.25">
      <c r="A41" s="30" t="s">
        <v>337</v>
      </c>
      <c r="B41" s="31" t="s">
        <v>338</v>
      </c>
      <c r="C41" s="33">
        <f>IF('IO model'!$D$3=0,0,'Z imported'!C41/'IO model'!$D$3)</f>
        <v>0.00006406748208685421</v>
      </c>
      <c r="D41" s="33">
        <f>IF('IO model'!$D$4=0,0,'Z imported'!D41/'IO model'!$D$4)</f>
        <v>0.000040031961518076026</v>
      </c>
      <c r="E41" s="33">
        <f>IF('IO model'!$D$5=0,0,'Z imported'!E41/'IO model'!$D$5)</f>
        <v>0.000054296554204928765</v>
      </c>
      <c r="F41" s="33">
        <f>IF('IO model'!$D$6=0,0,'Z imported'!F41/'IO model'!$D$6)</f>
        <v>0.00006794264172008734</v>
      </c>
      <c r="G41" s="33">
        <f>IF('IO model'!$D$7=0,0,'Z imported'!G41/'IO model'!$D$7)</f>
        <v>0.00009749299522026793</v>
      </c>
      <c r="H41" s="33">
        <f>IF('IO model'!$D$8=0,0,'Z imported'!H41/'IO model'!$D$8)</f>
        <v>0.00007509762691498946</v>
      </c>
      <c r="I41" s="33">
        <f>IF('IO model'!$D$9=0,0,'Z imported'!I41/'IO model'!$D$9)</f>
        <v>0.00006053580409934887</v>
      </c>
      <c r="J41" s="33">
        <f>IF('IO model'!$D$10=0,0,'Z imported'!J41/'IO model'!$D$10)</f>
        <v>0.00009683940395346864</v>
      </c>
      <c r="K41" s="33">
        <f>IF('IO model'!$D$11=0,0,'Z imported'!K41/'IO model'!$D$11)</f>
        <v>0.00010235982035851525</v>
      </c>
      <c r="L41" s="33">
        <f>IF('IO model'!$D$12=0,0,'Z imported'!L41/'IO model'!$D$12)</f>
        <v>0.000047940373196518995</v>
      </c>
      <c r="M41" s="33">
        <f>IF('IO model'!$D$13=0,0,'Z imported'!M41/'IO model'!$D$13)</f>
        <v>0.0001304807221824319</v>
      </c>
      <c r="N41" s="33">
        <f>IF('IO model'!$D$14=0,0,'Z imported'!N41/'IO model'!$D$14)</f>
        <v>0.00022390666536772108</v>
      </c>
      <c r="O41" s="33">
        <f>IF('IO model'!$D$15=0,0,'Z imported'!O41/'IO model'!$D$15)</f>
        <v>0.00010482477026138087</v>
      </c>
      <c r="P41" s="33">
        <f>IF('IO model'!$D$16=0,0,'Z imported'!P41/'IO model'!$D$16)</f>
        <v>0.00009180027871166586</v>
      </c>
      <c r="Q41" s="33">
        <f>IF('IO model'!$D$17=0,0,'Z imported'!Q41/'IO model'!$D$17)</f>
        <v>0.00006337362226937168</v>
      </c>
      <c r="R41" s="33">
        <f>IF('IO model'!$D$18=0,0,'Z imported'!R41/'IO model'!$D$18)</f>
        <v>0.00010159393687384736</v>
      </c>
      <c r="S41" s="33">
        <f>IF('IO model'!$D$19=0,0,'Z imported'!S41/'IO model'!$D$19)</f>
        <v>0.0002417900532116843</v>
      </c>
      <c r="T41" s="33">
        <f>IF('IO model'!$D$20=0,0,'Z imported'!T41/'IO model'!$D$20)</f>
        <v>0.00011575068340916392</v>
      </c>
      <c r="U41" s="33">
        <f>IF('IO model'!$D$21=0,0,'Z imported'!U41/'IO model'!$D$21)</f>
        <v>0.000108703712655719</v>
      </c>
      <c r="V41" s="33">
        <f>IF('IO model'!$D$22=0,0,'Z imported'!V41/'IO model'!$D$22)</f>
        <v>0.00007956431397710381</v>
      </c>
      <c r="W41" s="33">
        <f>IF('IO model'!$D$23=0,0,'Z imported'!W41/'IO model'!$D$23)</f>
        <v>0.00008134836006103323</v>
      </c>
      <c r="X41" s="33">
        <f>IF('IO model'!$D$24=0,0,'Z imported'!X41/'IO model'!$D$24)</f>
        <v>0.0001460796716386139</v>
      </c>
      <c r="Y41" s="33">
        <f>IF('IO model'!$D$25=0,0,'Z imported'!Y41/'IO model'!$D$25)</f>
        <v>0.00011596868521111369</v>
      </c>
      <c r="Z41" s="33">
        <f>IF('IO model'!$D$26=0,0,'Z imported'!Z41/'IO model'!$D$26)</f>
        <v>0.00008777397781041693</v>
      </c>
      <c r="AA41" s="33">
        <f>IF('IO model'!$D$27=0,0,'Z imported'!AA41/'IO model'!$D$27)</f>
        <v>0.00007127350065500346</v>
      </c>
      <c r="AB41" s="33">
        <f>IF('IO model'!$D$28=0,0,'Z imported'!AB41/'IO model'!$D$28)</f>
        <v>0.00012281428416129197</v>
      </c>
      <c r="AC41" s="33">
        <f>IF('IO model'!$D$29=0,0,'Z imported'!AC41/'IO model'!$D$29)</f>
        <v>0.00007813227658364127</v>
      </c>
      <c r="AD41" s="33">
        <f>IF('IO model'!$D$30=0,0,'Z imported'!AD41/'IO model'!$D$30)</f>
        <v>0.0001841223064420407</v>
      </c>
      <c r="AE41" s="33">
        <f>IF('IO model'!$D$31=0,0,'Z imported'!AE41/'IO model'!$D$31)</f>
        <v>0.00020409191523666146</v>
      </c>
      <c r="AF41" s="33">
        <f>IF('IO model'!$D$32=0,0,'Z imported'!AF41/'IO model'!$D$32)</f>
        <v>0.00025319068889903356</v>
      </c>
      <c r="AG41" s="33">
        <f>IF('IO model'!$D$33=0,0,'Z imported'!AG41/'IO model'!$D$33)</f>
        <v>0.00012070109203406462</v>
      </c>
      <c r="AH41" s="33">
        <f>IF('IO model'!$D$34=0,0,'Z imported'!AH41/'IO model'!$D$34)</f>
        <v>0.00015104061404875094</v>
      </c>
      <c r="AI41" s="33">
        <f>IF('IO model'!$D$35=0,0,'Z imported'!AI41/'IO model'!$D$35)</f>
        <v>0.0002505464887111725</v>
      </c>
      <c r="AJ41" s="33">
        <f>IF('IO model'!$D$36=0,0,'Z imported'!AJ41/'IO model'!$D$36)</f>
        <v>0.0001448147150669625</v>
      </c>
      <c r="AK41" s="33">
        <f>IF('IO model'!$D$37=0,0,'Z imported'!AK41/'IO model'!$D$37)</f>
        <v>0.0009538873679146348</v>
      </c>
      <c r="AL41" s="33">
        <f>IF('IO model'!$D$38=0,0,'Z imported'!AL41/'IO model'!$D$38)</f>
        <v>0.00017586154412744685</v>
      </c>
      <c r="AM41" s="33">
        <f>IF('IO model'!$D$39=0,0,'Z imported'!AM41/'IO model'!$D$39)</f>
        <v>0.0010664439787036561</v>
      </c>
      <c r="AN41" s="33">
        <f>IF('IO model'!$D$40=0,0,'Z imported'!AN41/'IO model'!$D$40)</f>
        <v>0.0006078396832975621</v>
      </c>
      <c r="AO41" s="33">
        <f>IF('IO model'!$D$41=0,0,'Z imported'!AO41/'IO model'!$D$41)</f>
        <v>0.010722433504243324</v>
      </c>
      <c r="AP41" s="33">
        <f>IF('IO model'!$D$42=0,0,'Z imported'!AP41/'IO model'!$D$42)</f>
        <v>0.0007563205427436773</v>
      </c>
      <c r="AQ41" s="33">
        <f>IF('IO model'!$D$43=0,0,'Z imported'!AQ41/'IO model'!$D$43)</f>
        <v>0.00023656422461042098</v>
      </c>
      <c r="AR41" s="33">
        <f>IF('IO model'!$D$44=0,0,'Z imported'!AR41/'IO model'!$D$44)</f>
        <v>0.00029063818512156827</v>
      </c>
      <c r="AS41" s="33">
        <f>IF('IO model'!$D$45=0,0,'Z imported'!AS41/'IO model'!$D$45)</f>
        <v>0.0009145019385385316</v>
      </c>
      <c r="AT41" s="33">
        <f>IF('IO model'!$D$46=0,0,'Z imported'!AT41/'IO model'!$D$46)</f>
        <v>0.000038697532121797064</v>
      </c>
      <c r="AU41" s="33">
        <f>IF('IO model'!$D$47=0,0,'Z imported'!AU41/'IO model'!$D$47)</f>
        <v>0.0007050561743255139</v>
      </c>
      <c r="AV41" s="33">
        <f>IF('IO model'!$D$48=0,0,'Z imported'!AV41/'IO model'!$D$48)</f>
        <v>0.0002201070340142304</v>
      </c>
      <c r="AW41" s="33">
        <f>IF('IO model'!$D$49=0,0,'Z imported'!AW41/'IO model'!$D$49)</f>
        <v>0.00024758633860933854</v>
      </c>
      <c r="AX41" s="33">
        <f>IF('IO model'!$D$50=0,0,'Z imported'!AX41/'IO model'!$D$50)</f>
        <v>0.0005646756300476932</v>
      </c>
      <c r="AY41" s="33">
        <f>IF('IO model'!$D$51=0,0,'Z imported'!AY41/'IO model'!$D$51)</f>
        <v>0.000305403741288005</v>
      </c>
      <c r="AZ41" s="33">
        <f>IF('IO model'!$D$52=0,0,'Z imported'!AZ41/'IO model'!$D$52)</f>
        <v>0.00023613250779237275</v>
      </c>
      <c r="BA41" s="33">
        <f>IF('IO model'!$D$53=0,0,'Z imported'!BA41/'IO model'!$D$53)</f>
        <v>0.00033107051716134726</v>
      </c>
      <c r="BB41" s="33">
        <f>IF('IO model'!$D$54=0,0,'Z imported'!BB41/'IO model'!$D$54)</f>
        <v>0.001139274741529037</v>
      </c>
      <c r="BC41" s="33">
        <f>IF('IO model'!$D$55=0,0,'Z imported'!BC41/'IO model'!$D$55)</f>
        <v>0.0002393077846023071</v>
      </c>
      <c r="BD41" s="33">
        <f>IF('IO model'!$D$56=0,0,'Z imported'!BD41/'IO model'!$D$56)</f>
        <v>0.00022629779453273998</v>
      </c>
      <c r="BE41" s="33">
        <f>IF('IO model'!$D$57=0,0,'Z imported'!BE41/'IO model'!$D$57)</f>
        <v>0.0000889628457265638</v>
      </c>
      <c r="BF41" s="33">
        <f>IF('IO model'!$D$58=0,0,'Z imported'!BF41/'IO model'!$D$58)</f>
        <v>0.0001264530943534627</v>
      </c>
      <c r="BG41" s="33">
        <f>IF('IO model'!$D$59=0,0,'Z imported'!BG41/'IO model'!$D$59)</f>
        <v>0.00014938800713078755</v>
      </c>
      <c r="BH41" s="33">
        <f>IF('IO model'!$D$60=0,0,'Z imported'!BH41/'IO model'!$D$60)</f>
        <v>0.0005961514626222634</v>
      </c>
      <c r="BI41" s="33">
        <f>IF('IO model'!$D$61=0,0,'Z imported'!BI41/'IO model'!$D$61)</f>
        <v>0.0002229761403825006</v>
      </c>
      <c r="BJ41" s="33">
        <f>IF('IO model'!$D$62=0,0,'Z imported'!BJ41/'IO model'!$D$62)</f>
        <v>0.00022313918882003653</v>
      </c>
      <c r="BK41" s="33">
        <f>IF('IO model'!$D$63=0,0,'Z imported'!BK41/'IO model'!$D$63)</f>
        <v>0.00015935010154663332</v>
      </c>
      <c r="BL41" s="33">
        <f>IF('IO model'!$D$64=0,0,'Z imported'!BL41/'IO model'!$D$64)</f>
        <v>0.00020844416321867492</v>
      </c>
      <c r="BM41" s="33">
        <f>IF('IO model'!$D$65=0,0,'Z imported'!BM41/'IO model'!$D$65)</f>
        <v>0</v>
      </c>
      <c r="BN41" s="33">
        <f>IF('IO model'!$D$66=0,0,'Z imported'!BN41/'IO model'!$D$66)</f>
        <v>0</v>
      </c>
    </row>
    <row r="42" spans="1:66" x14ac:dyDescent="0.25">
      <c r="A42" s="30" t="s">
        <v>339</v>
      </c>
      <c r="B42" s="31" t="s">
        <v>340</v>
      </c>
      <c r="C42" s="33">
        <f>IF('IO model'!$D$3=0,0,'Z imported'!C42/'IO model'!$D$3)</f>
        <v>0.00008780911032612444</v>
      </c>
      <c r="D42" s="33">
        <f>IF('IO model'!$D$4=0,0,'Z imported'!D42/'IO model'!$D$4)</f>
        <v>0.00011689332763278198</v>
      </c>
      <c r="E42" s="33">
        <f>IF('IO model'!$D$5=0,0,'Z imported'!E42/'IO model'!$D$5)</f>
        <v>0.00018325087044163455</v>
      </c>
      <c r="F42" s="33">
        <f>IF('IO model'!$D$6=0,0,'Z imported'!F42/'IO model'!$D$6)</f>
        <v>0.0002818701487576596</v>
      </c>
      <c r="G42" s="33">
        <f>IF('IO model'!$D$7=0,0,'Z imported'!G42/'IO model'!$D$7)</f>
        <v>0.00045692943420216155</v>
      </c>
      <c r="H42" s="33">
        <f>IF('IO model'!$D$8=0,0,'Z imported'!H42/'IO model'!$D$8)</f>
        <v>0.0006332794035755253</v>
      </c>
      <c r="I42" s="33">
        <f>IF('IO model'!$D$9=0,0,'Z imported'!I42/'IO model'!$D$9)</f>
        <v>0.00026024738210935036</v>
      </c>
      <c r="J42" s="33">
        <f>IF('IO model'!$D$10=0,0,'Z imported'!J42/'IO model'!$D$10)</f>
        <v>0.0006998440257933545</v>
      </c>
      <c r="K42" s="33">
        <f>IF('IO model'!$D$11=0,0,'Z imported'!K42/'IO model'!$D$11)</f>
        <v>0.0008586851596742114</v>
      </c>
      <c r="L42" s="33">
        <f>IF('IO model'!$D$12=0,0,'Z imported'!L42/'IO model'!$D$12)</f>
        <v>0.0003331947776953466</v>
      </c>
      <c r="M42" s="33">
        <f>IF('IO model'!$D$13=0,0,'Z imported'!M42/'IO model'!$D$13)</f>
        <v>0.0010378575317554308</v>
      </c>
      <c r="N42" s="33">
        <f>IF('IO model'!$D$14=0,0,'Z imported'!N42/'IO model'!$D$14)</f>
        <v>0.0019061669600956342</v>
      </c>
      <c r="O42" s="33">
        <f>IF('IO model'!$D$15=0,0,'Z imported'!O42/'IO model'!$D$15)</f>
        <v>0.0005129126459313554</v>
      </c>
      <c r="P42" s="33">
        <f>IF('IO model'!$D$16=0,0,'Z imported'!P42/'IO model'!$D$16)</f>
        <v>0.0004537341644519223</v>
      </c>
      <c r="Q42" s="33">
        <f>IF('IO model'!$D$17=0,0,'Z imported'!Q42/'IO model'!$D$17)</f>
        <v>0.0004960624915568059</v>
      </c>
      <c r="R42" s="33">
        <f>IF('IO model'!$D$18=0,0,'Z imported'!R42/'IO model'!$D$18)</f>
        <v>0.0006050838885935286</v>
      </c>
      <c r="S42" s="33">
        <f>IF('IO model'!$D$19=0,0,'Z imported'!S42/'IO model'!$D$19)</f>
        <v>0.001449974352892455</v>
      </c>
      <c r="T42" s="33">
        <f>IF('IO model'!$D$20=0,0,'Z imported'!T42/'IO model'!$D$20)</f>
        <v>0.0008935641322371107</v>
      </c>
      <c r="U42" s="33">
        <f>IF('IO model'!$D$21=0,0,'Z imported'!U42/'IO model'!$D$21)</f>
        <v>0.0006591823506678</v>
      </c>
      <c r="V42" s="33">
        <f>IF('IO model'!$D$22=0,0,'Z imported'!V42/'IO model'!$D$22)</f>
        <v>0.0005989579300444216</v>
      </c>
      <c r="W42" s="33">
        <f>IF('IO model'!$D$23=0,0,'Z imported'!W42/'IO model'!$D$23)</f>
        <v>0.0008369353800873874</v>
      </c>
      <c r="X42" s="33">
        <f>IF('IO model'!$D$24=0,0,'Z imported'!X42/'IO model'!$D$24)</f>
        <v>0.0006386074642783413</v>
      </c>
      <c r="Y42" s="33">
        <f>IF('IO model'!$D$25=0,0,'Z imported'!Y42/'IO model'!$D$25)</f>
        <v>0.0006301235553079393</v>
      </c>
      <c r="Z42" s="33">
        <f>IF('IO model'!$D$26=0,0,'Z imported'!Z42/'IO model'!$D$26)</f>
        <v>0.0006018276810195423</v>
      </c>
      <c r="AA42" s="33">
        <f>IF('IO model'!$D$27=0,0,'Z imported'!AA42/'IO model'!$D$27)</f>
        <v>0.00029079588267241416</v>
      </c>
      <c r="AB42" s="33">
        <f>IF('IO model'!$D$28=0,0,'Z imported'!AB42/'IO model'!$D$28)</f>
        <v>0.0011765402012090156</v>
      </c>
      <c r="AC42" s="33">
        <f>IF('IO model'!$D$29=0,0,'Z imported'!AC42/'IO model'!$D$29)</f>
        <v>0.0002545586678772566</v>
      </c>
      <c r="AD42" s="33">
        <f>IF('IO model'!$D$30=0,0,'Z imported'!AD42/'IO model'!$D$30)</f>
        <v>0.0007490430193892111</v>
      </c>
      <c r="AE42" s="33">
        <f>IF('IO model'!$D$31=0,0,'Z imported'!AE42/'IO model'!$D$31)</f>
        <v>0.000902157757092832</v>
      </c>
      <c r="AF42" s="33">
        <f>IF('IO model'!$D$32=0,0,'Z imported'!AF42/'IO model'!$D$32)</f>
        <v>0.0007877638417824053</v>
      </c>
      <c r="AG42" s="33">
        <f>IF('IO model'!$D$33=0,0,'Z imported'!AG42/'IO model'!$D$33)</f>
        <v>0.0005292975999390796</v>
      </c>
      <c r="AH42" s="33">
        <f>IF('IO model'!$D$34=0,0,'Z imported'!AH42/'IO model'!$D$34)</f>
        <v>0.0012645360500047418</v>
      </c>
      <c r="AI42" s="33">
        <f>IF('IO model'!$D$35=0,0,'Z imported'!AI42/'IO model'!$D$35)</f>
        <v>0.0014222942086432211</v>
      </c>
      <c r="AJ42" s="33">
        <f>IF('IO model'!$D$36=0,0,'Z imported'!AJ42/'IO model'!$D$36)</f>
        <v>0.0007161442393513191</v>
      </c>
      <c r="AK42" s="33">
        <f>IF('IO model'!$D$37=0,0,'Z imported'!AK42/'IO model'!$D$37)</f>
        <v>0.001891853538832146</v>
      </c>
      <c r="AL42" s="33">
        <f>IF('IO model'!$D$38=0,0,'Z imported'!AL42/'IO model'!$D$38)</f>
        <v>0.00031544671592367146</v>
      </c>
      <c r="AM42" s="33">
        <f>IF('IO model'!$D$39=0,0,'Z imported'!AM42/'IO model'!$D$39)</f>
        <v>0.00681891510111787</v>
      </c>
      <c r="AN42" s="33">
        <f>IF('IO model'!$D$40=0,0,'Z imported'!AN42/'IO model'!$D$40)</f>
        <v>0.001902903260199422</v>
      </c>
      <c r="AO42" s="33">
        <f>IF('IO model'!$D$41=0,0,'Z imported'!AO42/'IO model'!$D$41)</f>
        <v>0.002683875374325401</v>
      </c>
      <c r="AP42" s="33">
        <f>IF('IO model'!$D$42=0,0,'Z imported'!AP42/'IO model'!$D$42)</f>
        <v>0.017529273061380895</v>
      </c>
      <c r="AQ42" s="33">
        <f>IF('IO model'!$D$43=0,0,'Z imported'!AQ42/'IO model'!$D$43)</f>
        <v>0.0010680143716960849</v>
      </c>
      <c r="AR42" s="33">
        <f>IF('IO model'!$D$44=0,0,'Z imported'!AR42/'IO model'!$D$44)</f>
        <v>0.001259016700728166</v>
      </c>
      <c r="AS42" s="33">
        <f>IF('IO model'!$D$45=0,0,'Z imported'!AS42/'IO model'!$D$45)</f>
        <v>0.0027557120234359194</v>
      </c>
      <c r="AT42" s="33">
        <f>IF('IO model'!$D$46=0,0,'Z imported'!AT42/'IO model'!$D$46)</f>
        <v>0.00009721806476676957</v>
      </c>
      <c r="AU42" s="33">
        <f>IF('IO model'!$D$47=0,0,'Z imported'!AU42/'IO model'!$D$47)</f>
        <v>0.003926179604396024</v>
      </c>
      <c r="AV42" s="33">
        <f>IF('IO model'!$D$48=0,0,'Z imported'!AV42/'IO model'!$D$48)</f>
        <v>0.0012151603124048044</v>
      </c>
      <c r="AW42" s="33">
        <f>IF('IO model'!$D$49=0,0,'Z imported'!AW42/'IO model'!$D$49)</f>
        <v>0.0015726619074165544</v>
      </c>
      <c r="AX42" s="33">
        <f>IF('IO model'!$D$50=0,0,'Z imported'!AX42/'IO model'!$D$50)</f>
        <v>0.002624149004867793</v>
      </c>
      <c r="AY42" s="33">
        <f>IF('IO model'!$D$51=0,0,'Z imported'!AY42/'IO model'!$D$51)</f>
        <v>0.0012265309207461928</v>
      </c>
      <c r="AZ42" s="33">
        <f>IF('IO model'!$D$52=0,0,'Z imported'!AZ42/'IO model'!$D$52)</f>
        <v>0.0010183553669390602</v>
      </c>
      <c r="BA42" s="33">
        <f>IF('IO model'!$D$53=0,0,'Z imported'!BA42/'IO model'!$D$53)</f>
        <v>0.0008253145706668087</v>
      </c>
      <c r="BB42" s="33">
        <f>IF('IO model'!$D$54=0,0,'Z imported'!BB42/'IO model'!$D$54)</f>
        <v>0.0021652602580600894</v>
      </c>
      <c r="BC42" s="33">
        <f>IF('IO model'!$D$55=0,0,'Z imported'!BC42/'IO model'!$D$55)</f>
        <v>0.001214404730113476</v>
      </c>
      <c r="BD42" s="33">
        <f>IF('IO model'!$D$56=0,0,'Z imported'!BD42/'IO model'!$D$56)</f>
        <v>0.0007333273655498047</v>
      </c>
      <c r="BE42" s="33">
        <f>IF('IO model'!$D$57=0,0,'Z imported'!BE42/'IO model'!$D$57)</f>
        <v>0.0005883197714417404</v>
      </c>
      <c r="BF42" s="33">
        <f>IF('IO model'!$D$58=0,0,'Z imported'!BF42/'IO model'!$D$58)</f>
        <v>0.00062213965651959</v>
      </c>
      <c r="BG42" s="33">
        <f>IF('IO model'!$D$59=0,0,'Z imported'!BG42/'IO model'!$D$59)</f>
        <v>0.0007150337082050165</v>
      </c>
      <c r="BH42" s="33">
        <f>IF('IO model'!$D$60=0,0,'Z imported'!BH42/'IO model'!$D$60)</f>
        <v>0.005104819662000449</v>
      </c>
      <c r="BI42" s="33">
        <f>IF('IO model'!$D$61=0,0,'Z imported'!BI42/'IO model'!$D$61)</f>
        <v>0.0004892599825715761</v>
      </c>
      <c r="BJ42" s="33">
        <f>IF('IO model'!$D$62=0,0,'Z imported'!BJ42/'IO model'!$D$62)</f>
        <v>0.000755682716777134</v>
      </c>
      <c r="BK42" s="33">
        <f>IF('IO model'!$D$63=0,0,'Z imported'!BK42/'IO model'!$D$63)</f>
        <v>0.0007592563661927824</v>
      </c>
      <c r="BL42" s="33">
        <f>IF('IO model'!$D$64=0,0,'Z imported'!BL42/'IO model'!$D$64)</f>
        <v>0.00039726381234297074</v>
      </c>
      <c r="BM42" s="33">
        <f>IF('IO model'!$D$65=0,0,'Z imported'!BM42/'IO model'!$D$65)</f>
        <v>0</v>
      </c>
      <c r="BN42" s="33">
        <f>IF('IO model'!$D$66=0,0,'Z imported'!BN42/'IO model'!$D$66)</f>
        <v>0</v>
      </c>
    </row>
    <row r="43" spans="1:66" x14ac:dyDescent="0.25">
      <c r="A43" s="30" t="s">
        <v>341</v>
      </c>
      <c r="B43" s="31" t="s">
        <v>342</v>
      </c>
      <c r="C43" s="33">
        <f>IF('IO model'!$D$3=0,0,'Z imported'!C43/'IO model'!$D$3)</f>
        <v>0.002775151942056462</v>
      </c>
      <c r="D43" s="33">
        <f>IF('IO model'!$D$4=0,0,'Z imported'!D43/'IO model'!$D$4)</f>
        <v>0.0012201741870709571</v>
      </c>
      <c r="E43" s="33">
        <f>IF('IO model'!$D$5=0,0,'Z imported'!E43/'IO model'!$D$5)</f>
        <v>0.0025451509783560363</v>
      </c>
      <c r="F43" s="33">
        <f>IF('IO model'!$D$6=0,0,'Z imported'!F43/'IO model'!$D$6)</f>
        <v>0.0016719398725983654</v>
      </c>
      <c r="G43" s="33">
        <f>IF('IO model'!$D$7=0,0,'Z imported'!G43/'IO model'!$D$7)</f>
        <v>0.0022612488521579427</v>
      </c>
      <c r="H43" s="33">
        <f>IF('IO model'!$D$8=0,0,'Z imported'!H43/'IO model'!$D$8)</f>
        <v>0.0027267904416091795</v>
      </c>
      <c r="I43" s="33">
        <f>IF('IO model'!$D$9=0,0,'Z imported'!I43/'IO model'!$D$9)</f>
        <v>0.0012288202476989322</v>
      </c>
      <c r="J43" s="33">
        <f>IF('IO model'!$D$10=0,0,'Z imported'!J43/'IO model'!$D$10)</f>
        <v>0.0015942635206413636</v>
      </c>
      <c r="K43" s="33">
        <f>IF('IO model'!$D$11=0,0,'Z imported'!K43/'IO model'!$D$11)</f>
        <v>0.001741538610266405</v>
      </c>
      <c r="L43" s="33">
        <f>IF('IO model'!$D$12=0,0,'Z imported'!L43/'IO model'!$D$12)</f>
        <v>0.002062170765813482</v>
      </c>
      <c r="M43" s="33">
        <f>IF('IO model'!$D$13=0,0,'Z imported'!M43/'IO model'!$D$13)</f>
        <v>0.002900832287360153</v>
      </c>
      <c r="N43" s="33">
        <f>IF('IO model'!$D$14=0,0,'Z imported'!N43/'IO model'!$D$14)</f>
        <v>0.0034439105729696224</v>
      </c>
      <c r="O43" s="33">
        <f>IF('IO model'!$D$15=0,0,'Z imported'!O43/'IO model'!$D$15)</f>
        <v>0.003308987266593215</v>
      </c>
      <c r="P43" s="33">
        <f>IF('IO model'!$D$16=0,0,'Z imported'!P43/'IO model'!$D$16)</f>
        <v>0.002049704583693261</v>
      </c>
      <c r="Q43" s="33">
        <f>IF('IO model'!$D$17=0,0,'Z imported'!Q43/'IO model'!$D$17)</f>
        <v>0.0028150602744733437</v>
      </c>
      <c r="R43" s="33">
        <f>IF('IO model'!$D$18=0,0,'Z imported'!R43/'IO model'!$D$18)</f>
        <v>0.002069636484094629</v>
      </c>
      <c r="S43" s="33">
        <f>IF('IO model'!$D$19=0,0,'Z imported'!S43/'IO model'!$D$19)</f>
        <v>0.0021304078183720107</v>
      </c>
      <c r="T43" s="33">
        <f>IF('IO model'!$D$20=0,0,'Z imported'!T43/'IO model'!$D$20)</f>
        <v>0.0015893658860935424</v>
      </c>
      <c r="U43" s="33">
        <f>IF('IO model'!$D$21=0,0,'Z imported'!U43/'IO model'!$D$21)</f>
        <v>0.002294420272597021</v>
      </c>
      <c r="V43" s="33">
        <f>IF('IO model'!$D$22=0,0,'Z imported'!V43/'IO model'!$D$22)</f>
        <v>0.0018799619315359273</v>
      </c>
      <c r="W43" s="33">
        <f>IF('IO model'!$D$23=0,0,'Z imported'!W43/'IO model'!$D$23)</f>
        <v>0.001059727285119406</v>
      </c>
      <c r="X43" s="33">
        <f>IF('IO model'!$D$24=0,0,'Z imported'!X43/'IO model'!$D$24)</f>
        <v>0.0017286689748921542</v>
      </c>
      <c r="Y43" s="33">
        <f>IF('IO model'!$D$25=0,0,'Z imported'!Y43/'IO model'!$D$25)</f>
        <v>0.0015448975197704304</v>
      </c>
      <c r="Z43" s="33">
        <f>IF('IO model'!$D$26=0,0,'Z imported'!Z43/'IO model'!$D$26)</f>
        <v>0.0024796371961294792</v>
      </c>
      <c r="AA43" s="33">
        <f>IF('IO model'!$D$27=0,0,'Z imported'!AA43/'IO model'!$D$27)</f>
        <v>0.0013299635222223647</v>
      </c>
      <c r="AB43" s="33">
        <f>IF('IO model'!$D$28=0,0,'Z imported'!AB43/'IO model'!$D$28)</f>
        <v>0.0018466864912543848</v>
      </c>
      <c r="AC43" s="33">
        <f>IF('IO model'!$D$29=0,0,'Z imported'!AC43/'IO model'!$D$29)</f>
        <v>0.003166892892935568</v>
      </c>
      <c r="AD43" s="33">
        <f>IF('IO model'!$D$30=0,0,'Z imported'!AD43/'IO model'!$D$30)</f>
        <v>0.0037572765849349056</v>
      </c>
      <c r="AE43" s="33">
        <f>IF('IO model'!$D$31=0,0,'Z imported'!AE43/'IO model'!$D$31)</f>
        <v>0.0024965371894392838</v>
      </c>
      <c r="AF43" s="33">
        <f>IF('IO model'!$D$32=0,0,'Z imported'!AF43/'IO model'!$D$32)</f>
        <v>0.0035985551893697736</v>
      </c>
      <c r="AG43" s="33">
        <f>IF('IO model'!$D$33=0,0,'Z imported'!AG43/'IO model'!$D$33)</f>
        <v>0.002015267911096653</v>
      </c>
      <c r="AH43" s="33">
        <f>IF('IO model'!$D$34=0,0,'Z imported'!AH43/'IO model'!$D$34)</f>
        <v>0.019643432586755025</v>
      </c>
      <c r="AI43" s="33">
        <f>IF('IO model'!$D$35=0,0,'Z imported'!AI43/'IO model'!$D$35)</f>
        <v>0.009715003369091044</v>
      </c>
      <c r="AJ43" s="33">
        <f>IF('IO model'!$D$36=0,0,'Z imported'!AJ43/'IO model'!$D$36)</f>
        <v>0.0035576287445941413</v>
      </c>
      <c r="AK43" s="33">
        <f>IF('IO model'!$D$37=0,0,'Z imported'!AK43/'IO model'!$D$37)</f>
        <v>0.002206124123036241</v>
      </c>
      <c r="AL43" s="33">
        <f>IF('IO model'!$D$38=0,0,'Z imported'!AL43/'IO model'!$D$38)</f>
        <v>0.0027963224771219465</v>
      </c>
      <c r="AM43" s="33">
        <f>IF('IO model'!$D$39=0,0,'Z imported'!AM43/'IO model'!$D$39)</f>
        <v>0.002474059653984117</v>
      </c>
      <c r="AN43" s="33">
        <f>IF('IO model'!$D$40=0,0,'Z imported'!AN43/'IO model'!$D$40)</f>
        <v>0.002566369835390756</v>
      </c>
      <c r="AO43" s="33">
        <f>IF('IO model'!$D$41=0,0,'Z imported'!AO43/'IO model'!$D$41)</f>
        <v>0.0030529735782604357</v>
      </c>
      <c r="AP43" s="33">
        <f>IF('IO model'!$D$42=0,0,'Z imported'!AP43/'IO model'!$D$42)</f>
        <v>0.012324387032908337</v>
      </c>
      <c r="AQ43" s="33">
        <f>IF('IO model'!$D$43=0,0,'Z imported'!AQ43/'IO model'!$D$43)</f>
        <v>0.0481850406802983</v>
      </c>
      <c r="AR43" s="33">
        <f>IF('IO model'!$D$44=0,0,'Z imported'!AR43/'IO model'!$D$44)</f>
        <v>0.03089937562642374</v>
      </c>
      <c r="AS43" s="33">
        <f>IF('IO model'!$D$45=0,0,'Z imported'!AS43/'IO model'!$D$45)</f>
        <v>0.02131782074220168</v>
      </c>
      <c r="AT43" s="33">
        <f>IF('IO model'!$D$46=0,0,'Z imported'!AT43/'IO model'!$D$46)</f>
        <v>0.002328870597349523</v>
      </c>
      <c r="AU43" s="33">
        <f>IF('IO model'!$D$47=0,0,'Z imported'!AU43/'IO model'!$D$47)</f>
        <v>0.006008101576062906</v>
      </c>
      <c r="AV43" s="33">
        <f>IF('IO model'!$D$48=0,0,'Z imported'!AV43/'IO model'!$D$48)</f>
        <v>0.0021990632851208976</v>
      </c>
      <c r="AW43" s="33">
        <f>IF('IO model'!$D$49=0,0,'Z imported'!AW43/'IO model'!$D$49)</f>
        <v>0.00105102029597155</v>
      </c>
      <c r="AX43" s="33">
        <f>IF('IO model'!$D$50=0,0,'Z imported'!AX43/'IO model'!$D$50)</f>
        <v>0.002431290558913042</v>
      </c>
      <c r="AY43" s="33">
        <f>IF('IO model'!$D$51=0,0,'Z imported'!AY43/'IO model'!$D$51)</f>
        <v>0.00243954296360841</v>
      </c>
      <c r="AZ43" s="33">
        <f>IF('IO model'!$D$52=0,0,'Z imported'!AZ43/'IO model'!$D$52)</f>
        <v>0.006800887641095958</v>
      </c>
      <c r="BA43" s="33">
        <f>IF('IO model'!$D$53=0,0,'Z imported'!BA43/'IO model'!$D$53)</f>
        <v>0.0019177184560863515</v>
      </c>
      <c r="BB43" s="33">
        <f>IF('IO model'!$D$54=0,0,'Z imported'!BB43/'IO model'!$D$54)</f>
        <v>0.00355903685011277</v>
      </c>
      <c r="BC43" s="33">
        <f>IF('IO model'!$D$55=0,0,'Z imported'!BC43/'IO model'!$D$55)</f>
        <v>0.002227897489133201</v>
      </c>
      <c r="BD43" s="33">
        <f>IF('IO model'!$D$56=0,0,'Z imported'!BD43/'IO model'!$D$56)</f>
        <v>0.0032929078647080273</v>
      </c>
      <c r="BE43" s="33">
        <f>IF('IO model'!$D$57=0,0,'Z imported'!BE43/'IO model'!$D$57)</f>
        <v>0.0006364020713939547</v>
      </c>
      <c r="BF43" s="33">
        <f>IF('IO model'!$D$58=0,0,'Z imported'!BF43/'IO model'!$D$58)</f>
        <v>0.0018985504935338296</v>
      </c>
      <c r="BG43" s="33">
        <f>IF('IO model'!$D$59=0,0,'Z imported'!BG43/'IO model'!$D$59)</f>
        <v>0.0020812884697172067</v>
      </c>
      <c r="BH43" s="33">
        <f>IF('IO model'!$D$60=0,0,'Z imported'!BH43/'IO model'!$D$60)</f>
        <v>0.0019224357195103</v>
      </c>
      <c r="BI43" s="33">
        <f>IF('IO model'!$D$61=0,0,'Z imported'!BI43/'IO model'!$D$61)</f>
        <v>0.0014273984419761652</v>
      </c>
      <c r="BJ43" s="33">
        <f>IF('IO model'!$D$62=0,0,'Z imported'!BJ43/'IO model'!$D$62)</f>
        <v>0.0033775681854125625</v>
      </c>
      <c r="BK43" s="33">
        <f>IF('IO model'!$D$63=0,0,'Z imported'!BK43/'IO model'!$D$63)</f>
        <v>0.0016028745508514296</v>
      </c>
      <c r="BL43" s="33">
        <f>IF('IO model'!$D$64=0,0,'Z imported'!BL43/'IO model'!$D$64)</f>
        <v>0.0024965564281687093</v>
      </c>
      <c r="BM43" s="33">
        <f>IF('IO model'!$D$65=0,0,'Z imported'!BM43/'IO model'!$D$65)</f>
        <v>0</v>
      </c>
      <c r="BN43" s="33">
        <f>IF('IO model'!$D$66=0,0,'Z imported'!BN43/'IO model'!$D$66)</f>
        <v>0</v>
      </c>
    </row>
    <row r="44" spans="1:66" x14ac:dyDescent="0.25">
      <c r="A44" s="30" t="s">
        <v>344</v>
      </c>
      <c r="B44" s="31" t="s">
        <v>345</v>
      </c>
      <c r="C44" s="33">
        <f>IF('IO model'!$D$3=0,0,'Z imported'!C44/'IO model'!$D$3)</f>
        <v>0.0005984286882663113</v>
      </c>
      <c r="D44" s="33">
        <f>IF('IO model'!$D$4=0,0,'Z imported'!D44/'IO model'!$D$4)</f>
        <v>0.00003202556921446082</v>
      </c>
      <c r="E44" s="33">
        <f>IF('IO model'!$D$5=0,0,'Z imported'!E44/'IO model'!$D$5)</f>
        <v>0.0002646957017490277</v>
      </c>
      <c r="F44" s="33">
        <f>IF('IO model'!$D$6=0,0,'Z imported'!F44/'IO model'!$D$6)</f>
        <v>0.00021209121942351592</v>
      </c>
      <c r="G44" s="33">
        <f>IF('IO model'!$D$7=0,0,'Z imported'!G44/'IO model'!$D$7)</f>
        <v>0.00016290527654164015</v>
      </c>
      <c r="H44" s="33">
        <f>IF('IO model'!$D$8=0,0,'Z imported'!H44/'IO model'!$D$8)</f>
        <v>0.00024022457264619444</v>
      </c>
      <c r="I44" s="33">
        <f>IF('IO model'!$D$9=0,0,'Z imported'!I44/'IO model'!$D$9)</f>
        <v>0.00010975650462872601</v>
      </c>
      <c r="J44" s="33">
        <f>IF('IO model'!$D$10=0,0,'Z imported'!J44/'IO model'!$D$10)</f>
        <v>0.00026586003029818023</v>
      </c>
      <c r="K44" s="33">
        <f>IF('IO model'!$D$11=0,0,'Z imported'!K44/'IO model'!$D$11)</f>
        <v>0.0005160640943075145</v>
      </c>
      <c r="L44" s="33">
        <f>IF('IO model'!$D$12=0,0,'Z imported'!L44/'IO model'!$D$12)</f>
        <v>0.0009420926211683752</v>
      </c>
      <c r="M44" s="33">
        <f>IF('IO model'!$D$13=0,0,'Z imported'!M44/'IO model'!$D$13)</f>
        <v>0.0007204805094421237</v>
      </c>
      <c r="N44" s="33">
        <f>IF('IO model'!$D$14=0,0,'Z imported'!N44/'IO model'!$D$14)</f>
        <v>0.0005850638107084441</v>
      </c>
      <c r="O44" s="33">
        <f>IF('IO model'!$D$15=0,0,'Z imported'!O44/'IO model'!$D$15)</f>
        <v>0.0002634633263253957</v>
      </c>
      <c r="P44" s="33">
        <f>IF('IO model'!$D$16=0,0,'Z imported'!P44/'IO model'!$D$16)</f>
        <v>0.00019263009303431528</v>
      </c>
      <c r="Q44" s="33">
        <f>IF('IO model'!$D$17=0,0,'Z imported'!Q44/'IO model'!$D$17)</f>
        <v>0.0003019683568948118</v>
      </c>
      <c r="R44" s="33">
        <f>IF('IO model'!$D$18=0,0,'Z imported'!R44/'IO model'!$D$18)</f>
        <v>0.0002611044172883762</v>
      </c>
      <c r="S44" s="33">
        <f>IF('IO model'!$D$19=0,0,'Z imported'!S44/'IO model'!$D$19)</f>
        <v>0.00022289621589630457</v>
      </c>
      <c r="T44" s="33">
        <f>IF('IO model'!$D$20=0,0,'Z imported'!T44/'IO model'!$D$20)</f>
        <v>0.0002564163121261299</v>
      </c>
      <c r="U44" s="33">
        <f>IF('IO model'!$D$21=0,0,'Z imported'!U44/'IO model'!$D$21)</f>
        <v>0.00028409759593956834</v>
      </c>
      <c r="V44" s="33">
        <f>IF('IO model'!$D$22=0,0,'Z imported'!V44/'IO model'!$D$22)</f>
        <v>0.00014113856162372028</v>
      </c>
      <c r="W44" s="33">
        <f>IF('IO model'!$D$23=0,0,'Z imported'!W44/'IO model'!$D$23)</f>
        <v>0.0008717466152486402</v>
      </c>
      <c r="X44" s="33">
        <f>IF('IO model'!$D$24=0,0,'Z imported'!X44/'IO model'!$D$24)</f>
        <v>0.00034073351281965194</v>
      </c>
      <c r="Y44" s="33">
        <f>IF('IO model'!$D$25=0,0,'Z imported'!Y44/'IO model'!$D$25)</f>
        <v>0.00036047608794643375</v>
      </c>
      <c r="Z44" s="33">
        <f>IF('IO model'!$D$26=0,0,'Z imported'!Z44/'IO model'!$D$26)</f>
        <v>0.000694512715574184</v>
      </c>
      <c r="AA44" s="33">
        <f>IF('IO model'!$D$27=0,0,'Z imported'!AA44/'IO model'!$D$27)</f>
        <v>0.00015109982138860736</v>
      </c>
      <c r="AB44" s="33">
        <f>IF('IO model'!$D$28=0,0,'Z imported'!AB44/'IO model'!$D$28)</f>
        <v>0.0003268167225580599</v>
      </c>
      <c r="AC44" s="33">
        <f>IF('IO model'!$D$29=0,0,'Z imported'!AC44/'IO model'!$D$29)</f>
        <v>0.00024853897796632703</v>
      </c>
      <c r="AD44" s="33">
        <f>IF('IO model'!$D$30=0,0,'Z imported'!AD44/'IO model'!$D$30)</f>
        <v>0.0002892295589163073</v>
      </c>
      <c r="AE44" s="33">
        <f>IF('IO model'!$D$31=0,0,'Z imported'!AE44/'IO model'!$D$31)</f>
        <v>0.00015194833166632733</v>
      </c>
      <c r="AF44" s="33">
        <f>IF('IO model'!$D$32=0,0,'Z imported'!AF44/'IO model'!$D$32)</f>
        <v>0.0001598723447875504</v>
      </c>
      <c r="AG44" s="33">
        <f>IF('IO model'!$D$33=0,0,'Z imported'!AG44/'IO model'!$D$33)</f>
        <v>0.0003624917989306297</v>
      </c>
      <c r="AH44" s="33">
        <f>IF('IO model'!$D$34=0,0,'Z imported'!AH44/'IO model'!$D$34)</f>
        <v>0.0006693845395342371</v>
      </c>
      <c r="AI44" s="33">
        <f>IF('IO model'!$D$35=0,0,'Z imported'!AI44/'IO model'!$D$35)</f>
        <v>0.00045490637723063885</v>
      </c>
      <c r="AJ44" s="33">
        <f>IF('IO model'!$D$36=0,0,'Z imported'!AJ44/'IO model'!$D$36)</f>
        <v>0.00015190938410482524</v>
      </c>
      <c r="AK44" s="33">
        <f>IF('IO model'!$D$37=0,0,'Z imported'!AK44/'IO model'!$D$37)</f>
        <v>0.00012113954236942023</v>
      </c>
      <c r="AL44" s="33">
        <f>IF('IO model'!$D$38=0,0,'Z imported'!AL44/'IO model'!$D$38)</f>
        <v>0.00023331791024211554</v>
      </c>
      <c r="AM44" s="33">
        <f>IF('IO model'!$D$39=0,0,'Z imported'!AM44/'IO model'!$D$39)</f>
        <v>0.00028061936897244517</v>
      </c>
      <c r="AN44" s="33">
        <f>IF('IO model'!$D$40=0,0,'Z imported'!AN44/'IO model'!$D$40)</f>
        <v>0.00028624671453669753</v>
      </c>
      <c r="AO44" s="33">
        <f>IF('IO model'!$D$41=0,0,'Z imported'!AO44/'IO model'!$D$41)</f>
        <v>0.00033686382105793834</v>
      </c>
      <c r="AP44" s="33">
        <f>IF('IO model'!$D$42=0,0,'Z imported'!AP44/'IO model'!$D$42)</f>
        <v>0.0003237745012657052</v>
      </c>
      <c r="AQ44" s="33">
        <f>IF('IO model'!$D$43=0,0,'Z imported'!AQ44/'IO model'!$D$43)</f>
        <v>0.00013529939695297127</v>
      </c>
      <c r="AR44" s="33">
        <f>IF('IO model'!$D$44=0,0,'Z imported'!AR44/'IO model'!$D$44)</f>
        <v>0.01319886207423438</v>
      </c>
      <c r="AS44" s="33">
        <f>IF('IO model'!$D$45=0,0,'Z imported'!AS44/'IO model'!$D$45)</f>
        <v>0.0006549594143589976</v>
      </c>
      <c r="AT44" s="33">
        <f>IF('IO model'!$D$46=0,0,'Z imported'!AT44/'IO model'!$D$46)</f>
        <v>0.00008057243514084951</v>
      </c>
      <c r="AU44" s="33">
        <f>IF('IO model'!$D$47=0,0,'Z imported'!AU44/'IO model'!$D$47)</f>
        <v>0.00036871042712382406</v>
      </c>
      <c r="AV44" s="33">
        <f>IF('IO model'!$D$48=0,0,'Z imported'!AV44/'IO model'!$D$48)</f>
        <v>0.00017528280520282173</v>
      </c>
      <c r="AW44" s="33">
        <f>IF('IO model'!$D$49=0,0,'Z imported'!AW44/'IO model'!$D$49)</f>
        <v>0.00008103566016983283</v>
      </c>
      <c r="AX44" s="33">
        <f>IF('IO model'!$D$50=0,0,'Z imported'!AX44/'IO model'!$D$50)</f>
        <v>0.00012104328890253118</v>
      </c>
      <c r="AY44" s="33">
        <f>IF('IO model'!$D$51=0,0,'Z imported'!AY44/'IO model'!$D$51)</f>
        <v>0.0001696004679989726</v>
      </c>
      <c r="AZ44" s="33">
        <f>IF('IO model'!$D$52=0,0,'Z imported'!AZ44/'IO model'!$D$52)</f>
        <v>0.0005876171027246978</v>
      </c>
      <c r="BA44" s="33">
        <f>IF('IO model'!$D$53=0,0,'Z imported'!BA44/'IO model'!$D$53)</f>
        <v>0.000049381464946245045</v>
      </c>
      <c r="BB44" s="33">
        <f>IF('IO model'!$D$54=0,0,'Z imported'!BB44/'IO model'!$D$54)</f>
        <v>0.00008057895580842629</v>
      </c>
      <c r="BC44" s="33">
        <f>IF('IO model'!$D$55=0,0,'Z imported'!BC44/'IO model'!$D$55)</f>
        <v>0.0002098448746447212</v>
      </c>
      <c r="BD44" s="33">
        <f>IF('IO model'!$D$56=0,0,'Z imported'!BD44/'IO model'!$D$56)</f>
        <v>0.000161004859659867</v>
      </c>
      <c r="BE44" s="33">
        <f>IF('IO model'!$D$57=0,0,'Z imported'!BE44/'IO model'!$D$57)</f>
        <v>0.00010209545628619942</v>
      </c>
      <c r="BF44" s="33">
        <f>IF('IO model'!$D$58=0,0,'Z imported'!BF44/'IO model'!$D$58)</f>
        <v>0.00026749693036309417</v>
      </c>
      <c r="BG44" s="33">
        <f>IF('IO model'!$D$59=0,0,'Z imported'!BG44/'IO model'!$D$59)</f>
        <v>0.00013020732473374813</v>
      </c>
      <c r="BH44" s="33">
        <f>IF('IO model'!$D$60=0,0,'Z imported'!BH44/'IO model'!$D$60)</f>
        <v>0.00018460619962607422</v>
      </c>
      <c r="BI44" s="33">
        <f>IF('IO model'!$D$61=0,0,'Z imported'!BI44/'IO model'!$D$61)</f>
        <v>0.0001293378662061224</v>
      </c>
      <c r="BJ44" s="33">
        <f>IF('IO model'!$D$62=0,0,'Z imported'!BJ44/'IO model'!$D$62)</f>
        <v>0.0001443503515304876</v>
      </c>
      <c r="BK44" s="33">
        <f>IF('IO model'!$D$63=0,0,'Z imported'!BK44/'IO model'!$D$63)</f>
        <v>0.0002874550851429464</v>
      </c>
      <c r="BL44" s="33">
        <f>IF('IO model'!$D$64=0,0,'Z imported'!BL44/'IO model'!$D$64)</f>
        <v>0.00010183531638164274</v>
      </c>
      <c r="BM44" s="33">
        <f>IF('IO model'!$D$65=0,0,'Z imported'!BM44/'IO model'!$D$65)</f>
        <v>0</v>
      </c>
      <c r="BN44" s="33">
        <f>IF('IO model'!$D$66=0,0,'Z imported'!BN44/'IO model'!$D$66)</f>
        <v>0</v>
      </c>
    </row>
    <row r="45" spans="1:66" x14ac:dyDescent="0.25">
      <c r="A45" s="30" t="s">
        <v>346</v>
      </c>
      <c r="B45" s="31" t="s">
        <v>347</v>
      </c>
      <c r="C45" s="33">
        <f>IF('IO model'!$D$3=0,0,'Z imported'!C45/'IO model'!$D$3)</f>
        <v>0.00004800696886617142</v>
      </c>
      <c r="D45" s="33">
        <f>IF('IO model'!$D$4=0,0,'Z imported'!D45/'IO model'!$D$4)</f>
        <v>0.00008326647995759816</v>
      </c>
      <c r="E45" s="33">
        <f>IF('IO model'!$D$5=0,0,'Z imported'!E45/'IO model'!$D$5)</f>
        <v>0.00014252845478793797</v>
      </c>
      <c r="F45" s="33">
        <f>IF('IO model'!$D$6=0,0,'Z imported'!F45/'IO model'!$D$6)</f>
        <v>0.00006794264172008733</v>
      </c>
      <c r="G45" s="33">
        <f>IF('IO model'!$D$7=0,0,'Z imported'!G45/'IO model'!$D$7)</f>
        <v>0.00006776682913046547</v>
      </c>
      <c r="H45" s="33">
        <f>IF('IO model'!$D$8=0,0,'Z imported'!H45/'IO model'!$D$8)</f>
        <v>0.00012691938116042085</v>
      </c>
      <c r="I45" s="33">
        <f>IF('IO model'!$D$9=0,0,'Z imported'!I45/'IO model'!$D$9)</f>
        <v>0.00012390038409119066</v>
      </c>
      <c r="J45" s="33">
        <f>IF('IO model'!$D$10=0,0,'Z imported'!J45/'IO model'!$D$10)</f>
        <v>0.00013987913904389923</v>
      </c>
      <c r="K45" s="33">
        <f>IF('IO model'!$D$11=0,0,'Z imported'!K45/'IO model'!$D$11)</f>
        <v>0.0001222631187615599</v>
      </c>
      <c r="L45" s="33">
        <f>IF('IO model'!$D$12=0,0,'Z imported'!L45/'IO model'!$D$12)</f>
        <v>0.00005565491600975194</v>
      </c>
      <c r="M45" s="33">
        <f>IF('IO model'!$D$13=0,0,'Z imported'!M45/'IO model'!$D$13)</f>
        <v>0.00011677079122848076</v>
      </c>
      <c r="N45" s="33">
        <f>IF('IO model'!$D$14=0,0,'Z imported'!N45/'IO model'!$D$14)</f>
        <v>0.00019834039949039717</v>
      </c>
      <c r="O45" s="33">
        <f>IF('IO model'!$D$15=0,0,'Z imported'!O45/'IO model'!$D$15)</f>
        <v>0.00005185182486191299</v>
      </c>
      <c r="P45" s="33">
        <f>IF('IO model'!$D$16=0,0,'Z imported'!P45/'IO model'!$D$16)</f>
        <v>0.00015049226018305884</v>
      </c>
      <c r="Q45" s="33">
        <f>IF('IO model'!$D$17=0,0,'Z imported'!Q45/'IO model'!$D$17)</f>
        <v>0.00004767921424654924</v>
      </c>
      <c r="R45" s="33">
        <f>IF('IO model'!$D$18=0,0,'Z imported'!R45/'IO model'!$D$18)</f>
        <v>0.00008239508266146678</v>
      </c>
      <c r="S45" s="33">
        <f>IF('IO model'!$D$19=0,0,'Z imported'!S45/'IO model'!$D$19)</f>
        <v>0.00008170308028272333</v>
      </c>
      <c r="T45" s="33">
        <f>IF('IO model'!$D$20=0,0,'Z imported'!T45/'IO model'!$D$20)</f>
        <v>0.00007163046775993105</v>
      </c>
      <c r="U45" s="33">
        <f>IF('IO model'!$D$21=0,0,'Z imported'!U45/'IO model'!$D$21)</f>
        <v>0.00019678029473765198</v>
      </c>
      <c r="V45" s="33">
        <f>IF('IO model'!$D$22=0,0,'Z imported'!V45/'IO model'!$D$22)</f>
        <v>0.0001003363493277696</v>
      </c>
      <c r="W45" s="33">
        <f>IF('IO model'!$D$23=0,0,'Z imported'!W45/'IO model'!$D$23)</f>
        <v>0.00048002861117096195</v>
      </c>
      <c r="X45" s="33">
        <f>IF('IO model'!$D$24=0,0,'Z imported'!X45/'IO model'!$D$24)</f>
        <v>0.00016072335510360945</v>
      </c>
      <c r="Y45" s="33">
        <f>IF('IO model'!$D$25=0,0,'Z imported'!Y45/'IO model'!$D$25)</f>
        <v>0.00011556320029778814</v>
      </c>
      <c r="Z45" s="33">
        <f>IF('IO model'!$D$26=0,0,'Z imported'!Z45/'IO model'!$D$26)</f>
        <v>0.00006902267024155879</v>
      </c>
      <c r="AA45" s="33">
        <f>IF('IO model'!$D$27=0,0,'Z imported'!AA45/'IO model'!$D$27)</f>
        <v>0.00008980461082530435</v>
      </c>
      <c r="AB45" s="33">
        <f>IF('IO model'!$D$28=0,0,'Z imported'!AB45/'IO model'!$D$28)</f>
        <v>0.00006949155574392431</v>
      </c>
      <c r="AC45" s="33">
        <f>IF('IO model'!$D$29=0,0,'Z imported'!AC45/'IO model'!$D$29)</f>
        <v>0.00007161781763893662</v>
      </c>
      <c r="AD45" s="33">
        <f>IF('IO model'!$D$30=0,0,'Z imported'!AD45/'IO model'!$D$30)</f>
        <v>0.00009083038914052545</v>
      </c>
      <c r="AE45" s="33">
        <f>IF('IO model'!$D$31=0,0,'Z imported'!AE45/'IO model'!$D$31)</f>
        <v>0.0000974784293512884</v>
      </c>
      <c r="AF45" s="33">
        <f>IF('IO model'!$D$32=0,0,'Z imported'!AF45/'IO model'!$D$32)</f>
        <v>0.00007788423939706001</v>
      </c>
      <c r="AG45" s="33">
        <f>IF('IO model'!$D$33=0,0,'Z imported'!AG45/'IO model'!$D$33)</f>
        <v>0.00014142230955064224</v>
      </c>
      <c r="AH45" s="33">
        <f>IF('IO model'!$D$34=0,0,'Z imported'!AH45/'IO model'!$D$34)</f>
        <v>0.00028920844849107425</v>
      </c>
      <c r="AI45" s="33">
        <f>IF('IO model'!$D$35=0,0,'Z imported'!AI45/'IO model'!$D$35)</f>
        <v>0.0003751870399134477</v>
      </c>
      <c r="AJ45" s="33">
        <f>IF('IO model'!$D$36=0,0,'Z imported'!AJ45/'IO model'!$D$36)</f>
        <v>0.0000809626937261981</v>
      </c>
      <c r="AK45" s="33">
        <f>IF('IO model'!$D$37=0,0,'Z imported'!AK45/'IO model'!$D$37)</f>
        <v>0.00008860492241877592</v>
      </c>
      <c r="AL45" s="33">
        <f>IF('IO model'!$D$38=0,0,'Z imported'!AL45/'IO model'!$D$38)</f>
        <v>0.00006691976759237889</v>
      </c>
      <c r="AM45" s="33">
        <f>IF('IO model'!$D$39=0,0,'Z imported'!AM45/'IO model'!$D$39)</f>
        <v>0.00013104608212883914</v>
      </c>
      <c r="AN45" s="33">
        <f>IF('IO model'!$D$40=0,0,'Z imported'!AN45/'IO model'!$D$40)</f>
        <v>0.00010198263513858047</v>
      </c>
      <c r="AO45" s="33">
        <f>IF('IO model'!$D$41=0,0,'Z imported'!AO45/'IO model'!$D$41)</f>
        <v>0.00034470461689290756</v>
      </c>
      <c r="AP45" s="33">
        <f>IF('IO model'!$D$42=0,0,'Z imported'!AP45/'IO model'!$D$42)</f>
        <v>0.00025210684758122573</v>
      </c>
      <c r="AQ45" s="33">
        <f>IF('IO model'!$D$43=0,0,'Z imported'!AQ45/'IO model'!$D$43)</f>
        <v>0.0030037904203952396</v>
      </c>
      <c r="AR45" s="33">
        <f>IF('IO model'!$D$44=0,0,'Z imported'!AR45/'IO model'!$D$44)</f>
        <v>0.011691332276965729</v>
      </c>
      <c r="AS45" s="33">
        <f>IF('IO model'!$D$45=0,0,'Z imported'!AS45/'IO model'!$D$45)</f>
        <v>0.019216104485138944</v>
      </c>
      <c r="AT45" s="33">
        <f>IF('IO model'!$D$46=0,0,'Z imported'!AT45/'IO model'!$D$46)</f>
        <v>0.000021103433571323156</v>
      </c>
      <c r="AU45" s="33">
        <f>IF('IO model'!$D$47=0,0,'Z imported'!AU45/'IO model'!$D$47)</f>
        <v>0.00020803346031693398</v>
      </c>
      <c r="AV45" s="33">
        <f>IF('IO model'!$D$48=0,0,'Z imported'!AV45/'IO model'!$D$48)</f>
        <v>0.00013670274756912186</v>
      </c>
      <c r="AW45" s="33">
        <f>IF('IO model'!$D$49=0,0,'Z imported'!AW45/'IO model'!$D$49)</f>
        <v>0.00008632944701509827</v>
      </c>
      <c r="AX45" s="33">
        <f>IF('IO model'!$D$50=0,0,'Z imported'!AX45/'IO model'!$D$50)</f>
        <v>0.00010830189007068577</v>
      </c>
      <c r="AY45" s="33">
        <f>IF('IO model'!$D$51=0,0,'Z imported'!AY45/'IO model'!$D$51)</f>
        <v>0.00012289888985432792</v>
      </c>
      <c r="AZ45" s="33">
        <f>IF('IO model'!$D$52=0,0,'Z imported'!AZ45/'IO model'!$D$52)</f>
        <v>0.0002939442597001605</v>
      </c>
      <c r="BA45" s="33">
        <f>IF('IO model'!$D$53=0,0,'Z imported'!BA45/'IO model'!$D$53)</f>
        <v>0.0000729986873118405</v>
      </c>
      <c r="BB45" s="33">
        <f>IF('IO model'!$D$54=0,0,'Z imported'!BB45/'IO model'!$D$54)</f>
        <v>0.00013961700263836243</v>
      </c>
      <c r="BC45" s="33">
        <f>IF('IO model'!$D$55=0,0,'Z imported'!BC45/'IO model'!$D$55)</f>
        <v>0.00017818791820093202</v>
      </c>
      <c r="BD45" s="33">
        <f>IF('IO model'!$D$56=0,0,'Z imported'!BD45/'IO model'!$D$56)</f>
        <v>0.000035778857702192664</v>
      </c>
      <c r="BE45" s="33">
        <f>IF('IO model'!$D$57=0,0,'Z imported'!BE45/'IO model'!$D$57)</f>
        <v>0.00002795975151406291</v>
      </c>
      <c r="BF45" s="33">
        <f>IF('IO model'!$D$58=0,0,'Z imported'!BF45/'IO model'!$D$58)</f>
        <v>0.000026789558450670538</v>
      </c>
      <c r="BG45" s="33">
        <f>IF('IO model'!$D$59=0,0,'Z imported'!BG45/'IO model'!$D$59)</f>
        <v>0.000039283512986244124</v>
      </c>
      <c r="BH45" s="33">
        <f>IF('IO model'!$D$60=0,0,'Z imported'!BH45/'IO model'!$D$60)</f>
        <v>0.00008379288493665779</v>
      </c>
      <c r="BI45" s="33">
        <f>IF('IO model'!$D$61=0,0,'Z imported'!BI45/'IO model'!$D$61)</f>
        <v>0.00011529212507966567</v>
      </c>
      <c r="BJ45" s="33">
        <f>IF('IO model'!$D$62=0,0,'Z imported'!BJ45/'IO model'!$D$62)</f>
        <v>0.00011156959441001827</v>
      </c>
      <c r="BK45" s="33">
        <f>IF('IO model'!$D$63=0,0,'Z imported'!BK45/'IO model'!$D$63)</f>
        <v>0.0002780815497578503</v>
      </c>
      <c r="BL45" s="33">
        <f>IF('IO model'!$D$64=0,0,'Z imported'!BL45/'IO model'!$D$64)</f>
        <v>0.0000694813877395583</v>
      </c>
      <c r="BM45" s="33">
        <f>IF('IO model'!$D$65=0,0,'Z imported'!BM45/'IO model'!$D$65)</f>
        <v>0</v>
      </c>
      <c r="BN45" s="33">
        <f>IF('IO model'!$D$66=0,0,'Z imported'!BN45/'IO model'!$D$66)</f>
        <v>0</v>
      </c>
    </row>
    <row r="46" spans="1:66" x14ac:dyDescent="0.25">
      <c r="A46" s="30" t="s">
        <v>348</v>
      </c>
      <c r="B46" s="31" t="s">
        <v>349</v>
      </c>
      <c r="C46" s="33">
        <f>IF('IO model'!$D$3=0,0,'Z imported'!C46/'IO model'!$D$3)</f>
        <v>0.000093569946590065</v>
      </c>
      <c r="D46" s="33">
        <f>IF('IO model'!$D$4=0,0,'Z imported'!D46/'IO model'!$D$4)</f>
        <v>0.00020816619989399534</v>
      </c>
      <c r="E46" s="33">
        <f>IF('IO model'!$D$5=0,0,'Z imported'!E46/'IO model'!$D$5)</f>
        <v>0.001058782806996111</v>
      </c>
      <c r="F46" s="33">
        <f>IF('IO model'!$D$6=0,0,'Z imported'!F46/'IO model'!$D$6)</f>
        <v>0.00021117307561648767</v>
      </c>
      <c r="G46" s="33">
        <f>IF('IO model'!$D$7=0,0,'Z imported'!G46/'IO model'!$D$7)</f>
        <v>0.00007887735160462432</v>
      </c>
      <c r="H46" s="33">
        <f>IF('IO model'!$D$8=0,0,'Z imported'!H46/'IO model'!$D$8)</f>
        <v>0.00015195192346541733</v>
      </c>
      <c r="I46" s="33">
        <f>IF('IO model'!$D$9=0,0,'Z imported'!I46/'IO model'!$D$9)</f>
        <v>0.00021046092640147462</v>
      </c>
      <c r="J46" s="33">
        <f>IF('IO model'!$D$10=0,0,'Z imported'!J46/'IO model'!$D$10)</f>
        <v>0.00017484892380487398</v>
      </c>
      <c r="K46" s="33">
        <f>IF('IO model'!$D$11=0,0,'Z imported'!K46/'IO model'!$D$11)</f>
        <v>0.0003696326846279718</v>
      </c>
      <c r="L46" s="33">
        <f>IF('IO model'!$D$12=0,0,'Z imported'!L46/'IO model'!$D$12)</f>
        <v>0.00009551338721145546</v>
      </c>
      <c r="M46" s="33">
        <f>IF('IO model'!$D$13=0,0,'Z imported'!M46/'IO model'!$D$13)</f>
        <v>0.0001471847759883954</v>
      </c>
      <c r="N46" s="33">
        <f>IF('IO model'!$D$14=0,0,'Z imported'!N46/'IO model'!$D$14)</f>
        <v>0.00020533748278313843</v>
      </c>
      <c r="O46" s="33">
        <f>IF('IO model'!$D$15=0,0,'Z imported'!O46/'IO model'!$D$15)</f>
        <v>0.00019171161192188372</v>
      </c>
      <c r="P46" s="33">
        <f>IF('IO model'!$D$16=0,0,'Z imported'!P46/'IO model'!$D$16)</f>
        <v>0.00017381856051143293</v>
      </c>
      <c r="Q46" s="33">
        <f>IF('IO model'!$D$17=0,0,'Z imported'!Q46/'IO model'!$D$17)</f>
        <v>0.00012476061061180381</v>
      </c>
      <c r="R46" s="33">
        <f>IF('IO model'!$D$18=0,0,'Z imported'!R46/'IO model'!$D$18)</f>
        <v>0.00012287266695923589</v>
      </c>
      <c r="S46" s="33">
        <f>IF('IO model'!$D$19=0,0,'Z imported'!S46/'IO model'!$D$19)</f>
        <v>0.00017668291111138916</v>
      </c>
      <c r="T46" s="33">
        <f>IF('IO model'!$D$20=0,0,'Z imported'!T46/'IO model'!$D$20)</f>
        <v>0.0001549398161328943</v>
      </c>
      <c r="U46" s="33">
        <f>IF('IO model'!$D$21=0,0,'Z imported'!U46/'IO model'!$D$21)</f>
        <v>0.00009136679922867186</v>
      </c>
      <c r="V46" s="33">
        <f>IF('IO model'!$D$22=0,0,'Z imported'!V46/'IO model'!$D$22)</f>
        <v>0.00008197535379459181</v>
      </c>
      <c r="W46" s="33">
        <f>IF('IO model'!$D$23=0,0,'Z imported'!W46/'IO model'!$D$23)</f>
        <v>0.00015390230281817102</v>
      </c>
      <c r="X46" s="33">
        <f>IF('IO model'!$D$24=0,0,'Z imported'!X46/'IO model'!$D$24)</f>
        <v>0.00018501043987482148</v>
      </c>
      <c r="Y46" s="33">
        <f>IF('IO model'!$D$25=0,0,'Z imported'!Y46/'IO model'!$D$25)</f>
        <v>0.00017030366359674037</v>
      </c>
      <c r="Z46" s="33">
        <f>IF('IO model'!$D$26=0,0,'Z imported'!Z46/'IO model'!$D$26)</f>
        <v>0.00010590024179364646</v>
      </c>
      <c r="AA46" s="33">
        <f>IF('IO model'!$D$27=0,0,'Z imported'!AA46/'IO model'!$D$27)</f>
        <v>0.00038915331357631893</v>
      </c>
      <c r="AB46" s="33">
        <f>IF('IO model'!$D$28=0,0,'Z imported'!AB46/'IO model'!$D$28)</f>
        <v>0.0001696006781274984</v>
      </c>
      <c r="AC46" s="33">
        <f>IF('IO model'!$D$29=0,0,'Z imported'!AC46/'IO model'!$D$29)</f>
        <v>0.0000841107357417563</v>
      </c>
      <c r="AD46" s="33">
        <f>IF('IO model'!$D$30=0,0,'Z imported'!AD46/'IO model'!$D$30)</f>
        <v>0.0002402451485126093</v>
      </c>
      <c r="AE46" s="33">
        <f>IF('IO model'!$D$31=0,0,'Z imported'!AE46/'IO model'!$D$31)</f>
        <v>0.00007177544419637942</v>
      </c>
      <c r="AF46" s="33">
        <f>IF('IO model'!$D$32=0,0,'Z imported'!AF46/'IO model'!$D$32)</f>
        <v>0.00015496554849105752</v>
      </c>
      <c r="AG46" s="33">
        <f>IF('IO model'!$D$33=0,0,'Z imported'!AG46/'IO model'!$D$33)</f>
        <v>0.00008495699181796824</v>
      </c>
      <c r="AH46" s="33">
        <f>IF('IO model'!$D$34=0,0,'Z imported'!AH46/'IO model'!$D$34)</f>
        <v>0.0002046771957421994</v>
      </c>
      <c r="AI46" s="33">
        <f>IF('IO model'!$D$35=0,0,'Z imported'!AI46/'IO model'!$D$35)</f>
        <v>0.0003106523382757213</v>
      </c>
      <c r="AJ46" s="33">
        <f>IF('IO model'!$D$36=0,0,'Z imported'!AJ46/'IO model'!$D$36)</f>
        <v>0.0001431453811757007</v>
      </c>
      <c r="AK46" s="33">
        <f>IF('IO model'!$D$37=0,0,'Z imported'!AK46/'IO model'!$D$37)</f>
        <v>0.00016613422953520488</v>
      </c>
      <c r="AL46" s="33">
        <f>IF('IO model'!$D$38=0,0,'Z imported'!AL46/'IO model'!$D$38)</f>
        <v>0.00018487430743955173</v>
      </c>
      <c r="AM46" s="33">
        <f>IF('IO model'!$D$39=0,0,'Z imported'!AM46/'IO model'!$D$39)</f>
        <v>0.0001626778950564899</v>
      </c>
      <c r="AN46" s="33">
        <f>IF('IO model'!$D$40=0,0,'Z imported'!AN46/'IO model'!$D$40)</f>
        <v>0.00019817080237155983</v>
      </c>
      <c r="AO46" s="33">
        <f>IF('IO model'!$D$41=0,0,'Z imported'!AO46/'IO model'!$D$41)</f>
        <v>0.0002758798534526219</v>
      </c>
      <c r="AP46" s="33">
        <f>IF('IO model'!$D$42=0,0,'Z imported'!AP46/'IO model'!$D$42)</f>
        <v>0.00009715956594440187</v>
      </c>
      <c r="AQ46" s="33">
        <f>IF('IO model'!$D$43=0,0,'Z imported'!AQ46/'IO model'!$D$43)</f>
        <v>0.00006459377764185255</v>
      </c>
      <c r="AR46" s="33">
        <f>IF('IO model'!$D$44=0,0,'Z imported'!AR46/'IO model'!$D$44)</f>
        <v>0.0001939249640004975</v>
      </c>
      <c r="AS46" s="33">
        <f>IF('IO model'!$D$45=0,0,'Z imported'!AS46/'IO model'!$D$45)</f>
        <v>0.0003327797711014818</v>
      </c>
      <c r="AT46" s="33">
        <f>IF('IO model'!$D$46=0,0,'Z imported'!AT46/'IO model'!$D$46)</f>
        <v>0.00005643390101095405</v>
      </c>
      <c r="AU46" s="33">
        <f>IF('IO model'!$D$47=0,0,'Z imported'!AU46/'IO model'!$D$47)</f>
        <v>0.001195464852927663</v>
      </c>
      <c r="AV46" s="33">
        <f>IF('IO model'!$D$48=0,0,'Z imported'!AV46/'IO model'!$D$48)</f>
        <v>0.00018375703751542644</v>
      </c>
      <c r="AW46" s="33">
        <f>IF('IO model'!$D$49=0,0,'Z imported'!AW46/'IO model'!$D$49)</f>
        <v>0.00015148374664913474</v>
      </c>
      <c r="AX46" s="33">
        <f>IF('IO model'!$D$50=0,0,'Z imported'!AX46/'IO model'!$D$50)</f>
        <v>0.0002316617969426434</v>
      </c>
      <c r="AY46" s="33">
        <f>IF('IO model'!$D$51=0,0,'Z imported'!AY46/'IO model'!$D$51)</f>
        <v>0.0002335078907232231</v>
      </c>
      <c r="AZ46" s="33">
        <f>IF('IO model'!$D$52=0,0,'Z imported'!AZ46/'IO model'!$D$52)</f>
        <v>0.0001332655877310977</v>
      </c>
      <c r="BA46" s="33">
        <f>IF('IO model'!$D$53=0,0,'Z imported'!BA46/'IO model'!$D$53)</f>
        <v>0.0001889377789247637</v>
      </c>
      <c r="BB46" s="33">
        <f>IF('IO model'!$D$54=0,0,'Z imported'!BB46/'IO model'!$D$54)</f>
        <v>0.0002568952848545869</v>
      </c>
      <c r="BC46" s="33">
        <f>IF('IO model'!$D$55=0,0,'Z imported'!BC46/'IO model'!$D$55)</f>
        <v>0.00015421012445885411</v>
      </c>
      <c r="BD46" s="33">
        <f>IF('IO model'!$D$56=0,0,'Z imported'!BD46/'IO model'!$D$56)</f>
        <v>0.00011471509239924806</v>
      </c>
      <c r="BE46" s="33">
        <f>IF('IO model'!$D$57=0,0,'Z imported'!BE46/'IO model'!$D$57)</f>
        <v>0.00004246916801946677</v>
      </c>
      <c r="BF46" s="33">
        <f>IF('IO model'!$D$58=0,0,'Z imported'!BF46/'IO model'!$D$58)</f>
        <v>0.00008475387093173448</v>
      </c>
      <c r="BG46" s="33">
        <f>IF('IO model'!$D$59=0,0,'Z imported'!BG46/'IO model'!$D$59)</f>
        <v>0.00011951040570463003</v>
      </c>
      <c r="BH46" s="33">
        <f>IF('IO model'!$D$60=0,0,'Z imported'!BH46/'IO model'!$D$60)</f>
        <v>0.000128744276334969</v>
      </c>
      <c r="BI46" s="33">
        <f>IF('IO model'!$D$61=0,0,'Z imported'!BI46/'IO model'!$D$61)</f>
        <v>0.00019488465812958714</v>
      </c>
      <c r="BJ46" s="33">
        <f>IF('IO model'!$D$62=0,0,'Z imported'!BJ46/'IO model'!$D$62)</f>
        <v>0.00015125156355584953</v>
      </c>
      <c r="BK46" s="33">
        <f>IF('IO model'!$D$63=0,0,'Z imported'!BK46/'IO model'!$D$63)</f>
        <v>0.0005842837056709889</v>
      </c>
      <c r="BL46" s="33">
        <f>IF('IO model'!$D$64=0,0,'Z imported'!BL46/'IO model'!$D$64)</f>
        <v>0.0002529971141356436</v>
      </c>
      <c r="BM46" s="33">
        <f>IF('IO model'!$D$65=0,0,'Z imported'!BM46/'IO model'!$D$65)</f>
        <v>0</v>
      </c>
      <c r="BN46" s="33">
        <f>IF('IO model'!$D$66=0,0,'Z imported'!BN46/'IO model'!$D$66)</f>
        <v>0</v>
      </c>
    </row>
    <row r="47" spans="1:66" x14ac:dyDescent="0.25">
      <c r="A47" s="30" t="s">
        <v>350</v>
      </c>
      <c r="B47" s="31" t="s">
        <v>351</v>
      </c>
      <c r="C47" s="33">
        <f>IF('IO model'!$D$3=0,0,'Z imported'!C47/'IO model'!$D$3)</f>
        <v>0.00022746574702771396</v>
      </c>
      <c r="D47" s="33">
        <f>IF('IO model'!$D$4=0,0,'Z imported'!D47/'IO model'!$D$4)</f>
        <v>0.0002065649214332723</v>
      </c>
      <c r="E47" s="33">
        <f>IF('IO model'!$D$5=0,0,'Z imported'!E47/'IO model'!$D$5)</f>
        <v>0.00032577932522957266</v>
      </c>
      <c r="F47" s="33">
        <f>IF('IO model'!$D$6=0,0,'Z imported'!F47/'IO model'!$D$6)</f>
        <v>0.0006748356981657323</v>
      </c>
      <c r="G47" s="33">
        <f>IF('IO model'!$D$7=0,0,'Z imported'!G47/'IO model'!$D$7)</f>
        <v>0.0011666048597866777</v>
      </c>
      <c r="H47" s="33">
        <f>IF('IO model'!$D$8=0,0,'Z imported'!H47/'IO model'!$D$8)</f>
        <v>0.0006851011578209567</v>
      </c>
      <c r="I47" s="33">
        <f>IF('IO model'!$D$9=0,0,'Z imported'!I47/'IO model'!$D$9)</f>
        <v>0.0005272838263606838</v>
      </c>
      <c r="J47" s="33">
        <f>IF('IO model'!$D$10=0,0,'Z imported'!J47/'IO model'!$D$10)</f>
        <v>0.0009024894451774652</v>
      </c>
      <c r="K47" s="33">
        <f>IF('IO model'!$D$11=0,0,'Z imported'!K47/'IO model'!$D$11)</f>
        <v>0.0007335787125693595</v>
      </c>
      <c r="L47" s="33">
        <f>IF('IO model'!$D$12=0,0,'Z imported'!L47/'IO model'!$D$12)</f>
        <v>0.0008847845888415019</v>
      </c>
      <c r="M47" s="33">
        <f>IF('IO model'!$D$13=0,0,'Z imported'!M47/'IO model'!$D$13)</f>
        <v>0.0019411371205835706</v>
      </c>
      <c r="N47" s="33">
        <f>IF('IO model'!$D$14=0,0,'Z imported'!N47/'IO model'!$D$14)</f>
        <v>0.011761558777921732</v>
      </c>
      <c r="O47" s="33">
        <f>IF('IO model'!$D$15=0,0,'Z imported'!O47/'IO model'!$D$15)</f>
        <v>0.0009344539680519884</v>
      </c>
      <c r="P47" s="33">
        <f>IF('IO model'!$D$16=0,0,'Z imported'!P47/'IO model'!$D$16)</f>
        <v>0.0011429887160903315</v>
      </c>
      <c r="Q47" s="33">
        <f>IF('IO model'!$D$17=0,0,'Z imported'!Q47/'IO model'!$D$17)</f>
        <v>0.0009424591349401233</v>
      </c>
      <c r="R47" s="33">
        <f>IF('IO model'!$D$18=0,0,'Z imported'!R47/'IO model'!$D$18)</f>
        <v>0.0007461954670545261</v>
      </c>
      <c r="S47" s="33">
        <f>IF('IO model'!$D$19=0,0,'Z imported'!S47/'IO model'!$D$19)</f>
        <v>0.010569825367325562</v>
      </c>
      <c r="T47" s="33">
        <f>IF('IO model'!$D$20=0,0,'Z imported'!T47/'IO model'!$D$20)</f>
        <v>0.0013487809454650784</v>
      </c>
      <c r="U47" s="33">
        <f>IF('IO model'!$D$21=0,0,'Z imported'!U47/'IO model'!$D$21)</f>
        <v>0.0012277571829869447</v>
      </c>
      <c r="V47" s="33">
        <f>IF('IO model'!$D$22=0,0,'Z imported'!V47/'IO model'!$D$22)</f>
        <v>0.0011906827406363788</v>
      </c>
      <c r="W47" s="33">
        <f>IF('IO model'!$D$23=0,0,'Z imported'!W47/'IO model'!$D$23)</f>
        <v>0.001028946824555772</v>
      </c>
      <c r="X47" s="33">
        <f>IF('IO model'!$D$24=0,0,'Z imported'!X47/'IO model'!$D$24)</f>
        <v>0.0014604395533747976</v>
      </c>
      <c r="Y47" s="33">
        <f>IF('IO model'!$D$25=0,0,'Z imported'!Y47/'IO model'!$D$25)</f>
        <v>0.00082881116283747</v>
      </c>
      <c r="Z47" s="33">
        <f>IF('IO model'!$D$26=0,0,'Z imported'!Z47/'IO model'!$D$26)</f>
        <v>0.0006735291094852237</v>
      </c>
      <c r="AA47" s="33">
        <f>IF('IO model'!$D$27=0,0,'Z imported'!AA47/'IO model'!$D$27)</f>
        <v>0.0003806004934977185</v>
      </c>
      <c r="AB47" s="33">
        <f>IF('IO model'!$D$28=0,0,'Z imported'!AB47/'IO model'!$D$28)</f>
        <v>0.000942952248980676</v>
      </c>
      <c r="AC47" s="33">
        <f>IF('IO model'!$D$29=0,0,'Z imported'!AC47/'IO model'!$D$29)</f>
        <v>0.0006010206837782264</v>
      </c>
      <c r="AD47" s="33">
        <f>IF('IO model'!$D$30=0,0,'Z imported'!AD47/'IO model'!$D$30)</f>
        <v>0.0012868869225654933</v>
      </c>
      <c r="AE47" s="33">
        <f>IF('IO model'!$D$31=0,0,'Z imported'!AE47/'IO model'!$D$31)</f>
        <v>0.0017610232897415242</v>
      </c>
      <c r="AF47" s="33">
        <f>IF('IO model'!$D$32=0,0,'Z imported'!AF47/'IO model'!$D$32)</f>
        <v>0.0010352448040818834</v>
      </c>
      <c r="AG47" s="33">
        <f>IF('IO model'!$D$33=0,0,'Z imported'!AG47/'IO model'!$D$33)</f>
        <v>0.0005563646903201091</v>
      </c>
      <c r="AH47" s="33">
        <f>IF('IO model'!$D$34=0,0,'Z imported'!AH47/'IO model'!$D$34)</f>
        <v>0.0016575849206543318</v>
      </c>
      <c r="AI47" s="33">
        <f>IF('IO model'!$D$35=0,0,'Z imported'!AI47/'IO model'!$D$35)</f>
        <v>0.001343207564479341</v>
      </c>
      <c r="AJ47" s="33">
        <f>IF('IO model'!$D$36=0,0,'Z imported'!AJ47/'IO model'!$D$36)</f>
        <v>0.0012617381994787223</v>
      </c>
      <c r="AK47" s="33">
        <f>IF('IO model'!$D$37=0,0,'Z imported'!AK47/'IO model'!$D$37)</f>
        <v>0.0015388183010698353</v>
      </c>
      <c r="AL47" s="33">
        <f>IF('IO model'!$D$38=0,0,'Z imported'!AL47/'IO model'!$D$38)</f>
        <v>0.0007600012662932454</v>
      </c>
      <c r="AM47" s="33">
        <f>IF('IO model'!$D$39=0,0,'Z imported'!AM47/'IO model'!$D$39)</f>
        <v>0.012830767089538814</v>
      </c>
      <c r="AN47" s="33">
        <f>IF('IO model'!$D$40=0,0,'Z imported'!AN47/'IO model'!$D$40)</f>
        <v>0.0019104360684767032</v>
      </c>
      <c r="AO47" s="33">
        <f>IF('IO model'!$D$41=0,0,'Z imported'!AO47/'IO model'!$D$41)</f>
        <v>0.002111497278372646</v>
      </c>
      <c r="AP47" s="33">
        <f>IF('IO model'!$D$42=0,0,'Z imported'!AP47/'IO model'!$D$42)</f>
        <v>0.008556301382986135</v>
      </c>
      <c r="AQ47" s="33">
        <f>IF('IO model'!$D$43=0,0,'Z imported'!AQ47/'IO model'!$D$43)</f>
        <v>0.0022146438048635158</v>
      </c>
      <c r="AR47" s="33">
        <f>IF('IO model'!$D$44=0,0,'Z imported'!AR47/'IO model'!$D$44)</f>
        <v>0.004342623037039419</v>
      </c>
      <c r="AS47" s="33">
        <f>IF('IO model'!$D$45=0,0,'Z imported'!AS47/'IO model'!$D$45)</f>
        <v>0.004428604926810937</v>
      </c>
      <c r="AT47" s="33">
        <f>IF('IO model'!$D$46=0,0,'Z imported'!AT47/'IO model'!$D$46)</f>
        <v>0.0005332292293841742</v>
      </c>
      <c r="AU47" s="33">
        <f>IF('IO model'!$D$47=0,0,'Z imported'!AU47/'IO model'!$D$47)</f>
        <v>0.010661031390917536</v>
      </c>
      <c r="AV47" s="33">
        <f>IF('IO model'!$D$48=0,0,'Z imported'!AV47/'IO model'!$D$48)</f>
        <v>0.0037460566943982197</v>
      </c>
      <c r="AW47" s="33">
        <f>IF('IO model'!$D$49=0,0,'Z imported'!AW47/'IO model'!$D$49)</f>
        <v>0.0016194915602785178</v>
      </c>
      <c r="AX47" s="33">
        <f>IF('IO model'!$D$50=0,0,'Z imported'!AX47/'IO model'!$D$50)</f>
        <v>0.0017976955442749129</v>
      </c>
      <c r="AY47" s="33">
        <f>IF('IO model'!$D$51=0,0,'Z imported'!AY47/'IO model'!$D$51)</f>
        <v>0.00204995348277019</v>
      </c>
      <c r="AZ47" s="33">
        <f>IF('IO model'!$D$52=0,0,'Z imported'!AZ47/'IO model'!$D$52)</f>
        <v>0.001835862393916792</v>
      </c>
      <c r="BA47" s="33">
        <f>IF('IO model'!$D$53=0,0,'Z imported'!BA47/'IO model'!$D$53)</f>
        <v>0.0021066562350111153</v>
      </c>
      <c r="BB47" s="33">
        <f>IF('IO model'!$D$54=0,0,'Z imported'!BB47/'IO model'!$D$54)</f>
        <v>0.01037793125897039</v>
      </c>
      <c r="BC47" s="33">
        <f>IF('IO model'!$D$55=0,0,'Z imported'!BC47/'IO model'!$D$55)</f>
        <v>0.0030335827023882504</v>
      </c>
      <c r="BD47" s="33">
        <f>IF('IO model'!$D$56=0,0,'Z imported'!BD47/'IO model'!$D$56)</f>
        <v>0.0004161206446375637</v>
      </c>
      <c r="BE47" s="33">
        <f>IF('IO model'!$D$57=0,0,'Z imported'!BE47/'IO model'!$D$57)</f>
        <v>0.0003113699600429733</v>
      </c>
      <c r="BF47" s="33">
        <f>IF('IO model'!$D$58=0,0,'Z imported'!BF47/'IO model'!$D$58)</f>
        <v>0.0005731849276841384</v>
      </c>
      <c r="BG47" s="33">
        <f>IF('IO model'!$D$59=0,0,'Z imported'!BG47/'IO model'!$D$59)</f>
        <v>0.0005073659353293783</v>
      </c>
      <c r="BH47" s="33">
        <f>IF('IO model'!$D$60=0,0,'Z imported'!BH47/'IO model'!$D$60)</f>
        <v>0.0033076368486194235</v>
      </c>
      <c r="BI47" s="33">
        <f>IF('IO model'!$D$61=0,0,'Z imported'!BI47/'IO model'!$D$61)</f>
        <v>0.0008462559028690181</v>
      </c>
      <c r="BJ47" s="33">
        <f>IF('IO model'!$D$62=0,0,'Z imported'!BJ47/'IO model'!$D$62)</f>
        <v>0.0012312912455249953</v>
      </c>
      <c r="BK47" s="33">
        <f>IF('IO model'!$D$63=0,0,'Z imported'!BK47/'IO model'!$D$63)</f>
        <v>0.0006530229651616936</v>
      </c>
      <c r="BL47" s="33">
        <f>IF('IO model'!$D$64=0,0,'Z imported'!BL47/'IO model'!$D$64)</f>
        <v>0.000645487396023225</v>
      </c>
      <c r="BM47" s="33">
        <f>IF('IO model'!$D$65=0,0,'Z imported'!BM47/'IO model'!$D$65)</f>
        <v>0</v>
      </c>
      <c r="BN47" s="33">
        <f>IF('IO model'!$D$66=0,0,'Z imported'!BN47/'IO model'!$D$66)</f>
        <v>0</v>
      </c>
    </row>
    <row r="48" spans="1:66" x14ac:dyDescent="0.25">
      <c r="A48" s="30" t="s">
        <v>353</v>
      </c>
      <c r="B48" s="31" t="s">
        <v>354</v>
      </c>
      <c r="C48" s="33">
        <f>IF('IO model'!$D$3=0,0,'Z imported'!C48/'IO model'!$D$3)</f>
        <v>0.00003386673440013547</v>
      </c>
      <c r="D48" s="33">
        <f>IF('IO model'!$D$4=0,0,'Z imported'!D48/'IO model'!$D$4)</f>
        <v>0.000019215341528676493</v>
      </c>
      <c r="E48" s="33">
        <f>IF('IO model'!$D$5=0,0,'Z imported'!E48/'IO model'!$D$5)</f>
        <v>0.000027148277102464382</v>
      </c>
      <c r="F48" s="33">
        <f>IF('IO model'!$D$6=0,0,'Z imported'!F48/'IO model'!$D$6)</f>
        <v>0.00016434774145804908</v>
      </c>
      <c r="G48" s="33">
        <f>IF('IO model'!$D$7=0,0,'Z imported'!G48/'IO model'!$D$7)</f>
        <v>0.0000805696828424101</v>
      </c>
      <c r="H48" s="33">
        <f>IF('IO model'!$D$8=0,0,'Z imported'!H48/'IO model'!$D$8)</f>
        <v>0.00004479507570367793</v>
      </c>
      <c r="I48" s="33">
        <f>IF('IO model'!$D$9=0,0,'Z imported'!I48/'IO model'!$D$9)</f>
        <v>0.00007128515249082203</v>
      </c>
      <c r="J48" s="33">
        <f>IF('IO model'!$D$10=0,0,'Z imported'!J48/'IO model'!$D$10)</f>
        <v>0.00007800951985140531</v>
      </c>
      <c r="K48" s="33">
        <f>IF('IO model'!$D$11=0,0,'Z imported'!K48/'IO model'!$D$11)</f>
        <v>0.00005402323852254973</v>
      </c>
      <c r="L48" s="33">
        <f>IF('IO model'!$D$12=0,0,'Z imported'!L48/'IO model'!$D$12)</f>
        <v>0.0002476000883866192</v>
      </c>
      <c r="M48" s="33">
        <f>IF('IO model'!$D$13=0,0,'Z imported'!M48/'IO model'!$D$13)</f>
        <v>0.00021289789331940278</v>
      </c>
      <c r="N48" s="33">
        <f>IF('IO model'!$D$14=0,0,'Z imported'!N48/'IO model'!$D$14)</f>
        <v>0.0004157882187417415</v>
      </c>
      <c r="O48" s="33">
        <f>IF('IO model'!$D$15=0,0,'Z imported'!O48/'IO model'!$D$15)</f>
        <v>0.00015219211297307439</v>
      </c>
      <c r="P48" s="33">
        <f>IF('IO model'!$D$16=0,0,'Z imported'!P48/'IO model'!$D$16)</f>
        <v>0.0001689275620554835</v>
      </c>
      <c r="Q48" s="33">
        <f>IF('IO model'!$D$17=0,0,'Z imported'!Q48/'IO model'!$D$17)</f>
        <v>0.00011284080705016653</v>
      </c>
      <c r="R48" s="33">
        <f>IF('IO model'!$D$18=0,0,'Z imported'!R48/'IO model'!$D$18)</f>
        <v>0.00020574772097601212</v>
      </c>
      <c r="S48" s="33">
        <f>IF('IO model'!$D$19=0,0,'Z imported'!S48/'IO model'!$D$19)</f>
        <v>0.0003454508363203895</v>
      </c>
      <c r="T48" s="33">
        <f>IF('IO model'!$D$20=0,0,'Z imported'!T48/'IO model'!$D$20)</f>
        <v>0.00022916559069572135</v>
      </c>
      <c r="U48" s="33">
        <f>IF('IO model'!$D$21=0,0,'Z imported'!U48/'IO model'!$D$21)</f>
        <v>0.00020690403980454084</v>
      </c>
      <c r="V48" s="33">
        <f>IF('IO model'!$D$22=0,0,'Z imported'!V48/'IO model'!$D$22)</f>
        <v>0.0001555120682279756</v>
      </c>
      <c r="W48" s="33">
        <f>IF('IO model'!$D$23=0,0,'Z imported'!W48/'IO model'!$D$23)</f>
        <v>0.00035470816459045115</v>
      </c>
      <c r="X48" s="33">
        <f>IF('IO model'!$D$24=0,0,'Z imported'!X48/'IO model'!$D$24)</f>
        <v>0.00010393443630033408</v>
      </c>
      <c r="Y48" s="33">
        <f>IF('IO model'!$D$25=0,0,'Z imported'!Y48/'IO model'!$D$25)</f>
        <v>0.0002420744932553667</v>
      </c>
      <c r="Z48" s="33">
        <f>IF('IO model'!$D$26=0,0,'Z imported'!Z48/'IO model'!$D$26)</f>
        <v>0.00016054690956574736</v>
      </c>
      <c r="AA48" s="33">
        <f>IF('IO model'!$D$27=0,0,'Z imported'!AA48/'IO model'!$D$27)</f>
        <v>0.00015822717145410768</v>
      </c>
      <c r="AB48" s="33">
        <f>IF('IO model'!$D$28=0,0,'Z imported'!AB48/'IO model'!$D$28)</f>
        <v>0.00034986590193847035</v>
      </c>
      <c r="AC48" s="33">
        <f>IF('IO model'!$D$29=0,0,'Z imported'!AC48/'IO model'!$D$29)</f>
        <v>0.0005849406901805377</v>
      </c>
      <c r="AD48" s="33">
        <f>IF('IO model'!$D$30=0,0,'Z imported'!AD48/'IO model'!$D$30)</f>
        <v>0.00005464592517397465</v>
      </c>
      <c r="AE48" s="33">
        <f>IF('IO model'!$D$31=0,0,'Z imported'!AE48/'IO model'!$D$31)</f>
        <v>0.00007075413352797242</v>
      </c>
      <c r="AF48" s="33">
        <f>IF('IO model'!$D$32=0,0,'Z imported'!AF48/'IO model'!$D$32)</f>
        <v>0.00004086023097806813</v>
      </c>
      <c r="AG48" s="33">
        <f>IF('IO model'!$D$33=0,0,'Z imported'!AG48/'IO model'!$D$33)</f>
        <v>0.00008560452986536129</v>
      </c>
      <c r="AH48" s="33">
        <f>IF('IO model'!$D$34=0,0,'Z imported'!AH48/'IO model'!$D$34)</f>
        <v>0.00019394987940350974</v>
      </c>
      <c r="AI48" s="33">
        <f>IF('IO model'!$D$35=0,0,'Z imported'!AI48/'IO model'!$D$35)</f>
        <v>0.00013855980057511807</v>
      </c>
      <c r="AJ48" s="33">
        <f>IF('IO model'!$D$36=0,0,'Z imported'!AJ48/'IO model'!$D$36)</f>
        <v>0.00013229471088249895</v>
      </c>
      <c r="AK48" s="33">
        <f>IF('IO model'!$D$37=0,0,'Z imported'!AK48/'IO model'!$D$37)</f>
        <v>0.000048455816947768084</v>
      </c>
      <c r="AL48" s="33">
        <f>IF('IO model'!$D$38=0,0,'Z imported'!AL48/'IO model'!$D$38)</f>
        <v>0.00005317530354141891</v>
      </c>
      <c r="AM48" s="33">
        <f>IF('IO model'!$D$39=0,0,'Z imported'!AM48/'IO model'!$D$39)</f>
        <v>0.00014369880729989945</v>
      </c>
      <c r="AN48" s="33">
        <f>IF('IO model'!$D$40=0,0,'Z imported'!AN48/'IO model'!$D$40)</f>
        <v>0.00007474863598225499</v>
      </c>
      <c r="AO48" s="33">
        <f>IF('IO model'!$D$41=0,0,'Z imported'!AO48/'IO model'!$D$41)</f>
        <v>0.00016175271407695838</v>
      </c>
      <c r="AP48" s="33">
        <f>IF('IO model'!$D$42=0,0,'Z imported'!AP48/'IO model'!$D$42)</f>
        <v>0.00041866610348591465</v>
      </c>
      <c r="AQ48" s="33">
        <f>IF('IO model'!$D$43=0,0,'Z imported'!AQ48/'IO model'!$D$43)</f>
        <v>0.000040625771095710604</v>
      </c>
      <c r="AR48" s="33">
        <f>IF('IO model'!$D$44=0,0,'Z imported'!AR48/'IO model'!$D$44)</f>
        <v>0.00006480782858628454</v>
      </c>
      <c r="AS48" s="33">
        <f>IF('IO model'!$D$45=0,0,'Z imported'!AS48/'IO model'!$D$45)</f>
        <v>0.0001429411178959068</v>
      </c>
      <c r="AT48" s="33">
        <f>IF('IO model'!$D$46=0,0,'Z imported'!AT48/'IO model'!$D$46)</f>
        <v>0.000041210974771864775</v>
      </c>
      <c r="AU48" s="33">
        <f>IF('IO model'!$D$47=0,0,'Z imported'!AU48/'IO model'!$D$47)</f>
        <v>0.00022020328546476652</v>
      </c>
      <c r="AV48" s="33">
        <f>IF('IO model'!$D$48=0,0,'Z imported'!AV48/'IO model'!$D$48)</f>
        <v>0.0016830271385059744</v>
      </c>
      <c r="AW48" s="33">
        <f>IF('IO model'!$D$49=0,0,'Z imported'!AW48/'IO model'!$D$49)</f>
        <v>0.0002870861327624732</v>
      </c>
      <c r="AX48" s="33">
        <f>IF('IO model'!$D$50=0,0,'Z imported'!AX48/'IO model'!$D$50)</f>
        <v>0.00017200888422991273</v>
      </c>
      <c r="AY48" s="33">
        <f>IF('IO model'!$D$51=0,0,'Z imported'!AY48/'IO model'!$D$51)</f>
        <v>0.00032445306921542575</v>
      </c>
      <c r="AZ48" s="33">
        <f>IF('IO model'!$D$52=0,0,'Z imported'!AZ48/'IO model'!$D$52)</f>
        <v>0.0002095336735812779</v>
      </c>
      <c r="BA48" s="33">
        <f>IF('IO model'!$D$53=0,0,'Z imported'!BA48/'IO model'!$D$53)</f>
        <v>0.00012581538460217217</v>
      </c>
      <c r="BB48" s="33">
        <f>IF('IO model'!$D$54=0,0,'Z imported'!BB48/'IO model'!$D$54)</f>
        <v>0.0000909505045758475</v>
      </c>
      <c r="BC48" s="33">
        <f>IF('IO model'!$D$55=0,0,'Z imported'!BC48/'IO model'!$D$55)</f>
        <v>0.0001744266956531551</v>
      </c>
      <c r="BD48" s="33">
        <f>IF('IO model'!$D$56=0,0,'Z imported'!BD48/'IO model'!$D$56)</f>
        <v>0.00012355539381593767</v>
      </c>
      <c r="BE48" s="33">
        <f>IF('IO model'!$D$57=0,0,'Z imported'!BE48/'IO model'!$D$57)</f>
        <v>0.000029548373759180122</v>
      </c>
      <c r="BF48" s="33">
        <f>IF('IO model'!$D$58=0,0,'Z imported'!BF48/'IO model'!$D$58)</f>
        <v>0.00003603833458244965</v>
      </c>
      <c r="BG48" s="33">
        <f>IF('IO model'!$D$59=0,0,'Z imported'!BG48/'IO model'!$D$59)</f>
        <v>0.000019733971312338597</v>
      </c>
      <c r="BH48" s="33">
        <f>IF('IO model'!$D$60=0,0,'Z imported'!BH48/'IO model'!$D$60)</f>
        <v>0.00009819478703514587</v>
      </c>
      <c r="BI48" s="33">
        <f>IF('IO model'!$D$61=0,0,'Z imported'!BI48/'IO model'!$D$61)</f>
        <v>0.000049160093942598557</v>
      </c>
      <c r="BJ48" s="33">
        <f>IF('IO model'!$D$62=0,0,'Z imported'!BJ48/'IO model'!$D$62)</f>
        <v>0.00007016232225784653</v>
      </c>
      <c r="BK48" s="33">
        <f>IF('IO model'!$D$63=0,0,'Z imported'!BK48/'IO model'!$D$63)</f>
        <v>0.000049992188720512415</v>
      </c>
      <c r="BL48" s="33">
        <f>IF('IO model'!$D$64=0,0,'Z imported'!BL48/'IO model'!$D$64)</f>
        <v>0.00004826569682671607</v>
      </c>
      <c r="BM48" s="33">
        <f>IF('IO model'!$D$65=0,0,'Z imported'!BM48/'IO model'!$D$65)</f>
        <v>0</v>
      </c>
      <c r="BN48" s="33">
        <f>IF('IO model'!$D$66=0,0,'Z imported'!BN48/'IO model'!$D$66)</f>
        <v>0</v>
      </c>
    </row>
    <row r="49" spans="1:66" x14ac:dyDescent="0.25">
      <c r="A49" s="30" t="s">
        <v>355</v>
      </c>
      <c r="B49" s="31" t="s">
        <v>356</v>
      </c>
      <c r="C49" s="33">
        <f>IF('IO model'!$D$3=0,0,'Z imported'!C49/'IO model'!$D$3)</f>
        <v>0.000020075641525853494</v>
      </c>
      <c r="D49" s="33">
        <f>IF('IO model'!$D$4=0,0,'Z imported'!D49/'IO model'!$D$4)</f>
        <v>0.000008006392303615206</v>
      </c>
      <c r="E49" s="33">
        <f>IF('IO model'!$D$5=0,0,'Z imported'!E49/'IO model'!$D$5)</f>
        <v>0.000027148277102464382</v>
      </c>
      <c r="F49" s="33">
        <f>IF('IO model'!$D$6=0,0,'Z imported'!F49/'IO model'!$D$6)</f>
        <v>0.000012854013298394903</v>
      </c>
      <c r="G49" s="33">
        <f>IF('IO model'!$D$7=0,0,'Z imported'!G49/'IO model'!$D$7)</f>
        <v>0.00006136540227449318</v>
      </c>
      <c r="H49" s="33">
        <f>IF('IO model'!$D$8=0,0,'Z imported'!H49/'IO model'!$D$8)</f>
        <v>0.00004743008015683545</v>
      </c>
      <c r="I49" s="33">
        <f>IF('IO model'!$D$9=0,0,'Z imported'!I49/'IO model'!$D$9)</f>
        <v>0.00002376171749694068</v>
      </c>
      <c r="J49" s="33">
        <f>IF('IO model'!$D$10=0,0,'Z imported'!J49/'IO model'!$D$10)</f>
        <v>0.00003631477648255075</v>
      </c>
      <c r="K49" s="33">
        <f>IF('IO model'!$D$11=0,0,'Z imported'!K49/'IO model'!$D$11)</f>
        <v>0.000027011619261274864</v>
      </c>
      <c r="L49" s="33">
        <f>IF('IO model'!$D$12=0,0,'Z imported'!L49/'IO model'!$D$12)</f>
        <v>0.00004169526710961614</v>
      </c>
      <c r="M49" s="33">
        <f>IF('IO model'!$D$13=0,0,'Z imported'!M49/'IO model'!$D$13)</f>
        <v>0.00010148500614189149</v>
      </c>
      <c r="N49" s="33">
        <f>IF('IO model'!$D$14=0,0,'Z imported'!N49/'IO model'!$D$14)</f>
        <v>0.0012427896402261245</v>
      </c>
      <c r="O49" s="33">
        <f>IF('IO model'!$D$15=0,0,'Z imported'!O49/'IO model'!$D$15)</f>
        <v>0.00006754751238768127</v>
      </c>
      <c r="P49" s="33">
        <f>IF('IO model'!$D$16=0,0,'Z imported'!P49/'IO model'!$D$16)</f>
        <v>0.00004665260065674823</v>
      </c>
      <c r="Q49" s="33">
        <f>IF('IO model'!$D$17=0,0,'Z imported'!Q49/'IO model'!$D$17)</f>
        <v>0.000024832924086744386</v>
      </c>
      <c r="R49" s="33">
        <f>IF('IO model'!$D$18=0,0,'Z imported'!R49/'IO model'!$D$18)</f>
        <v>0.000030078204932729612</v>
      </c>
      <c r="S49" s="33">
        <f>IF('IO model'!$D$19=0,0,'Z imported'!S49/'IO model'!$D$19)</f>
        <v>0.0005172826270399921</v>
      </c>
      <c r="T49" s="33">
        <f>IF('IO model'!$D$20=0,0,'Z imported'!T49/'IO model'!$D$20)</f>
        <v>0.00008279028701238409</v>
      </c>
      <c r="U49" s="33">
        <f>IF('IO model'!$D$21=0,0,'Z imported'!U49/'IO model'!$D$21)</f>
        <v>0.000053529302041174795</v>
      </c>
      <c r="V49" s="33">
        <f>IF('IO model'!$D$22=0,0,'Z imported'!V49/'IO model'!$D$22)</f>
        <v>0.00024898622730597177</v>
      </c>
      <c r="W49" s="33">
        <f>IF('IO model'!$D$23=0,0,'Z imported'!W49/'IO model'!$D$23)</f>
        <v>0.00006266022329025533</v>
      </c>
      <c r="X49" s="33">
        <f>IF('IO model'!$D$24=0,0,'Z imported'!X49/'IO model'!$D$24)</f>
        <v>0.00006536083107546783</v>
      </c>
      <c r="Y49" s="33">
        <f>IF('IO model'!$D$25=0,0,'Z imported'!Y49/'IO model'!$D$25)</f>
        <v>0.00004379237063916181</v>
      </c>
      <c r="Z49" s="33">
        <f>IF('IO model'!$D$26=0,0,'Z imported'!Z49/'IO model'!$D$26)</f>
        <v>0.00002660899835961775</v>
      </c>
      <c r="AA49" s="33">
        <f>IF('IO model'!$D$27=0,0,'Z imported'!AA49/'IO model'!$D$27)</f>
        <v>0.00002280752020960111</v>
      </c>
      <c r="AB49" s="33">
        <f>IF('IO model'!$D$28=0,0,'Z imported'!AB49/'IO model'!$D$28)</f>
        <v>0.000029585513831571735</v>
      </c>
      <c r="AC49" s="33">
        <f>IF('IO model'!$D$29=0,0,'Z imported'!AC49/'IO model'!$D$29)</f>
        <v>0.000022511991036764187</v>
      </c>
      <c r="AD49" s="33">
        <f>IF('IO model'!$D$30=0,0,'Z imported'!AD49/'IO model'!$D$30)</f>
        <v>0.00002510758724209646</v>
      </c>
      <c r="AE49" s="33">
        <f>IF('IO model'!$D$31=0,0,'Z imported'!AE49/'IO model'!$D$31)</f>
        <v>0.00007007325974903445</v>
      </c>
      <c r="AF49" s="33">
        <f>IF('IO model'!$D$32=0,0,'Z imported'!AF49/'IO model'!$D$32)</f>
        <v>0.00002622905656670749</v>
      </c>
      <c r="AG49" s="33">
        <f>IF('IO model'!$D$33=0,0,'Z imported'!AG49/'IO model'!$D$33)</f>
        <v>0.000014634359871082946</v>
      </c>
      <c r="AH49" s="33">
        <f>IF('IO model'!$D$34=0,0,'Z imported'!AH49/'IO model'!$D$34)</f>
        <v>0.0000351855975909022</v>
      </c>
      <c r="AI49" s="33">
        <f>IF('IO model'!$D$35=0,0,'Z imported'!AI49/'IO model'!$D$35)</f>
        <v>0.00007782125785725809</v>
      </c>
      <c r="AJ49" s="33">
        <f>IF('IO model'!$D$36=0,0,'Z imported'!AJ49/'IO model'!$D$36)</f>
        <v>0.00001989289553753664</v>
      </c>
      <c r="AK49" s="33">
        <f>IF('IO model'!$D$37=0,0,'Z imported'!AK49/'IO model'!$D$37)</f>
        <v>0.000019382326779107238</v>
      </c>
      <c r="AL49" s="33">
        <f>IF('IO model'!$D$38=0,0,'Z imported'!AL49/'IO model'!$D$38)</f>
        <v>0.00001847616478981504</v>
      </c>
      <c r="AM49" s="33">
        <f>IF('IO model'!$D$39=0,0,'Z imported'!AM49/'IO model'!$D$39)</f>
        <v>0.00028061936897244517</v>
      </c>
      <c r="AN49" s="33">
        <f>IF('IO model'!$D$40=0,0,'Z imported'!AN49/'IO model'!$D$40)</f>
        <v>0.00004983242398816999</v>
      </c>
      <c r="AO49" s="33">
        <f>IF('IO model'!$D$41=0,0,'Z imported'!AO49/'IO model'!$D$41)</f>
        <v>0.00004181757778650269</v>
      </c>
      <c r="AP49" s="33">
        <f>IF('IO model'!$D$42=0,0,'Z imported'!AP49/'IO model'!$D$42)</f>
        <v>0.00019413769479086835</v>
      </c>
      <c r="AQ49" s="33">
        <f>IF('IO model'!$D$43=0,0,'Z imported'!AQ49/'IO model'!$D$43)</f>
        <v>0.00003523296962282866</v>
      </c>
      <c r="AR49" s="33">
        <f>IF('IO model'!$D$44=0,0,'Z imported'!AR49/'IO model'!$D$44)</f>
        <v>0.00002367978352191165</v>
      </c>
      <c r="AS49" s="33">
        <f>IF('IO model'!$D$45=0,0,'Z imported'!AS49/'IO model'!$D$45)</f>
        <v>0.0000513945592434721</v>
      </c>
      <c r="AT49" s="33">
        <f>IF('IO model'!$D$46=0,0,'Z imported'!AT49/'IO model'!$D$46)</f>
        <v>0.000004457803945403094</v>
      </c>
      <c r="AU49" s="33">
        <f>IF('IO model'!$D$47=0,0,'Z imported'!AU49/'IO model'!$D$47)</f>
        <v>0.00031253521973853923</v>
      </c>
      <c r="AV49" s="33">
        <f>IF('IO model'!$D$48=0,0,'Z imported'!AV49/'IO model'!$D$48)</f>
        <v>0.00006957790740875369</v>
      </c>
      <c r="AW49" s="33">
        <f>IF('IO model'!$D$49=0,0,'Z imported'!AW49/'IO model'!$D$49)</f>
        <v>0.004072143727127278</v>
      </c>
      <c r="AX49" s="33">
        <f>IF('IO model'!$D$50=0,0,'Z imported'!AX49/'IO model'!$D$50)</f>
        <v>0.0000752900840063591</v>
      </c>
      <c r="AY49" s="33">
        <f>IF('IO model'!$D$51=0,0,'Z imported'!AY49/'IO model'!$D$51)</f>
        <v>0.00005407551153590429</v>
      </c>
      <c r="AZ49" s="33">
        <f>IF('IO model'!$D$52=0,0,'Z imported'!AZ49/'IO model'!$D$52)</f>
        <v>0.00004315525142412329</v>
      </c>
      <c r="BA49" s="33">
        <f>IF('IO model'!$D$53=0,0,'Z imported'!BA49/'IO model'!$D$53)</f>
        <v>0.000018464373849465546</v>
      </c>
      <c r="BB49" s="33">
        <f>IF('IO model'!$D$54=0,0,'Z imported'!BB49/'IO model'!$D$54)</f>
        <v>0.00007100521848465287</v>
      </c>
      <c r="BC49" s="33">
        <f>IF('IO model'!$D$55=0,0,'Z imported'!BC49/'IO model'!$D$55)</f>
        <v>0.00004043314238860199</v>
      </c>
      <c r="BD49" s="33">
        <f>IF('IO model'!$D$56=0,0,'Z imported'!BD49/'IO model'!$D$56)</f>
        <v>0.000024293426727753383</v>
      </c>
      <c r="BE49" s="33">
        <f>IF('IO model'!$D$57=0,0,'Z imported'!BE49/'IO model'!$D$57)</f>
        <v>0.00002764202706503947</v>
      </c>
      <c r="BF49" s="33">
        <f>IF('IO model'!$D$58=0,0,'Z imported'!BF49/'IO model'!$D$58)</f>
        <v>0.000049114190492895984</v>
      </c>
      <c r="BG49" s="33">
        <f>IF('IO model'!$D$59=0,0,'Z imported'!BG49/'IO model'!$D$59)</f>
        <v>0.00001493880071307875</v>
      </c>
      <c r="BH49" s="33">
        <f>IF('IO model'!$D$60=0,0,'Z imported'!BH49/'IO model'!$D$60)</f>
        <v>0.00007070024666530501</v>
      </c>
      <c r="BI49" s="33">
        <f>IF('IO model'!$D$61=0,0,'Z imported'!BI49/'IO model'!$D$61)</f>
        <v>0.000016971937194468553</v>
      </c>
      <c r="BJ49" s="33">
        <f>IF('IO model'!$D$62=0,0,'Z imported'!BJ49/'IO model'!$D$62)</f>
        <v>0.000035656262131036765</v>
      </c>
      <c r="BK49" s="33">
        <f>IF('IO model'!$D$63=0,0,'Z imported'!BK49/'IO model'!$D$63)</f>
        <v>0.000024996094360256207</v>
      </c>
      <c r="BL49" s="33">
        <f>IF('IO model'!$D$64=0,0,'Z imported'!BL49/'IO model'!$D$64)</f>
        <v>0.000013790199093347453</v>
      </c>
      <c r="BM49" s="33">
        <f>IF('IO model'!$D$65=0,0,'Z imported'!BM49/'IO model'!$D$65)</f>
        <v>0</v>
      </c>
      <c r="BN49" s="33">
        <f>IF('IO model'!$D$66=0,0,'Z imported'!BN49/'IO model'!$D$66)</f>
        <v>0</v>
      </c>
    </row>
    <row r="50" spans="1:66" x14ac:dyDescent="0.25">
      <c r="A50" s="30" t="s">
        <v>357</v>
      </c>
      <c r="B50" s="31" t="s">
        <v>358</v>
      </c>
      <c r="C50" s="33">
        <f>IF('IO model'!$D$3=0,0,'Z imported'!C50/'IO model'!$D$3)</f>
        <v>0.0000120453849155121</v>
      </c>
      <c r="D50" s="33">
        <f>IF('IO model'!$D$4=0,0,'Z imported'!D50/'IO model'!$D$4)</f>
        <v>0.000011208949225061287</v>
      </c>
      <c r="E50" s="33">
        <f>IF('IO model'!$D$5=0,0,'Z imported'!E50/'IO model'!$D$5)</f>
        <v>0.000013574138551232191</v>
      </c>
      <c r="F50" s="33">
        <f>IF('IO model'!$D$6=0,0,'Z imported'!F50/'IO model'!$D$6)</f>
        <v>0.00002846245801787443</v>
      </c>
      <c r="G50" s="33">
        <f>IF('IO model'!$D$7=0,0,'Z imported'!G50/'IO model'!$D$7)</f>
        <v>0.0004328688987779896</v>
      </c>
      <c r="H50" s="33">
        <f>IF('IO model'!$D$8=0,0,'Z imported'!H50/'IO model'!$D$8)</f>
        <v>0.00010671768035287978</v>
      </c>
      <c r="I50" s="33">
        <f>IF('IO model'!$D$9=0,0,'Z imported'!I50/'IO model'!$D$9)</f>
        <v>0.000032248045174419496</v>
      </c>
      <c r="J50" s="33">
        <f>IF('IO model'!$D$10=0,0,'Z imported'!J50/'IO model'!$D$10)</f>
        <v>0.00008697613132857833</v>
      </c>
      <c r="K50" s="33">
        <f>IF('IO model'!$D$11=0,0,'Z imported'!K50/'IO model'!$D$11)</f>
        <v>0.000054023238522549735</v>
      </c>
      <c r="L50" s="33">
        <f>IF('IO model'!$D$12=0,0,'Z imported'!L50/'IO model'!$D$12)</f>
        <v>0.0000980849014825331</v>
      </c>
      <c r="M50" s="33">
        <f>IF('IO model'!$D$13=0,0,'Z imported'!M50/'IO model'!$D$13)</f>
        <v>0.0002545004424210477</v>
      </c>
      <c r="N50" s="33">
        <f>IF('IO model'!$D$14=0,0,'Z imported'!N50/'IO model'!$D$14)</f>
        <v>0.0018291990438754808</v>
      </c>
      <c r="O50" s="33">
        <f>IF('IO model'!$D$15=0,0,'Z imported'!O50/'IO model'!$D$15)</f>
        <v>0.00009613608609533056</v>
      </c>
      <c r="P50" s="33">
        <f>IF('IO model'!$D$16=0,0,'Z imported'!P50/'IO model'!$D$16)</f>
        <v>0.00010271096757493765</v>
      </c>
      <c r="Q50" s="33">
        <f>IF('IO model'!$D$17=0,0,'Z imported'!Q50/'IO model'!$D$17)</f>
        <v>0.000027018221406377893</v>
      </c>
      <c r="R50" s="33">
        <f>IF('IO model'!$D$18=0,0,'Z imported'!R50/'IO model'!$D$18)</f>
        <v>0.00005327682043935617</v>
      </c>
      <c r="S50" s="33">
        <f>IF('IO model'!$D$19=0,0,'Z imported'!S50/'IO model'!$D$19)</f>
        <v>0.00022391750439983857</v>
      </c>
      <c r="T50" s="33">
        <f>IF('IO model'!$D$20=0,0,'Z imported'!T50/'IO model'!$D$20)</f>
        <v>0.00008408794041383208</v>
      </c>
      <c r="U50" s="33">
        <f>IF('IO model'!$D$21=0,0,'Z imported'!U50/'IO model'!$D$21)</f>
        <v>0.00005074527214778034</v>
      </c>
      <c r="V50" s="33">
        <f>IF('IO model'!$D$22=0,0,'Z imported'!V50/'IO model'!$D$22)</f>
        <v>0.00010803313028359667</v>
      </c>
      <c r="W50" s="33">
        <f>IF('IO model'!$D$23=0,0,'Z imported'!W50/'IO model'!$D$23)</f>
        <v>0.00003810914165021377</v>
      </c>
      <c r="X50" s="33">
        <f>IF('IO model'!$D$24=0,0,'Z imported'!X50/'IO model'!$D$24)</f>
        <v>0.0002678722585060157</v>
      </c>
      <c r="Y50" s="33">
        <f>IF('IO model'!$D$25=0,0,'Z imported'!Y50/'IO model'!$D$25)</f>
        <v>0.000040548491332557226</v>
      </c>
      <c r="Z50" s="33">
        <f>IF('IO model'!$D$26=0,0,'Z imported'!Z50/'IO model'!$D$26)</f>
        <v>0.00003643111184806725</v>
      </c>
      <c r="AA50" s="33">
        <f>IF('IO model'!$D$27=0,0,'Z imported'!AA50/'IO model'!$D$27)</f>
        <v>0.0000327858103013016</v>
      </c>
      <c r="AB50" s="33">
        <f>IF('IO model'!$D$28=0,0,'Z imported'!AB50/'IO model'!$D$28)</f>
        <v>0.00003921800670696718</v>
      </c>
      <c r="AC50" s="33">
        <f>IF('IO model'!$D$29=0,0,'Z imported'!AC50/'IO model'!$D$29)</f>
        <v>0.000028201834925177115</v>
      </c>
      <c r="AD50" s="33">
        <f>IF('IO model'!$D$30=0,0,'Z imported'!AD50/'IO model'!$D$30)</f>
        <v>0.0002879987948358123</v>
      </c>
      <c r="AE50" s="33">
        <f>IF('IO model'!$D$31=0,0,'Z imported'!AE50/'IO model'!$D$31)</f>
        <v>0.00019421924544206064</v>
      </c>
      <c r="AF50" s="33">
        <f>IF('IO model'!$D$32=0,0,'Z imported'!AF50/'IO model'!$D$32)</f>
        <v>0.0002884304077556643</v>
      </c>
      <c r="AG50" s="33">
        <f>IF('IO model'!$D$33=0,0,'Z imported'!AG50/'IO model'!$D$33)</f>
        <v>0.00002965724257060172</v>
      </c>
      <c r="AH50" s="33">
        <f>IF('IO model'!$D$34=0,0,'Z imported'!AH50/'IO model'!$D$34)</f>
        <v>0.00003304013432316427</v>
      </c>
      <c r="AI50" s="33">
        <f>IF('IO model'!$D$35=0,0,'Z imported'!AI50/'IO model'!$D$35)</f>
        <v>0.00012147708543571996</v>
      </c>
      <c r="AJ50" s="33">
        <f>IF('IO model'!$D$36=0,0,'Z imported'!AJ50/'IO model'!$D$36)</f>
        <v>0.000040203124547888734</v>
      </c>
      <c r="AK50" s="33">
        <f>IF('IO model'!$D$37=0,0,'Z imported'!AK50/'IO model'!$D$37)</f>
        <v>0.0000851437926367925</v>
      </c>
      <c r="AL50" s="33">
        <f>IF('IO model'!$D$38=0,0,'Z imported'!AL50/'IO model'!$D$38)</f>
        <v>0.00006883497979620116</v>
      </c>
      <c r="AM50" s="33">
        <f>IF('IO model'!$D$39=0,0,'Z imported'!AM50/'IO model'!$D$39)</f>
        <v>0.00039268636334469374</v>
      </c>
      <c r="AN50" s="33">
        <f>IF('IO model'!$D$40=0,0,'Z imported'!AN50/'IO model'!$D$40)</f>
        <v>0.00031232182011190277</v>
      </c>
      <c r="AO50" s="33">
        <f>IF('IO model'!$D$41=0,0,'Z imported'!AO50/'IO model'!$D$41)</f>
        <v>0.00018701750065630368</v>
      </c>
      <c r="AP50" s="33">
        <f>IF('IO model'!$D$42=0,0,'Z imported'!AP50/'IO model'!$D$42)</f>
        <v>0.0006672349276574001</v>
      </c>
      <c r="AQ50" s="33">
        <f>IF('IO model'!$D$43=0,0,'Z imported'!AQ50/'IO model'!$D$43)</f>
        <v>0.00005932081620170131</v>
      </c>
      <c r="AR50" s="33">
        <f>IF('IO model'!$D$44=0,0,'Z imported'!AR50/'IO model'!$D$44)</f>
        <v>0.00020115352949666</v>
      </c>
      <c r="AS50" s="33">
        <f>IF('IO model'!$D$45=0,0,'Z imported'!AS50/'IO model'!$D$45)</f>
        <v>0.00020204486102589971</v>
      </c>
      <c r="AT50" s="33">
        <f>IF('IO model'!$D$46=0,0,'Z imported'!AT50/'IO model'!$D$46)</f>
        <v>0.000009294995460627728</v>
      </c>
      <c r="AU50" s="33">
        <f>IF('IO model'!$D$47=0,0,'Z imported'!AU50/'IO model'!$D$47)</f>
        <v>0.00031914925514496995</v>
      </c>
      <c r="AV50" s="33">
        <f>IF('IO model'!$D$48=0,0,'Z imported'!AV50/'IO model'!$D$48)</f>
        <v>0.000049730363308179724</v>
      </c>
      <c r="AW50" s="33">
        <f>IF('IO model'!$D$49=0,0,'Z imported'!AW50/'IO model'!$D$49)</f>
        <v>0.00004479358099840005</v>
      </c>
      <c r="AX50" s="33">
        <f>IF('IO model'!$D$50=0,0,'Z imported'!AX50/'IO model'!$D$50)</f>
        <v>0.0024753063003321446</v>
      </c>
      <c r="AY50" s="33">
        <f>IF('IO model'!$D$51=0,0,'Z imported'!AY50/'IO model'!$D$51)</f>
        <v>0.00010753652862253696</v>
      </c>
      <c r="AZ50" s="33">
        <f>IF('IO model'!$D$52=0,0,'Z imported'!AZ50/'IO model'!$D$52)</f>
        <v>0.00012702300419175912</v>
      </c>
      <c r="BA50" s="33">
        <f>IF('IO model'!$D$53=0,0,'Z imported'!BA50/'IO model'!$D$53)</f>
        <v>0.00009919233393550095</v>
      </c>
      <c r="BB50" s="33">
        <f>IF('IO model'!$D$54=0,0,'Z imported'!BB50/'IO model'!$D$54)</f>
        <v>0.0028266459448441027</v>
      </c>
      <c r="BC50" s="33">
        <f>IF('IO model'!$D$55=0,0,'Z imported'!BC50/'IO model'!$D$55)</f>
        <v>0.00006989605234618795</v>
      </c>
      <c r="BD50" s="33">
        <f>IF('IO model'!$D$56=0,0,'Z imported'!BD50/'IO model'!$D$56)</f>
        <v>0.00003654455310048862</v>
      </c>
      <c r="BE50" s="33">
        <f>IF('IO model'!$D$57=0,0,'Z imported'!BE50/'IO model'!$D$57)</f>
        <v>0.000016733487648567953</v>
      </c>
      <c r="BF50" s="33">
        <f>IF('IO model'!$D$58=0,0,'Z imported'!BF50/'IO model'!$D$58)</f>
        <v>0.00003763295115689433</v>
      </c>
      <c r="BG50" s="33">
        <f>IF('IO model'!$D$59=0,0,'Z imported'!BG50/'IO model'!$D$59)</f>
        <v>0.00002268484552726773</v>
      </c>
      <c r="BH50" s="33">
        <f>IF('IO model'!$D$60=0,0,'Z imported'!BH50/'IO model'!$D$60)</f>
        <v>0.00031422331851246676</v>
      </c>
      <c r="BI50" s="33">
        <f>IF('IO model'!$D$61=0,0,'Z imported'!BI50/'IO model'!$D$61)</f>
        <v>0.0001310935838469295</v>
      </c>
      <c r="BJ50" s="33">
        <f>IF('IO model'!$D$62=0,0,'Z imported'!BJ50/'IO model'!$D$62)</f>
        <v>0.00008741535232125143</v>
      </c>
      <c r="BK50" s="33">
        <f>IF('IO model'!$D$63=0,0,'Z imported'!BK50/'IO model'!$D$63)</f>
        <v>0.00005624121231057648</v>
      </c>
      <c r="BL50" s="33">
        <f>IF('IO model'!$D$64=0,0,'Z imported'!BL50/'IO model'!$D$64)</f>
        <v>0.000037657851370294964</v>
      </c>
      <c r="BM50" s="33">
        <f>IF('IO model'!$D$65=0,0,'Z imported'!BM50/'IO model'!$D$65)</f>
        <v>0</v>
      </c>
      <c r="BN50" s="33">
        <f>IF('IO model'!$D$66=0,0,'Z imported'!BN50/'IO model'!$D$66)</f>
        <v>0</v>
      </c>
    </row>
    <row r="51" spans="1:66" x14ac:dyDescent="0.25">
      <c r="A51" s="30" t="s">
        <v>359</v>
      </c>
      <c r="B51" s="31" t="s">
        <v>360</v>
      </c>
      <c r="C51" s="33">
        <f>IF('IO model'!$D$3=0,0,'Z imported'!C51/'IO model'!$D$3)</f>
        <v>0.00024631939298242855</v>
      </c>
      <c r="D51" s="33">
        <f>IF('IO model'!$D$4=0,0,'Z imported'!D51/'IO model'!$D$4)</f>
        <v>0.000030424290753737783</v>
      </c>
      <c r="E51" s="33">
        <f>IF('IO model'!$D$5=0,0,'Z imported'!E51/'IO model'!$D$5)</f>
        <v>0.000054296554204928765</v>
      </c>
      <c r="F51" s="33">
        <f>IF('IO model'!$D$6=0,0,'Z imported'!F51/'IO model'!$D$6)</f>
        <v>0.0001762836109494158</v>
      </c>
      <c r="G51" s="33">
        <f>IF('IO model'!$D$7=0,0,'Z imported'!G51/'IO model'!$D$7)</f>
        <v>0.00028541534223352404</v>
      </c>
      <c r="H51" s="33">
        <f>IF('IO model'!$D$8=0,0,'Z imported'!H51/'IO model'!$D$8)</f>
        <v>0.0002894113224384683</v>
      </c>
      <c r="I51" s="33">
        <f>IF('IO model'!$D$9=0,0,'Z imported'!I51/'IO model'!$D$9)</f>
        <v>0.00009674413552325849</v>
      </c>
      <c r="J51" s="33">
        <f>IF('IO model'!$D$10=0,0,'Z imported'!J51/'IO model'!$D$10)</f>
        <v>0.00026496336915046286</v>
      </c>
      <c r="K51" s="33">
        <f>IF('IO model'!$D$11=0,0,'Z imported'!K51/'IO model'!$D$11)</f>
        <v>0.0005416540493971433</v>
      </c>
      <c r="L51" s="33">
        <f>IF('IO model'!$D$12=0,0,'Z imported'!L51/'IO model'!$D$12)</f>
        <v>0.00018625110506233816</v>
      </c>
      <c r="M51" s="33">
        <f>IF('IO model'!$D$13=0,0,'Z imported'!M51/'IO model'!$D$13)</f>
        <v>0.0004965516371942547</v>
      </c>
      <c r="N51" s="33">
        <f>IF('IO model'!$D$14=0,0,'Z imported'!N51/'IO model'!$D$14)</f>
        <v>0.001408028453370092</v>
      </c>
      <c r="O51" s="33">
        <f>IF('IO model'!$D$15=0,0,'Z imported'!O51/'IO model'!$D$15)</f>
        <v>0.0002777576131792204</v>
      </c>
      <c r="P51" s="33">
        <f>IF('IO model'!$D$16=0,0,'Z imported'!P51/'IO model'!$D$16)</f>
        <v>0.0002208473918186388</v>
      </c>
      <c r="Q51" s="33">
        <f>IF('IO model'!$D$17=0,0,'Z imported'!Q51/'IO model'!$D$17)</f>
        <v>0.00020998720607751055</v>
      </c>
      <c r="R51" s="33">
        <f>IF('IO model'!$D$18=0,0,'Z imported'!R51/'IO model'!$D$18)</f>
        <v>0.00020734762549371052</v>
      </c>
      <c r="S51" s="33">
        <f>IF('IO model'!$D$19=0,0,'Z imported'!S51/'IO model'!$D$19)</f>
        <v>0.00037966400118877997</v>
      </c>
      <c r="T51" s="33">
        <f>IF('IO model'!$D$20=0,0,'Z imported'!T51/'IO model'!$D$20)</f>
        <v>0.0005335950786754284</v>
      </c>
      <c r="U51" s="33">
        <f>IF('IO model'!$D$21=0,0,'Z imported'!U51/'IO model'!$D$21)</f>
        <v>0.0003278827933538626</v>
      </c>
      <c r="V51" s="33">
        <f>IF('IO model'!$D$22=0,0,'Z imported'!V51/'IO model'!$D$22)</f>
        <v>0.00041061862737833994</v>
      </c>
      <c r="W51" s="33">
        <f>IF('IO model'!$D$23=0,0,'Z imported'!W51/'IO model'!$D$23)</f>
        <v>0.00018614849959912115</v>
      </c>
      <c r="X51" s="33">
        <f>IF('IO model'!$D$24=0,0,'Z imported'!X51/'IO model'!$D$24)</f>
        <v>0.0003207323841845361</v>
      </c>
      <c r="Y51" s="33">
        <f>IF('IO model'!$D$25=0,0,'Z imported'!Y51/'IO model'!$D$25)</f>
        <v>0.00030370820008085366</v>
      </c>
      <c r="Z51" s="33">
        <f>IF('IO model'!$D$26=0,0,'Z imported'!Z51/'IO model'!$D$26)</f>
        <v>0.00021063968835683983</v>
      </c>
      <c r="AA51" s="33">
        <f>IF('IO model'!$D$27=0,0,'Z imported'!AA51/'IO model'!$D$27)</f>
        <v>0.00016250358149340788</v>
      </c>
      <c r="AB51" s="33">
        <f>IF('IO model'!$D$28=0,0,'Z imported'!AB51/'IO model'!$D$28)</f>
        <v>0.0004850648197966995</v>
      </c>
      <c r="AC51" s="33">
        <f>IF('IO model'!$D$29=0,0,'Z imported'!AC51/'IO model'!$D$29)</f>
        <v>0.00020359745739842775</v>
      </c>
      <c r="AD51" s="33">
        <f>IF('IO model'!$D$30=0,0,'Z imported'!AD51/'IO model'!$D$30)</f>
        <v>0.0004733518653583481</v>
      </c>
      <c r="AE51" s="33">
        <f>IF('IO model'!$D$31=0,0,'Z imported'!AE51/'IO model'!$D$31)</f>
        <v>0.0005940623721233932</v>
      </c>
      <c r="AF51" s="33">
        <f>IF('IO model'!$D$32=0,0,'Z imported'!AF51/'IO model'!$D$32)</f>
        <v>0.00033375136263963514</v>
      </c>
      <c r="AG51" s="33">
        <f>IF('IO model'!$D$33=0,0,'Z imported'!AG51/'IO model'!$D$33)</f>
        <v>0.00024943165585580314</v>
      </c>
      <c r="AH51" s="33">
        <f>IF('IO model'!$D$34=0,0,'Z imported'!AH51/'IO model'!$D$34)</f>
        <v>0.0002093972149312229</v>
      </c>
      <c r="AI51" s="33">
        <f>IF('IO model'!$D$35=0,0,'Z imported'!AI51/'IO model'!$D$35)</f>
        <v>0.003961291832880432</v>
      </c>
      <c r="AJ51" s="33">
        <f>IF('IO model'!$D$36=0,0,'Z imported'!AJ51/'IO model'!$D$36)</f>
        <v>0.00021478762734235366</v>
      </c>
      <c r="AK51" s="33">
        <f>IF('IO model'!$D$37=0,0,'Z imported'!AK51/'IO model'!$D$37)</f>
        <v>0.0004229500593583757</v>
      </c>
      <c r="AL51" s="33">
        <f>IF('IO model'!$D$38=0,0,'Z imported'!AL51/'IO model'!$D$38)</f>
        <v>0.00030305416636952723</v>
      </c>
      <c r="AM51" s="33">
        <f>IF('IO model'!$D$39=0,0,'Z imported'!AM51/'IO model'!$D$39)</f>
        <v>0.0016828124477510232</v>
      </c>
      <c r="AN51" s="33">
        <f>IF('IO model'!$D$40=0,0,'Z imported'!AN51/'IO model'!$D$40)</f>
        <v>0.0011113789442943032</v>
      </c>
      <c r="AO51" s="33">
        <f>IF('IO model'!$D$41=0,0,'Z imported'!AO51/'IO model'!$D$41)</f>
        <v>0.001092193819826643</v>
      </c>
      <c r="AP51" s="33">
        <f>IF('IO model'!$D$42=0,0,'Z imported'!AP51/'IO model'!$D$42)</f>
        <v>0.0013871773322650315</v>
      </c>
      <c r="AQ51" s="33">
        <f>IF('IO model'!$D$43=0,0,'Z imported'!AQ51/'IO model'!$D$43)</f>
        <v>0.00040817515148079735</v>
      </c>
      <c r="AR51" s="33">
        <f>IF('IO model'!$D$44=0,0,'Z imported'!AR51/'IO model'!$D$44)</f>
        <v>0.0010865281723369778</v>
      </c>
      <c r="AS51" s="33">
        <f>IF('IO model'!$D$45=0,0,'Z imported'!AS51/'IO model'!$D$45)</f>
        <v>0.0013452525881978822</v>
      </c>
      <c r="AT51" s="33">
        <f>IF('IO model'!$D$46=0,0,'Z imported'!AT51/'IO model'!$D$46)</f>
        <v>0.00011258326134454196</v>
      </c>
      <c r="AU51" s="33">
        <f>IF('IO model'!$D$47=0,0,'Z imported'!AU51/'IO model'!$D$47)</f>
        <v>0.0015188470907327488</v>
      </c>
      <c r="AV51" s="33">
        <f>IF('IO model'!$D$48=0,0,'Z imported'!AV51/'IO model'!$D$48)</f>
        <v>0.0007936787579094693</v>
      </c>
      <c r="AW51" s="33">
        <f>IF('IO model'!$D$49=0,0,'Z imported'!AW51/'IO model'!$D$49)</f>
        <v>0.0007386868721008883</v>
      </c>
      <c r="AX51" s="33">
        <f>IF('IO model'!$D$50=0,0,'Z imported'!AX51/'IO model'!$D$50)</f>
        <v>0.0029172011780002373</v>
      </c>
      <c r="AY51" s="33">
        <f>IF('IO model'!$D$51=0,0,'Z imported'!AY51/'IO model'!$D$51)</f>
        <v>0.004848361204753238</v>
      </c>
      <c r="AZ51" s="33">
        <f>IF('IO model'!$D$52=0,0,'Z imported'!AZ51/'IO model'!$D$52)</f>
        <v>0.0006191014370970141</v>
      </c>
      <c r="BA51" s="33">
        <f>IF('IO model'!$D$53=0,0,'Z imported'!BA51/'IO model'!$D$53)</f>
        <v>0.00048179133625814743</v>
      </c>
      <c r="BB51" s="33">
        <f>IF('IO model'!$D$54=0,0,'Z imported'!BB51/'IO model'!$D$54)</f>
        <v>0.0007635055515709302</v>
      </c>
      <c r="BC51" s="33">
        <f>IF('IO model'!$D$55=0,0,'Z imported'!BC51/'IO model'!$D$55)</f>
        <v>0.0013482415657718719</v>
      </c>
      <c r="BD51" s="33">
        <f>IF('IO model'!$D$56=0,0,'Z imported'!BD51/'IO model'!$D$56)</f>
        <v>0.000415006905876406</v>
      </c>
      <c r="BE51" s="33">
        <f>IF('IO model'!$D$57=0,0,'Z imported'!BE51/'IO model'!$D$57)</f>
        <v>0.00021891214537715168</v>
      </c>
      <c r="BF51" s="33">
        <f>IF('IO model'!$D$58=0,0,'Z imported'!BF51/'IO model'!$D$58)</f>
        <v>0.0002610387332365933</v>
      </c>
      <c r="BG51" s="33">
        <f>IF('IO model'!$D$59=0,0,'Z imported'!BG51/'IO model'!$D$59)</f>
        <v>0.00026779183500481917</v>
      </c>
      <c r="BH51" s="33">
        <f>IF('IO model'!$D$60=0,0,'Z imported'!BH51/'IO model'!$D$60)</f>
        <v>0.0005411623818825816</v>
      </c>
      <c r="BI51" s="33">
        <f>IF('IO model'!$D$61=0,0,'Z imported'!BI51/'IO model'!$D$61)</f>
        <v>0.0004962828531348046</v>
      </c>
      <c r="BJ51" s="33">
        <f>IF('IO model'!$D$62=0,0,'Z imported'!BJ51/'IO model'!$D$62)</f>
        <v>0.001042658116831769</v>
      </c>
      <c r="BK51" s="33">
        <f>IF('IO model'!$D$63=0,0,'Z imported'!BK51/'IO model'!$D$63)</f>
        <v>0.00033119825027339483</v>
      </c>
      <c r="BL51" s="33">
        <f>IF('IO model'!$D$64=0,0,'Z imported'!BL51/'IO model'!$D$64)</f>
        <v>0.0004906128523594765</v>
      </c>
      <c r="BM51" s="33">
        <f>IF('IO model'!$D$65=0,0,'Z imported'!BM51/'IO model'!$D$65)</f>
        <v>0</v>
      </c>
      <c r="BN51" s="33">
        <f>IF('IO model'!$D$66=0,0,'Z imported'!BN51/'IO model'!$D$66)</f>
        <v>0</v>
      </c>
    </row>
    <row r="52" spans="1:66" x14ac:dyDescent="0.25">
      <c r="A52" s="30" t="s">
        <v>361</v>
      </c>
      <c r="B52" s="31" t="s">
        <v>362</v>
      </c>
      <c r="C52" s="33">
        <f>IF('IO model'!$D$3=0,0,'Z imported'!C52/'IO model'!$D$3)</f>
        <v>0.00007820771655289016</v>
      </c>
      <c r="D52" s="33">
        <f>IF('IO model'!$D$4=0,0,'Z imported'!D52/'IO model'!$D$4)</f>
        <v>0.000024019176910845617</v>
      </c>
      <c r="E52" s="33">
        <f>IF('IO model'!$D$5=0,0,'Z imported'!E52/'IO model'!$D$5)</f>
        <v>0.00012216724696108972</v>
      </c>
      <c r="F52" s="33">
        <f>IF('IO model'!$D$6=0,0,'Z imported'!F52/'IO model'!$D$6)</f>
        <v>0.00009824138735201817</v>
      </c>
      <c r="G52" s="33">
        <f>IF('IO model'!$D$7=0,0,'Z imported'!G52/'IO model'!$D$7)</f>
        <v>0.00014546690683054319</v>
      </c>
      <c r="H52" s="33">
        <f>IF('IO model'!$D$8=0,0,'Z imported'!H52/'IO model'!$D$8)</f>
        <v>0.0002599871060448759</v>
      </c>
      <c r="I52" s="33">
        <f>IF('IO model'!$D$9=0,0,'Z imported'!I52/'IO model'!$D$9)</f>
        <v>0.00006110155927784745</v>
      </c>
      <c r="J52" s="33">
        <f>IF('IO model'!$D$10=0,0,'Z imported'!J52/'IO model'!$D$10)</f>
        <v>0.00007935451157298126</v>
      </c>
      <c r="K52" s="33">
        <f>IF('IO model'!$D$11=0,0,'Z imported'!K52/'IO model'!$D$11)</f>
        <v>0.00013790142464966638</v>
      </c>
      <c r="L52" s="33">
        <f>IF('IO model'!$D$12=0,0,'Z imported'!L52/'IO model'!$D$12)</f>
        <v>0.00008688044644426622</v>
      </c>
      <c r="M52" s="33">
        <f>IF('IO model'!$D$13=0,0,'Z imported'!M52/'IO model'!$D$13)</f>
        <v>0.0005969335454432996</v>
      </c>
      <c r="N52" s="33">
        <f>IF('IO model'!$D$14=0,0,'Z imported'!N52/'IO model'!$D$14)</f>
        <v>0.0016313968815614484</v>
      </c>
      <c r="O52" s="33">
        <f>IF('IO model'!$D$15=0,0,'Z imported'!O52/'IO model'!$D$15)</f>
        <v>0.00018078068668072366</v>
      </c>
      <c r="P52" s="33">
        <f>IF('IO model'!$D$16=0,0,'Z imported'!P52/'IO model'!$D$16)</f>
        <v>0.00018999647848111175</v>
      </c>
      <c r="Q52" s="33">
        <f>IF('IO model'!$D$17=0,0,'Z imported'!Q52/'IO model'!$D$17)</f>
        <v>0.00009396778474424078</v>
      </c>
      <c r="R52" s="33">
        <f>IF('IO model'!$D$18=0,0,'Z imported'!R52/'IO model'!$D$18)</f>
        <v>0.00012191272424861684</v>
      </c>
      <c r="S52" s="33">
        <f>IF('IO model'!$D$19=0,0,'Z imported'!S52/'IO model'!$D$19)</f>
        <v>0.0005114102181446713</v>
      </c>
      <c r="T52" s="33">
        <f>IF('IO model'!$D$20=0,0,'Z imported'!T52/'IO model'!$D$20)</f>
        <v>0.00028574327899885536</v>
      </c>
      <c r="U52" s="33">
        <f>IF('IO model'!$D$21=0,0,'Z imported'!U52/'IO model'!$D$21)</f>
        <v>0.0002343646982984768</v>
      </c>
      <c r="V52" s="33">
        <f>IF('IO model'!$D$22=0,0,'Z imported'!V52/'IO model'!$D$22)</f>
        <v>0.00022450489992840132</v>
      </c>
      <c r="W52" s="33">
        <f>IF('IO model'!$D$23=0,0,'Z imported'!W52/'IO model'!$D$23)</f>
        <v>0.00022059330070604513</v>
      </c>
      <c r="X52" s="33">
        <f>IF('IO model'!$D$24=0,0,'Z imported'!X52/'IO model'!$D$24)</f>
        <v>0.00024608531481419305</v>
      </c>
      <c r="Y52" s="33">
        <f>IF('IO model'!$D$25=0,0,'Z imported'!Y52/'IO model'!$D$25)</f>
        <v>0.00011353577573116023</v>
      </c>
      <c r="Z52" s="33">
        <f>IF('IO model'!$D$26=0,0,'Z imported'!Z52/'IO model'!$D$26)</f>
        <v>0.00008554167929031478</v>
      </c>
      <c r="AA52" s="33">
        <f>IF('IO model'!$D$27=0,0,'Z imported'!AA52/'IO model'!$D$27)</f>
        <v>0.00018958751174230919</v>
      </c>
      <c r="AB52" s="33">
        <f>IF('IO model'!$D$28=0,0,'Z imported'!AB52/'IO model'!$D$28)</f>
        <v>0.00028106238139993144</v>
      </c>
      <c r="AC52" s="33">
        <f>IF('IO model'!$D$29=0,0,'Z imported'!AC52/'IO model'!$D$29)</f>
        <v>0.00016343870415702058</v>
      </c>
      <c r="AD52" s="33">
        <f>IF('IO model'!$D$30=0,0,'Z imported'!AD52/'IO model'!$D$30)</f>
        <v>0.00017846079167176408</v>
      </c>
      <c r="AE52" s="33">
        <f>IF('IO model'!$D$31=0,0,'Z imported'!AE52/'IO model'!$D$31)</f>
        <v>0.000226901186831084</v>
      </c>
      <c r="AF52" s="33">
        <f>IF('IO model'!$D$32=0,0,'Z imported'!AF52/'IO model'!$D$32)</f>
        <v>0.00019038369630392443</v>
      </c>
      <c r="AG52" s="33">
        <f>IF('IO model'!$D$33=0,0,'Z imported'!AG52/'IO model'!$D$33)</f>
        <v>0.0002824560962728487</v>
      </c>
      <c r="AH52" s="33">
        <f>IF('IO model'!$D$34=0,0,'Z imported'!AH52/'IO model'!$D$34)</f>
        <v>0.0005809914529034339</v>
      </c>
      <c r="AI52" s="33">
        <f>IF('IO model'!$D$35=0,0,'Z imported'!AI52/'IO model'!$D$35)</f>
        <v>0.0011995862186777347</v>
      </c>
      <c r="AJ52" s="33">
        <f>IF('IO model'!$D$36=0,0,'Z imported'!AJ52/'IO model'!$D$36)</f>
        <v>0.00030854854756822564</v>
      </c>
      <c r="AK52" s="33">
        <f>IF('IO model'!$D$37=0,0,'Z imported'!AK52/'IO model'!$D$37)</f>
        <v>0.00008237488881120574</v>
      </c>
      <c r="AL52" s="33">
        <f>IF('IO model'!$D$38=0,0,'Z imported'!AL52/'IO model'!$D$38)</f>
        <v>0.00015592080529941476</v>
      </c>
      <c r="AM52" s="33">
        <f>IF('IO model'!$D$39=0,0,'Z imported'!AM52/'IO model'!$D$39)</f>
        <v>0.000244920608668382</v>
      </c>
      <c r="AN52" s="33">
        <f>IF('IO model'!$D$40=0,0,'Z imported'!AN52/'IO model'!$D$40)</f>
        <v>0.002443527115792011</v>
      </c>
      <c r="AO52" s="33">
        <f>IF('IO model'!$D$41=0,0,'Z imported'!AO52/'IO model'!$D$41)</f>
        <v>0.00037025980331799254</v>
      </c>
      <c r="AP52" s="33">
        <f>IF('IO model'!$D$42=0,0,'Z imported'!AP52/'IO model'!$D$42)</f>
        <v>0.0021156472804756267</v>
      </c>
      <c r="AQ52" s="33">
        <f>IF('IO model'!$D$43=0,0,'Z imported'!AQ52/'IO model'!$D$43)</f>
        <v>0.00005308913449970441</v>
      </c>
      <c r="AR52" s="33">
        <f>IF('IO model'!$D$44=0,0,'Z imported'!AR52/'IO model'!$D$44)</f>
        <v>0.00010593587365065741</v>
      </c>
      <c r="AS52" s="33">
        <f>IF('IO model'!$D$45=0,0,'Z imported'!AS52/'IO model'!$D$45)</f>
        <v>0.00014647449384389547</v>
      </c>
      <c r="AT52" s="33">
        <f>IF('IO model'!$D$46=0,0,'Z imported'!AT52/'IO model'!$D$46)</f>
        <v>0.000010622851955003116</v>
      </c>
      <c r="AU52" s="33">
        <f>IF('IO model'!$D$47=0,0,'Z imported'!AU52/'IO model'!$D$47)</f>
        <v>0.0003468400167132265</v>
      </c>
      <c r="AV52" s="33">
        <f>IF('IO model'!$D$48=0,0,'Z imported'!AV52/'IO model'!$D$48)</f>
        <v>0.00020873372222626106</v>
      </c>
      <c r="AW52" s="33">
        <f>IF('IO model'!$D$49=0,0,'Z imported'!AW52/'IO model'!$D$49)</f>
        <v>0.0002642821278905603</v>
      </c>
      <c r="AX52" s="33">
        <f>IF('IO model'!$D$50=0,0,'Z imported'!AX52/'IO model'!$D$50)</f>
        <v>0.0002849440102394514</v>
      </c>
      <c r="AY52" s="33">
        <f>IF('IO model'!$D$51=0,0,'Z imported'!AY52/'IO model'!$D$51)</f>
        <v>0.0002691485687809782</v>
      </c>
      <c r="AZ52" s="33">
        <f>IF('IO model'!$D$52=0,0,'Z imported'!AZ52/'IO model'!$D$52)</f>
        <v>0.0017587800580397418</v>
      </c>
      <c r="BA52" s="33">
        <f>IF('IO model'!$D$53=0,0,'Z imported'!BA52/'IO model'!$D$53)</f>
        <v>0.00003950517195699605</v>
      </c>
      <c r="BB52" s="33">
        <f>IF('IO model'!$D$54=0,0,'Z imported'!BB52/'IO model'!$D$54)</f>
        <v>0.00016275353450414818</v>
      </c>
      <c r="BC52" s="33">
        <f>IF('IO model'!$D$55=0,0,'Z imported'!BC52/'IO model'!$D$55)</f>
        <v>0.0003211143750164553</v>
      </c>
      <c r="BD52" s="33">
        <f>IF('IO model'!$D$56=0,0,'Z imported'!BD52/'IO model'!$D$56)</f>
        <v>0.00007308910620097723</v>
      </c>
      <c r="BE52" s="33">
        <f>IF('IO model'!$D$57=0,0,'Z imported'!BE52/'IO model'!$D$57)</f>
        <v>0.00006026173716477953</v>
      </c>
      <c r="BF52" s="33">
        <f>IF('IO model'!$D$58=0,0,'Z imported'!BF52/'IO model'!$D$58)</f>
        <v>0.00007343209325317729</v>
      </c>
      <c r="BG52" s="33">
        <f>IF('IO model'!$D$59=0,0,'Z imported'!BG52/'IO model'!$D$59)</f>
        <v>0.00006860782549710243</v>
      </c>
      <c r="BH52" s="33">
        <f>IF('IO model'!$D$60=0,0,'Z imported'!BH52/'IO model'!$D$60)</f>
        <v>0.00025050581225854985</v>
      </c>
      <c r="BI52" s="33">
        <f>IF('IO model'!$D$61=0,0,'Z imported'!BI52/'IO model'!$D$61)</f>
        <v>0.0001843503522847446</v>
      </c>
      <c r="BJ52" s="33">
        <f>IF('IO model'!$D$62=0,0,'Z imported'!BJ52/'IO model'!$D$62)</f>
        <v>0.00007188762526418701</v>
      </c>
      <c r="BK52" s="33">
        <f>IF('IO model'!$D$63=0,0,'Z imported'!BK52/'IO model'!$D$63)</f>
        <v>0.00010935791282612091</v>
      </c>
      <c r="BL52" s="33">
        <f>IF('IO model'!$D$64=0,0,'Z imported'!BL52/'IO model'!$D$64)</f>
        <v>0.00021109612458278018</v>
      </c>
      <c r="BM52" s="33">
        <f>IF('IO model'!$D$65=0,0,'Z imported'!BM52/'IO model'!$D$65)</f>
        <v>0</v>
      </c>
      <c r="BN52" s="33">
        <f>IF('IO model'!$D$66=0,0,'Z imported'!BN52/'IO model'!$D$66)</f>
        <v>0</v>
      </c>
    </row>
    <row r="53" spans="1:66" x14ac:dyDescent="0.25">
      <c r="A53" s="30" t="s">
        <v>364</v>
      </c>
      <c r="B53" s="31" t="s">
        <v>365</v>
      </c>
      <c r="C53" s="33">
        <f>IF('IO model'!$D$3=0,0,'Z imported'!C53/'IO model'!$D$3)</f>
        <v>0.0008611577360611767</v>
      </c>
      <c r="D53" s="33">
        <f>IF('IO model'!$D$4=0,0,'Z imported'!D53/'IO model'!$D$4)</f>
        <v>0.0005300231704993266</v>
      </c>
      <c r="E53" s="33">
        <f>IF('IO model'!$D$5=0,0,'Z imported'!E53/'IO model'!$D$5)</f>
        <v>0.002334751830811937</v>
      </c>
      <c r="F53" s="33">
        <f>IF('IO model'!$D$6=0,0,'Z imported'!F53/'IO model'!$D$6)</f>
        <v>0.0005591495784801783</v>
      </c>
      <c r="G53" s="33">
        <f>IF('IO model'!$D$7=0,0,'Z imported'!G53/'IO model'!$D$7)</f>
        <v>0.00047319053000871174</v>
      </c>
      <c r="H53" s="33">
        <f>IF('IO model'!$D$8=0,0,'Z imported'!H53/'IO model'!$D$8)</f>
        <v>0.0006627036199691179</v>
      </c>
      <c r="I53" s="33">
        <f>IF('IO model'!$D$9=0,0,'Z imported'!I53/'IO model'!$D$9)</f>
        <v>0.0005855566097460382</v>
      </c>
      <c r="J53" s="33">
        <f>IF('IO model'!$D$10=0,0,'Z imported'!J53/'IO model'!$D$10)</f>
        <v>0.0006043496135614618</v>
      </c>
      <c r="K53" s="33">
        <f>IF('IO model'!$D$11=0,0,'Z imported'!K53/'IO model'!$D$11)</f>
        <v>0.001224052851787245</v>
      </c>
      <c r="L53" s="33">
        <f>IF('IO model'!$D$12=0,0,'Z imported'!L53/'IO model'!$D$12)</f>
        <v>0.00020461906414146424</v>
      </c>
      <c r="M53" s="33">
        <f>IF('IO model'!$D$13=0,0,'Z imported'!M53/'IO model'!$D$13)</f>
        <v>0.0004577856255313583</v>
      </c>
      <c r="N53" s="33">
        <f>IF('IO model'!$D$14=0,0,'Z imported'!N53/'IO model'!$D$14)</f>
        <v>0.0005565372403611143</v>
      </c>
      <c r="O53" s="33">
        <f>IF('IO model'!$D$15=0,0,'Z imported'!O53/'IO model'!$D$15)</f>
        <v>0.0007135932221536783</v>
      </c>
      <c r="P53" s="33">
        <f>IF('IO model'!$D$16=0,0,'Z imported'!P53/'IO model'!$D$16)</f>
        <v>0.0005880485066653024</v>
      </c>
      <c r="Q53" s="33">
        <f>IF('IO model'!$D$17=0,0,'Z imported'!Q53/'IO model'!$D$17)</f>
        <v>0.0004056706478810564</v>
      </c>
      <c r="R53" s="33">
        <f>IF('IO model'!$D$18=0,0,'Z imported'!R53/'IO model'!$D$18)</f>
        <v>0.0006719598974333212</v>
      </c>
      <c r="S53" s="33">
        <f>IF('IO model'!$D$19=0,0,'Z imported'!S53/'IO model'!$D$19)</f>
        <v>0.0005162613385364579</v>
      </c>
      <c r="T53" s="33">
        <f>IF('IO model'!$D$20=0,0,'Z imported'!T53/'IO model'!$D$20)</f>
        <v>0.0005904322976588518</v>
      </c>
      <c r="U53" s="33">
        <f>IF('IO model'!$D$21=0,0,'Z imported'!U53/'IO model'!$D$21)</f>
        <v>0.0005438982037186033</v>
      </c>
      <c r="V53" s="33">
        <f>IF('IO model'!$D$22=0,0,'Z imported'!V53/'IO model'!$D$22)</f>
        <v>0.0003572048221909137</v>
      </c>
      <c r="W53" s="33">
        <f>IF('IO model'!$D$23=0,0,'Z imported'!W53/'IO model'!$D$23)</f>
        <v>0.0007145464059415083</v>
      </c>
      <c r="X53" s="33">
        <f>IF('IO model'!$D$24=0,0,'Z imported'!X53/'IO model'!$D$24)</f>
        <v>0.0005961050659287204</v>
      </c>
      <c r="Y53" s="33">
        <f>IF('IO model'!$D$25=0,0,'Z imported'!Y53/'IO model'!$D$25)</f>
        <v>0.0006852695035202172</v>
      </c>
      <c r="Z53" s="33">
        <f>IF('IO model'!$D$26=0,0,'Z imported'!Z53/'IO model'!$D$26)</f>
        <v>0.00015259992683418363</v>
      </c>
      <c r="AA53" s="33">
        <f>IF('IO model'!$D$27=0,0,'Z imported'!AA53/'IO model'!$D$27)</f>
        <v>0.0006400360358819312</v>
      </c>
      <c r="AB53" s="33">
        <f>IF('IO model'!$D$28=0,0,'Z imported'!AB53/'IO model'!$D$28)</f>
        <v>0.0005342593369817546</v>
      </c>
      <c r="AC53" s="33">
        <f>IF('IO model'!$D$29=0,0,'Z imported'!AC53/'IO model'!$D$29)</f>
        <v>0.00016504670351678944</v>
      </c>
      <c r="AD53" s="33">
        <f>IF('IO model'!$D$30=0,0,'Z imported'!AD53/'IO model'!$D$30)</f>
        <v>0.0003286140094921449</v>
      </c>
      <c r="AE53" s="33">
        <f>IF('IO model'!$D$31=0,0,'Z imported'!AE53/'IO model'!$D$31)</f>
        <v>0.00023875973848092058</v>
      </c>
      <c r="AF53" s="33">
        <f>IF('IO model'!$D$32=0,0,'Z imported'!AF53/'IO model'!$D$32)</f>
        <v>0.00018494161313872324</v>
      </c>
      <c r="AG53" s="33">
        <f>IF('IO model'!$D$33=0,0,'Z imported'!AG53/'IO model'!$D$33)</f>
        <v>0.0002452874123524876</v>
      </c>
      <c r="AH53" s="33">
        <f>IF('IO model'!$D$34=0,0,'Z imported'!AH53/'IO model'!$D$34)</f>
        <v>0.0004346708580437065</v>
      </c>
      <c r="AI53" s="33">
        <f>IF('IO model'!$D$35=0,0,'Z imported'!AI53/'IO model'!$D$35)</f>
        <v>0.0008262972582242201</v>
      </c>
      <c r="AJ53" s="33">
        <f>IF('IO model'!$D$36=0,0,'Z imported'!AJ53/'IO model'!$D$36)</f>
        <v>0.000756625586214418</v>
      </c>
      <c r="AK53" s="33">
        <f>IF('IO model'!$D$37=0,0,'Z imported'!AK53/'IO model'!$D$37)</f>
        <v>0.0010293399971618735</v>
      </c>
      <c r="AL53" s="33">
        <f>IF('IO model'!$D$38=0,0,'Z imported'!AL53/'IO model'!$D$38)</f>
        <v>0.0002816488535032781</v>
      </c>
      <c r="AM53" s="33">
        <f>IF('IO model'!$D$39=0,0,'Z imported'!AM53/'IO model'!$D$39)</f>
        <v>0.000320836959694744</v>
      </c>
      <c r="AN53" s="33">
        <f>IF('IO model'!$D$40=0,0,'Z imported'!AN53/'IO model'!$D$40)</f>
        <v>0.0004623985388669728</v>
      </c>
      <c r="AO53" s="33">
        <f>IF('IO model'!$D$41=0,0,'Z imported'!AO53/'IO model'!$D$41)</f>
        <v>0.00032350542815391664</v>
      </c>
      <c r="AP53" s="33">
        <f>IF('IO model'!$D$42=0,0,'Z imported'!AP53/'IO model'!$D$42)</f>
        <v>0.00035198796999465844</v>
      </c>
      <c r="AQ53" s="33">
        <f>IF('IO model'!$D$43=0,0,'Z imported'!AQ53/'IO model'!$D$43)</f>
        <v>0.0001702926865103385</v>
      </c>
      <c r="AR53" s="33">
        <f>IF('IO model'!$D$44=0,0,'Z imported'!AR53/'IO model'!$D$44)</f>
        <v>0.00018869048553775918</v>
      </c>
      <c r="AS53" s="33">
        <f>IF('IO model'!$D$45=0,0,'Z imported'!AS53/'IO model'!$D$45)</f>
        <v>0.000299373307593225</v>
      </c>
      <c r="AT53" s="33">
        <f>IF('IO model'!$D$46=0,0,'Z imported'!AT53/'IO model'!$D$46)</f>
        <v>0.000048561608937157105</v>
      </c>
      <c r="AU53" s="33">
        <f>IF('IO model'!$D$47=0,0,'Z imported'!AU53/'IO model'!$D$47)</f>
        <v>0.0003146517110685971</v>
      </c>
      <c r="AV53" s="33">
        <f>IF('IO model'!$D$48=0,0,'Z imported'!AV53/'IO model'!$D$48)</f>
        <v>0.0006215180382955018</v>
      </c>
      <c r="AW53" s="33">
        <f>IF('IO model'!$D$49=0,0,'Z imported'!AW53/'IO model'!$D$49)</f>
        <v>0.00036975065042315676</v>
      </c>
      <c r="AX53" s="33">
        <f>IF('IO model'!$D$50=0,0,'Z imported'!AX53/'IO model'!$D$50)</f>
        <v>0.0005449843773075686</v>
      </c>
      <c r="AY53" s="33">
        <f>IF('IO model'!$D$51=0,0,'Z imported'!AY53/'IO model'!$D$51)</f>
        <v>0.0005346101708663265</v>
      </c>
      <c r="AZ53" s="33">
        <f>IF('IO model'!$D$52=0,0,'Z imported'!AZ53/'IO model'!$D$52)</f>
        <v>0.00029774409315888844</v>
      </c>
      <c r="BA53" s="33">
        <f>IF('IO model'!$D$53=0,0,'Z imported'!BA53/'IO model'!$D$53)</f>
        <v>0.001426909634924977</v>
      </c>
      <c r="BB53" s="33">
        <f>IF('IO model'!$D$54=0,0,'Z imported'!BB53/'IO model'!$D$54)</f>
        <v>0.0004052882133730749</v>
      </c>
      <c r="BC53" s="33">
        <f>IF('IO model'!$D$55=0,0,'Z imported'!BC53/'IO model'!$D$55)</f>
        <v>0.0005822059068746372</v>
      </c>
      <c r="BD53" s="33">
        <f>IF('IO model'!$D$56=0,0,'Z imported'!BD53/'IO model'!$D$56)</f>
        <v>0.00008290392903367989</v>
      </c>
      <c r="BE53" s="33">
        <f>IF('IO model'!$D$57=0,0,'Z imported'!BE53/'IO model'!$D$57)</f>
        <v>0.00010633178227317866</v>
      </c>
      <c r="BF53" s="33">
        <f>IF('IO model'!$D$58=0,0,'Z imported'!BF53/'IO model'!$D$58)</f>
        <v>0.0003394938686992713</v>
      </c>
      <c r="BG53" s="33">
        <f>IF('IO model'!$D$59=0,0,'Z imported'!BG53/'IO model'!$D$59)</f>
        <v>0.00033971939399371677</v>
      </c>
      <c r="BH53" s="33">
        <f>IF('IO model'!$D$60=0,0,'Z imported'!BH53/'IO model'!$D$60)</f>
        <v>0.00027930961645552594</v>
      </c>
      <c r="BI53" s="33">
        <f>IF('IO model'!$D$61=0,0,'Z imported'!BI53/'IO model'!$D$61)</f>
        <v>0.0004377589317745682</v>
      </c>
      <c r="BJ53" s="33">
        <f>IF('IO model'!$D$62=0,0,'Z imported'!BJ53/'IO model'!$D$62)</f>
        <v>0.00038416746941181555</v>
      </c>
      <c r="BK53" s="33">
        <f>IF('IO model'!$D$63=0,0,'Z imported'!BK53/'IO model'!$D$63)</f>
        <v>0.0016184971098265894</v>
      </c>
      <c r="BL53" s="33">
        <f>IF('IO model'!$D$64=0,0,'Z imported'!BL53/'IO model'!$D$64)</f>
        <v>0.0004497726473522554</v>
      </c>
      <c r="BM53" s="33">
        <f>IF('IO model'!$D$65=0,0,'Z imported'!BM53/'IO model'!$D$65)</f>
        <v>0</v>
      </c>
      <c r="BN53" s="33">
        <f>IF('IO model'!$D$66=0,0,'Z imported'!BN53/'IO model'!$D$66)</f>
        <v>0</v>
      </c>
    </row>
    <row r="54" spans="1:66" x14ac:dyDescent="0.25">
      <c r="A54" s="30" t="s">
        <v>366</v>
      </c>
      <c r="B54" s="31" t="s">
        <v>367</v>
      </c>
      <c r="C54" s="33">
        <f>IF('IO model'!$D$3=0,0,'Z imported'!C54/'IO model'!$D$3)</f>
        <v>0.0002595867734690796</v>
      </c>
      <c r="D54" s="33">
        <f>IF('IO model'!$D$4=0,0,'Z imported'!D54/'IO model'!$D$4)</f>
        <v>0.000622897321221263</v>
      </c>
      <c r="E54" s="33">
        <f>IF('IO model'!$D$5=0,0,'Z imported'!E54/'IO model'!$D$5)</f>
        <v>0.004038306218991577</v>
      </c>
      <c r="F54" s="33">
        <f>IF('IO model'!$D$6=0,0,'Z imported'!F54/'IO model'!$D$6)</f>
        <v>0.0007290061827803966</v>
      </c>
      <c r="G54" s="33">
        <f>IF('IO model'!$D$7=0,0,'Z imported'!G54/'IO model'!$D$7)</f>
        <v>0.000178945633491088</v>
      </c>
      <c r="H54" s="33">
        <f>IF('IO model'!$D$8=0,0,'Z imported'!H54/'IO model'!$D$8)</f>
        <v>0.0005788226448769366</v>
      </c>
      <c r="I54" s="33">
        <f>IF('IO model'!$D$9=0,0,'Z imported'!I54/'IO model'!$D$9)</f>
        <v>0.0005397304402876526</v>
      </c>
      <c r="J54" s="33">
        <f>IF('IO model'!$D$10=0,0,'Z imported'!J54/'IO model'!$D$10)</f>
        <v>0.0005994179772490166</v>
      </c>
      <c r="K54" s="33">
        <f>IF('IO model'!$D$11=0,0,'Z imported'!K54/'IO model'!$D$11)</f>
        <v>0.0012112578742424305</v>
      </c>
      <c r="L54" s="33">
        <f>IF('IO model'!$D$12=0,0,'Z imported'!L54/'IO model'!$D$12)</f>
        <v>0.0002863564820435751</v>
      </c>
      <c r="M54" s="33">
        <f>IF('IO model'!$D$13=0,0,'Z imported'!M54/'IO model'!$D$13)</f>
        <v>0.00034747583624669367</v>
      </c>
      <c r="N54" s="33">
        <f>IF('IO model'!$D$14=0,0,'Z imported'!N54/'IO model'!$D$14)</f>
        <v>0.00044377655191270667</v>
      </c>
      <c r="O54" s="33">
        <f>IF('IO model'!$D$15=0,0,'Z imported'!O54/'IO model'!$D$15)</f>
        <v>0.0005182379684847411</v>
      </c>
      <c r="P54" s="33">
        <f>IF('IO model'!$D$16=0,0,'Z imported'!P54/'IO model'!$D$16)</f>
        <v>0.0005884247373157599</v>
      </c>
      <c r="Q54" s="33">
        <f>IF('IO model'!$D$17=0,0,'Z imported'!Q54/'IO model'!$D$17)</f>
        <v>0.000407061291629914</v>
      </c>
      <c r="R54" s="33">
        <f>IF('IO model'!$D$18=0,0,'Z imported'!R54/'IO model'!$D$18)</f>
        <v>0.0003150211995348118</v>
      </c>
      <c r="S54" s="33">
        <f>IF('IO model'!$D$19=0,0,'Z imported'!S54/'IO model'!$D$19)</f>
        <v>0.00037506820292287674</v>
      </c>
      <c r="T54" s="33">
        <f>IF('IO model'!$D$20=0,0,'Z imported'!T54/'IO model'!$D$20)</f>
        <v>0.00046014789615347006</v>
      </c>
      <c r="U54" s="33">
        <f>IF('IO model'!$D$21=0,0,'Z imported'!U54/'IO model'!$D$21)</f>
        <v>0.0002436026156720129</v>
      </c>
      <c r="V54" s="33">
        <f>IF('IO model'!$D$22=0,0,'Z imported'!V54/'IO model'!$D$22)</f>
        <v>0.00022756506585059765</v>
      </c>
      <c r="W54" s="33">
        <f>IF('IO model'!$D$23=0,0,'Z imported'!W54/'IO model'!$D$23)</f>
        <v>0.0006467561058906472</v>
      </c>
      <c r="X54" s="33">
        <f>IF('IO model'!$D$24=0,0,'Z imported'!X54/'IO model'!$D$24)</f>
        <v>0.00047395531604997707</v>
      </c>
      <c r="Y54" s="33">
        <f>IF('IO model'!$D$25=0,0,'Z imported'!Y54/'IO model'!$D$25)</f>
        <v>0.0005145603550101513</v>
      </c>
      <c r="Z54" s="33">
        <f>IF('IO model'!$D$26=0,0,'Z imported'!Z54/'IO model'!$D$26)</f>
        <v>0.00015242134295257546</v>
      </c>
      <c r="AA54" s="33">
        <f>IF('IO model'!$D$27=0,0,'Z imported'!AA54/'IO model'!$D$27)</f>
        <v>0.0008923442282006434</v>
      </c>
      <c r="AB54" s="33">
        <f>IF('IO model'!$D$28=0,0,'Z imported'!AB54/'IO model'!$D$28)</f>
        <v>0.0007496143562673815</v>
      </c>
      <c r="AC54" s="33">
        <f>IF('IO model'!$D$29=0,0,'Z imported'!AC54/'IO model'!$D$29)</f>
        <v>0.00019048607800338928</v>
      </c>
      <c r="AD54" s="33">
        <f>IF('IO model'!$D$30=0,0,'Z imported'!AD54/'IO model'!$D$30)</f>
        <v>0.00045021350064504347</v>
      </c>
      <c r="AE54" s="33">
        <f>IF('IO model'!$D$31=0,0,'Z imported'!AE54/'IO model'!$D$31)</f>
        <v>0.00021487241673651293</v>
      </c>
      <c r="AF54" s="33">
        <f>IF('IO model'!$D$32=0,0,'Z imported'!AF54/'IO model'!$D$32)</f>
        <v>0.00021188438553037517</v>
      </c>
      <c r="AG54" s="33">
        <f>IF('IO model'!$D$33=0,0,'Z imported'!AG54/'IO model'!$D$33)</f>
        <v>0.0005751432936945076</v>
      </c>
      <c r="AH54" s="33">
        <f>IF('IO model'!$D$34=0,0,'Z imported'!AH54/'IO model'!$D$34)</f>
        <v>0.0010478442599632096</v>
      </c>
      <c r="AI54" s="33">
        <f>IF('IO model'!$D$35=0,0,'Z imported'!AI54/'IO model'!$D$35)</f>
        <v>0.007801106580325141</v>
      </c>
      <c r="AJ54" s="33">
        <f>IF('IO model'!$D$36=0,0,'Z imported'!AJ54/'IO model'!$D$36)</f>
        <v>0.0009967314442409093</v>
      </c>
      <c r="AK54" s="33">
        <f>IF('IO model'!$D$37=0,0,'Z imported'!AK54/'IO model'!$D$37)</f>
        <v>0.0004160277997944089</v>
      </c>
      <c r="AL54" s="33">
        <f>IF('IO model'!$D$38=0,0,'Z imported'!AL54/'IO model'!$D$38)</f>
        <v>0.00048195751811480945</v>
      </c>
      <c r="AM54" s="33">
        <f>IF('IO model'!$D$39=0,0,'Z imported'!AM54/'IO model'!$D$39)</f>
        <v>0.0004252219423559917</v>
      </c>
      <c r="AN54" s="33">
        <f>IF('IO model'!$D$40=0,0,'Z imported'!AN54/'IO model'!$D$40)</f>
        <v>0.0007741409121883154</v>
      </c>
      <c r="AO54" s="33">
        <f>IF('IO model'!$D$41=0,0,'Z imported'!AO54/'IO model'!$D$41)</f>
        <v>0.0004454733633645494</v>
      </c>
      <c r="AP54" s="33">
        <f>IF('IO model'!$D$42=0,0,'Z imported'!AP54/'IO model'!$D$42)</f>
        <v>0.00022180685222601544</v>
      </c>
      <c r="AQ54" s="33">
        <f>IF('IO model'!$D$43=0,0,'Z imported'!AQ54/'IO model'!$D$43)</f>
        <v>0.00011408771115963565</v>
      </c>
      <c r="AR54" s="33">
        <f>IF('IO model'!$D$44=0,0,'Z imported'!AR54/'IO model'!$D$44)</f>
        <v>0.00025125496621144155</v>
      </c>
      <c r="AS54" s="33">
        <f>IF('IO model'!$D$45=0,0,'Z imported'!AS54/'IO model'!$D$45)</f>
        <v>0.0002688577880424134</v>
      </c>
      <c r="AT54" s="33">
        <f>IF('IO model'!$D$46=0,0,'Z imported'!AT54/'IO model'!$D$46)</f>
        <v>0.00004822964481356325</v>
      </c>
      <c r="AU54" s="33">
        <f>IF('IO model'!$D$47=0,0,'Z imported'!AU54/'IO model'!$D$47)</f>
        <v>0.0003242641091926097</v>
      </c>
      <c r="AV54" s="33">
        <f>IF('IO model'!$D$48=0,0,'Z imported'!AV54/'IO model'!$D$48)</f>
        <v>0.0003195677606305899</v>
      </c>
      <c r="AW54" s="33">
        <f>IF('IO model'!$D$49=0,0,'Z imported'!AW54/'IO model'!$D$49)</f>
        <v>0.0005110540377544733</v>
      </c>
      <c r="AX54" s="33">
        <f>IF('IO model'!$D$50=0,0,'Z imported'!AX54/'IO model'!$D$50)</f>
        <v>0.0006695025931642394</v>
      </c>
      <c r="AY54" s="33">
        <f>IF('IO model'!$D$51=0,0,'Z imported'!AY54/'IO model'!$D$51)</f>
        <v>0.0006304713049527024</v>
      </c>
      <c r="AZ54" s="33">
        <f>IF('IO model'!$D$52=0,0,'Z imported'!AZ54/'IO model'!$D$52)</f>
        <v>0.000607973353396454</v>
      </c>
      <c r="BA54" s="33">
        <f>IF('IO model'!$D$53=0,0,'Z imported'!BA54/'IO model'!$D$53)</f>
        <v>0.0003134649513979034</v>
      </c>
      <c r="BB54" s="33">
        <f>IF('IO model'!$D$54=0,0,'Z imported'!BB54/'IO model'!$D$54)</f>
        <v>0.012868698586038774</v>
      </c>
      <c r="BC54" s="33">
        <f>IF('IO model'!$D$55=0,0,'Z imported'!BC54/'IO model'!$D$55)</f>
        <v>0.00023335251556832695</v>
      </c>
      <c r="BD54" s="33">
        <f>IF('IO model'!$D$56=0,0,'Z imported'!BD54/'IO model'!$D$56)</f>
        <v>0.00016873142231539883</v>
      </c>
      <c r="BE54" s="33">
        <f>IF('IO model'!$D$57=0,0,'Z imported'!BE54/'IO model'!$D$57)</f>
        <v>0.00015790905116465077</v>
      </c>
      <c r="BF54" s="33">
        <f>IF('IO model'!$D$58=0,0,'Z imported'!BF54/'IO model'!$D$58)</f>
        <v>0.00017748082473569233</v>
      </c>
      <c r="BG54" s="33">
        <f>IF('IO model'!$D$59=0,0,'Z imported'!BG54/'IO model'!$D$59)</f>
        <v>0.00020582347649130724</v>
      </c>
      <c r="BH54" s="33">
        <f>IF('IO model'!$D$60=0,0,'Z imported'!BH54/'IO model'!$D$60)</f>
        <v>0.0005599284967381873</v>
      </c>
      <c r="BI54" s="33">
        <f>IF('IO model'!$D$61=0,0,'Z imported'!BI54/'IO model'!$D$61)</f>
        <v>0.0008181644206161047</v>
      </c>
      <c r="BJ54" s="33">
        <f>IF('IO model'!$D$62=0,0,'Z imported'!BJ54/'IO model'!$D$62)</f>
        <v>0.0005411700429888</v>
      </c>
      <c r="BK54" s="33">
        <f>IF('IO model'!$D$63=0,0,'Z imported'!BK54/'IO model'!$D$63)</f>
        <v>0.0025964693016716136</v>
      </c>
      <c r="BL54" s="33">
        <f>IF('IO model'!$D$64=0,0,'Z imported'!BL54/'IO model'!$D$64)</f>
        <v>0.0005298618805482347</v>
      </c>
      <c r="BM54" s="33">
        <f>IF('IO model'!$D$65=0,0,'Z imported'!BM54/'IO model'!$D$65)</f>
        <v>0</v>
      </c>
      <c r="BN54" s="33">
        <f>IF('IO model'!$D$66=0,0,'Z imported'!BN54/'IO model'!$D$66)</f>
        <v>0</v>
      </c>
    </row>
    <row r="55" spans="1:66" x14ac:dyDescent="0.25">
      <c r="A55" s="30" t="s">
        <v>368</v>
      </c>
      <c r="B55" s="31" t="s">
        <v>369</v>
      </c>
      <c r="C55" s="33">
        <f>IF('IO model'!$D$3=0,0,'Z imported'!C55/'IO model'!$D$3)</f>
        <v>0.0007777128956319769</v>
      </c>
      <c r="D55" s="33">
        <f>IF('IO model'!$D$4=0,0,'Z imported'!D55/'IO model'!$D$4)</f>
        <v>0.0010040015948733468</v>
      </c>
      <c r="E55" s="33">
        <f>IF('IO model'!$D$5=0,0,'Z imported'!E55/'IO model'!$D$5)</f>
        <v>0.0011402276383035038</v>
      </c>
      <c r="F55" s="33">
        <f>IF('IO model'!$D$6=0,0,'Z imported'!F55/'IO model'!$D$6)</f>
        <v>0.0014038418809461284</v>
      </c>
      <c r="G55" s="33">
        <f>IF('IO model'!$D$7=0,0,'Z imported'!G55/'IO model'!$D$7)</f>
        <v>0.001561727414000141</v>
      </c>
      <c r="H55" s="33">
        <f>IF('IO model'!$D$8=0,0,'Z imported'!H55/'IO model'!$D$8)</f>
        <v>0.0017623788117535249</v>
      </c>
      <c r="I55" s="33">
        <f>IF('IO model'!$D$9=0,0,'Z imported'!I55/'IO model'!$D$9)</f>
        <v>0.001388363208035534</v>
      </c>
      <c r="J55" s="33">
        <f>IF('IO model'!$D$10=0,0,'Z imported'!J55/'IO model'!$D$10)</f>
        <v>0.0017041045112367332</v>
      </c>
      <c r="K55" s="33">
        <f>IF('IO model'!$D$11=0,0,'Z imported'!K55/'IO model'!$D$11)</f>
        <v>0.0024964422854104554</v>
      </c>
      <c r="L55" s="33">
        <f>IF('IO model'!$D$12=0,0,'Z imported'!L55/'IO model'!$D$12)</f>
        <v>0.0008598041644938907</v>
      </c>
      <c r="M55" s="33">
        <f>IF('IO model'!$D$13=0,0,'Z imported'!M55/'IO model'!$D$13)</f>
        <v>0.002804232429029439</v>
      </c>
      <c r="N55" s="33">
        <f>IF('IO model'!$D$14=0,0,'Z imported'!N55/'IO model'!$D$14)</f>
        <v>0.004226507427403916</v>
      </c>
      <c r="O55" s="33">
        <f>IF('IO model'!$D$15=0,0,'Z imported'!O55/'IO model'!$D$15)</f>
        <v>0.0017357748722693358</v>
      </c>
      <c r="P55" s="33">
        <f>IF('IO model'!$D$16=0,0,'Z imported'!P55/'IO model'!$D$16)</f>
        <v>0.0017870955896738233</v>
      </c>
      <c r="Q55" s="33">
        <f>IF('IO model'!$D$17=0,0,'Z imported'!Q55/'IO model'!$D$17)</f>
        <v>0.001633013087944311</v>
      </c>
      <c r="R55" s="33">
        <f>IF('IO model'!$D$18=0,0,'Z imported'!R55/'IO model'!$D$18)</f>
        <v>0.0015423079550612414</v>
      </c>
      <c r="S55" s="33">
        <f>IF('IO model'!$D$19=0,0,'Z imported'!S55/'IO model'!$D$19)</f>
        <v>0.0014471658095077365</v>
      </c>
      <c r="T55" s="33">
        <f>IF('IO model'!$D$20=0,0,'Z imported'!T55/'IO model'!$D$20)</f>
        <v>0.002021484468775735</v>
      </c>
      <c r="U55" s="33">
        <f>IF('IO model'!$D$21=0,0,'Z imported'!U55/'IO model'!$D$21)</f>
        <v>0.0018173387863198841</v>
      </c>
      <c r="V55" s="33">
        <f>IF('IO model'!$D$22=0,0,'Z imported'!V55/'IO model'!$D$22)</f>
        <v>0.0016112237241866884</v>
      </c>
      <c r="W55" s="33">
        <f>IF('IO model'!$D$23=0,0,'Z imported'!W55/'IO model'!$D$23)</f>
        <v>0.001831437403536235</v>
      </c>
      <c r="X55" s="33">
        <f>IF('IO model'!$D$24=0,0,'Z imported'!X55/'IO model'!$D$24)</f>
        <v>0.0025730023337031164</v>
      </c>
      <c r="Y55" s="33">
        <f>IF('IO model'!$D$25=0,0,'Z imported'!Y55/'IO model'!$D$25)</f>
        <v>0.0018303588987516335</v>
      </c>
      <c r="Z55" s="33">
        <f>IF('IO model'!$D$26=0,0,'Z imported'!Z55/'IO model'!$D$26)</f>
        <v>0.0017594976935445224</v>
      </c>
      <c r="AA55" s="33">
        <f>IF('IO model'!$D$27=0,0,'Z imported'!AA55/'IO model'!$D$27)</f>
        <v>0.0017191168357986839</v>
      </c>
      <c r="AB55" s="33">
        <f>IF('IO model'!$D$28=0,0,'Z imported'!AB55/'IO model'!$D$28)</f>
        <v>0.0025099524292458994</v>
      </c>
      <c r="AC55" s="33">
        <f>IF('IO model'!$D$29=0,0,'Z imported'!AC55/'IO model'!$D$29)</f>
        <v>0.0009337116282391243</v>
      </c>
      <c r="AD55" s="33">
        <f>IF('IO model'!$D$30=0,0,'Z imported'!AD55/'IO model'!$D$30)</f>
        <v>0.002076791309427136</v>
      </c>
      <c r="AE55" s="33">
        <f>IF('IO model'!$D$31=0,0,'Z imported'!AE55/'IO model'!$D$31)</f>
        <v>0.0019000350196080294</v>
      </c>
      <c r="AF55" s="33">
        <f>IF('IO model'!$D$32=0,0,'Z imported'!AF55/'IO model'!$D$32)</f>
        <v>0.0015608965091534494</v>
      </c>
      <c r="AG55" s="33">
        <f>IF('IO model'!$D$33=0,0,'Z imported'!AG55/'IO model'!$D$33)</f>
        <v>0.0014025674106533477</v>
      </c>
      <c r="AH55" s="33">
        <f>IF('IO model'!$D$34=0,0,'Z imported'!AH55/'IO model'!$D$34)</f>
        <v>0.0032006021028114584</v>
      </c>
      <c r="AI55" s="33">
        <f>IF('IO model'!$D$35=0,0,'Z imported'!AI55/'IO model'!$D$35)</f>
        <v>0.0037259299798487223</v>
      </c>
      <c r="AJ55" s="33">
        <f>IF('IO model'!$D$36=0,0,'Z imported'!AJ55/'IO model'!$D$36)</f>
        <v>0.0023328941130383875</v>
      </c>
      <c r="AK55" s="33">
        <f>IF('IO model'!$D$37=0,0,'Z imported'!AK55/'IO model'!$D$37)</f>
        <v>0.0026387653457841703</v>
      </c>
      <c r="AL55" s="33">
        <f>IF('IO model'!$D$38=0,0,'Z imported'!AL55/'IO model'!$D$38)</f>
        <v>0.0019120577366630541</v>
      </c>
      <c r="AM55" s="33">
        <f>IF('IO model'!$D$39=0,0,'Z imported'!AM55/'IO model'!$D$39)</f>
        <v>0.003566712849113542</v>
      </c>
      <c r="AN55" s="33">
        <f>IF('IO model'!$D$40=0,0,'Z imported'!AN55/'IO model'!$D$40)</f>
        <v>0.004682509514516301</v>
      </c>
      <c r="AO55" s="33">
        <f>IF('IO model'!$D$41=0,0,'Z imported'!AO55/'IO model'!$D$41)</f>
        <v>0.003216759091257571</v>
      </c>
      <c r="AP55" s="33">
        <f>IF('IO model'!$D$42=0,0,'Z imported'!AP55/'IO model'!$D$42)</f>
        <v>0.004833121414802946</v>
      </c>
      <c r="AQ55" s="33">
        <f>IF('IO model'!$D$43=0,0,'Z imported'!AQ55/'IO model'!$D$43)</f>
        <v>0.0017836990471638838</v>
      </c>
      <c r="AR55" s="33">
        <f>IF('IO model'!$D$44=0,0,'Z imported'!AR55/'IO model'!$D$44)</f>
        <v>0.0024843831827672997</v>
      </c>
      <c r="AS55" s="33">
        <f>IF('IO model'!$D$45=0,0,'Z imported'!AS55/'IO model'!$D$45)</f>
        <v>0.003129286225936907</v>
      </c>
      <c r="AT55" s="33">
        <f>IF('IO model'!$D$46=0,0,'Z imported'!AT55/'IO model'!$D$46)</f>
        <v>0.00039247644098038296</v>
      </c>
      <c r="AU55" s="33">
        <f>IF('IO model'!$D$47=0,0,'Z imported'!AU55/'IO model'!$D$47)</f>
        <v>0.004884068305524695</v>
      </c>
      <c r="AV55" s="33">
        <f>IF('IO model'!$D$48=0,0,'Z imported'!AV55/'IO model'!$D$48)</f>
        <v>0.002476259884188465</v>
      </c>
      <c r="AW55" s="33">
        <f>IF('IO model'!$D$49=0,0,'Z imported'!AW55/'IO model'!$D$49)</f>
        <v>0.0026293832046060824</v>
      </c>
      <c r="AX55" s="33">
        <f>IF('IO model'!$D$50=0,0,'Z imported'!AX55/'IO model'!$D$50)</f>
        <v>0.0046986803964891655</v>
      </c>
      <c r="AY55" s="33">
        <f>IF('IO model'!$D$51=0,0,'Z imported'!AY55/'IO model'!$D$51)</f>
        <v>0.003407986215660515</v>
      </c>
      <c r="AZ55" s="33">
        <f>IF('IO model'!$D$52=0,0,'Z imported'!AZ55/'IO model'!$D$52)</f>
        <v>0.006729505055406999</v>
      </c>
      <c r="BA55" s="33">
        <f>IF('IO model'!$D$53=0,0,'Z imported'!BA55/'IO model'!$D$53)</f>
        <v>0.0018910954054196802</v>
      </c>
      <c r="BB55" s="33">
        <f>IF('IO model'!$D$54=0,0,'Z imported'!BB55/'IO model'!$D$54)</f>
        <v>0.005325391386348966</v>
      </c>
      <c r="BC55" s="33">
        <f>IF('IO model'!$D$55=0,0,'Z imported'!BC55/'IO model'!$D$55)</f>
        <v>0.007696244920782387</v>
      </c>
      <c r="BD55" s="33">
        <f>IF('IO model'!$D$56=0,0,'Z imported'!BD55/'IO model'!$D$56)</f>
        <v>0.0017356922505917783</v>
      </c>
      <c r="BE55" s="33">
        <f>IF('IO model'!$D$57=0,0,'Z imported'!BE55/'IO model'!$D$57)</f>
        <v>0.00115439883145184</v>
      </c>
      <c r="BF55" s="33">
        <f>IF('IO model'!$D$58=0,0,'Z imported'!BF55/'IO model'!$D$58)</f>
        <v>0.0013029612029787439</v>
      </c>
      <c r="BG55" s="33">
        <f>IF('IO model'!$D$59=0,0,'Z imported'!BG55/'IO model'!$D$59)</f>
        <v>0.001498121952991836</v>
      </c>
      <c r="BH55" s="33">
        <f>IF('IO model'!$D$60=0,0,'Z imported'!BH55/'IO model'!$D$60)</f>
        <v>0.002597579433036392</v>
      </c>
      <c r="BI55" s="33">
        <f>IF('IO model'!$D$61=0,0,'Z imported'!BI55/'IO model'!$D$61)</f>
        <v>0.002002688588947289</v>
      </c>
      <c r="BJ55" s="33">
        <f>IF('IO model'!$D$62=0,0,'Z imported'!BJ55/'IO model'!$D$62)</f>
        <v>0.002096243152703694</v>
      </c>
      <c r="BK55" s="33">
        <f>IF('IO model'!$D$63=0,0,'Z imported'!BK55/'IO model'!$D$63)</f>
        <v>0.003402593344789877</v>
      </c>
      <c r="BL55" s="33">
        <f>IF('IO model'!$D$64=0,0,'Z imported'!BL55/'IO model'!$D$64)</f>
        <v>0.001687177819843778</v>
      </c>
      <c r="BM55" s="33">
        <f>IF('IO model'!$D$65=0,0,'Z imported'!BM55/'IO model'!$D$65)</f>
        <v>0</v>
      </c>
      <c r="BN55" s="33">
        <f>IF('IO model'!$D$66=0,0,'Z imported'!BN55/'IO model'!$D$66)</f>
        <v>0</v>
      </c>
    </row>
    <row r="56" spans="1:66" x14ac:dyDescent="0.25">
      <c r="A56" s="30" t="s">
        <v>370</v>
      </c>
      <c r="B56" s="31" t="s">
        <v>371</v>
      </c>
      <c r="C56" s="33">
        <f>IF('IO model'!$D$3=0,0,'Z imported'!C56/'IO model'!$D$3)</f>
        <v>0.00006092520776106844</v>
      </c>
      <c r="D56" s="33">
        <f>IF('IO model'!$D$4=0,0,'Z imported'!D56/'IO model'!$D$4)</f>
        <v>0.00006405113842892165</v>
      </c>
      <c r="E56" s="33">
        <f>IF('IO model'!$D$5=0,0,'Z imported'!E56/'IO model'!$D$5)</f>
        <v>0.00028505690957587605</v>
      </c>
      <c r="F56" s="33">
        <f>IF('IO model'!$D$6=0,0,'Z imported'!F56/'IO model'!$D$6)</f>
        <v>0.00009089623689579251</v>
      </c>
      <c r="G56" s="33">
        <f>IF('IO model'!$D$7=0,0,'Z imported'!G56/'IO model'!$D$7)</f>
        <v>0.00007438899484354028</v>
      </c>
      <c r="H56" s="33">
        <f>IF('IO model'!$D$8=0,0,'Z imported'!H56/'IO model'!$D$8)</f>
        <v>0.00007861096618586618</v>
      </c>
      <c r="I56" s="33">
        <f>IF('IO model'!$D$9=0,0,'Z imported'!I56/'IO model'!$D$9)</f>
        <v>0.00012050585302019917</v>
      </c>
      <c r="J56" s="33">
        <f>IF('IO model'!$D$10=0,0,'Z imported'!J56/'IO model'!$D$10)</f>
        <v>0.00011611761862939067</v>
      </c>
      <c r="K56" s="33">
        <f>IF('IO model'!$D$11=0,0,'Z imported'!K56/'IO model'!$D$11)</f>
        <v>0.00019050299900057004</v>
      </c>
      <c r="L56" s="33">
        <f>IF('IO model'!$D$12=0,0,'Z imported'!L56/'IO model'!$D$12)</f>
        <v>0.00036423662853906963</v>
      </c>
      <c r="M56" s="33">
        <f>IF('IO model'!$D$13=0,0,'Z imported'!M56/'IO model'!$D$13)</f>
        <v>0.00014088135945784314</v>
      </c>
      <c r="N56" s="33">
        <f>IF('IO model'!$D$14=0,0,'Z imported'!N56/'IO model'!$D$14)</f>
        <v>0.00023251846018955644</v>
      </c>
      <c r="O56" s="33">
        <f>IF('IO model'!$D$15=0,0,'Z imported'!O56/'IO model'!$D$15)</f>
        <v>0.00011771765644326193</v>
      </c>
      <c r="P56" s="33">
        <f>IF('IO model'!$D$16=0,0,'Z imported'!P56/'IO model'!$D$16)</f>
        <v>0.0000978199691189882</v>
      </c>
      <c r="Q56" s="33">
        <f>IF('IO model'!$D$17=0,0,'Z imported'!Q56/'IO model'!$D$17)</f>
        <v>0.00017681041949762005</v>
      </c>
      <c r="R56" s="33">
        <f>IF('IO model'!$D$18=0,0,'Z imported'!R56/'IO model'!$D$18)</f>
        <v>0.00006927586561633999</v>
      </c>
      <c r="S56" s="33">
        <f>IF('IO model'!$D$19=0,0,'Z imported'!S56/'IO model'!$D$19)</f>
        <v>0.00010825658137460838</v>
      </c>
      <c r="T56" s="33">
        <f>IF('IO model'!$D$20=0,0,'Z imported'!T56/'IO model'!$D$20)</f>
        <v>0.00007033281435848301</v>
      </c>
      <c r="U56" s="33">
        <f>IF('IO model'!$D$21=0,0,'Z imported'!U56/'IO model'!$D$21)</f>
        <v>0.00004960635082775535</v>
      </c>
      <c r="V56" s="33">
        <f>IF('IO model'!$D$22=0,0,'Z imported'!V56/'IO model'!$D$22)</f>
        <v>0.000048777190153795586</v>
      </c>
      <c r="W56" s="33">
        <f>IF('IO model'!$D$23=0,0,'Z imported'!W56/'IO model'!$D$23)</f>
        <v>0.00008061549195237528</v>
      </c>
      <c r="X56" s="33">
        <f>IF('IO model'!$D$24=0,0,'Z imported'!X56/'IO model'!$D$24)</f>
        <v>0.00010464876232301678</v>
      </c>
      <c r="Y56" s="33">
        <f>IF('IO model'!$D$25=0,0,'Z imported'!Y56/'IO model'!$D$25)</f>
        <v>0.00006690501069871943</v>
      </c>
      <c r="Z56" s="33">
        <f>IF('IO model'!$D$26=0,0,'Z imported'!Z56/'IO model'!$D$26)</f>
        <v>0.0001475102862083507</v>
      </c>
      <c r="AA56" s="33">
        <f>IF('IO model'!$D$27=0,0,'Z imported'!AA56/'IO model'!$D$27)</f>
        <v>0.00011973948110040584</v>
      </c>
      <c r="AB56" s="33">
        <f>IF('IO model'!$D$28=0,0,'Z imported'!AB56/'IO model'!$D$28)</f>
        <v>0.00016375237888172263</v>
      </c>
      <c r="AC56" s="33">
        <f>IF('IO model'!$D$29=0,0,'Z imported'!AC56/'IO model'!$D$29)</f>
        <v>0.00005087874897319964</v>
      </c>
      <c r="AD56" s="33">
        <f>IF('IO model'!$D$30=0,0,'Z imported'!AD56/'IO model'!$D$30)</f>
        <v>0.00005341516109347973</v>
      </c>
      <c r="AE56" s="33">
        <f>IF('IO model'!$D$31=0,0,'Z imported'!AE56/'IO model'!$D$31)</f>
        <v>0.00005821470809919786</v>
      </c>
      <c r="AF56" s="33">
        <f>IF('IO model'!$D$32=0,0,'Z imported'!AF56/'IO model'!$D$32)</f>
        <v>0.00004086023097806813</v>
      </c>
      <c r="AG56" s="33">
        <f>IF('IO model'!$D$33=0,0,'Z imported'!AG56/'IO model'!$D$33)</f>
        <v>0.0000652718351772195</v>
      </c>
      <c r="AH56" s="33">
        <f>IF('IO model'!$D$34=0,0,'Z imported'!AH56/'IO model'!$D$34)</f>
        <v>0.00026003014804983825</v>
      </c>
      <c r="AI56" s="33">
        <f>IF('IO model'!$D$35=0,0,'Z imported'!AI56/'IO model'!$D$35)</f>
        <v>0.0001714598445472922</v>
      </c>
      <c r="AJ56" s="33">
        <f>IF('IO model'!$D$36=0,0,'Z imported'!AJ56/'IO model'!$D$36)</f>
        <v>0.00009097869707376897</v>
      </c>
      <c r="AK56" s="33">
        <f>IF('IO model'!$D$37=0,0,'Z imported'!AK56/'IO model'!$D$37)</f>
        <v>0.00007545262924723888</v>
      </c>
      <c r="AL56" s="33">
        <f>IF('IO model'!$D$38=0,0,'Z imported'!AL56/'IO model'!$D$38)</f>
        <v>0.00004461317839491924</v>
      </c>
      <c r="AM56" s="33">
        <f>IF('IO model'!$D$39=0,0,'Z imported'!AM56/'IO model'!$D$39)</f>
        <v>0.0002977909245617413</v>
      </c>
      <c r="AN56" s="33">
        <f>IF('IO model'!$D$40=0,0,'Z imported'!AN56/'IO model'!$D$40)</f>
        <v>0.0001419644636872285</v>
      </c>
      <c r="AO56" s="33">
        <f>IF('IO model'!$D$41=0,0,'Z imported'!AO56/'IO model'!$D$41)</f>
        <v>0.00012138713551915365</v>
      </c>
      <c r="AP56" s="33">
        <f>IF('IO model'!$D$42=0,0,'Z imported'!AP56/'IO model'!$D$42)</f>
        <v>0.00023323738939594508</v>
      </c>
      <c r="AQ56" s="33">
        <f>IF('IO model'!$D$43=0,0,'Z imported'!AQ56/'IO model'!$D$43)</f>
        <v>0.000034513929426444397</v>
      </c>
      <c r="AR56" s="33">
        <f>IF('IO model'!$D$44=0,0,'Z imported'!AR56/'IO model'!$D$44)</f>
        <v>0.00027144509742486097</v>
      </c>
      <c r="AS56" s="33">
        <f>IF('IO model'!$D$45=0,0,'Z imported'!AS56/'IO model'!$D$45)</f>
        <v>0.00010054060652004229</v>
      </c>
      <c r="AT56" s="33">
        <f>IF('IO model'!$D$46=0,0,'Z imported'!AT56/'IO model'!$D$46)</f>
        <v>0.000010290887831409268</v>
      </c>
      <c r="AU56" s="33">
        <f>IF('IO model'!$D$47=0,0,'Z imported'!AU56/'IO model'!$D$47)</f>
        <v>0.00010855836780421608</v>
      </c>
      <c r="AV56" s="33">
        <f>IF('IO model'!$D$48=0,0,'Z imported'!AV56/'IO model'!$D$48)</f>
        <v>0.00007626809081344156</v>
      </c>
      <c r="AW56" s="33">
        <f>IF('IO model'!$D$49=0,0,'Z imported'!AW56/'IO model'!$D$49)</f>
        <v>0.0002516584823364658</v>
      </c>
      <c r="AX56" s="33">
        <f>IF('IO model'!$D$50=0,0,'Z imported'!AX56/'IO model'!$D$50)</f>
        <v>0.00011988497991781796</v>
      </c>
      <c r="AY56" s="33">
        <f>IF('IO model'!$D$51=0,0,'Z imported'!AY56/'IO model'!$D$51)</f>
        <v>0.00009709012298491908</v>
      </c>
      <c r="AZ56" s="33">
        <f>IF('IO model'!$D$52=0,0,'Z imported'!AZ56/'IO model'!$D$52)</f>
        <v>0.00009011033630697443</v>
      </c>
      <c r="BA56" s="33">
        <f>IF('IO model'!$D$53=0,0,'Z imported'!BA56/'IO model'!$D$53)</f>
        <v>0.00004336980834409348</v>
      </c>
      <c r="BB56" s="33">
        <f>IF('IO model'!$D$54=0,0,'Z imported'!BB56/'IO model'!$D$54)</f>
        <v>0.00012286296232175893</v>
      </c>
      <c r="BC56" s="33">
        <f>IF('IO model'!$D$55=0,0,'Z imported'!BC56/'IO model'!$D$55)</f>
        <v>0.00008901560029738733</v>
      </c>
      <c r="BD56" s="33">
        <f>IF('IO model'!$D$56=0,0,'Z imported'!BD56/'IO model'!$D$56)</f>
        <v>0.0001142974403638139</v>
      </c>
      <c r="BE56" s="33">
        <f>IF('IO model'!$D$57=0,0,'Z imported'!BE56/'IO model'!$D$57)</f>
        <v>0.00003039563895657597</v>
      </c>
      <c r="BF56" s="33">
        <f>IF('IO model'!$D$58=0,0,'Z imported'!BF56/'IO model'!$D$58)</f>
        <v>0.00008977691314123518</v>
      </c>
      <c r="BG56" s="33">
        <f>IF('IO model'!$D$59=0,0,'Z imported'!BG56/'IO model'!$D$59)</f>
        <v>0.00004758284671573232</v>
      </c>
      <c r="BH56" s="33">
        <f>IF('IO model'!$D$60=0,0,'Z imported'!BH56/'IO model'!$D$60)</f>
        <v>0.0001182701657178868</v>
      </c>
      <c r="BI56" s="33">
        <f>IF('IO model'!$D$61=0,0,'Z imported'!BI56/'IO model'!$D$61)</f>
        <v>0.00007549585855470493</v>
      </c>
      <c r="BJ56" s="33">
        <f>IF('IO model'!$D$62=0,0,'Z imported'!BJ56/'IO model'!$D$62)</f>
        <v>0.0000770635342832085</v>
      </c>
      <c r="BK56" s="33">
        <f>IF('IO model'!$D$63=0,0,'Z imported'!BK56/'IO model'!$D$63)</f>
        <v>0.00018434619590688956</v>
      </c>
      <c r="BL56" s="33">
        <f>IF('IO model'!$D$64=0,0,'Z imported'!BL56/'IO model'!$D$64)</f>
        <v>0.00005834315001031613</v>
      </c>
      <c r="BM56" s="33">
        <f>IF('IO model'!$D$65=0,0,'Z imported'!BM56/'IO model'!$D$65)</f>
        <v>0</v>
      </c>
      <c r="BN56" s="33">
        <f>IF('IO model'!$D$66=0,0,'Z imported'!BN56/'IO model'!$D$66)</f>
        <v>0</v>
      </c>
    </row>
    <row r="57" spans="1:66" x14ac:dyDescent="0.25">
      <c r="A57" s="30" t="s">
        <v>373</v>
      </c>
      <c r="B57" s="31" t="s">
        <v>374</v>
      </c>
      <c r="C57" s="33">
        <f>IF('IO model'!$D$3=0,0,'Z imported'!C57/'IO model'!$D$3)</f>
        <v>0.00002967703529908778</v>
      </c>
      <c r="D57" s="33">
        <f>IF('IO model'!$D$4=0,0,'Z imported'!D57/'IO model'!$D$4)</f>
        <v>0.000054443467664583403</v>
      </c>
      <c r="E57" s="33">
        <f>IF('IO model'!$D$5=0,0,'Z imported'!E57/'IO model'!$D$5)</f>
        <v>0.0004207982950881979</v>
      </c>
      <c r="F57" s="33">
        <f>IF('IO model'!$D$6=0,0,'Z imported'!F57/'IO model'!$D$6)</f>
        <v>0.00007345150456225658</v>
      </c>
      <c r="G57" s="33">
        <f>IF('IO model'!$D$7=0,0,'Z imported'!G57/'IO model'!$D$7)</f>
        <v>0.000033993783993784</v>
      </c>
      <c r="H57" s="33">
        <f>IF('IO model'!$D$8=0,0,'Z imported'!H57/'IO model'!$D$8)</f>
        <v>0.00006411844169349981</v>
      </c>
      <c r="I57" s="33">
        <f>IF('IO model'!$D$9=0,0,'Z imported'!I57/'IO model'!$D$9)</f>
        <v>0.00006336457999184181</v>
      </c>
      <c r="J57" s="33">
        <f>IF('IO model'!$D$10=0,0,'Z imported'!J57/'IO model'!$D$10)</f>
        <v>0.00009594274280575137</v>
      </c>
      <c r="K57" s="33">
        <f>IF('IO model'!$D$11=0,0,'Z imported'!K57/'IO model'!$D$11)</f>
        <v>0.00017770802145575563</v>
      </c>
      <c r="L57" s="33">
        <f>IF('IO model'!$D$12=0,0,'Z imported'!L57/'IO model'!$D$12)</f>
        <v>0.000027919297800271593</v>
      </c>
      <c r="M57" s="33">
        <f>IF('IO model'!$D$13=0,0,'Z imported'!M57/'IO model'!$D$13)</f>
        <v>0.00007264687551461488</v>
      </c>
      <c r="N57" s="33">
        <f>IF('IO model'!$D$14=0,0,'Z imported'!N57/'IO model'!$D$14)</f>
        <v>0.0002782686201805571</v>
      </c>
      <c r="O57" s="33">
        <f>IF('IO model'!$D$15=0,0,'Z imported'!O57/'IO model'!$D$15)</f>
        <v>0.0001334133439690302</v>
      </c>
      <c r="P57" s="33">
        <f>IF('IO model'!$D$16=0,0,'Z imported'!P57/'IO model'!$D$16)</f>
        <v>0.00007637482204290235</v>
      </c>
      <c r="Q57" s="33">
        <f>IF('IO model'!$D$17=0,0,'Z imported'!Q57/'IO model'!$D$17)</f>
        <v>0.00003794470800454543</v>
      </c>
      <c r="R57" s="33">
        <f>IF('IO model'!$D$18=0,0,'Z imported'!R57/'IO model'!$D$18)</f>
        <v>0.00005343681089112604</v>
      </c>
      <c r="S57" s="33">
        <f>IF('IO model'!$D$19=0,0,'Z imported'!S57/'IO model'!$D$19)</f>
        <v>0.00012689509656410466</v>
      </c>
      <c r="T57" s="33">
        <f>IF('IO model'!$D$20=0,0,'Z imported'!T57/'IO model'!$D$20)</f>
        <v>0.00007682108136572318</v>
      </c>
      <c r="U57" s="33">
        <f>IF('IO model'!$D$21=0,0,'Z imported'!U57/'IO model'!$D$21)</f>
        <v>0.000055554051054552564</v>
      </c>
      <c r="V57" s="33">
        <f>IF('IO model'!$D$22=0,0,'Z imported'!V57/'IO model'!$D$22)</f>
        <v>0.000052764679082718035</v>
      </c>
      <c r="W57" s="33">
        <f>IF('IO model'!$D$23=0,0,'Z imported'!W57/'IO model'!$D$23)</f>
        <v>0.00008171479411536224</v>
      </c>
      <c r="X57" s="33">
        <f>IF('IO model'!$D$24=0,0,'Z imported'!X57/'IO model'!$D$24)</f>
        <v>0.00006964678721156409</v>
      </c>
      <c r="Y57" s="33">
        <f>IF('IO model'!$D$25=0,0,'Z imported'!Y57/'IO model'!$D$25)</f>
        <v>0.00008312440723174235</v>
      </c>
      <c r="Z57" s="33">
        <f>IF('IO model'!$D$26=0,0,'Z imported'!Z57/'IO model'!$D$26)</f>
        <v>0.00002839483717569948</v>
      </c>
      <c r="AA57" s="33">
        <f>IF('IO model'!$D$27=0,0,'Z imported'!AA57/'IO model'!$D$27)</f>
        <v>0.00011546307106110561</v>
      </c>
      <c r="AB57" s="33">
        <f>IF('IO model'!$D$28=0,0,'Z imported'!AB57/'IO model'!$D$28)</f>
        <v>0.00007224369656546588</v>
      </c>
      <c r="AC57" s="33">
        <f>IF('IO model'!$D$29=0,0,'Z imported'!AC57/'IO model'!$D$29)</f>
        <v>0.00002160491447484329</v>
      </c>
      <c r="AD57" s="33">
        <f>IF('IO model'!$D$30=0,0,'Z imported'!AD57/'IO model'!$D$30)</f>
        <v>0.00006203050965694423</v>
      </c>
      <c r="AE57" s="33">
        <f>IF('IO model'!$D$31=0,0,'Z imported'!AE57/'IO model'!$D$31)</f>
        <v>0.000054186204907148086</v>
      </c>
      <c r="AF57" s="33">
        <f>IF('IO model'!$D$32=0,0,'Z imported'!AF57/'IO model'!$D$32)</f>
        <v>0.000029886850169547668</v>
      </c>
      <c r="AG57" s="33">
        <f>IF('IO model'!$D$33=0,0,'Z imported'!AG57/'IO model'!$D$33)</f>
        <v>0.000035096562168703364</v>
      </c>
      <c r="AH57" s="33">
        <f>IF('IO model'!$D$34=0,0,'Z imported'!AH57/'IO model'!$D$34)</f>
        <v>0.00010040768093013558</v>
      </c>
      <c r="AI57" s="33">
        <f>IF('IO model'!$D$35=0,0,'Z imported'!AI57/'IO model'!$D$35)</f>
        <v>0.0001626021404009377</v>
      </c>
      <c r="AJ57" s="33">
        <f>IF('IO model'!$D$36=0,0,'Z imported'!AJ57/'IO model'!$D$36)</f>
        <v>0.00005606179651487599</v>
      </c>
      <c r="AK57" s="33">
        <f>IF('IO model'!$D$37=0,0,'Z imported'!AK57/'IO model'!$D$37)</f>
        <v>0.0000747604032908422</v>
      </c>
      <c r="AL57" s="33">
        <f>IF('IO model'!$D$38=0,0,'Z imported'!AL57/'IO model'!$D$38)</f>
        <v>0.000027714247184722576</v>
      </c>
      <c r="AM57" s="33">
        <f>IF('IO model'!$D$39=0,0,'Z imported'!AM57/'IO model'!$D$39)</f>
        <v>0.0001563515324709598</v>
      </c>
      <c r="AN57" s="33">
        <f>IF('IO model'!$D$40=0,0,'Z imported'!AN57/'IO model'!$D$40)</f>
        <v>0.0000851786782123371</v>
      </c>
      <c r="AO57" s="33">
        <f>IF('IO model'!$D$41=0,0,'Z imported'!AO57/'IO model'!$D$41)</f>
        <v>0.00009467034971111028</v>
      </c>
      <c r="AP57" s="33">
        <f>IF('IO model'!$D$42=0,0,'Z imported'!AP57/'IO model'!$D$42)</f>
        <v>0.00017082302770617054</v>
      </c>
      <c r="AQ57" s="33">
        <f>IF('IO model'!$D$43=0,0,'Z imported'!AQ57/'IO model'!$D$43)</f>
        <v>0.00003894801063748067</v>
      </c>
      <c r="AR57" s="33">
        <f>IF('IO model'!$D$44=0,0,'Z imported'!AR57/'IO model'!$D$44)</f>
        <v>0.00006854674177395479</v>
      </c>
      <c r="AS57" s="33">
        <f>IF('IO model'!$D$45=0,0,'Z imported'!AS57/'IO model'!$D$45)</f>
        <v>0.0001018254705011291</v>
      </c>
      <c r="AT57" s="33">
        <f>IF('IO model'!$D$46=0,0,'Z imported'!AT57/'IO model'!$D$46)</f>
        <v>0.000006022777670916945</v>
      </c>
      <c r="AU57" s="33">
        <f>IF('IO model'!$D$47=0,0,'Z imported'!AU57/'IO model'!$D$47)</f>
        <v>0.00010670643789041547</v>
      </c>
      <c r="AV57" s="33">
        <f>IF('IO model'!$D$48=0,0,'Z imported'!AV57/'IO model'!$D$48)</f>
        <v>0.00008162023753719187</v>
      </c>
      <c r="AW57" s="33">
        <f>IF('IO model'!$D$49=0,0,'Z imported'!AW57/'IO model'!$D$49)</f>
        <v>0.0006311822777047279</v>
      </c>
      <c r="AX57" s="33">
        <f>IF('IO model'!$D$50=0,0,'Z imported'!AX57/'IO model'!$D$50)</f>
        <v>0.00008629401936113465</v>
      </c>
      <c r="AY57" s="33">
        <f>IF('IO model'!$D$51=0,0,'Z imported'!AY57/'IO model'!$D$51)</f>
        <v>0.00012412787875287125</v>
      </c>
      <c r="AZ57" s="33">
        <f>IF('IO model'!$D$52=0,0,'Z imported'!AZ57/'IO model'!$D$52)</f>
        <v>0.0000480407515853448</v>
      </c>
      <c r="BA57" s="33">
        <f>IF('IO model'!$D$53=0,0,'Z imported'!BA57/'IO model'!$D$53)</f>
        <v>0.000059687161978504895</v>
      </c>
      <c r="BB57" s="33">
        <f>IF('IO model'!$D$54=0,0,'Z imported'!BB57/'IO model'!$D$54)</f>
        <v>0.00009573737323773424</v>
      </c>
      <c r="BC57" s="33">
        <f>IF('IO model'!$D$55=0,0,'Z imported'!BC57/'IO model'!$D$55)</f>
        <v>0.00005046306918267382</v>
      </c>
      <c r="BD57" s="33">
        <f>IF('IO model'!$D$56=0,0,'Z imported'!BD57/'IO model'!$D$56)</f>
        <v>0.0001004453145219144</v>
      </c>
      <c r="BE57" s="33">
        <f>IF('IO model'!$D$57=0,0,'Z imported'!BE57/'IO model'!$D$57)</f>
        <v>0.00029611918648984805</v>
      </c>
      <c r="BF57" s="33">
        <f>IF('IO model'!$D$58=0,0,'Z imported'!BF57/'IO model'!$D$58)</f>
        <v>0.00007207666916489927</v>
      </c>
      <c r="BG57" s="33">
        <f>IF('IO model'!$D$59=0,0,'Z imported'!BG57/'IO model'!$D$59)</f>
        <v>0.00010623147173744894</v>
      </c>
      <c r="BH57" s="33">
        <f>IF('IO model'!$D$60=0,0,'Z imported'!BH57/'IO model'!$D$60)</f>
        <v>0.00009688552320801063</v>
      </c>
      <c r="BI57" s="33">
        <f>IF('IO model'!$D$61=0,0,'Z imported'!BI57/'IO model'!$D$61)</f>
        <v>0.00007491061934110257</v>
      </c>
      <c r="BJ57" s="33">
        <f>IF('IO model'!$D$62=0,0,'Z imported'!BJ57/'IO model'!$D$62)</f>
        <v>0.00029617701608845073</v>
      </c>
      <c r="BK57" s="33">
        <f>IF('IO model'!$D$63=0,0,'Z imported'!BK57/'IO model'!$D$63)</f>
        <v>0.0002499609436025621</v>
      </c>
      <c r="BL57" s="33">
        <f>IF('IO model'!$D$64=0,0,'Z imported'!BL57/'IO model'!$D$64)</f>
        <v>0.00008115001774162153</v>
      </c>
      <c r="BM57" s="33">
        <f>IF('IO model'!$D$65=0,0,'Z imported'!BM57/'IO model'!$D$65)</f>
        <v>0</v>
      </c>
      <c r="BN57" s="33">
        <f>IF('IO model'!$D$66=0,0,'Z imported'!BN57/'IO model'!$D$66)</f>
        <v>0</v>
      </c>
    </row>
    <row r="58" spans="1:66" x14ac:dyDescent="0.25">
      <c r="A58" s="30" t="s">
        <v>376</v>
      </c>
      <c r="B58" s="31" t="s">
        <v>377</v>
      </c>
      <c r="C58" s="33">
        <f>IF('IO model'!$D$3=0,0,'Z imported'!C58/'IO model'!$D$3)</f>
        <v>0.00001763165038357568</v>
      </c>
      <c r="D58" s="33">
        <f>IF('IO model'!$D$4=0,0,'Z imported'!D58/'IO model'!$D$4)</f>
        <v>0.00002401917691084562</v>
      </c>
      <c r="E58" s="33">
        <f>IF('IO model'!$D$5=0,0,'Z imported'!E58/'IO model'!$D$5)</f>
        <v>0.00009501896985862534</v>
      </c>
      <c r="F58" s="33">
        <f>IF('IO model'!$D$6=0,0,'Z imported'!F58/'IO model'!$D$6)</f>
        <v>0.00010925911303635666</v>
      </c>
      <c r="G58" s="33">
        <f>IF('IO model'!$D$7=0,0,'Z imported'!G58/'IO model'!$D$7)</f>
        <v>0.00003171281580372489</v>
      </c>
      <c r="H58" s="33">
        <f>IF('IO model'!$D$8=0,0,'Z imported'!H58/'IO model'!$D$8)</f>
        <v>0.000042160071250520406</v>
      </c>
      <c r="I58" s="33">
        <f>IF('IO model'!$D$9=0,0,'Z imported'!I58/'IO model'!$D$9)</f>
        <v>0.00004130012803039689</v>
      </c>
      <c r="J58" s="33">
        <f>IF('IO model'!$D$10=0,0,'Z imported'!J58/'IO model'!$D$10)</f>
        <v>0.00003900475992570266</v>
      </c>
      <c r="K58" s="33">
        <f>IF('IO model'!$D$11=0,0,'Z imported'!K58/'IO model'!$D$11)</f>
        <v>0.00006397488772407203</v>
      </c>
      <c r="L58" s="33">
        <f>IF('IO model'!$D$12=0,0,'Z imported'!L58/'IO model'!$D$12)</f>
        <v>0.00004261366506357244</v>
      </c>
      <c r="M58" s="33">
        <f>IF('IO model'!$D$13=0,0,'Z imported'!M58/'IO model'!$D$13)</f>
        <v>0.00003829325542310501</v>
      </c>
      <c r="N58" s="33">
        <f>IF('IO model'!$D$14=0,0,'Z imported'!N58/'IO model'!$D$14)</f>
        <v>0.00012836956656298433</v>
      </c>
      <c r="O58" s="33">
        <f>IF('IO model'!$D$15=0,0,'Z imported'!O58/'IO model'!$D$15)</f>
        <v>0.00006110106929674072</v>
      </c>
      <c r="P58" s="33">
        <f>IF('IO model'!$D$16=0,0,'Z imported'!P58/'IO model'!$D$16)</f>
        <v>0.00004251406350171411</v>
      </c>
      <c r="Q58" s="33">
        <f>IF('IO model'!$D$17=0,0,'Z imported'!Q58/'IO model'!$D$17)</f>
        <v>0.000024236933908662528</v>
      </c>
      <c r="R58" s="33">
        <f>IF('IO model'!$D$18=0,0,'Z imported'!R58/'IO model'!$D$18)</f>
        <v>0.000029758224029189933</v>
      </c>
      <c r="S58" s="33">
        <f>IF('IO model'!$D$19=0,0,'Z imported'!S58/'IO model'!$D$19)</f>
        <v>0.000057192156197906325</v>
      </c>
      <c r="T58" s="33">
        <f>IF('IO model'!$D$20=0,0,'Z imported'!T58/'IO model'!$D$20)</f>
        <v>0.0000446392770098121</v>
      </c>
      <c r="U58" s="33">
        <f>IF('IO model'!$D$21=0,0,'Z imported'!U58/'IO model'!$D$21)</f>
        <v>0.00004150735477424428</v>
      </c>
      <c r="V58" s="33">
        <f>IF('IO model'!$D$22=0,0,'Z imported'!V58/'IO model'!$D$22)</f>
        <v>0.00003672199106635561</v>
      </c>
      <c r="W58" s="33">
        <f>IF('IO model'!$D$23=0,0,'Z imported'!W58/'IO model'!$D$23)</f>
        <v>0.00003774270759588479</v>
      </c>
      <c r="X58" s="33">
        <f>IF('IO model'!$D$24=0,0,'Z imported'!X58/'IO model'!$D$24)</f>
        <v>0.000047502680508400105</v>
      </c>
      <c r="Y58" s="33">
        <f>IF('IO model'!$D$25=0,0,'Z imported'!Y58/'IO model'!$D$25)</f>
        <v>0.0000409539762458828</v>
      </c>
      <c r="Z58" s="33">
        <f>IF('IO model'!$D$26=0,0,'Z imported'!Z58/'IO model'!$D$26)</f>
        <v>0.000014733170232674256</v>
      </c>
      <c r="AA58" s="33">
        <f>IF('IO model'!$D$27=0,0,'Z imported'!AA58/'IO model'!$D$27)</f>
        <v>0.000031360340288201525</v>
      </c>
      <c r="AB58" s="33">
        <f>IF('IO model'!$D$28=0,0,'Z imported'!AB58/'IO model'!$D$28)</f>
        <v>0.00004953853478774802</v>
      </c>
      <c r="AC58" s="33">
        <f>IF('IO model'!$D$29=0,0,'Z imported'!AC58/'IO model'!$D$29)</f>
        <v>0.000021481222216399534</v>
      </c>
      <c r="AD58" s="33">
        <f>IF('IO model'!$D$30=0,0,'Z imported'!AD58/'IO model'!$D$30)</f>
        <v>0.000034953699886055865</v>
      </c>
      <c r="AE58" s="33">
        <f>IF('IO model'!$D$31=0,0,'Z imported'!AE58/'IO model'!$D$31)</f>
        <v>0.000035689133912666136</v>
      </c>
      <c r="AF58" s="33">
        <f>IF('IO model'!$D$32=0,0,'Z imported'!AF58/'IO model'!$D$32)</f>
        <v>0.000022125190573277068</v>
      </c>
      <c r="AG58" s="33">
        <f>IF('IO model'!$D$33=0,0,'Z imported'!AG58/'IO model'!$D$33)</f>
        <v>0.000024476938191457317</v>
      </c>
      <c r="AH58" s="33">
        <f>IF('IO model'!$D$34=0,0,'Z imported'!AH58/'IO model'!$D$34)</f>
        <v>0.00006779663926051888</v>
      </c>
      <c r="AI58" s="33">
        <f>IF('IO model'!$D$35=0,0,'Z imported'!AI58/'IO model'!$D$35)</f>
        <v>0.000060738542717859965</v>
      </c>
      <c r="AJ58" s="33">
        <f>IF('IO model'!$D$36=0,0,'Z imported'!AJ58/'IO model'!$D$36)</f>
        <v>0.000028517787309056018</v>
      </c>
      <c r="AK58" s="33">
        <f>IF('IO model'!$D$37=0,0,'Z imported'!AK58/'IO model'!$D$37)</f>
        <v>0.0000636847879884952</v>
      </c>
      <c r="AL58" s="33">
        <f>IF('IO model'!$D$38=0,0,'Z imported'!AL58/'IO model'!$D$38)</f>
        <v>0.000017687548000005862</v>
      </c>
      <c r="AM58" s="33">
        <f>IF('IO model'!$D$39=0,0,'Z imported'!AM58/'IO model'!$D$39)</f>
        <v>0.00006281174281347804</v>
      </c>
      <c r="AN58" s="33">
        <f>IF('IO model'!$D$40=0,0,'Z imported'!AN58/'IO model'!$D$40)</f>
        <v>0.00007301029561057467</v>
      </c>
      <c r="AO58" s="33">
        <f>IF('IO model'!$D$41=0,0,'Z imported'!AO58/'IO model'!$D$41)</f>
        <v>0.00003659038056318985</v>
      </c>
      <c r="AP58" s="33">
        <f>IF('IO model'!$D$42=0,0,'Z imported'!AP58/'IO model'!$D$42)</f>
        <v>0.00009017423767388931</v>
      </c>
      <c r="AQ58" s="33">
        <f>IF('IO model'!$D$43=0,0,'Z imported'!AQ58/'IO model'!$D$43)</f>
        <v>0.000011264963076686713</v>
      </c>
      <c r="AR58" s="33">
        <f>IF('IO model'!$D$44=0,0,'Z imported'!AR58/'IO model'!$D$44)</f>
        <v>0.00002791721846793794</v>
      </c>
      <c r="AS58" s="33">
        <f>IF('IO model'!$D$45=0,0,'Z imported'!AS58/'IO model'!$D$45)</f>
        <v>0.00003918835142314747</v>
      </c>
      <c r="AT58" s="33">
        <f>IF('IO model'!$D$46=0,0,'Z imported'!AT58/'IO model'!$D$46)</f>
        <v>0.0000030825240048000116</v>
      </c>
      <c r="AU58" s="33">
        <f>IF('IO model'!$D$47=0,0,'Z imported'!AU58/'IO model'!$D$47)</f>
        <v>0.00003545122977846862</v>
      </c>
      <c r="AV58" s="33">
        <f>IF('IO model'!$D$48=0,0,'Z imported'!AV58/'IO model'!$D$48)</f>
        <v>0.000020962574668021943</v>
      </c>
      <c r="AW58" s="33">
        <f>IF('IO model'!$D$49=0,0,'Z imported'!AW58/'IO model'!$D$49)</f>
        <v>0.00010587573690530922</v>
      </c>
      <c r="AX58" s="33">
        <f>IF('IO model'!$D$50=0,0,'Z imported'!AX58/'IO model'!$D$50)</f>
        <v>0.00003764504200317955</v>
      </c>
      <c r="AY58" s="33">
        <f>IF('IO model'!$D$51=0,0,'Z imported'!AY58/'IO model'!$D$51)</f>
        <v>0.000038713150304113306</v>
      </c>
      <c r="AZ58" s="33">
        <f>IF('IO model'!$D$52=0,0,'Z imported'!AZ58/'IO model'!$D$52)</f>
        <v>0.000055640418502800485</v>
      </c>
      <c r="BA58" s="33">
        <f>IF('IO model'!$D$53=0,0,'Z imported'!BA58/'IO model'!$D$53)</f>
        <v>0.000026193646623660424</v>
      </c>
      <c r="BB58" s="33">
        <f>IF('IO model'!$D$54=0,0,'Z imported'!BB58/'IO model'!$D$54)</f>
        <v>0.00007978114436477853</v>
      </c>
      <c r="BC58" s="33">
        <f>IF('IO model'!$D$55=0,0,'Z imported'!BC58/'IO model'!$D$55)</f>
        <v>0.000035888331810038205</v>
      </c>
      <c r="BD58" s="33">
        <f>IF('IO model'!$D$56=0,0,'Z imported'!BD58/'IO model'!$D$56)</f>
        <v>0.000017610994160806896</v>
      </c>
      <c r="BE58" s="33">
        <f>IF('IO model'!$D$57=0,0,'Z imported'!BE58/'IO model'!$D$57)</f>
        <v>0.000013556243158333533</v>
      </c>
      <c r="BF58" s="33">
        <f>IF('IO model'!$D$58=0,0,'Z imported'!BF58/'IO model'!$D$58)</f>
        <v>0.00035687518936071823</v>
      </c>
      <c r="BG58" s="33">
        <f>IF('IO model'!$D$59=0,0,'Z imported'!BG58/'IO model'!$D$59)</f>
        <v>0.000056435469360519734</v>
      </c>
      <c r="BH58" s="33">
        <f>IF('IO model'!$D$60=0,0,'Z imported'!BH58/'IO model'!$D$60)</f>
        <v>0.000034477280781228985</v>
      </c>
      <c r="BI58" s="33">
        <f>IF('IO model'!$D$61=0,0,'Z imported'!BI58/'IO model'!$D$61)</f>
        <v>0.00007549585855470493</v>
      </c>
      <c r="BJ58" s="33">
        <f>IF('IO model'!$D$62=0,0,'Z imported'!BJ58/'IO model'!$D$62)</f>
        <v>0.00002990525210990181</v>
      </c>
      <c r="BK58" s="33">
        <f>IF('IO model'!$D$63=0,0,'Z imported'!BK58/'IO model'!$D$63)</f>
        <v>0.0000843618184658647</v>
      </c>
      <c r="BL58" s="33">
        <f>IF('IO model'!$D$64=0,0,'Z imported'!BL58/'IO model'!$D$64)</f>
        <v>0.00003288432091490546</v>
      </c>
      <c r="BM58" s="33">
        <f>IF('IO model'!$D$65=0,0,'Z imported'!BM58/'IO model'!$D$65)</f>
        <v>0</v>
      </c>
      <c r="BN58" s="33">
        <f>IF('IO model'!$D$66=0,0,'Z imported'!BN58/'IO model'!$D$66)</f>
        <v>0</v>
      </c>
    </row>
    <row r="59" spans="1:66" x14ac:dyDescent="0.25">
      <c r="A59" s="30" t="s">
        <v>379</v>
      </c>
      <c r="B59" s="31" t="s">
        <v>380</v>
      </c>
      <c r="C59" s="33">
        <f>IF('IO model'!$D$3=0,0,'Z imported'!C59/'IO model'!$D$3)</f>
        <v>0.00001012510616086524</v>
      </c>
      <c r="D59" s="33">
        <f>IF('IO model'!$D$4=0,0,'Z imported'!D59/'IO model'!$D$4)</f>
        <v>0.000025620455371568658</v>
      </c>
      <c r="E59" s="33">
        <f>IF('IO model'!$D$5=0,0,'Z imported'!E59/'IO model'!$D$5)</f>
        <v>0.00008144483130739314</v>
      </c>
      <c r="F59" s="33">
        <f>IF('IO model'!$D$6=0,0,'Z imported'!F59/'IO model'!$D$6)</f>
        <v>0.00002387173898273339</v>
      </c>
      <c r="G59" s="33">
        <f>IF('IO model'!$D$7=0,0,'Z imported'!G59/'IO model'!$D$7)</f>
        <v>0.000013170751807115442</v>
      </c>
      <c r="H59" s="33">
        <f>IF('IO model'!$D$8=0,0,'Z imported'!H59/'IO model'!$D$8)</f>
        <v>0.000023715040078417726</v>
      </c>
      <c r="I59" s="33">
        <f>IF('IO model'!$D$9=0,0,'Z imported'!I59/'IO model'!$D$9)</f>
        <v>0.00003168228999592091</v>
      </c>
      <c r="J59" s="33">
        <f>IF('IO model'!$D$10=0,0,'Z imported'!J59/'IO model'!$D$10)</f>
        <v>0.00002286485926679121</v>
      </c>
      <c r="K59" s="33">
        <f>IF('IO model'!$D$11=0,0,'Z imported'!K59/'IO model'!$D$11)</f>
        <v>0.00003980659680608927</v>
      </c>
      <c r="L59" s="33">
        <f>IF('IO model'!$D$12=0,0,'Z imported'!L59/'IO model'!$D$12)</f>
        <v>0.000009735018311936805</v>
      </c>
      <c r="M59" s="33">
        <f>IF('IO model'!$D$13=0,0,'Z imported'!M59/'IO model'!$D$13)</f>
        <v>0.000017019224632491117</v>
      </c>
      <c r="N59" s="33">
        <f>IF('IO model'!$D$14=0,0,'Z imported'!N59/'IO model'!$D$14)</f>
        <v>0.000022605961407317985</v>
      </c>
      <c r="O59" s="33">
        <f>IF('IO model'!$D$15=0,0,'Z imported'!O59/'IO model'!$D$15)</f>
        <v>0.000033913896261034985</v>
      </c>
      <c r="P59" s="33">
        <f>IF('IO model'!$D$16=0,0,'Z imported'!P59/'IO model'!$D$16)</f>
        <v>0.000019940224474255287</v>
      </c>
      <c r="Q59" s="33">
        <f>IF('IO model'!$D$17=0,0,'Z imported'!Q59/'IO model'!$D$17)</f>
        <v>0.000014303764273964768</v>
      </c>
      <c r="R59" s="33">
        <f>IF('IO model'!$D$18=0,0,'Z imported'!R59/'IO model'!$D$18)</f>
        <v>0.00001951883511592028</v>
      </c>
      <c r="S59" s="33">
        <f>IF('IO model'!$D$19=0,0,'Z imported'!S59/'IO model'!$D$19)</f>
        <v>0.000026808823217768582</v>
      </c>
      <c r="T59" s="33">
        <f>IF('IO model'!$D$20=0,0,'Z imported'!T59/'IO model'!$D$20)</f>
        <v>0.000025953068028960514</v>
      </c>
      <c r="U59" s="33">
        <f>IF('IO model'!$D$21=0,0,'Z imported'!U59/'IO model'!$D$21)</f>
        <v>0.00002151295826713881</v>
      </c>
      <c r="V59" s="33">
        <f>IF('IO model'!$D$22=0,0,'Z imported'!V59/'IO model'!$D$22)</f>
        <v>0.0000177118694284695</v>
      </c>
      <c r="W59" s="33">
        <f>IF('IO model'!$D$23=0,0,'Z imported'!W59/'IO model'!$D$23)</f>
        <v>0.00002601681785735748</v>
      </c>
      <c r="X59" s="33">
        <f>IF('IO model'!$D$24=0,0,'Z imported'!X59/'IO model'!$D$24)</f>
        <v>0.00002714438886194292</v>
      </c>
      <c r="Y59" s="33">
        <f>IF('IO model'!$D$25=0,0,'Z imported'!Y59/'IO model'!$D$25)</f>
        <v>0.00002432909479953434</v>
      </c>
      <c r="Z59" s="33">
        <f>IF('IO model'!$D$26=0,0,'Z imported'!Z59/'IO model'!$D$26)</f>
        <v>0.0000067861875011105655</v>
      </c>
      <c r="AA59" s="33">
        <f>IF('IO model'!$D$27=0,0,'Z imported'!AA59/'IO model'!$D$27)</f>
        <v>0.00002280752020960111</v>
      </c>
      <c r="AB59" s="33">
        <f>IF('IO model'!$D$28=0,0,'Z imported'!AB59/'IO model'!$D$28)</f>
        <v>0.00001823293294271281</v>
      </c>
      <c r="AC59" s="33">
        <f>IF('IO model'!$D$29=0,0,'Z imported'!AC59/'IO model'!$D$29)</f>
        <v>0.000010348918956461194</v>
      </c>
      <c r="AD59" s="33">
        <f>IF('IO model'!$D$30=0,0,'Z imported'!AD59/'IO model'!$D$30)</f>
        <v>0.000015753780230335035</v>
      </c>
      <c r="AE59" s="33">
        <f>IF('IO model'!$D$31=0,0,'Z imported'!AE59/'IO model'!$D$31)</f>
        <v>0.000011291156834054943</v>
      </c>
      <c r="AF59" s="33">
        <f>IF('IO model'!$D$32=0,0,'Z imported'!AF59/'IO model'!$D$32)</f>
        <v>0.000008386160943096955</v>
      </c>
      <c r="AG59" s="33">
        <f>IF('IO model'!$D$33=0,0,'Z imported'!AG59/'IO model'!$D$33)</f>
        <v>0.000008677009835066879</v>
      </c>
      <c r="AH59" s="33">
        <f>IF('IO model'!$D$34=0,0,'Z imported'!AH59/'IO model'!$D$34)</f>
        <v>0.000027461929827045617</v>
      </c>
      <c r="AI59" s="33">
        <f>IF('IO model'!$D$35=0,0,'Z imported'!AI59/'IO model'!$D$35)</f>
        <v>0.00003290004397217415</v>
      </c>
      <c r="AJ59" s="33">
        <f>IF('IO model'!$D$36=0,0,'Z imported'!AJ59/'IO model'!$D$36)</f>
        <v>0.000009042225244334836</v>
      </c>
      <c r="AK59" s="33">
        <f>IF('IO model'!$D$37=0,0,'Z imported'!AK59/'IO model'!$D$37)</f>
        <v>0.000024920134430280728</v>
      </c>
      <c r="AL59" s="33">
        <f>IF('IO model'!$D$38=0,0,'Z imported'!AL59/'IO model'!$D$38)</f>
        <v>0.000007210210649683918</v>
      </c>
      <c r="AM59" s="33">
        <f>IF('IO model'!$D$39=0,0,'Z imported'!AM59/'IO model'!$D$39)</f>
        <v>0.000025305450342120653</v>
      </c>
      <c r="AN59" s="33">
        <f>IF('IO model'!$D$40=0,0,'Z imported'!AN59/'IO model'!$D$40)</f>
        <v>0.000026075105575205235</v>
      </c>
      <c r="AO59" s="33">
        <f>IF('IO model'!$D$41=0,0,'Z imported'!AO59/'IO model'!$D$41)</f>
        <v>0.000015681591669938505</v>
      </c>
      <c r="AP59" s="33">
        <f>IF('IO model'!$D$42=0,0,'Z imported'!AP59/'IO model'!$D$42)</f>
        <v>0.00002131885900740844</v>
      </c>
      <c r="AQ59" s="33">
        <f>IF('IO model'!$D$43=0,0,'Z imported'!AQ59/'IO model'!$D$43)</f>
        <v>0.000003475360949190582</v>
      </c>
      <c r="AR59" s="33">
        <f>IF('IO model'!$D$44=0,0,'Z imported'!AR59/'IO model'!$D$44)</f>
        <v>0.000013709348354790955</v>
      </c>
      <c r="AS59" s="33">
        <f>IF('IO model'!$D$45=0,0,'Z imported'!AS59/'IO model'!$D$45)</f>
        <v>0.00001573958376831333</v>
      </c>
      <c r="AT59" s="33">
        <f>IF('IO model'!$D$46=0,0,'Z imported'!AT59/'IO model'!$D$46)</f>
        <v>0.000001375279940603082</v>
      </c>
      <c r="AU59" s="33">
        <f>IF('IO model'!$D$47=0,0,'Z imported'!AU59/'IO model'!$D$47)</f>
        <v>0.000007495906793954805</v>
      </c>
      <c r="AV59" s="33">
        <f>IF('IO model'!$D$48=0,0,'Z imported'!AV59/'IO model'!$D$48)</f>
        <v>0.000010035275107031783</v>
      </c>
      <c r="AW59" s="33">
        <f>IF('IO model'!$D$49=0,0,'Z imported'!AW59/'IO model'!$D$49)</f>
        <v>0.00002809779171717822</v>
      </c>
      <c r="AX59" s="33">
        <f>IF('IO model'!$D$50=0,0,'Z imported'!AX59/'IO model'!$D$50)</f>
        <v>0.000020849561724837905</v>
      </c>
      <c r="AY59" s="33">
        <f>IF('IO model'!$D$51=0,0,'Z imported'!AY59/'IO model'!$D$51)</f>
        <v>0.000017820339028877555</v>
      </c>
      <c r="AZ59" s="33">
        <f>IF('IO model'!$D$52=0,0,'Z imported'!AZ59/'IO model'!$D$52)</f>
        <v>0.000013842250456794261</v>
      </c>
      <c r="BA59" s="33">
        <f>IF('IO model'!$D$53=0,0,'Z imported'!BA59/'IO model'!$D$53)</f>
        <v>0.000010735101075270664</v>
      </c>
      <c r="BB59" s="33">
        <f>IF('IO model'!$D$54=0,0,'Z imported'!BB59/'IO model'!$D$54)</f>
        <v>0.000040688383626037045</v>
      </c>
      <c r="BC59" s="33">
        <f>IF('IO model'!$D$55=0,0,'Z imported'!BC59/'IO model'!$D$55)</f>
        <v>0.000007835880307868601</v>
      </c>
      <c r="BD59" s="33">
        <f>IF('IO model'!$D$56=0,0,'Z imported'!BD59/'IO model'!$D$56)</f>
        <v>0.0000038980856640521184</v>
      </c>
      <c r="BE59" s="33">
        <f>IF('IO model'!$D$57=0,0,'Z imported'!BE59/'IO model'!$D$57)</f>
        <v>0.000004024509687630267</v>
      </c>
      <c r="BF59" s="33">
        <f>IF('IO model'!$D$58=0,0,'Z imported'!BF59/'IO model'!$D$58)</f>
        <v>0.000008132544529667841</v>
      </c>
      <c r="BG59" s="33">
        <f>IF('IO model'!$D$59=0,0,'Z imported'!BG59/'IO model'!$D$59)</f>
        <v>0.000010512489390685046</v>
      </c>
      <c r="BH59" s="33">
        <f>IF('IO model'!$D$60=0,0,'Z imported'!BH59/'IO model'!$D$60)</f>
        <v>0.000017020429752758617</v>
      </c>
      <c r="BI59" s="33">
        <f>IF('IO model'!$D$61=0,0,'Z imported'!BI59/'IO model'!$D$61)</f>
        <v>0.000016971937194468553</v>
      </c>
      <c r="BJ59" s="33">
        <f>IF('IO model'!$D$62=0,0,'Z imported'!BJ59/'IO model'!$D$62)</f>
        <v>0.000014952626054950904</v>
      </c>
      <c r="BK59" s="33">
        <f>IF('IO model'!$D$63=0,0,'Z imported'!BK59/'IO model'!$D$63)</f>
        <v>0.0000593657241056085</v>
      </c>
      <c r="BL59" s="33">
        <f>IF('IO model'!$D$64=0,0,'Z imported'!BL59/'IO model'!$D$64)</f>
        <v>0.000015911768184631673</v>
      </c>
      <c r="BM59" s="33">
        <f>IF('IO model'!$D$65=0,0,'Z imported'!BM59/'IO model'!$D$65)</f>
        <v>0</v>
      </c>
      <c r="BN59" s="33">
        <f>IF('IO model'!$D$66=0,0,'Z imported'!BN59/'IO model'!$D$66)</f>
        <v>0</v>
      </c>
    </row>
    <row r="60" spans="1:66" x14ac:dyDescent="0.25">
      <c r="A60" s="30" t="s">
        <v>381</v>
      </c>
      <c r="B60" s="31" t="s">
        <v>382</v>
      </c>
      <c r="C60" s="33">
        <f>IF('IO model'!$D$3=0,0,'Z imported'!C60/'IO model'!$D$3)</f>
        <v>0.0000033168451216627527</v>
      </c>
      <c r="D60" s="33">
        <f>IF('IO model'!$D$4=0,0,'Z imported'!D60/'IO model'!$D$4)</f>
        <v>0.0000032025569214460822</v>
      </c>
      <c r="E60" s="33">
        <f>IF('IO model'!$D$5=0,0,'Z imported'!E60/'IO model'!$D$5)</f>
        <v>0</v>
      </c>
      <c r="F60" s="33">
        <f>IF('IO model'!$D$6=0,0,'Z imported'!F60/'IO model'!$D$6)</f>
        <v>0.0000045907190351410366</v>
      </c>
      <c r="G60" s="33">
        <f>IF('IO model'!$D$7=0,0,'Z imported'!G60/'IO model'!$D$7)</f>
        <v>0.00001103694285512467</v>
      </c>
      <c r="H60" s="33">
        <f>IF('IO model'!$D$8=0,0,'Z imported'!H60/'IO model'!$D$8)</f>
        <v>0.00000922251558605134</v>
      </c>
      <c r="I60" s="33">
        <f>IF('IO model'!$D$9=0,0,'Z imported'!I60/'IO model'!$D$9)</f>
        <v>0.00001640690017645904</v>
      </c>
      <c r="J60" s="33">
        <f>IF('IO model'!$D$10=0,0,'Z imported'!J60/'IO model'!$D$10)</f>
        <v>0.000008069950329455722</v>
      </c>
      <c r="K60" s="33">
        <f>IF('IO model'!$D$11=0,0,'Z imported'!K60/'IO model'!$D$11)</f>
        <v>0.000014216641716460453</v>
      </c>
      <c r="L60" s="33">
        <f>IF('IO model'!$D$12=0,0,'Z imported'!L60/'IO model'!$D$12)</f>
        <v>0.0000062451060869028575</v>
      </c>
      <c r="M60" s="33">
        <f>IF('IO model'!$D$13=0,0,'Z imported'!M60/'IO model'!$D$13)</f>
        <v>0.000013394760127423562</v>
      </c>
      <c r="N60" s="33">
        <f>IF('IO model'!$D$14=0,0,'Z imported'!N60/'IO model'!$D$14)</f>
        <v>0.000032294230581882844</v>
      </c>
      <c r="O60" s="33">
        <f>IF('IO model'!$D$15=0,0,'Z imported'!O60/'IO model'!$D$15)</f>
        <v>0.00000784784376288413</v>
      </c>
      <c r="P60" s="33">
        <f>IF('IO model'!$D$16=0,0,'Z imported'!P60/'IO model'!$D$16)</f>
        <v>0.000009405766261441176</v>
      </c>
      <c r="Q60" s="33">
        <f>IF('IO model'!$D$17=0,0,'Z imported'!Q60/'IO model'!$D$17)</f>
        <v>0.000006357228566206564</v>
      </c>
      <c r="R60" s="33">
        <f>IF('IO model'!$D$18=0,0,'Z imported'!R60/'IO model'!$D$18)</f>
        <v>0.000008159513040261755</v>
      </c>
      <c r="S60" s="33">
        <f>IF('IO model'!$D$19=0,0,'Z imported'!S60/'IO model'!$D$19)</f>
        <v>0.000010468207161223924</v>
      </c>
      <c r="T60" s="33">
        <f>IF('IO model'!$D$20=0,0,'Z imported'!T60/'IO model'!$D$20)</f>
        <v>0.000008824043129846578</v>
      </c>
      <c r="U60" s="33">
        <f>IF('IO model'!$D$21=0,0,'Z imported'!U60/'IO model'!$D$21)</f>
        <v>0.000007213168360158304</v>
      </c>
      <c r="V60" s="33">
        <f>IF('IO model'!$D$22=0,0,'Z imported'!V60/'IO model'!$D$22)</f>
        <v>0.000006769457949100906</v>
      </c>
      <c r="W60" s="33">
        <f>IF('IO model'!$D$23=0,0,'Z imported'!W60/'IO model'!$D$23)</f>
        <v>0.0000256503838030285</v>
      </c>
      <c r="X60" s="33">
        <f>IF('IO model'!$D$24=0,0,'Z imported'!X60/'IO model'!$D$24)</f>
        <v>0.000014643683464995523</v>
      </c>
      <c r="Y60" s="33">
        <f>IF('IO model'!$D$25=0,0,'Z imported'!Y60/'IO model'!$D$25)</f>
        <v>0.000007704213353185873</v>
      </c>
      <c r="Z60" s="33">
        <f>IF('IO model'!$D$26=0,0,'Z imported'!Z60/'IO model'!$D$26)</f>
        <v>0.000008482734376388205</v>
      </c>
      <c r="AA60" s="33">
        <f>IF('IO model'!$D$27=0,0,'Z imported'!AA60/'IO model'!$D$27)</f>
        <v>0.000004276410039300209</v>
      </c>
      <c r="AB60" s="33">
        <f>IF('IO model'!$D$28=0,0,'Z imported'!AB60/'IO model'!$D$28)</f>
        <v>0.000011352580888858923</v>
      </c>
      <c r="AC60" s="33">
        <f>IF('IO model'!$D$29=0,0,'Z imported'!AC60/'IO model'!$D$29)</f>
        <v>0.000006349535933446309</v>
      </c>
      <c r="AD60" s="33">
        <f>IF('IO model'!$D$30=0,0,'Z imported'!AD60/'IO model'!$D$30)</f>
        <v>0.00001501532178203808</v>
      </c>
      <c r="AE60" s="33">
        <f>IF('IO model'!$D$31=0,0,'Z imported'!AE60/'IO model'!$D$31)</f>
        <v>0.000025929943081221655</v>
      </c>
      <c r="AF60" s="33">
        <f>IF('IO model'!$D$32=0,0,'Z imported'!AF60/'IO model'!$D$32)</f>
        <v>0.000012846884848999587</v>
      </c>
      <c r="AG60" s="33">
        <f>IF('IO model'!$D$33=0,0,'Z imported'!AG60/'IO model'!$D$33)</f>
        <v>0.000005698334817058845</v>
      </c>
      <c r="AH60" s="33">
        <f>IF('IO model'!$D$34=0,0,'Z imported'!AH60/'IO model'!$D$34)</f>
        <v>0.00001673461348835593</v>
      </c>
      <c r="AI60" s="33">
        <f>IF('IO model'!$D$35=0,0,'Z imported'!AI60/'IO model'!$D$35)</f>
        <v>0.00003100196451224103</v>
      </c>
      <c r="AJ60" s="33">
        <f>IF('IO model'!$D$36=0,0,'Z imported'!AJ60/'IO model'!$D$36)</f>
        <v>0.000009737781032360592</v>
      </c>
      <c r="AK60" s="33">
        <f>IF('IO model'!$D$37=0,0,'Z imported'!AK60/'IO model'!$D$37)</f>
        <v>0.000013152293171537055</v>
      </c>
      <c r="AL60" s="33">
        <f>IF('IO model'!$D$38=0,0,'Z imported'!AL60/'IO model'!$D$38)</f>
        <v>0.00014285229849686265</v>
      </c>
      <c r="AM60" s="33">
        <f>IF('IO model'!$D$39=0,0,'Z imported'!AM60/'IO model'!$D$39)</f>
        <v>0.00018346451498037474</v>
      </c>
      <c r="AN60" s="33">
        <f>IF('IO model'!$D$40=0,0,'Z imported'!AN60/'IO model'!$D$40)</f>
        <v>0.001358802723863473</v>
      </c>
      <c r="AO60" s="33">
        <f>IF('IO model'!$D$41=0,0,'Z imported'!AO60/'IO model'!$D$41)</f>
        <v>0.000036880780408929455</v>
      </c>
      <c r="AP60" s="33">
        <f>IF('IO model'!$D$42=0,0,'Z imported'!AP60/'IO model'!$D$42)</f>
        <v>0.00009280507559395246</v>
      </c>
      <c r="AQ60" s="33">
        <f>IF('IO model'!$D$43=0,0,'Z imported'!AQ60/'IO model'!$D$43)</f>
        <v>0.00001785616487687575</v>
      </c>
      <c r="AR60" s="33">
        <f>IF('IO model'!$D$44=0,0,'Z imported'!AR60/'IO model'!$D$44)</f>
        <v>0.000013958609233968974</v>
      </c>
      <c r="AS60" s="33">
        <f>IF('IO model'!$D$45=0,0,'Z imported'!AS60/'IO model'!$D$45)</f>
        <v>0.000021200255687932243</v>
      </c>
      <c r="AT60" s="33">
        <f>IF('IO model'!$D$46=0,0,'Z imported'!AT60/'IO model'!$D$46)</f>
        <v>0.0000023237488651569315</v>
      </c>
      <c r="AU60" s="33">
        <f>IF('IO model'!$D$47=0,0,'Z imported'!AU60/'IO model'!$D$47)</f>
        <v>0.00003686222399850719</v>
      </c>
      <c r="AV60" s="33">
        <f>IF('IO model'!$D$48=0,0,'Z imported'!AV60/'IO model'!$D$48)</f>
        <v>0.000016502452398230042</v>
      </c>
      <c r="AW60" s="33">
        <f>IF('IO model'!$D$49=0,0,'Z imported'!AW60/'IO model'!$D$49)</f>
        <v>0.000028912220462603672</v>
      </c>
      <c r="AX60" s="33">
        <f>IF('IO model'!$D$50=0,0,'Z imported'!AX60/'IO model'!$D$50)</f>
        <v>0.0000480698228655985</v>
      </c>
      <c r="AY60" s="33">
        <f>IF('IO model'!$D$51=0,0,'Z imported'!AY60/'IO model'!$D$51)</f>
        <v>0.00009094517849220267</v>
      </c>
      <c r="AZ60" s="33">
        <f>IF('IO model'!$D$52=0,0,'Z imported'!AZ60/'IO model'!$D$52)</f>
        <v>0.000043698084775370115</v>
      </c>
      <c r="BA60" s="33">
        <f>IF('IO model'!$D$53=0,0,'Z imported'!BA60/'IO model'!$D$53)</f>
        <v>0.000021040798107530495</v>
      </c>
      <c r="BB60" s="33">
        <f>IF('IO model'!$D$54=0,0,'Z imported'!BB60/'IO model'!$D$54)</f>
        <v>0.0005177796269274127</v>
      </c>
      <c r="BC60" s="33">
        <f>IF('IO model'!$D$55=0,0,'Z imported'!BC60/'IO model'!$D$55)</f>
        <v>0.000045604823391795277</v>
      </c>
      <c r="BD60" s="33">
        <f>IF('IO model'!$D$56=0,0,'Z imported'!BD60/'IO model'!$D$56)</f>
        <v>0.000025824817524345287</v>
      </c>
      <c r="BE60" s="33">
        <f>IF('IO model'!$D$57=0,0,'Z imported'!BE60/'IO model'!$D$57)</f>
        <v>0.00001768666099563828</v>
      </c>
      <c r="BF60" s="33">
        <f>IF('IO model'!$D$58=0,0,'Z imported'!BF60/'IO model'!$D$58)</f>
        <v>0.000006617658783945399</v>
      </c>
      <c r="BG60" s="33">
        <f>IF('IO model'!$D$59=0,0,'Z imported'!BG60/'IO model'!$D$59)</f>
        <v>0.000017336386012708673</v>
      </c>
      <c r="BH60" s="33">
        <f>IF('IO model'!$D$60=0,0,'Z imported'!BH60/'IO model'!$D$60)</f>
        <v>0.001521364567131193</v>
      </c>
      <c r="BI60" s="33">
        <f>IF('IO model'!$D$61=0,0,'Z imported'!BI60/'IO model'!$D$61)</f>
        <v>0.00016796365430387842</v>
      </c>
      <c r="BJ60" s="33">
        <f>IF('IO model'!$D$62=0,0,'Z imported'!BJ60/'IO model'!$D$62)</f>
        <v>0.00010984429140367777</v>
      </c>
      <c r="BK60" s="33">
        <f>IF('IO model'!$D$63=0,0,'Z imported'!BK60/'IO model'!$D$63)</f>
        <v>0.00001562255897516013</v>
      </c>
      <c r="BL60" s="33">
        <f>IF('IO model'!$D$64=0,0,'Z imported'!BL60/'IO model'!$D$64)</f>
        <v>0.000011668630002063227</v>
      </c>
      <c r="BM60" s="33">
        <f>IF('IO model'!$D$65=0,0,'Z imported'!BM60/'IO model'!$D$65)</f>
        <v>0</v>
      </c>
      <c r="BN60" s="33">
        <f>IF('IO model'!$D$66=0,0,'Z imported'!BN60/'IO model'!$D$66)</f>
        <v>0</v>
      </c>
    </row>
    <row r="61" spans="1:66" x14ac:dyDescent="0.25">
      <c r="A61" s="30" t="s">
        <v>384</v>
      </c>
      <c r="B61" s="31" t="s">
        <v>385</v>
      </c>
      <c r="C61" s="33">
        <f>IF('IO model'!$D$3=0,0,'Z imported'!C61/'IO model'!$D$3)</f>
        <v>0.000010648818548496203</v>
      </c>
      <c r="D61" s="33">
        <f>IF('IO model'!$D$4=0,0,'Z imported'!D61/'IO model'!$D$4)</f>
        <v>0.000019215341528676493</v>
      </c>
      <c r="E61" s="33">
        <f>IF('IO model'!$D$5=0,0,'Z imported'!E61/'IO model'!$D$5)</f>
        <v>0.00012216724696108975</v>
      </c>
      <c r="F61" s="33">
        <f>IF('IO model'!$D$6=0,0,'Z imported'!F61/'IO model'!$D$6)</f>
        <v>0.000022035451368676977</v>
      </c>
      <c r="G61" s="33">
        <f>IF('IO model'!$D$7=0,0,'Z imported'!G61/'IO model'!$D$7)</f>
        <v>0.000020160815615361067</v>
      </c>
      <c r="H61" s="33">
        <f>IF('IO model'!$D$8=0,0,'Z imported'!H61/'IO model'!$D$8)</f>
        <v>0.000026789211940434844</v>
      </c>
      <c r="I61" s="33">
        <f>IF('IO model'!$D$9=0,0,'Z imported'!I61/'IO model'!$D$9)</f>
        <v>0.00004016861767339971</v>
      </c>
      <c r="J61" s="33">
        <f>IF('IO model'!$D$10=0,0,'Z imported'!J61/'IO model'!$D$10)</f>
        <v>0.00002241652869293256</v>
      </c>
      <c r="K61" s="33">
        <f>IF('IO model'!$D$11=0,0,'Z imported'!K61/'IO model'!$D$11)</f>
        <v>0.00004833658183596554</v>
      </c>
      <c r="L61" s="33">
        <f>IF('IO model'!$D$12=0,0,'Z imported'!L61/'IO model'!$D$12)</f>
        <v>0.000012490212173805715</v>
      </c>
      <c r="M61" s="33">
        <f>IF('IO model'!$D$13=0,0,'Z imported'!M61/'IO model'!$D$13)</f>
        <v>0.000019383005831448216</v>
      </c>
      <c r="N61" s="33">
        <f>IF('IO model'!$D$14=0,0,'Z imported'!N61/'IO model'!$D$14)</f>
        <v>0.00007346937457378347</v>
      </c>
      <c r="O61" s="33">
        <f>IF('IO model'!$D$15=0,0,'Z imported'!O61/'IO model'!$D$15)</f>
        <v>0.00002130129021354263</v>
      </c>
      <c r="P61" s="33">
        <f>IF('IO model'!$D$16=0,0,'Z imported'!P61/'IO model'!$D$16)</f>
        <v>0.000022950069677916468</v>
      </c>
      <c r="Q61" s="33">
        <f>IF('IO model'!$D$17=0,0,'Z imported'!Q61/'IO model'!$D$17)</f>
        <v>0.000012714457132413124</v>
      </c>
      <c r="R61" s="33">
        <f>IF('IO model'!$D$18=0,0,'Z imported'!R61/'IO model'!$D$18)</f>
        <v>0.000013119217045126742</v>
      </c>
      <c r="S61" s="33">
        <f>IF('IO model'!$D$19=0,0,'Z imported'!S61/'IO model'!$D$19)</f>
        <v>0.000025021568336584012</v>
      </c>
      <c r="T61" s="33">
        <f>IF('IO model'!$D$20=0,0,'Z imported'!T61/'IO model'!$D$20)</f>
        <v>0.000019464801021720384</v>
      </c>
      <c r="U61" s="33">
        <f>IF('IO model'!$D$21=0,0,'Z imported'!U61/'IO model'!$D$21)</f>
        <v>0.000011389213200249954</v>
      </c>
      <c r="V61" s="33">
        <f>IF('IO model'!$D$22=0,0,'Z imported'!V61/'IO model'!$D$22)</f>
        <v>0.00001047874997600551</v>
      </c>
      <c r="W61" s="33">
        <f>IF('IO model'!$D$23=0,0,'Z imported'!W61/'IO model'!$D$23)</f>
        <v>0.000023451779477054628</v>
      </c>
      <c r="X61" s="33">
        <f>IF('IO model'!$D$24=0,0,'Z imported'!X61/'IO model'!$D$24)</f>
        <v>0.000035716301134135424</v>
      </c>
      <c r="Y61" s="33">
        <f>IF('IO model'!$D$25=0,0,'Z imported'!Y61/'IO model'!$D$25)</f>
        <v>0.000021490700406255335</v>
      </c>
      <c r="Z61" s="33">
        <f>IF('IO model'!$D$26=0,0,'Z imported'!Z61/'IO model'!$D$26)</f>
        <v>0.00000866131825799638</v>
      </c>
      <c r="AA61" s="33">
        <f>IF('IO model'!$D$27=0,0,'Z imported'!AA61/'IO model'!$D$27)</f>
        <v>0.000025658460235801252</v>
      </c>
      <c r="AB61" s="33">
        <f>IF('IO model'!$D$28=0,0,'Z imported'!AB61/'IO model'!$D$28)</f>
        <v>0.0000189209681480982</v>
      </c>
      <c r="AC61" s="33">
        <f>IF('IO model'!$D$29=0,0,'Z imported'!AC61/'IO model'!$D$29)</f>
        <v>0.000007586458517883901</v>
      </c>
      <c r="AD61" s="33">
        <f>IF('IO model'!$D$30=0,0,'Z imported'!AD61/'IO model'!$D$30)</f>
        <v>0.000019938378104017776</v>
      </c>
      <c r="AE61" s="33">
        <f>IF('IO model'!$D$31=0,0,'Z imported'!AE61/'IO model'!$D$31)</f>
        <v>0.000014241609876119551</v>
      </c>
      <c r="AF61" s="33">
        <f>IF('IO model'!$D$32=0,0,'Z imported'!AF61/'IO model'!$D$32)</f>
        <v>0.00001534489023630506</v>
      </c>
      <c r="AG61" s="33">
        <f>IF('IO model'!$D$33=0,0,'Z imported'!AG61/'IO model'!$D$33)</f>
        <v>0.000010231101148810198</v>
      </c>
      <c r="AH61" s="33">
        <f>IF('IO model'!$D$34=0,0,'Z imported'!AH61/'IO model'!$D$34)</f>
        <v>0.000027891022480593217</v>
      </c>
      <c r="AI61" s="33">
        <f>IF('IO model'!$D$35=0,0,'Z imported'!AI61/'IO model'!$D$35)</f>
        <v>0.000038594282351973525</v>
      </c>
      <c r="AJ61" s="33">
        <f>IF('IO model'!$D$36=0,0,'Z imported'!AJ61/'IO model'!$D$36)</f>
        <v>0.000013354671130094527</v>
      </c>
      <c r="AK61" s="33">
        <f>IF('IO model'!$D$37=0,0,'Z imported'!AK61/'IO model'!$D$37)</f>
        <v>0.00001869010082271055</v>
      </c>
      <c r="AL61" s="33">
        <f>IF('IO model'!$D$38=0,0,'Z imported'!AL61/'IO model'!$D$38)</f>
        <v>0.000021179993783446507</v>
      </c>
      <c r="AM61" s="33">
        <f>IF('IO model'!$D$39=0,0,'Z imported'!AM61/'IO model'!$D$39)</f>
        <v>0.00004609207026600547</v>
      </c>
      <c r="AN61" s="33">
        <f>IF('IO model'!$D$40=0,0,'Z imported'!AN61/'IO model'!$D$40)</f>
        <v>0.00017209569679635457</v>
      </c>
      <c r="AO61" s="33">
        <f>IF('IO model'!$D$41=0,0,'Z imported'!AO61/'IO model'!$D$41)</f>
        <v>0.00003078238364839781</v>
      </c>
      <c r="AP61" s="33">
        <f>IF('IO model'!$D$42=0,0,'Z imported'!AP61/'IO model'!$D$42)</f>
        <v>0.000053705380988875724</v>
      </c>
      <c r="AQ61" s="33">
        <f>IF('IO model'!$D$43=0,0,'Z imported'!AQ61/'IO model'!$D$43)</f>
        <v>0.000006711041832919745</v>
      </c>
      <c r="AR61" s="33">
        <f>IF('IO model'!$D$44=0,0,'Z imported'!AR61/'IO model'!$D$44)</f>
        <v>0.000015454174509037078</v>
      </c>
      <c r="AS61" s="33">
        <f>IF('IO model'!$D$45=0,0,'Z imported'!AS61/'IO model'!$D$45)</f>
        <v>0.000018630527725758633</v>
      </c>
      <c r="AT61" s="33">
        <f>IF('IO model'!$D$46=0,0,'Z imported'!AT61/'IO model'!$D$46)</f>
        <v>0.0000020392081877907773</v>
      </c>
      <c r="AU61" s="33">
        <f>IF('IO model'!$D$47=0,0,'Z imported'!AU61/'IO model'!$D$47)</f>
        <v>0.000029278130065799968</v>
      </c>
      <c r="AV61" s="33">
        <f>IF('IO model'!$D$48=0,0,'Z imported'!AV61/'IO model'!$D$48)</f>
        <v>0.000016725458511719637</v>
      </c>
      <c r="AW61" s="33">
        <f>IF('IO model'!$D$49=0,0,'Z imported'!AW61/'IO model'!$D$49)</f>
        <v>0.00004357193788026187</v>
      </c>
      <c r="AX61" s="33">
        <f>IF('IO model'!$D$50=0,0,'Z imported'!AX61/'IO model'!$D$50)</f>
        <v>0.00009150640979234413</v>
      </c>
      <c r="AY61" s="33">
        <f>IF('IO model'!$D$51=0,0,'Z imported'!AY61/'IO model'!$D$51)</f>
        <v>0.000033182700260668545</v>
      </c>
      <c r="AZ61" s="33">
        <f>IF('IO model'!$D$52=0,0,'Z imported'!AZ61/'IO model'!$D$52)</f>
        <v>0.000030127250994199283</v>
      </c>
      <c r="BA61" s="33">
        <f>IF('IO model'!$D$53=0,0,'Z imported'!BA61/'IO model'!$D$53)</f>
        <v>0.000015029141505378932</v>
      </c>
      <c r="BB61" s="33">
        <f>IF('IO model'!$D$54=0,0,'Z imported'!BB61/'IO model'!$D$54)</f>
        <v>0.0011017776036775914</v>
      </c>
      <c r="BC61" s="33">
        <f>IF('IO model'!$D$55=0,0,'Z imported'!BC61/'IO model'!$D$55)</f>
        <v>0.000021940464862032087</v>
      </c>
      <c r="BD61" s="33">
        <f>IF('IO model'!$D$56=0,0,'Z imported'!BD61/'IO model'!$D$56)</f>
        <v>0.00006257819664255098</v>
      </c>
      <c r="BE61" s="33">
        <f>IF('IO model'!$D$57=0,0,'Z imported'!BE61/'IO model'!$D$57)</f>
        <v>0.000007307662327539169</v>
      </c>
      <c r="BF61" s="33">
        <f>IF('IO model'!$D$58=0,0,'Z imported'!BF61/'IO model'!$D$58)</f>
        <v>0.000007335236242445503</v>
      </c>
      <c r="BG61" s="33">
        <f>IF('IO model'!$D$59=0,0,'Z imported'!BG61/'IO model'!$D$59)</f>
        <v>0.000012356785775015757</v>
      </c>
      <c r="BH61" s="33">
        <f>IF('IO model'!$D$60=0,0,'Z imported'!BH61/'IO model'!$D$60)</f>
        <v>0.00010386826361939872</v>
      </c>
      <c r="BI61" s="33">
        <f>IF('IO model'!$D$61=0,0,'Z imported'!BI61/'IO model'!$D$61)</f>
        <v>0.00047755519829952904</v>
      </c>
      <c r="BJ61" s="33">
        <f>IF('IO model'!$D$62=0,0,'Z imported'!BJ61/'IO model'!$D$62)</f>
        <v>0.00004198237315428522</v>
      </c>
      <c r="BK61" s="33">
        <f>IF('IO model'!$D$63=0,0,'Z imported'!BK61/'IO model'!$D$63)</f>
        <v>0.00008748633026089672</v>
      </c>
      <c r="BL61" s="33">
        <f>IF('IO model'!$D$64=0,0,'Z imported'!BL61/'IO model'!$D$64)</f>
        <v>0.000027050005913873842</v>
      </c>
      <c r="BM61" s="33">
        <f>IF('IO model'!$D$65=0,0,'Z imported'!BM61/'IO model'!$D$65)</f>
        <v>0</v>
      </c>
      <c r="BN61" s="33">
        <f>IF('IO model'!$D$66=0,0,'Z imported'!BN61/'IO model'!$D$66)</f>
        <v>0</v>
      </c>
    </row>
    <row r="62" spans="1:66" x14ac:dyDescent="0.25">
      <c r="A62" s="30" t="s">
        <v>386</v>
      </c>
      <c r="B62" s="31" t="s">
        <v>387</v>
      </c>
      <c r="C62" s="33">
        <f>IF('IO model'!$D$3=0,0,'Z imported'!C62/'IO model'!$D$3)</f>
        <v>0.0000013965663670158954</v>
      </c>
      <c r="D62" s="33">
        <f>IF('IO model'!$D$4=0,0,'Z imported'!D62/'IO model'!$D$4)</f>
        <v>0.0000032025569214460822</v>
      </c>
      <c r="E62" s="33">
        <f>IF('IO model'!$D$5=0,0,'Z imported'!E62/'IO model'!$D$5)</f>
        <v>0.000013574138551232191</v>
      </c>
      <c r="F62" s="33">
        <f>IF('IO model'!$D$6=0,0,'Z imported'!F62/'IO model'!$D$6)</f>
        <v>0.0000018362876140564146</v>
      </c>
      <c r="G62" s="33">
        <f>IF('IO model'!$D$7=0,0,'Z imported'!G62/'IO model'!$D$7)</f>
        <v>0.000002722445904264086</v>
      </c>
      <c r="H62" s="33">
        <f>IF('IO model'!$D$8=0,0,'Z imported'!H62/'IO model'!$D$8)</f>
        <v>0.000011418352630349278</v>
      </c>
      <c r="I62" s="33">
        <f>IF('IO model'!$D$9=0,0,'Z imported'!I62/'IO model'!$D$9)</f>
        <v>0.0000022630207139943504</v>
      </c>
      <c r="J62" s="33">
        <f>IF('IO model'!$D$10=0,0,'Z imported'!J62/'IO model'!$D$10)</f>
        <v>0.0000031383140170105583</v>
      </c>
      <c r="K62" s="33">
        <f>IF('IO model'!$D$11=0,0,'Z imported'!K62/'IO model'!$D$11)</f>
        <v>0.000005686656686584182</v>
      </c>
      <c r="L62" s="33">
        <f>IF('IO model'!$D$12=0,0,'Z imported'!L62/'IO model'!$D$12)</f>
        <v>0.000001836795907912605</v>
      </c>
      <c r="M62" s="33">
        <f>IF('IO model'!$D$13=0,0,'Z imported'!M62/'IO model'!$D$13)</f>
        <v>0.0000034668790918037465</v>
      </c>
      <c r="N62" s="33">
        <f>IF('IO model'!$D$14=0,0,'Z imported'!N62/'IO model'!$D$14)</f>
        <v>0.00000834267623365307</v>
      </c>
      <c r="O62" s="33">
        <f>IF('IO model'!$D$15=0,0,'Z imported'!O62/'IO model'!$D$15)</f>
        <v>0.000003363361612664627</v>
      </c>
      <c r="P62" s="33">
        <f>IF('IO model'!$D$16=0,0,'Z imported'!P62/'IO model'!$D$16)</f>
        <v>0.0000033860758541188226</v>
      </c>
      <c r="Q62" s="33">
        <f>IF('IO model'!$D$17=0,0,'Z imported'!Q62/'IO model'!$D$17)</f>
        <v>0.000002383960712327462</v>
      </c>
      <c r="R62" s="33">
        <f>IF('IO model'!$D$18=0,0,'Z imported'!R62/'IO model'!$D$18)</f>
        <v>0.0000022398663247777378</v>
      </c>
      <c r="S62" s="33">
        <f>IF('IO model'!$D$19=0,0,'Z imported'!S62/'IO model'!$D$19)</f>
        <v>0.000003829831888252656</v>
      </c>
      <c r="T62" s="33">
        <f>IF('IO model'!$D$20=0,0,'Z imported'!T62/'IO model'!$D$20)</f>
        <v>0.0000028548374831856572</v>
      </c>
      <c r="U62" s="33">
        <f>IF('IO model'!$D$21=0,0,'Z imported'!U62/'IO model'!$D$21)</f>
        <v>0.0000018982022000416594</v>
      </c>
      <c r="V62" s="33">
        <f>IF('IO model'!$D$22=0,0,'Z imported'!V62/'IO model'!$D$22)</f>
        <v>0.0000018546460134523032</v>
      </c>
      <c r="W62" s="33">
        <f>IF('IO model'!$D$23=0,0,'Z imported'!W62/'IO model'!$D$23)</f>
        <v>0.0000029314724346318285</v>
      </c>
      <c r="X62" s="33">
        <f>IF('IO model'!$D$24=0,0,'Z imported'!X62/'IO model'!$D$24)</f>
        <v>0.000004285956136096252</v>
      </c>
      <c r="Y62" s="33">
        <f>IF('IO model'!$D$25=0,0,'Z imported'!Y62/'IO model'!$D$25)</f>
        <v>0.000002432909479953434</v>
      </c>
      <c r="Z62" s="33">
        <f>IF('IO model'!$D$26=0,0,'Z imported'!Z62/'IO model'!$D$26)</f>
        <v>0.0000016965468752776418</v>
      </c>
      <c r="AA62" s="33">
        <f>IF('IO model'!$D$27=0,0,'Z imported'!AA62/'IO model'!$D$27)</f>
        <v>0.000002850940026200139</v>
      </c>
      <c r="AB62" s="33">
        <f>IF('IO model'!$D$28=0,0,'Z imported'!AB62/'IO model'!$D$28)</f>
        <v>0.0000027521408215415565</v>
      </c>
      <c r="AC62" s="33">
        <f>IF('IO model'!$D$29=0,0,'Z imported'!AC62/'IO model'!$D$29)</f>
        <v>0.00000115446107880842</v>
      </c>
      <c r="AD62" s="33">
        <f>IF('IO model'!$D$30=0,0,'Z imported'!AD62/'IO model'!$D$30)</f>
        <v>0.0000029538337931878195</v>
      </c>
      <c r="AE62" s="33">
        <f>IF('IO model'!$D$31=0,0,'Z imported'!AE62/'IO model'!$D$31)</f>
        <v>0.0000030639320052209396</v>
      </c>
      <c r="AF62" s="33">
        <f>IF('IO model'!$D$32=0,0,'Z imported'!AF62/'IO model'!$D$32)</f>
        <v>0.0000030332922560137915</v>
      </c>
      <c r="AG62" s="33">
        <f>IF('IO model'!$D$33=0,0,'Z imported'!AG62/'IO model'!$D$33)</f>
        <v>0.0000023311369706149824</v>
      </c>
      <c r="AH62" s="33">
        <f>IF('IO model'!$D$34=0,0,'Z imported'!AH62/'IO model'!$D$34)</f>
        <v>0.00003089467105542633</v>
      </c>
      <c r="AI62" s="33">
        <f>IF('IO model'!$D$35=0,0,'Z imported'!AI62/'IO model'!$D$35)</f>
        <v>0.000010755783606287706</v>
      </c>
      <c r="AJ62" s="33">
        <f>IF('IO model'!$D$36=0,0,'Z imported'!AJ62/'IO model'!$D$36)</f>
        <v>0.000006538224407442111</v>
      </c>
      <c r="AK62" s="33">
        <f>IF('IO model'!$D$37=0,0,'Z imported'!AK62/'IO model'!$D$37)</f>
        <v>0.000003461129781983435</v>
      </c>
      <c r="AL62" s="33">
        <f>IF('IO model'!$D$38=0,0,'Z imported'!AL62/'IO model'!$D$38)</f>
        <v>0.0000014645740382170462</v>
      </c>
      <c r="AM62" s="33">
        <f>IF('IO model'!$D$39=0,0,'Z imported'!AM62/'IO model'!$D$39)</f>
        <v>0.000006778245627353747</v>
      </c>
      <c r="AN62" s="33">
        <f>IF('IO model'!$D$40=0,0,'Z imported'!AN62/'IO model'!$D$40)</f>
        <v>0.00000811225506784163</v>
      </c>
      <c r="AO62" s="33">
        <f>IF('IO model'!$D$41=0,0,'Z imported'!AO62/'IO model'!$D$41)</f>
        <v>0.000004065597840354428</v>
      </c>
      <c r="AP62" s="33">
        <f>IF('IO model'!$D$42=0,0,'Z imported'!AP62/'IO model'!$D$42)</f>
        <v>0.000012156285561671191</v>
      </c>
      <c r="AQ62" s="33">
        <f>IF('IO model'!$D$43=0,0,'Z imported'!AQ62/'IO model'!$D$43)</f>
        <v>0.0000011984003273070974</v>
      </c>
      <c r="AR62" s="33">
        <f>IF('IO model'!$D$44=0,0,'Z imported'!AR62/'IO model'!$D$44)</f>
        <v>0.0000022433479126021565</v>
      </c>
      <c r="AS62" s="33">
        <f>IF('IO model'!$D$45=0,0,'Z imported'!AS62/'IO model'!$D$45)</f>
        <v>0.000003854591943260408</v>
      </c>
      <c r="AT62" s="33">
        <f>IF('IO model'!$D$46=0,0,'Z imported'!AT62/'IO model'!$D$46)</f>
        <v>1.8969378491076994e-7</v>
      </c>
      <c r="AU62" s="33">
        <f>IF('IO model'!$D$47=0,0,'Z imported'!AU62/'IO model'!$D$47)</f>
        <v>0.0000047621054926301134</v>
      </c>
      <c r="AV62" s="33">
        <f>IF('IO model'!$D$48=0,0,'Z imported'!AV62/'IO model'!$D$48)</f>
        <v>0.0000022300611348959515</v>
      </c>
      <c r="AW62" s="33">
        <f>IF('IO model'!$D$49=0,0,'Z imported'!AW62/'IO model'!$D$49)</f>
        <v>0.00000366492935441455</v>
      </c>
      <c r="AX62" s="33">
        <f>IF('IO model'!$D$50=0,0,'Z imported'!AX62/'IO model'!$D$50)</f>
        <v>0.000006949853908279303</v>
      </c>
      <c r="AY62" s="33">
        <f>IF('IO model'!$D$51=0,0,'Z imported'!AY62/'IO model'!$D$51)</f>
        <v>0.0000036869666956298385</v>
      </c>
      <c r="AZ62" s="33">
        <f>IF('IO model'!$D$52=0,0,'Z imported'!AZ62/'IO model'!$D$52)</f>
        <v>0.0000029855834318575865</v>
      </c>
      <c r="BA62" s="33">
        <f>IF('IO model'!$D$53=0,0,'Z imported'!BA62/'IO model'!$D$53)</f>
        <v>0.0000017176161720433063</v>
      </c>
      <c r="BB62" s="33">
        <f>IF('IO model'!$D$54=0,0,'Z imported'!BB62/'IO model'!$D$54)</f>
        <v>0.000011967171654716778</v>
      </c>
      <c r="BC62" s="33">
        <f>IF('IO model'!$D$55=0,0,'Z imported'!BC62/'IO model'!$D$55)</f>
        <v>0.000002507481698517954</v>
      </c>
      <c r="BD62" s="33">
        <f>IF('IO model'!$D$56=0,0,'Z imported'!BD62/'IO model'!$D$56)</f>
        <v>9.049127434406704e-7</v>
      </c>
      <c r="BE62" s="33">
        <f>IF('IO model'!$D$57=0,0,'Z imported'!BE62/'IO model'!$D$57)</f>
        <v>8.472651973958457e-7</v>
      </c>
      <c r="BF62" s="33">
        <f>IF('IO model'!$D$58=0,0,'Z imported'!BF62/'IO model'!$D$58)</f>
        <v>0.0000014351549170002076</v>
      </c>
      <c r="BG62" s="33">
        <f>IF('IO model'!$D$59=0,0,'Z imported'!BG62/'IO model'!$D$59)</f>
        <v>0.000001106577830598426</v>
      </c>
      <c r="BH62" s="33">
        <f>IF('IO model'!$D$60=0,0,'Z imported'!BH62/'IO model'!$D$60)</f>
        <v>0.0000065463191356763905</v>
      </c>
      <c r="BI62" s="33">
        <f>IF('IO model'!$D$61=0,0,'Z imported'!BI62/'IO model'!$D$61)</f>
        <v>0.0000029261960680118192</v>
      </c>
      <c r="BJ62" s="33">
        <f>IF('IO model'!$D$62=0,0,'Z imported'!BJ62/'IO model'!$D$62)</f>
        <v>0.000005751010021134962</v>
      </c>
      <c r="BK62" s="33">
        <f>IF('IO model'!$D$63=0,0,'Z imported'!BK62/'IO model'!$D$63)</f>
        <v>0.000006249023590064053</v>
      </c>
      <c r="BL62" s="33">
        <f>IF('IO model'!$D$64=0,0,'Z imported'!BL62/'IO model'!$D$64)</f>
        <v>0.000002651961364105279</v>
      </c>
      <c r="BM62" s="33">
        <f>IF('IO model'!$D$65=0,0,'Z imported'!BM62/'IO model'!$D$65)</f>
        <v>0</v>
      </c>
      <c r="BN62" s="33">
        <f>IF('IO model'!$D$66=0,0,'Z imported'!BN62/'IO model'!$D$66)</f>
        <v>0</v>
      </c>
    </row>
    <row r="63" spans="1:66" x14ac:dyDescent="0.25">
      <c r="A63" s="30" t="s">
        <v>389</v>
      </c>
      <c r="B63" s="31" t="s">
        <v>390</v>
      </c>
      <c r="C63" s="33">
        <f>IF('IO model'!$D$3=0,0,'Z imported'!C63/'IO model'!$D$3)</f>
        <v>0.0000033168451216627523</v>
      </c>
      <c r="D63" s="33">
        <f>IF('IO model'!$D$4=0,0,'Z imported'!D63/'IO model'!$D$4)</f>
        <v>0.0000016012784607230411</v>
      </c>
      <c r="E63" s="33">
        <f>IF('IO model'!$D$5=0,0,'Z imported'!E63/'IO model'!$D$5)</f>
        <v>0.000006787069275616096</v>
      </c>
      <c r="F63" s="33">
        <f>IF('IO model'!$D$6=0,0,'Z imported'!F63/'IO model'!$D$6)</f>
        <v>0.0000055088628421692435</v>
      </c>
      <c r="G63" s="33">
        <f>IF('IO model'!$D$7=0,0,'Z imported'!G63/'IO model'!$D$7)</f>
        <v>0.0000058127899036989936</v>
      </c>
      <c r="H63" s="33">
        <f>IF('IO model'!$D$8=0,0,'Z imported'!H63/'IO model'!$D$8)</f>
        <v>0.000008344180768332166</v>
      </c>
      <c r="I63" s="33">
        <f>IF('IO model'!$D$9=0,0,'Z imported'!I63/'IO model'!$D$9)</f>
        <v>0.000005657551784985876</v>
      </c>
      <c r="J63" s="33">
        <f>IF('IO model'!$D$10=0,0,'Z imported'!J63/'IO model'!$D$10)</f>
        <v>0.000005379966886303814</v>
      </c>
      <c r="K63" s="33">
        <f>IF('IO model'!$D$11=0,0,'Z imported'!K63/'IO model'!$D$11)</f>
        <v>0.000007108320858230226</v>
      </c>
      <c r="L63" s="33">
        <f>IF('IO model'!$D$12=0,0,'Z imported'!L63/'IO model'!$D$12)</f>
        <v>0.0000034899122250339504</v>
      </c>
      <c r="M63" s="33">
        <f>IF('IO model'!$D$13=0,0,'Z imported'!M63/'IO model'!$D$13)</f>
        <v>0.000006933758183607492</v>
      </c>
      <c r="N63" s="33">
        <f>IF('IO model'!$D$14=0,0,'Z imported'!N63/'IO model'!$D$14)</f>
        <v>0.00001022650635092957</v>
      </c>
      <c r="O63" s="33">
        <f>IF('IO model'!$D$15=0,0,'Z imported'!O63/'IO model'!$D$15)</f>
        <v>0.000006726723225329253</v>
      </c>
      <c r="P63" s="33">
        <f>IF('IO model'!$D$16=0,0,'Z imported'!P63/'IO model'!$D$16)</f>
        <v>0.000006772151708237646</v>
      </c>
      <c r="Q63" s="33">
        <f>IF('IO model'!$D$17=0,0,'Z imported'!Q63/'IO model'!$D$17)</f>
        <v>0.000004767921424654923</v>
      </c>
      <c r="R63" s="33">
        <f>IF('IO model'!$D$18=0,0,'Z imported'!R63/'IO model'!$D$18)</f>
        <v>0.000004479732649555475</v>
      </c>
      <c r="S63" s="33">
        <f>IF('IO model'!$D$19=0,0,'Z imported'!S63/'IO model'!$D$19)</f>
        <v>0.000009702240783573392</v>
      </c>
      <c r="T63" s="33">
        <f>IF('IO model'!$D$20=0,0,'Z imported'!T63/'IO model'!$D$20)</f>
        <v>0.000007526389728398551</v>
      </c>
      <c r="U63" s="33">
        <f>IF('IO model'!$D$21=0,0,'Z imported'!U63/'IO model'!$D$21)</f>
        <v>0.000005568059786788865</v>
      </c>
      <c r="V63" s="33">
        <f>IF('IO model'!$D$22=0,0,'Z imported'!V63/'IO model'!$D$22)</f>
        <v>0.000004729347334303374</v>
      </c>
      <c r="W63" s="33">
        <f>IF('IO model'!$D$23=0,0,'Z imported'!W63/'IO model'!$D$23)</f>
        <v>0.000005862944869263658</v>
      </c>
      <c r="X63" s="33">
        <f>IF('IO model'!$D$24=0,0,'Z imported'!X63/'IO model'!$D$24)</f>
        <v>0.000010000564317557919</v>
      </c>
      <c r="Y63" s="33">
        <f>IF('IO model'!$D$25=0,0,'Z imported'!Y63/'IO model'!$D$25)</f>
        <v>0.000007298728439860302</v>
      </c>
      <c r="Z63" s="33">
        <f>IF('IO model'!$D$26=0,0,'Z imported'!Z63/'IO model'!$D$26)</f>
        <v>0.000003571677632163456</v>
      </c>
      <c r="AA63" s="33">
        <f>IF('IO model'!$D$27=0,0,'Z imported'!AA63/'IO model'!$D$27)</f>
        <v>0.000005701880052400278</v>
      </c>
      <c r="AB63" s="33">
        <f>IF('IO model'!$D$28=0,0,'Z imported'!AB63/'IO model'!$D$28)</f>
        <v>0.000005504281643083114</v>
      </c>
      <c r="AC63" s="33">
        <f>IF('IO model'!$D$29=0,0,'Z imported'!AC63/'IO model'!$D$29)</f>
        <v>0.0000021852298991730806</v>
      </c>
      <c r="AD63" s="33">
        <f>IF('IO model'!$D$30=0,0,'Z imported'!AD63/'IO model'!$D$30)</f>
        <v>0.0000036922922414847747</v>
      </c>
      <c r="AE63" s="33">
        <f>IF('IO model'!$D$31=0,0,'Z imported'!AE63/'IO model'!$D$31)</f>
        <v>0.000008737880163037493</v>
      </c>
      <c r="AF63" s="33">
        <f>IF('IO model'!$D$32=0,0,'Z imported'!AF63/'IO model'!$D$32)</f>
        <v>0.0000047283673402567925</v>
      </c>
      <c r="AG63" s="33">
        <f>IF('IO model'!$D$33=0,0,'Z imported'!AG63/'IO model'!$D$33)</f>
        <v>0.0000028491674085294232</v>
      </c>
      <c r="AH63" s="33">
        <f>IF('IO model'!$D$34=0,0,'Z imported'!AH63/'IO model'!$D$34)</f>
        <v>0.000011585501645784874</v>
      </c>
      <c r="AI63" s="33">
        <f>IF('IO model'!$D$35=0,0,'Z imported'!AI63/'IO model'!$D$35)</f>
        <v>0.000027838498745685827</v>
      </c>
      <c r="AJ63" s="33">
        <f>IF('IO model'!$D$36=0,0,'Z imported'!AJ63/'IO model'!$D$36)</f>
        <v>0.000004034223570549389</v>
      </c>
      <c r="AK63" s="33">
        <f>IF('IO model'!$D$37=0,0,'Z imported'!AK63/'IO model'!$D$37)</f>
        <v>0.000003461129781983435</v>
      </c>
      <c r="AL63" s="33">
        <f>IF('IO model'!$D$38=0,0,'Z imported'!AL63/'IO model'!$D$38)</f>
        <v>0.000004281062573249827</v>
      </c>
      <c r="AM63" s="33">
        <f>IF('IO model'!$D$39=0,0,'Z imported'!AM63/'IO model'!$D$39)</f>
        <v>0.000014008374296531078</v>
      </c>
      <c r="AN63" s="33">
        <f>IF('IO model'!$D$40=0,0,'Z imported'!AN63/'IO model'!$D$40)</f>
        <v>0.000008112255067841629</v>
      </c>
      <c r="AO63" s="33">
        <f>IF('IO model'!$D$41=0,0,'Z imported'!AO63/'IO model'!$D$41)</f>
        <v>0.000007550395989229652</v>
      </c>
      <c r="AP63" s="33">
        <f>IF('IO model'!$D$42=0,0,'Z imported'!AP63/'IO model'!$D$42)</f>
        <v>0.000021500296105343828</v>
      </c>
      <c r="AQ63" s="33">
        <f>IF('IO model'!$D$43=0,0,'Z imported'!AQ63/'IO model'!$D$43)</f>
        <v>0.0000019174405236913557</v>
      </c>
      <c r="AR63" s="33">
        <f>IF('IO model'!$D$44=0,0,'Z imported'!AR63/'IO model'!$D$44)</f>
        <v>0.0000027418696709581915</v>
      </c>
      <c r="AS63" s="33">
        <f>IF('IO model'!$D$45=0,0,'Z imported'!AS63/'IO model'!$D$45)</f>
        <v>0.0000054606719196189104</v>
      </c>
      <c r="AT63" s="33">
        <f>IF('IO model'!$D$46=0,0,'Z imported'!AT63/'IO model'!$D$46)</f>
        <v>4.268110160492323e-7</v>
      </c>
      <c r="AU63" s="33">
        <f>IF('IO model'!$D$47=0,0,'Z imported'!AU63/'IO model'!$D$47)</f>
        <v>0.000006349473990173483</v>
      </c>
      <c r="AV63" s="33">
        <f>IF('IO model'!$D$48=0,0,'Z imported'!AV63/'IO model'!$D$48)</f>
        <v>0.0000035680978158335228</v>
      </c>
      <c r="AW63" s="33">
        <f>IF('IO model'!$D$49=0,0,'Z imported'!AW63/'IO model'!$D$49)</f>
        <v>0.000004886572472552734</v>
      </c>
      <c r="AX63" s="33">
        <f>IF('IO model'!$D$50=0,0,'Z imported'!AX63/'IO model'!$D$50)</f>
        <v>0.00000810816289299252</v>
      </c>
      <c r="AY63" s="33">
        <f>IF('IO model'!$D$51=0,0,'Z imported'!AY63/'IO model'!$D$51)</f>
        <v>0.000004301461144901478</v>
      </c>
      <c r="AZ63" s="33">
        <f>IF('IO model'!$D$52=0,0,'Z imported'!AZ63/'IO model'!$D$52)</f>
        <v>0.000006514000214962007</v>
      </c>
      <c r="BA63" s="33">
        <f>IF('IO model'!$D$53=0,0,'Z imported'!BA63/'IO model'!$D$53)</f>
        <v>0.0000025764242580649595</v>
      </c>
      <c r="BB63" s="33">
        <f>IF('IO model'!$D$54=0,0,'Z imported'!BB63/'IO model'!$D$54)</f>
        <v>0.000007978114436477852</v>
      </c>
      <c r="BC63" s="33">
        <f>IF('IO model'!$D$55=0,0,'Z imported'!BC63/'IO model'!$D$55)</f>
        <v>0.000005171681003193278</v>
      </c>
      <c r="BD63" s="33">
        <f>IF('IO model'!$D$56=0,0,'Z imported'!BD63/'IO model'!$D$56)</f>
        <v>0.000002157868849743137</v>
      </c>
      <c r="BE63" s="33">
        <f>IF('IO model'!$D$57=0,0,'Z imported'!BE63/'IO model'!$D$57)</f>
        <v>0.0000016945303947916916</v>
      </c>
      <c r="BF63" s="33">
        <f>IF('IO model'!$D$58=0,0,'Z imported'!BF63/'IO model'!$D$58)</f>
        <v>0.000003428425635056051</v>
      </c>
      <c r="BG63" s="33">
        <f>IF('IO model'!$D$59=0,0,'Z imported'!BG63/'IO model'!$D$59)</f>
        <v>0.000002028726022763781</v>
      </c>
      <c r="BH63" s="33">
        <f>IF('IO model'!$D$60=0,0,'Z imported'!BH63/'IO model'!$D$60)</f>
        <v>0.000005673476584252872</v>
      </c>
      <c r="BI63" s="33">
        <f>IF('IO model'!$D$61=0,0,'Z imported'!BI63/'IO model'!$D$61)</f>
        <v>0.000003511435281614183</v>
      </c>
      <c r="BJ63" s="33">
        <f>IF('IO model'!$D$62=0,0,'Z imported'!BJ63/'IO model'!$D$62)</f>
        <v>0.0000028755050105674816</v>
      </c>
      <c r="BK63" s="33">
        <f>IF('IO model'!$D$63=0,0,'Z imported'!BK63/'IO model'!$D$63)</f>
        <v>0.00001562255897516013</v>
      </c>
      <c r="BL63" s="33">
        <f>IF('IO model'!$D$64=0,0,'Z imported'!BL63/'IO model'!$D$64)</f>
        <v>0.000002651961364105279</v>
      </c>
      <c r="BM63" s="33">
        <f>IF('IO model'!$D$65=0,0,'Z imported'!BM63/'IO model'!$D$65)</f>
        <v>0</v>
      </c>
      <c r="BN63" s="33">
        <f>IF('IO model'!$D$66=0,0,'Z imported'!BN63/'IO model'!$D$66)</f>
        <v>0</v>
      </c>
    </row>
    <row r="64" spans="1:66" x14ac:dyDescent="0.25">
      <c r="A64" s="30" t="s">
        <v>391</v>
      </c>
      <c r="B64" s="31" t="s">
        <v>392</v>
      </c>
      <c r="C64" s="33">
        <f>IF('IO model'!$D$3=0,0,'Z imported'!C64/'IO model'!$D$3)</f>
        <v>0.000008903110589726336</v>
      </c>
      <c r="D64" s="33">
        <f>IF('IO model'!$D$4=0,0,'Z imported'!D64/'IO model'!$D$4)</f>
        <v>0.00003042429075373778</v>
      </c>
      <c r="E64" s="33">
        <f>IF('IO model'!$D$5=0,0,'Z imported'!E64/'IO model'!$D$5)</f>
        <v>0.00007465776203177706</v>
      </c>
      <c r="F64" s="33">
        <f>IF('IO model'!$D$6=0,0,'Z imported'!F64/'IO model'!$D$6)</f>
        <v>0.00002662617040381801</v>
      </c>
      <c r="G64" s="33">
        <f>IF('IO model'!$D$7=0,0,'Z imported'!G64/'IO model'!$D$7)</f>
        <v>0.000012434955616773795</v>
      </c>
      <c r="H64" s="33">
        <f>IF('IO model'!$D$8=0,0,'Z imported'!H64/'IO model'!$D$8)</f>
        <v>0.00002108003562526021</v>
      </c>
      <c r="I64" s="33">
        <f>IF('IO model'!$D$9=0,0,'Z imported'!I64/'IO model'!$D$9)</f>
        <v>0.000020932941604447742</v>
      </c>
      <c r="J64" s="33">
        <f>IF('IO model'!$D$10=0,0,'Z imported'!J64/'IO model'!$D$10)</f>
        <v>0.000020623206397497955</v>
      </c>
      <c r="K64" s="33">
        <f>IF('IO model'!$D$11=0,0,'Z imported'!K64/'IO model'!$D$11)</f>
        <v>0.00004549325349267345</v>
      </c>
      <c r="L64" s="33">
        <f>IF('IO model'!$D$12=0,0,'Z imported'!L64/'IO model'!$D$12)</f>
        <v>0.000014143328490927061</v>
      </c>
      <c r="M64" s="33">
        <f>IF('IO model'!$D$13=0,0,'Z imported'!M64/'IO model'!$D$13)</f>
        <v>0.00001591612673964447</v>
      </c>
      <c r="N64" s="33">
        <f>IF('IO model'!$D$14=0,0,'Z imported'!N64/'IO model'!$D$14)</f>
        <v>0.000023144198583682698</v>
      </c>
      <c r="O64" s="33">
        <f>IF('IO model'!$D$15=0,0,'Z imported'!O64/'IO model'!$D$15)</f>
        <v>0.000020740729944765193</v>
      </c>
      <c r="P64" s="33">
        <f>IF('IO model'!$D$16=0,0,'Z imported'!P64/'IO model'!$D$16)</f>
        <v>0.000021445147076085884</v>
      </c>
      <c r="Q64" s="33">
        <f>IF('IO model'!$D$17=0,0,'Z imported'!Q64/'IO model'!$D$17)</f>
        <v>0.000016091734808210365</v>
      </c>
      <c r="R64" s="33">
        <f>IF('IO model'!$D$18=0,0,'Z imported'!R64/'IO model'!$D$18)</f>
        <v>0.000012959226593356909</v>
      </c>
      <c r="S64" s="33">
        <f>IF('IO model'!$D$19=0,0,'Z imported'!S64/'IO model'!$D$19)</f>
        <v>0.0000222130249518654</v>
      </c>
      <c r="T64" s="33">
        <f>IF('IO model'!$D$20=0,0,'Z imported'!T64/'IO model'!$D$20)</f>
        <v>0.00001635043285824513</v>
      </c>
      <c r="U64" s="33">
        <f>IF('IO model'!$D$21=0,0,'Z imported'!U64/'IO model'!$D$21)</f>
        <v>0.00001113611957357773</v>
      </c>
      <c r="V64" s="33">
        <f>IF('IO model'!$D$22=0,0,'Z imported'!V64/'IO model'!$D$22)</f>
        <v>0.000008809568563898441</v>
      </c>
      <c r="W64" s="33">
        <f>IF('IO model'!$D$23=0,0,'Z imported'!W64/'IO model'!$D$23)</f>
        <v>0.000016489532444804037</v>
      </c>
      <c r="X64" s="33">
        <f>IF('IO model'!$D$24=0,0,'Z imported'!X64/'IO model'!$D$24)</f>
        <v>0.00036216329350013325</v>
      </c>
      <c r="Y64" s="33">
        <f>IF('IO model'!$D$25=0,0,'Z imported'!Y64/'IO model'!$D$25)</f>
        <v>0.000018652306012976325</v>
      </c>
      <c r="Z64" s="33">
        <f>IF('IO model'!$D$26=0,0,'Z imported'!Z64/'IO model'!$D$26)</f>
        <v>0.000008304150494780036</v>
      </c>
      <c r="AA64" s="33">
        <f>IF('IO model'!$D$27=0,0,'Z imported'!AA64/'IO model'!$D$27)</f>
        <v>0.000027083930248901318</v>
      </c>
      <c r="AB64" s="33">
        <f>IF('IO model'!$D$28=0,0,'Z imported'!AB64/'IO model'!$D$28)</f>
        <v>0.000027521408215415568</v>
      </c>
      <c r="AC64" s="33">
        <f>IF('IO model'!$D$29=0,0,'Z imported'!AC64/'IO model'!$D$29)</f>
        <v>0.000004205536787087815</v>
      </c>
      <c r="AD64" s="33">
        <f>IF('IO model'!$D$30=0,0,'Z imported'!AD64/'IO model'!$D$30)</f>
        <v>0.000015261474598137068</v>
      </c>
      <c r="AE64" s="33">
        <f>IF('IO model'!$D$31=0,0,'Z imported'!AE64/'IO model'!$D$31)</f>
        <v>0.00001543313898926103</v>
      </c>
      <c r="AF64" s="33">
        <f>IF('IO model'!$D$32=0,0,'Z imported'!AF64/'IO model'!$D$32)</f>
        <v>0.000010705737374166324</v>
      </c>
      <c r="AG64" s="33">
        <f>IF('IO model'!$D$33=0,0,'Z imported'!AG64/'IO model'!$D$33)</f>
        <v>0.00001113765441516047</v>
      </c>
      <c r="AH64" s="33">
        <f>IF('IO model'!$D$34=0,0,'Z imported'!AH64/'IO model'!$D$34)</f>
        <v>0.00007723667763856582</v>
      </c>
      <c r="AI64" s="33">
        <f>IF('IO model'!$D$35=0,0,'Z imported'!AI64/'IO model'!$D$35)</f>
        <v>0.0000626366221777931</v>
      </c>
      <c r="AJ64" s="33">
        <f>IF('IO model'!$D$36=0,0,'Z imported'!AJ64/'IO model'!$D$36)</f>
        <v>0.000017806228173459367</v>
      </c>
      <c r="AK64" s="33">
        <f>IF('IO model'!$D$37=0,0,'Z imported'!AK64/'IO model'!$D$37)</f>
        <v>0.00003253461995064429</v>
      </c>
      <c r="AL64" s="33">
        <f>IF('IO model'!$D$38=0,0,'Z imported'!AL64/'IO model'!$D$38)</f>
        <v>0.0000331219051719855</v>
      </c>
      <c r="AM64" s="33">
        <f>IF('IO model'!$D$39=0,0,'Z imported'!AM64/'IO model'!$D$39)</f>
        <v>0.00003795817551318097</v>
      </c>
      <c r="AN64" s="33">
        <f>IF('IO model'!$D$40=0,0,'Z imported'!AN64/'IO model'!$D$40)</f>
        <v>0.0000318695734808064</v>
      </c>
      <c r="AO64" s="33">
        <f>IF('IO model'!$D$41=0,0,'Z imported'!AO64/'IO model'!$D$41)</f>
        <v>0.00001568159166993851</v>
      </c>
      <c r="AP64" s="33">
        <f>IF('IO model'!$D$42=0,0,'Z imported'!AP64/'IO model'!$D$42)</f>
        <v>0.00001959520657702223</v>
      </c>
      <c r="AQ64" s="33">
        <f>IF('IO model'!$D$43=0,0,'Z imported'!AQ64/'IO model'!$D$43)</f>
        <v>0.000003595200981921292</v>
      </c>
      <c r="AR64" s="33">
        <f>IF('IO model'!$D$44=0,0,'Z imported'!AR64/'IO model'!$D$44)</f>
        <v>0.000014457130992325011</v>
      </c>
      <c r="AS64" s="33">
        <f>IF('IO model'!$D$45=0,0,'Z imported'!AS64/'IO model'!$D$45)</f>
        <v>0.000014775935782498226</v>
      </c>
      <c r="AT64" s="33">
        <f>IF('IO model'!$D$46=0,0,'Z imported'!AT64/'IO model'!$D$46)</f>
        <v>0.0000018020909566523148</v>
      </c>
      <c r="AU64" s="33">
        <f>IF('IO model'!$D$47=0,0,'Z imported'!AU64/'IO model'!$D$47)</f>
        <v>0.000010670643789041546</v>
      </c>
      <c r="AV64" s="33">
        <f>IF('IO model'!$D$48=0,0,'Z imported'!AV64/'IO model'!$D$48)</f>
        <v>0.000011596317901458952</v>
      </c>
      <c r="AW64" s="33">
        <f>IF('IO model'!$D$49=0,0,'Z imported'!AW64/'IO model'!$D$49)</f>
        <v>0.000021582361753774574</v>
      </c>
      <c r="AX64" s="33">
        <f>IF('IO model'!$D$50=0,0,'Z imported'!AX64/'IO model'!$D$50)</f>
        <v>0.00003011603360254364</v>
      </c>
      <c r="AY64" s="33">
        <f>IF('IO model'!$D$51=0,0,'Z imported'!AY64/'IO model'!$D$51)</f>
        <v>0.00002273629462305067</v>
      </c>
      <c r="AZ64" s="33">
        <f>IF('IO model'!$D$52=0,0,'Z imported'!AZ64/'IO model'!$D$52)</f>
        <v>0.000024698917481730946</v>
      </c>
      <c r="BA64" s="33">
        <f>IF('IO model'!$D$53=0,0,'Z imported'!BA64/'IO model'!$D$53)</f>
        <v>0.000018034969806454717</v>
      </c>
      <c r="BB64" s="33">
        <f>IF('IO model'!$D$54=0,0,'Z imported'!BB64/'IO model'!$D$54)</f>
        <v>0.0006589922524530706</v>
      </c>
      <c r="BC64" s="33">
        <f>IF('IO model'!$D$55=0,0,'Z imported'!BC64/'IO model'!$D$55)</f>
        <v>0.000011910538067960277</v>
      </c>
      <c r="BD64" s="33">
        <f>IF('IO model'!$D$56=0,0,'Z imported'!BD64/'IO model'!$D$56)</f>
        <v>0.000007239301947525363</v>
      </c>
      <c r="BE64" s="33">
        <f>IF('IO model'!$D$57=0,0,'Z imported'!BE64/'IO model'!$D$57)</f>
        <v>0.000006989937878515727</v>
      </c>
      <c r="BF64" s="33">
        <f>IF('IO model'!$D$58=0,0,'Z imported'!BF64/'IO model'!$D$58)</f>
        <v>0.000035480218781394015</v>
      </c>
      <c r="BG64" s="33">
        <f>IF('IO model'!$D$59=0,0,'Z imported'!BG64/'IO model'!$D$59)</f>
        <v>0.000014754371074645681</v>
      </c>
      <c r="BH64" s="33">
        <f>IF('IO model'!$D$60=0,0,'Z imported'!BH64/'IO model'!$D$60)</f>
        <v>0.000031422331851246676</v>
      </c>
      <c r="BI64" s="33">
        <f>IF('IO model'!$D$61=0,0,'Z imported'!BI64/'IO model'!$D$61)</f>
        <v>0.000032773395961732376</v>
      </c>
      <c r="BJ64" s="33">
        <f>IF('IO model'!$D$62=0,0,'Z imported'!BJ64/'IO model'!$D$62)</f>
        <v>0.00004083217115005824</v>
      </c>
      <c r="BK64" s="33">
        <f>IF('IO model'!$D$63=0,0,'Z imported'!BK64/'IO model'!$D$63)</f>
        <v>0.00004999218872051242</v>
      </c>
      <c r="BL64" s="33">
        <f>IF('IO model'!$D$64=0,0,'Z imported'!BL64/'IO model'!$D$64)</f>
        <v>0.0002646657441377069</v>
      </c>
      <c r="BM64" s="33">
        <f>IF('IO model'!$D$65=0,0,'Z imported'!BM64/'IO model'!$D$65)</f>
        <v>0</v>
      </c>
      <c r="BN64" s="33">
        <f>IF('IO model'!$D$66=0,0,'Z imported'!BN64/'IO model'!$D$66)</f>
        <v>0</v>
      </c>
    </row>
    <row r="65" spans="1:66" x14ac:dyDescent="0.25">
      <c r="A65" s="30" t="s">
        <v>393</v>
      </c>
      <c r="B65" s="31" t="s">
        <v>394</v>
      </c>
      <c r="C65" s="33">
        <f>IF('IO model'!$D$3=0,0,'Z imported'!C65/'IO model'!$D$3)</f>
        <v>1.7457079587698695e-7</v>
      </c>
      <c r="D65" s="33">
        <f>IF('IO model'!$D$4=0,0,'Z imported'!D65/'IO model'!$D$4)</f>
        <v>0</v>
      </c>
      <c r="E65" s="33">
        <f>IF('IO model'!$D$5=0,0,'Z imported'!E65/'IO model'!$D$5)</f>
        <v>0</v>
      </c>
      <c r="F65" s="33">
        <f>IF('IO model'!$D$6=0,0,'Z imported'!F65/'IO model'!$D$6)</f>
        <v>0</v>
      </c>
      <c r="G65" s="33">
        <f>IF('IO model'!$D$7=0,0,'Z imported'!G65/'IO model'!$D$7)</f>
        <v>7.357961903416447e-8</v>
      </c>
      <c r="H65" s="33">
        <f>IF('IO model'!$D$8=0,0,'Z imported'!H65/'IO model'!$D$8)</f>
        <v>0</v>
      </c>
      <c r="I65" s="33">
        <f>IF('IO model'!$D$9=0,0,'Z imported'!I65/'IO model'!$D$9)</f>
        <v>0</v>
      </c>
      <c r="J65" s="33">
        <f>IF('IO model'!$D$10=0,0,'Z imported'!J65/'IO model'!$D$10)</f>
        <v>0</v>
      </c>
      <c r="K65" s="33">
        <f>IF('IO model'!$D$11=0,0,'Z imported'!K65/'IO model'!$D$11)</f>
        <v>0</v>
      </c>
      <c r="L65" s="33">
        <f>IF('IO model'!$D$12=0,0,'Z imported'!L65/'IO model'!$D$12)</f>
        <v>1.8367959079126052e-7</v>
      </c>
      <c r="M65" s="33">
        <f>IF('IO model'!$D$13=0,0,'Z imported'!M65/'IO model'!$D$13)</f>
        <v>1.5758541326380665e-7</v>
      </c>
      <c r="N65" s="33">
        <f>IF('IO model'!$D$14=0,0,'Z imported'!N65/'IO model'!$D$14)</f>
        <v>2.69118588182357e-7</v>
      </c>
      <c r="O65" s="33">
        <f>IF('IO model'!$D$15=0,0,'Z imported'!O65/'IO model'!$D$15)</f>
        <v>2.8028013438871885e-7</v>
      </c>
      <c r="P65" s="33">
        <f>IF('IO model'!$D$16=0,0,'Z imported'!P65/'IO model'!$D$16)</f>
        <v>0</v>
      </c>
      <c r="Q65" s="33">
        <f>IF('IO model'!$D$17=0,0,'Z imported'!Q65/'IO model'!$D$17)</f>
        <v>1.9866339269395512e-7</v>
      </c>
      <c r="R65" s="33">
        <f>IF('IO model'!$D$18=0,0,'Z imported'!R65/'IO model'!$D$18)</f>
        <v>1.5999045176983837e-7</v>
      </c>
      <c r="S65" s="33">
        <f>IF('IO model'!$D$19=0,0,'Z imported'!S65/'IO model'!$D$19)</f>
        <v>0</v>
      </c>
      <c r="T65" s="33">
        <f>IF('IO model'!$D$20=0,0,'Z imported'!T65/'IO model'!$D$20)</f>
        <v>0</v>
      </c>
      <c r="U65" s="33">
        <f>IF('IO model'!$D$21=0,0,'Z imported'!U65/'IO model'!$D$21)</f>
        <v>0</v>
      </c>
      <c r="V65" s="33">
        <f>IF('IO model'!$D$22=0,0,'Z imported'!V65/'IO model'!$D$22)</f>
        <v>0</v>
      </c>
      <c r="W65" s="33">
        <f>IF('IO model'!$D$23=0,0,'Z imported'!W65/'IO model'!$D$23)</f>
        <v>0</v>
      </c>
      <c r="X65" s="33">
        <f>IF('IO model'!$D$24=0,0,'Z imported'!X65/'IO model'!$D$24)</f>
        <v>0.0000010714890340240628</v>
      </c>
      <c r="Y65" s="33">
        <f>IF('IO model'!$D$25=0,0,'Z imported'!Y65/'IO model'!$D$25)</f>
        <v>0</v>
      </c>
      <c r="Z65" s="33">
        <f>IF('IO model'!$D$26=0,0,'Z imported'!Z65/'IO model'!$D$26)</f>
        <v>8.92919408040864e-8</v>
      </c>
      <c r="AA65" s="33">
        <f>IF('IO model'!$D$27=0,0,'Z imported'!AA65/'IO model'!$D$27)</f>
        <v>0</v>
      </c>
      <c r="AB65" s="33">
        <f>IF('IO model'!$D$28=0,0,'Z imported'!AB65/'IO model'!$D$28)</f>
        <v>3.440176026926946e-7</v>
      </c>
      <c r="AC65" s="33">
        <f>IF('IO model'!$D$29=0,0,'Z imported'!AC65/'IO model'!$D$29)</f>
        <v>0</v>
      </c>
      <c r="AD65" s="33">
        <f>IF('IO model'!$D$30=0,0,'Z imported'!AD65/'IO model'!$D$30)</f>
        <v>0</v>
      </c>
      <c r="AE65" s="33">
        <f>IF('IO model'!$D$31=0,0,'Z imported'!AE65/'IO model'!$D$31)</f>
        <v>0</v>
      </c>
      <c r="AF65" s="33">
        <f>IF('IO model'!$D$32=0,0,'Z imported'!AF65/'IO model'!$D$32)</f>
        <v>0</v>
      </c>
      <c r="AG65" s="33">
        <f>IF('IO model'!$D$33=0,0,'Z imported'!AG65/'IO model'!$D$33)</f>
        <v>0</v>
      </c>
      <c r="AH65" s="33">
        <f>IF('IO model'!$D$34=0,0,'Z imported'!AH65/'IO model'!$D$34)</f>
        <v>0</v>
      </c>
      <c r="AI65" s="33">
        <f>IF('IO model'!$D$35=0,0,'Z imported'!AI65/'IO model'!$D$35)</f>
        <v>0</v>
      </c>
      <c r="AJ65" s="33">
        <f>IF('IO model'!$D$36=0,0,'Z imported'!AJ65/'IO model'!$D$36)</f>
        <v>1.3911115760515133e-7</v>
      </c>
      <c r="AK65" s="33">
        <f>IF('IO model'!$D$37=0,0,'Z imported'!AK65/'IO model'!$D$37)</f>
        <v>0</v>
      </c>
      <c r="AL65" s="33">
        <f>IF('IO model'!$D$38=0,0,'Z imported'!AL65/'IO model'!$D$38)</f>
        <v>1.1265954140131123e-7</v>
      </c>
      <c r="AM65" s="33">
        <f>IF('IO model'!$D$39=0,0,'Z imported'!AM65/'IO model'!$D$39)</f>
        <v>0</v>
      </c>
      <c r="AN65" s="33">
        <f>IF('IO model'!$D$40=0,0,'Z imported'!AN65/'IO model'!$D$40)</f>
        <v>0</v>
      </c>
      <c r="AO65" s="33">
        <f>IF('IO model'!$D$41=0,0,'Z imported'!AO65/'IO model'!$D$41)</f>
        <v>0</v>
      </c>
      <c r="AP65" s="33">
        <f>IF('IO model'!$D$42=0,0,'Z imported'!AP65/'IO model'!$D$42)</f>
        <v>0</v>
      </c>
      <c r="AQ65" s="33">
        <f>IF('IO model'!$D$43=0,0,'Z imported'!AQ65/'IO model'!$D$43)</f>
        <v>0</v>
      </c>
      <c r="AR65" s="33">
        <f>IF('IO model'!$D$44=0,0,'Z imported'!AR65/'IO model'!$D$44)</f>
        <v>0</v>
      </c>
      <c r="AS65" s="33">
        <f>IF('IO model'!$D$45=0,0,'Z imported'!AS65/'IO model'!$D$45)</f>
        <v>0</v>
      </c>
      <c r="AT65" s="33">
        <f>IF('IO model'!$D$46=0,0,'Z imported'!AT65/'IO model'!$D$46)</f>
        <v>0</v>
      </c>
      <c r="AU65" s="33">
        <f>IF('IO model'!$D$47=0,0,'Z imported'!AU65/'IO model'!$D$47)</f>
        <v>0</v>
      </c>
      <c r="AV65" s="33">
        <f>IF('IO model'!$D$48=0,0,'Z imported'!AV65/'IO model'!$D$48)</f>
        <v>0</v>
      </c>
      <c r="AW65" s="33">
        <f>IF('IO model'!$D$49=0,0,'Z imported'!AW65/'IO model'!$D$49)</f>
        <v>0</v>
      </c>
      <c r="AX65" s="33">
        <f>IF('IO model'!$D$50=0,0,'Z imported'!AX65/'IO model'!$D$50)</f>
        <v>0</v>
      </c>
      <c r="AY65" s="33">
        <f>IF('IO model'!$D$51=0,0,'Z imported'!AY65/'IO model'!$D$51)</f>
        <v>0</v>
      </c>
      <c r="AZ65" s="33">
        <f>IF('IO model'!$D$52=0,0,'Z imported'!AZ65/'IO model'!$D$52)</f>
        <v>0</v>
      </c>
      <c r="BA65" s="33">
        <f>IF('IO model'!$D$53=0,0,'Z imported'!BA65/'IO model'!$D$53)</f>
        <v>0</v>
      </c>
      <c r="BB65" s="33">
        <f>IF('IO model'!$D$54=0,0,'Z imported'!BB65/'IO model'!$D$54)</f>
        <v>0.0000015956228872955706</v>
      </c>
      <c r="BC65" s="33">
        <f>IF('IO model'!$D$55=0,0,'Z imported'!BC65/'IO model'!$D$55)</f>
        <v>0</v>
      </c>
      <c r="BD65" s="33">
        <f>IF('IO model'!$D$56=0,0,'Z imported'!BD65/'IO model'!$D$56)</f>
        <v>0</v>
      </c>
      <c r="BE65" s="33">
        <f>IF('IO model'!$D$57=0,0,'Z imported'!BE65/'IO model'!$D$57)</f>
        <v>0</v>
      </c>
      <c r="BF65" s="33">
        <f>IF('IO model'!$D$58=0,0,'Z imported'!BF65/'IO model'!$D$58)</f>
        <v>1.594616574444675e-7</v>
      </c>
      <c r="BG65" s="33">
        <f>IF('IO model'!$D$59=0,0,'Z imported'!BG65/'IO model'!$D$59)</f>
        <v>0</v>
      </c>
      <c r="BH65" s="33">
        <f>IF('IO model'!$D$60=0,0,'Z imported'!BH65/'IO model'!$D$60)</f>
        <v>0</v>
      </c>
      <c r="BI65" s="33">
        <f>IF('IO model'!$D$61=0,0,'Z imported'!BI65/'IO model'!$D$61)</f>
        <v>0</v>
      </c>
      <c r="BJ65" s="33">
        <f>IF('IO model'!$D$62=0,0,'Z imported'!BJ65/'IO model'!$D$62)</f>
        <v>0</v>
      </c>
      <c r="BK65" s="33">
        <f>IF('IO model'!$D$63=0,0,'Z imported'!BK65/'IO model'!$D$63)</f>
        <v>0</v>
      </c>
      <c r="BL65" s="33">
        <f>IF('IO model'!$D$64=0,0,'Z imported'!BL65/'IO model'!$D$64)</f>
        <v>5.303922728210558e-7</v>
      </c>
      <c r="BM65" s="33">
        <f>IF('IO model'!$D$65=0,0,'Z imported'!BM65/'IO model'!$D$65)</f>
        <v>0</v>
      </c>
      <c r="BN65" s="33">
        <f>IF('IO model'!$D$66=0,0,'Z imported'!BN65/'IO model'!$D$66)</f>
        <v>0</v>
      </c>
    </row>
    <row r="66" spans="1:66" x14ac:dyDescent="0.25">
      <c r="A66" s="30" t="s">
        <v>395</v>
      </c>
      <c r="B66" s="31" t="s">
        <v>396</v>
      </c>
      <c r="C66" s="33">
        <f>IF('IO model'!$D$3=0,0,'Z imported'!C66/'IO model'!$D$3)</f>
        <v>0</v>
      </c>
      <c r="D66" s="33">
        <f>IF('IO model'!$D$4=0,0,'Z imported'!D66/'IO model'!$D$4)</f>
        <v>0</v>
      </c>
      <c r="E66" s="33">
        <f>IF('IO model'!$D$5=0,0,'Z imported'!E66/'IO model'!$D$5)</f>
        <v>0</v>
      </c>
      <c r="F66" s="33">
        <f>IF('IO model'!$D$6=0,0,'Z imported'!F66/'IO model'!$D$6)</f>
        <v>0</v>
      </c>
      <c r="G66" s="33">
        <f>IF('IO model'!$D$7=0,0,'Z imported'!G66/'IO model'!$D$7)</f>
        <v>0</v>
      </c>
      <c r="H66" s="33">
        <f>IF('IO model'!$D$8=0,0,'Z imported'!H66/'IO model'!$D$8)</f>
        <v>0</v>
      </c>
      <c r="I66" s="33">
        <f>IF('IO model'!$D$9=0,0,'Z imported'!I66/'IO model'!$D$9)</f>
        <v>0</v>
      </c>
      <c r="J66" s="33">
        <f>IF('IO model'!$D$10=0,0,'Z imported'!J66/'IO model'!$D$10)</f>
        <v>0</v>
      </c>
      <c r="K66" s="33">
        <f>IF('IO model'!$D$11=0,0,'Z imported'!K66/'IO model'!$D$11)</f>
        <v>0</v>
      </c>
      <c r="L66" s="33">
        <f>IF('IO model'!$D$12=0,0,'Z imported'!L66/'IO model'!$D$12)</f>
        <v>0</v>
      </c>
      <c r="M66" s="33">
        <f>IF('IO model'!$D$13=0,0,'Z imported'!M66/'IO model'!$D$13)</f>
        <v>0</v>
      </c>
      <c r="N66" s="33">
        <f>IF('IO model'!$D$14=0,0,'Z imported'!N66/'IO model'!$D$14)</f>
        <v>0</v>
      </c>
      <c r="O66" s="33">
        <f>IF('IO model'!$D$15=0,0,'Z imported'!O66/'IO model'!$D$15)</f>
        <v>0</v>
      </c>
      <c r="P66" s="33">
        <f>IF('IO model'!$D$16=0,0,'Z imported'!P66/'IO model'!$D$16)</f>
        <v>0</v>
      </c>
      <c r="Q66" s="33">
        <f>IF('IO model'!$D$17=0,0,'Z imported'!Q66/'IO model'!$D$17)</f>
        <v>0</v>
      </c>
      <c r="R66" s="33">
        <f>IF('IO model'!$D$18=0,0,'Z imported'!R66/'IO model'!$D$18)</f>
        <v>0</v>
      </c>
      <c r="S66" s="33">
        <f>IF('IO model'!$D$19=0,0,'Z imported'!S66/'IO model'!$D$19)</f>
        <v>0</v>
      </c>
      <c r="T66" s="33">
        <f>IF('IO model'!$D$20=0,0,'Z imported'!T66/'IO model'!$D$20)</f>
        <v>0</v>
      </c>
      <c r="U66" s="33">
        <f>IF('IO model'!$D$21=0,0,'Z imported'!U66/'IO model'!$D$21)</f>
        <v>0</v>
      </c>
      <c r="V66" s="33">
        <f>IF('IO model'!$D$22=0,0,'Z imported'!V66/'IO model'!$D$22)</f>
        <v>0</v>
      </c>
      <c r="W66" s="33">
        <f>IF('IO model'!$D$23=0,0,'Z imported'!W66/'IO model'!$D$23)</f>
        <v>0</v>
      </c>
      <c r="X66" s="33">
        <f>IF('IO model'!$D$24=0,0,'Z imported'!X66/'IO model'!$D$24)</f>
        <v>0</v>
      </c>
      <c r="Y66" s="33">
        <f>IF('IO model'!$D$25=0,0,'Z imported'!Y66/'IO model'!$D$25)</f>
        <v>0</v>
      </c>
      <c r="Z66" s="33">
        <f>IF('IO model'!$D$26=0,0,'Z imported'!Z66/'IO model'!$D$26)</f>
        <v>0</v>
      </c>
      <c r="AA66" s="33">
        <f>IF('IO model'!$D$27=0,0,'Z imported'!AA66/'IO model'!$D$27)</f>
        <v>0</v>
      </c>
      <c r="AB66" s="33">
        <f>IF('IO model'!$D$28=0,0,'Z imported'!AB66/'IO model'!$D$28)</f>
        <v>0</v>
      </c>
      <c r="AC66" s="33">
        <f>IF('IO model'!$D$29=0,0,'Z imported'!AC66/'IO model'!$D$29)</f>
        <v>0</v>
      </c>
      <c r="AD66" s="33">
        <f>IF('IO model'!$D$30=0,0,'Z imported'!AD66/'IO model'!$D$30)</f>
        <v>0</v>
      </c>
      <c r="AE66" s="33">
        <f>IF('IO model'!$D$31=0,0,'Z imported'!AE66/'IO model'!$D$31)</f>
        <v>0</v>
      </c>
      <c r="AF66" s="33">
        <f>IF('IO model'!$D$32=0,0,'Z imported'!AF66/'IO model'!$D$32)</f>
        <v>0</v>
      </c>
      <c r="AG66" s="33">
        <f>IF('IO model'!$D$33=0,0,'Z imported'!AG66/'IO model'!$D$33)</f>
        <v>0</v>
      </c>
      <c r="AH66" s="33">
        <f>IF('IO model'!$D$34=0,0,'Z imported'!AH66/'IO model'!$D$34)</f>
        <v>0</v>
      </c>
      <c r="AI66" s="33">
        <f>IF('IO model'!$D$35=0,0,'Z imported'!AI66/'IO model'!$D$35)</f>
        <v>0</v>
      </c>
      <c r="AJ66" s="33">
        <f>IF('IO model'!$D$36=0,0,'Z imported'!AJ66/'IO model'!$D$36)</f>
        <v>0</v>
      </c>
      <c r="AK66" s="33">
        <f>IF('IO model'!$D$37=0,0,'Z imported'!AK66/'IO model'!$D$37)</f>
        <v>0</v>
      </c>
      <c r="AL66" s="33">
        <f>IF('IO model'!$D$38=0,0,'Z imported'!AL66/'IO model'!$D$38)</f>
        <v>0</v>
      </c>
      <c r="AM66" s="33">
        <f>IF('IO model'!$D$39=0,0,'Z imported'!AM66/'IO model'!$D$39)</f>
        <v>0</v>
      </c>
      <c r="AN66" s="33">
        <f>IF('IO model'!$D$40=0,0,'Z imported'!AN66/'IO model'!$D$40)</f>
        <v>0</v>
      </c>
      <c r="AO66" s="33">
        <f>IF('IO model'!$D$41=0,0,'Z imported'!AO66/'IO model'!$D$41)</f>
        <v>0</v>
      </c>
      <c r="AP66" s="33">
        <f>IF('IO model'!$D$42=0,0,'Z imported'!AP66/'IO model'!$D$42)</f>
        <v>0</v>
      </c>
      <c r="AQ66" s="33">
        <f>IF('IO model'!$D$43=0,0,'Z imported'!AQ66/'IO model'!$D$43)</f>
        <v>0</v>
      </c>
      <c r="AR66" s="33">
        <f>IF('IO model'!$D$44=0,0,'Z imported'!AR66/'IO model'!$D$44)</f>
        <v>0</v>
      </c>
      <c r="AS66" s="33">
        <f>IF('IO model'!$D$45=0,0,'Z imported'!AS66/'IO model'!$D$45)</f>
        <v>0</v>
      </c>
      <c r="AT66" s="33">
        <f>IF('IO model'!$D$46=0,0,'Z imported'!AT66/'IO model'!$D$46)</f>
        <v>0</v>
      </c>
      <c r="AU66" s="33">
        <f>IF('IO model'!$D$47=0,0,'Z imported'!AU66/'IO model'!$D$47)</f>
        <v>0</v>
      </c>
      <c r="AV66" s="33">
        <f>IF('IO model'!$D$48=0,0,'Z imported'!AV66/'IO model'!$D$48)</f>
        <v>0</v>
      </c>
      <c r="AW66" s="33">
        <f>IF('IO model'!$D$49=0,0,'Z imported'!AW66/'IO model'!$D$49)</f>
        <v>0</v>
      </c>
      <c r="AX66" s="33">
        <f>IF('IO model'!$D$50=0,0,'Z imported'!AX66/'IO model'!$D$50)</f>
        <v>0</v>
      </c>
      <c r="AY66" s="33">
        <f>IF('IO model'!$D$51=0,0,'Z imported'!AY66/'IO model'!$D$51)</f>
        <v>0</v>
      </c>
      <c r="AZ66" s="33">
        <f>IF('IO model'!$D$52=0,0,'Z imported'!AZ66/'IO model'!$D$52)</f>
        <v>0</v>
      </c>
      <c r="BA66" s="33">
        <f>IF('IO model'!$D$53=0,0,'Z imported'!BA66/'IO model'!$D$53)</f>
        <v>0</v>
      </c>
      <c r="BB66" s="33">
        <f>IF('IO model'!$D$54=0,0,'Z imported'!BB66/'IO model'!$D$54)</f>
        <v>0</v>
      </c>
      <c r="BC66" s="33">
        <f>IF('IO model'!$D$55=0,0,'Z imported'!BC66/'IO model'!$D$55)</f>
        <v>0</v>
      </c>
      <c r="BD66" s="33">
        <f>IF('IO model'!$D$56=0,0,'Z imported'!BD66/'IO model'!$D$56)</f>
        <v>0</v>
      </c>
      <c r="BE66" s="33">
        <f>IF('IO model'!$D$57=0,0,'Z imported'!BE66/'IO model'!$D$57)</f>
        <v>0</v>
      </c>
      <c r="BF66" s="33">
        <f>IF('IO model'!$D$58=0,0,'Z imported'!BF66/'IO model'!$D$58)</f>
        <v>0</v>
      </c>
      <c r="BG66" s="33">
        <f>IF('IO model'!$D$59=0,0,'Z imported'!BG66/'IO model'!$D$59)</f>
        <v>0</v>
      </c>
      <c r="BH66" s="33">
        <f>IF('IO model'!$D$60=0,0,'Z imported'!BH66/'IO model'!$D$60)</f>
        <v>0</v>
      </c>
      <c r="BI66" s="33">
        <f>IF('IO model'!$D$61=0,0,'Z imported'!BI66/'IO model'!$D$61)</f>
        <v>0</v>
      </c>
      <c r="BJ66" s="33">
        <f>IF('IO model'!$D$62=0,0,'Z imported'!BJ66/'IO model'!$D$62)</f>
        <v>0</v>
      </c>
      <c r="BK66" s="33">
        <f>IF('IO model'!$D$63=0,0,'Z imported'!BK66/'IO model'!$D$63)</f>
        <v>0</v>
      </c>
      <c r="BL66" s="33">
        <f>IF('IO model'!$D$64=0,0,'Z imported'!BL66/'IO model'!$D$64)</f>
        <v>0</v>
      </c>
      <c r="BM66" s="33">
        <f>IF('IO model'!$D$65=0,0,'Z imported'!BM66/'IO model'!$D$65)</f>
        <v>0</v>
      </c>
      <c r="BN66" s="33">
        <f>IF('IO model'!$D$66=0,0,'Z imported'!BN66/'IO model'!$D$66)</f>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424</v>
      </c>
      <c r="B1" s="27"/>
      <c r="C1" s="32" t="s">
        <v>273</v>
      </c>
      <c r="D1" s="32" t="s">
        <v>276</v>
      </c>
      <c r="E1" s="32" t="s">
        <v>278</v>
      </c>
      <c r="F1" s="32" t="s">
        <v>280</v>
      </c>
      <c r="G1" s="32" t="s">
        <v>282</v>
      </c>
      <c r="H1" s="32" t="s">
        <v>145</v>
      </c>
      <c r="I1" s="32" t="s">
        <v>85</v>
      </c>
      <c r="J1" s="32" t="s">
        <v>87</v>
      </c>
      <c r="K1" s="32" t="s">
        <v>89</v>
      </c>
      <c r="L1" s="32" t="s">
        <v>91</v>
      </c>
      <c r="M1" s="32" t="s">
        <v>93</v>
      </c>
      <c r="N1" s="32" t="s">
        <v>95</v>
      </c>
      <c r="O1" s="32" t="s">
        <v>97</v>
      </c>
      <c r="P1" s="32" t="s">
        <v>99</v>
      </c>
      <c r="Q1" s="32" t="s">
        <v>101</v>
      </c>
      <c r="R1" s="32" t="s">
        <v>103</v>
      </c>
      <c r="S1" s="32" t="s">
        <v>105</v>
      </c>
      <c r="T1" s="32" t="s">
        <v>107</v>
      </c>
      <c r="U1" s="32" t="s">
        <v>109</v>
      </c>
      <c r="V1" s="32" t="s">
        <v>111</v>
      </c>
      <c r="W1" s="32" t="s">
        <v>113</v>
      </c>
      <c r="X1" s="32" t="s">
        <v>301</v>
      </c>
      <c r="Y1" s="32" t="s">
        <v>119</v>
      </c>
      <c r="Z1" s="32" t="s">
        <v>304</v>
      </c>
      <c r="AA1" s="32" t="s">
        <v>307</v>
      </c>
      <c r="AB1" s="32" t="s">
        <v>310</v>
      </c>
      <c r="AC1" s="32" t="s">
        <v>312</v>
      </c>
      <c r="AD1" s="32" t="s">
        <v>314</v>
      </c>
      <c r="AE1" s="32" t="s">
        <v>317</v>
      </c>
      <c r="AF1" s="32" t="s">
        <v>319</v>
      </c>
      <c r="AG1" s="32" t="s">
        <v>321</v>
      </c>
      <c r="AH1" s="32" t="s">
        <v>134</v>
      </c>
      <c r="AI1" s="32" t="s">
        <v>137</v>
      </c>
      <c r="AJ1" s="32" t="s">
        <v>326</v>
      </c>
      <c r="AK1" s="32" t="s">
        <v>328</v>
      </c>
      <c r="AL1" s="32" t="s">
        <v>330</v>
      </c>
      <c r="AM1" s="32" t="s">
        <v>332</v>
      </c>
      <c r="AN1" s="32" t="s">
        <v>335</v>
      </c>
      <c r="AO1" s="32" t="s">
        <v>337</v>
      </c>
      <c r="AP1" s="32" t="s">
        <v>339</v>
      </c>
      <c r="AQ1" s="32" t="s">
        <v>341</v>
      </c>
      <c r="AR1" s="32" t="s">
        <v>344</v>
      </c>
      <c r="AS1" s="32" t="s">
        <v>346</v>
      </c>
      <c r="AT1" s="32" t="s">
        <v>348</v>
      </c>
      <c r="AU1" s="32" t="s">
        <v>350</v>
      </c>
      <c r="AV1" s="32" t="s">
        <v>353</v>
      </c>
      <c r="AW1" s="32" t="s">
        <v>355</v>
      </c>
      <c r="AX1" s="32" t="s">
        <v>357</v>
      </c>
      <c r="AY1" s="32" t="s">
        <v>359</v>
      </c>
      <c r="AZ1" s="32" t="s">
        <v>361</v>
      </c>
      <c r="BA1" s="32" t="s">
        <v>364</v>
      </c>
      <c r="BB1" s="32" t="s">
        <v>366</v>
      </c>
      <c r="BC1" s="32" t="s">
        <v>368</v>
      </c>
      <c r="BD1" s="32" t="s">
        <v>370</v>
      </c>
      <c r="BE1" s="32" t="s">
        <v>373</v>
      </c>
      <c r="BF1" s="32" t="s">
        <v>376</v>
      </c>
      <c r="BG1" s="32" t="s">
        <v>379</v>
      </c>
      <c r="BH1" s="32" t="s">
        <v>381</v>
      </c>
      <c r="BI1" s="32" t="s">
        <v>384</v>
      </c>
      <c r="BJ1" s="32" t="s">
        <v>386</v>
      </c>
      <c r="BK1" s="32" t="s">
        <v>389</v>
      </c>
      <c r="BL1" s="32" t="s">
        <v>391</v>
      </c>
      <c r="BM1" s="32" t="s">
        <v>393</v>
      </c>
      <c r="BN1" s="32"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1-'A domestic'!C3</f>
        <v>0.8827744885730321</v>
      </c>
      <c r="D3" s="33">
        <f>-'A domestic'!D3</f>
        <v>-0.009835052305760919</v>
      </c>
      <c r="E3" s="33">
        <f>-'A domestic'!E3</f>
        <v>-0.006488438227488987</v>
      </c>
      <c r="F3" s="33">
        <f>-'A domestic'!F3</f>
        <v>-0.0007896036740442583</v>
      </c>
      <c r="G3" s="33">
        <f>-'A domestic'!G3</f>
        <v>-0.18665869063596333</v>
      </c>
      <c r="H3" s="33">
        <f>-'A domestic'!H3</f>
        <v>-0.011850932528075972</v>
      </c>
      <c r="I3" s="33">
        <f>-'A domestic'!I3</f>
        <v>-0.0022109712375724803</v>
      </c>
      <c r="J3" s="33">
        <f>-'A domestic'!J3</f>
        <v>-0.0011755227646573834</v>
      </c>
      <c r="K3" s="33">
        <f>-'A domestic'!K3</f>
        <v>-0.00035399437873986526</v>
      </c>
      <c r="L3" s="33">
        <f>-'A domestic'!L3</f>
        <v>-0.00022078286813109516</v>
      </c>
      <c r="M3" s="33">
        <f>-'A domestic'!M3</f>
        <v>-0.0034391440590693166</v>
      </c>
      <c r="N3" s="33">
        <f>-'A domestic'!N3</f>
        <v>-0.0013555503286745323</v>
      </c>
      <c r="O3" s="33">
        <f>-'A domestic'!O3</f>
        <v>-0.004156554392984701</v>
      </c>
      <c r="P3" s="33">
        <f>-'A domestic'!P3</f>
        <v>-0.0005617123611332671</v>
      </c>
      <c r="Q3" s="33">
        <f>-'A domestic'!Q3</f>
        <v>-0.00042235837286734855</v>
      </c>
      <c r="R3" s="33">
        <f>-'A domestic'!R3</f>
        <v>-0.000318700979925518</v>
      </c>
      <c r="S3" s="33">
        <f>-'A domestic'!S3</f>
        <v>-0.0004718352886327272</v>
      </c>
      <c r="T3" s="33">
        <f>-'A domestic'!T3</f>
        <v>-0.00030702479478260294</v>
      </c>
      <c r="U3" s="33">
        <f>-'A domestic'!U3</f>
        <v>-0.00031699976740695704</v>
      </c>
      <c r="V3" s="33">
        <f>-'A domestic'!V3</f>
        <v>-0.0002845026984635833</v>
      </c>
      <c r="W3" s="33">
        <f>-'A domestic'!W3</f>
        <v>-0.0003587389391880701</v>
      </c>
      <c r="X3" s="33">
        <f>-'A domestic'!X3</f>
        <v>-0.0008929075283533856</v>
      </c>
      <c r="Y3" s="33">
        <f>-'A domestic'!Y3</f>
        <v>-0.000313845322913993</v>
      </c>
      <c r="Z3" s="33">
        <f>-'A domestic'!Z3</f>
        <v>-0.001446886608789416</v>
      </c>
      <c r="AA3" s="33">
        <f>-'A domestic'!AA3</f>
        <v>-0.0006870765463142334</v>
      </c>
      <c r="AB3" s="33">
        <f>-'A domestic'!AB3</f>
        <v>-0.0005229067560928958</v>
      </c>
      <c r="AC3" s="33">
        <f>-'A domestic'!AC3</f>
        <v>-0.0005796219230674559</v>
      </c>
      <c r="AD3" s="33">
        <f>-'A domestic'!AD3</f>
        <v>-0.00032147557782527433</v>
      </c>
      <c r="AE3" s="33">
        <f>-'A domestic'!AE3</f>
        <v>-0.004268454459643816</v>
      </c>
      <c r="AF3" s="33">
        <f>-'A domestic'!AF3</f>
        <v>-0.0032018184051787932</v>
      </c>
      <c r="AG3" s="33">
        <f>-'A domestic'!AG3</f>
        <v>-0.0004592339832111516</v>
      </c>
      <c r="AH3" s="33">
        <f>-'A domestic'!AH3</f>
        <v>-0.0004938856442332736</v>
      </c>
      <c r="AI3" s="33">
        <f>-'A domestic'!AI3</f>
        <v>-0.0007092490248616774</v>
      </c>
      <c r="AJ3" s="33">
        <f>-'A domestic'!AJ3</f>
        <v>-0.0005215277298617122</v>
      </c>
      <c r="AK3" s="33">
        <f>-'A domestic'!AK3</f>
        <v>-0.00019520771970386573</v>
      </c>
      <c r="AL3" s="33">
        <f>-'A domestic'!AL3</f>
        <v>-0.01694140385730498</v>
      </c>
      <c r="AM3" s="33">
        <f>-'A domestic'!AM3</f>
        <v>-0.00021148126357343688</v>
      </c>
      <c r="AN3" s="33">
        <f>-'A domestic'!AN3</f>
        <v>-0.0005168665371796239</v>
      </c>
      <c r="AO3" s="33">
        <f>-'A domestic'!AO3</f>
        <v>-0.0002805262509844555</v>
      </c>
      <c r="AP3" s="33">
        <f>-'A domestic'!AP3</f>
        <v>-0.00021545655379827676</v>
      </c>
      <c r="AQ3" s="33">
        <f>-'A domestic'!AQ3</f>
        <v>-0.00007454050035850146</v>
      </c>
      <c r="AR3" s="33">
        <f>-'A domestic'!AR3</f>
        <v>-0.00014531909256078413</v>
      </c>
      <c r="AS3" s="33">
        <f>-'A domestic'!AS3</f>
        <v>-0.00013748044597628785</v>
      </c>
      <c r="AT3" s="33">
        <f>-'A domestic'!AT3</f>
        <v>-0.00020330431397811767</v>
      </c>
      <c r="AU3" s="33">
        <f>-'A domestic'!AU3</f>
        <v>-0.0002872255109165977</v>
      </c>
      <c r="AV3" s="33">
        <f>-'A domestic'!AV3</f>
        <v>-0.0004912824680175781</v>
      </c>
      <c r="AW3" s="33">
        <f>-'A domestic'!AW3</f>
        <v>-0.001059164583425805</v>
      </c>
      <c r="AX3" s="33">
        <f>-'A domestic'!AX3</f>
        <v>-0.00031853497079613465</v>
      </c>
      <c r="AY3" s="33">
        <f>-'A domestic'!AY3</f>
        <v>-0.000929730101747991</v>
      </c>
      <c r="AZ3" s="33">
        <f>-'A domestic'!AZ3</f>
        <v>-0.00031375767702067</v>
      </c>
      <c r="BA3" s="33">
        <f>-'A domestic'!BA3</f>
        <v>-0.00023230758726885717</v>
      </c>
      <c r="BB3" s="33">
        <f>-'A domestic'!BB3</f>
        <v>-0.0008145654839643887</v>
      </c>
      <c r="BC3" s="33">
        <f>-'A domestic'!BC3</f>
        <v>-0.005849171214611598</v>
      </c>
      <c r="BD3" s="33">
        <f>-'A domestic'!BD3</f>
        <v>-0.0010687019500034318</v>
      </c>
      <c r="BE3" s="33">
        <f>-'A domestic'!BE3</f>
        <v>-0.000793781581810233</v>
      </c>
      <c r="BF3" s="33">
        <f>-'A domestic'!BF3</f>
        <v>-0.0009200937634545773</v>
      </c>
      <c r="BG3" s="33">
        <f>-'A domestic'!BG3</f>
        <v>-0.0015918122093158359</v>
      </c>
      <c r="BH3" s="33">
        <f>-'A domestic'!BH3</f>
        <v>-0.0011875022912116973</v>
      </c>
      <c r="BI3" s="33">
        <f>-'A domestic'!BI3</f>
        <v>-0.0020108819379377222</v>
      </c>
      <c r="BJ3" s="33">
        <f>-'A domestic'!BJ3</f>
        <v>-0.00085862579615545</v>
      </c>
      <c r="BK3" s="33">
        <f>-'A domestic'!BK3</f>
        <v>-0.0003718169036088111</v>
      </c>
      <c r="BL3" s="33">
        <f>-'A domestic'!BL3</f>
        <v>-0.0010013806110861533</v>
      </c>
      <c r="BM3" s="33">
        <f>-'A domestic'!BM3</f>
        <v>0</v>
      </c>
      <c r="BN3" s="33">
        <f>-'A domestic'!BN3</f>
        <v>0</v>
      </c>
    </row>
    <row r="4" spans="1:66" x14ac:dyDescent="0.25">
      <c r="A4" s="30" t="s">
        <v>276</v>
      </c>
      <c r="B4" s="31" t="s">
        <v>277</v>
      </c>
      <c r="C4" s="33">
        <f>-'A domestic'!C4</f>
        <v>-0.0011151582440621925</v>
      </c>
      <c r="D4" s="33">
        <f>1-'A domestic'!D4</f>
        <v>0.7505800631223969</v>
      </c>
      <c r="E4" s="33">
        <f>-'A domestic'!E4</f>
        <v>-0.0026130216711121967</v>
      </c>
      <c r="F4" s="33">
        <f>-'A domestic'!F4</f>
        <v>-0.0006399462334986605</v>
      </c>
      <c r="G4" s="33">
        <f>-'A domestic'!G4</f>
        <v>-0.0003871759553577735</v>
      </c>
      <c r="H4" s="33">
        <f>-'A domestic'!H4</f>
        <v>-0.00007070595282639361</v>
      </c>
      <c r="I4" s="33">
        <f>-'A domestic'!I4</f>
        <v>-0.09336544559726491</v>
      </c>
      <c r="J4" s="33">
        <f>-'A domestic'!J4</f>
        <v>-0.0313320304846857</v>
      </c>
      <c r="K4" s="33">
        <f>-'A domestic'!K4</f>
        <v>-0.00014074475299295848</v>
      </c>
      <c r="L4" s="33">
        <f>-'A domestic'!L4</f>
        <v>-0.000017449561125169748</v>
      </c>
      <c r="M4" s="33">
        <f>-'A domestic'!M4</f>
        <v>-0.0004239047616796399</v>
      </c>
      <c r="N4" s="33">
        <f>-'A domestic'!N4</f>
        <v>-0.000037945720933712336</v>
      </c>
      <c r="O4" s="33">
        <f>-'A domestic'!O4</f>
        <v>-0.00021077066106031658</v>
      </c>
      <c r="P4" s="33">
        <f>-'A domestic'!P4</f>
        <v>-0.00012867088245651528</v>
      </c>
      <c r="Q4" s="33">
        <f>-'A domestic'!Q4</f>
        <v>-0.00006277763209128982</v>
      </c>
      <c r="R4" s="33">
        <f>-'A domestic'!R4</f>
        <v>-0.00005247686818050698</v>
      </c>
      <c r="S4" s="33">
        <f>-'A domestic'!S4</f>
        <v>-0.000025021568336584015</v>
      </c>
      <c r="T4" s="33">
        <f>-'A domestic'!T4</f>
        <v>-0.00004541786905068091</v>
      </c>
      <c r="U4" s="33">
        <f>-'A domestic'!U4</f>
        <v>-0.000027460658493936</v>
      </c>
      <c r="V4" s="33">
        <f>-'A domestic'!V4</f>
        <v>-0.000043584181316129125</v>
      </c>
      <c r="W4" s="33">
        <f>-'A domestic'!W4</f>
        <v>-0.000029681158400647267</v>
      </c>
      <c r="X4" s="33">
        <f>-'A domestic'!X4</f>
        <v>-0.0034948400659751515</v>
      </c>
      <c r="Y4" s="33">
        <f>-'A domestic'!Y4</f>
        <v>-0.000022707155146232048</v>
      </c>
      <c r="Z4" s="33">
        <f>-'A domestic'!Z4</f>
        <v>-0.0010880222986977927</v>
      </c>
      <c r="AA4" s="33">
        <f>-'A domestic'!AA4</f>
        <v>-0.00007127350065500346</v>
      </c>
      <c r="AB4" s="33">
        <f>-'A domestic'!AB4</f>
        <v>-0.00006880352053853892</v>
      </c>
      <c r="AC4" s="33">
        <f>-'A domestic'!AC4</f>
        <v>-0.0003016854183443289</v>
      </c>
      <c r="AD4" s="33">
        <f>-'A domestic'!AD4</f>
        <v>-0.00003249217172506601</v>
      </c>
      <c r="AE4" s="33">
        <f>-'A domestic'!AE4</f>
        <v>-0.00015535270056101728</v>
      </c>
      <c r="AF4" s="33">
        <f>-'A domestic'!AF4</f>
        <v>-0.00004389352323408193</v>
      </c>
      <c r="AG4" s="33">
        <f>-'A domestic'!AG4</f>
        <v>-0.00007394884501228638</v>
      </c>
      <c r="AH4" s="33">
        <f>-'A domestic'!AH4</f>
        <v>-0.000009010945724499345</v>
      </c>
      <c r="AI4" s="33">
        <f>-'A domestic'!AI4</f>
        <v>-0.00002657311243906374</v>
      </c>
      <c r="AJ4" s="33">
        <f>-'A domestic'!AJ4</f>
        <v>-0.0000374209013957857</v>
      </c>
      <c r="AK4" s="33">
        <f>-'A domestic'!AK4</f>
        <v>-0.000013152293171537052</v>
      </c>
      <c r="AL4" s="33">
        <f>-'A domestic'!AL4</f>
        <v>-0.00009891507735035126</v>
      </c>
      <c r="AM4" s="33">
        <f>-'A domestic'!AM4</f>
        <v>-0.000011748959087413162</v>
      </c>
      <c r="AN4" s="33">
        <f>-'A domestic'!AN4</f>
        <v>-0.000028392892737445704</v>
      </c>
      <c r="AO4" s="33">
        <f>-'A domestic'!AO4</f>
        <v>-0.000011325593983844479</v>
      </c>
      <c r="AP4" s="33">
        <f>-'A domestic'!AP4</f>
        <v>-0.000013063471051348149</v>
      </c>
      <c r="AQ4" s="33">
        <f>-'A domestic'!AQ4</f>
        <v>-0.0000062316817019969065</v>
      </c>
      <c r="AR4" s="33">
        <f>-'A domestic'!AR4</f>
        <v>-0.0000029911305501362085</v>
      </c>
      <c r="AS4" s="33">
        <f>-'A domestic'!AS4</f>
        <v>-0.000006745535900705713</v>
      </c>
      <c r="AT4" s="33">
        <f>-'A domestic'!AT4</f>
        <v>-0.000019538459845809304</v>
      </c>
      <c r="AU4" s="33">
        <f>-'A domestic'!AU4</f>
        <v>-0.000012434386564089739</v>
      </c>
      <c r="AV4" s="33">
        <f>-'A domestic'!AV4</f>
        <v>-0.00010392084888615135</v>
      </c>
      <c r="AW4" s="33">
        <f>-'A domestic'!AW4</f>
        <v>-0.000045200795371112784</v>
      </c>
      <c r="AX4" s="33">
        <f>-'A domestic'!AX4</f>
        <v>-0.0000272202611407606</v>
      </c>
      <c r="AY4" s="33">
        <f>-'A domestic'!AY4</f>
        <v>-0.00003625517250702675</v>
      </c>
      <c r="AZ4" s="33">
        <f>-'A domestic'!AZ4</f>
        <v>-0.000010856667024936677</v>
      </c>
      <c r="BA4" s="33">
        <f>-'A domestic'!BA4</f>
        <v>-0.000012023313204303144</v>
      </c>
      <c r="BB4" s="33">
        <f>-'A domestic'!BB4</f>
        <v>-0.000020743097534842417</v>
      </c>
      <c r="BC4" s="33">
        <f>-'A domestic'!BC4</f>
        <v>-0.00024400931278702827</v>
      </c>
      <c r="BD4" s="33">
        <f>-'A domestic'!BD4</f>
        <v>-0.00018279237417501544</v>
      </c>
      <c r="BE4" s="33">
        <f>-'A domestic'!BE4</f>
        <v>-0.00003325515899778695</v>
      </c>
      <c r="BF4" s="33">
        <f>-'A domestic'!BF4</f>
        <v>-0.00003587887292500518</v>
      </c>
      <c r="BG4" s="33">
        <f>-'A domestic'!BG4</f>
        <v>-0.000029508742149291362</v>
      </c>
      <c r="BH4" s="33">
        <f>-'A domestic'!BH4</f>
        <v>-0.0001226343784750044</v>
      </c>
      <c r="BI4" s="33">
        <f>-'A domestic'!BI4</f>
        <v>-0.00012524119171090586</v>
      </c>
      <c r="BJ4" s="33">
        <f>-'A domestic'!BJ4</f>
        <v>-0.00009201616033815941</v>
      </c>
      <c r="BK4" s="33">
        <f>-'A domestic'!BK4</f>
        <v>-0.00023121387283236996</v>
      </c>
      <c r="BL4" s="33">
        <f>-'A domestic'!BL4</f>
        <v>-0.00011456473092934805</v>
      </c>
      <c r="BM4" s="33">
        <f>-'A domestic'!BM4</f>
        <v>0</v>
      </c>
      <c r="BN4" s="33">
        <f>-'A domestic'!BN4</f>
        <v>0</v>
      </c>
    </row>
    <row r="5" spans="1:66" x14ac:dyDescent="0.25">
      <c r="A5" s="30" t="s">
        <v>278</v>
      </c>
      <c r="B5" s="31" t="s">
        <v>279</v>
      </c>
      <c r="C5" s="33">
        <f>-'A domestic'!C5</f>
        <v>-0.000060750636965191454</v>
      </c>
      <c r="D5" s="33">
        <f>-'A domestic'!D5</f>
        <v>-0.000036829404596629945</v>
      </c>
      <c r="E5" s="33">
        <f>1-'A domestic'!E5</f>
        <v>0.9682636640672191</v>
      </c>
      <c r="F5" s="33">
        <f>-'A domestic'!F5</f>
        <v>-0.000007345150456225658</v>
      </c>
      <c r="G5" s="33">
        <f>-'A domestic'!G5</f>
        <v>-0.002223428927974382</v>
      </c>
      <c r="H5" s="33">
        <f>-'A domestic'!H5</f>
        <v>-0.000026789211940434844</v>
      </c>
      <c r="I5" s="33">
        <f>-'A domestic'!I5</f>
        <v>-0.000010183593212974577</v>
      </c>
      <c r="J5" s="33">
        <f>-'A domestic'!J5</f>
        <v>-0.0000062766280340211165</v>
      </c>
      <c r="K5" s="33">
        <f>-'A domestic'!K5</f>
        <v>-0.000007108320858230226</v>
      </c>
      <c r="L5" s="33">
        <f>-'A domestic'!L5</f>
        <v>-0.0000034899122250339495</v>
      </c>
      <c r="M5" s="33">
        <f>-'A domestic'!M5</f>
        <v>-0.000027104691081374743</v>
      </c>
      <c r="N5" s="33">
        <f>-'A domestic'!N5</f>
        <v>-0.000022336842819135633</v>
      </c>
      <c r="O5" s="33">
        <f>-'A domestic'!O5</f>
        <v>-0.000004764762284608221</v>
      </c>
      <c r="P5" s="33">
        <f>-'A domestic'!P5</f>
        <v>-0.000006395921057779999</v>
      </c>
      <c r="Q5" s="33">
        <f>-'A domestic'!Q5</f>
        <v>-0.0000023839607123274614</v>
      </c>
      <c r="R5" s="33">
        <f>-'A domestic'!R5</f>
        <v>-0.000004639723101325313</v>
      </c>
      <c r="S5" s="33">
        <f>-'A domestic'!S5</f>
        <v>-0.000002808543384718614</v>
      </c>
      <c r="T5" s="33">
        <f>-'A domestic'!T5</f>
        <v>-0.000004412021564923288</v>
      </c>
      <c r="U5" s="33">
        <f>-'A domestic'!U5</f>
        <v>-0.0000027840298933944334</v>
      </c>
      <c r="V5" s="33">
        <f>-'A domestic'!V5</f>
        <v>-0.0000021328429154701487</v>
      </c>
      <c r="W5" s="33">
        <f>-'A domestic'!W5</f>
        <v>-0.000002931472434631829</v>
      </c>
      <c r="X5" s="33">
        <f>-'A domestic'!X5</f>
        <v>-0.00001750098755572636</v>
      </c>
      <c r="Y5" s="33">
        <f>-'A domestic'!Y5</f>
        <v>-0.000006082273699883585</v>
      </c>
      <c r="Z5" s="33">
        <f>-'A domestic'!Z5</f>
        <v>-0.000021519357733784824</v>
      </c>
      <c r="AA5" s="33">
        <f>-'A domestic'!AA5</f>
        <v>-0.000005701880052400278</v>
      </c>
      <c r="AB5" s="33">
        <f>-'A domestic'!AB5</f>
        <v>-0.00000825642246462467</v>
      </c>
      <c r="AC5" s="33">
        <f>-'A domestic'!AC5</f>
        <v>-0.000016657224137092915</v>
      </c>
      <c r="AD5" s="33">
        <f>-'A domestic'!AD5</f>
        <v>-0.000002953833793187819</v>
      </c>
      <c r="AE5" s="33">
        <f>-'A domestic'!AE5</f>
        <v>-0.000019064465810263624</v>
      </c>
      <c r="AF5" s="33">
        <f>-'A domestic'!AF5</f>
        <v>-0.000007672445118152532</v>
      </c>
      <c r="AG5" s="33">
        <f>-'A domestic'!AG5</f>
        <v>-0.000004662273941229965</v>
      </c>
      <c r="AH5" s="33">
        <f>-'A domestic'!AH5</f>
        <v>-0.000029607393094783564</v>
      </c>
      <c r="AI5" s="33">
        <f>-'A domestic'!AI5</f>
        <v>-0.000006326931533110414</v>
      </c>
      <c r="AJ5" s="33">
        <f>-'A domestic'!AJ5</f>
        <v>-0.000006677335565047263</v>
      </c>
      <c r="AK5" s="33">
        <f>-'A domestic'!AK5</f>
        <v>-0.000002076677869190061</v>
      </c>
      <c r="AL5" s="33">
        <f>-'A domestic'!AL5</f>
        <v>-0.001975823037096196</v>
      </c>
      <c r="AM5" s="33">
        <f>-'A domestic'!AM5</f>
        <v>-0.0000022594152091179154</v>
      </c>
      <c r="AN5" s="33">
        <f>-'A domestic'!AN5</f>
        <v>-0.00001738340371680349</v>
      </c>
      <c r="AO5" s="33">
        <f>-'A domestic'!AO5</f>
        <v>-0.000005517597069052438</v>
      </c>
      <c r="AP5" s="33">
        <f>-'A domestic'!AP5</f>
        <v>-0.000004898801644255556</v>
      </c>
      <c r="AQ5" s="33">
        <f>-'A domestic'!AQ5</f>
        <v>-0.0000026364807200756142</v>
      </c>
      <c r="AR5" s="33">
        <f>-'A domestic'!AR5</f>
        <v>-0.0000022433479126021565</v>
      </c>
      <c r="AS5" s="33">
        <f>-'A domestic'!AS5</f>
        <v>-0.000001606079976358503</v>
      </c>
      <c r="AT5" s="33">
        <f>-'A domestic'!AT5</f>
        <v>-0.0000018020909566523144</v>
      </c>
      <c r="AU5" s="33">
        <f>-'A domestic'!AU5</f>
        <v>-0.000003880234105106018</v>
      </c>
      <c r="AV5" s="33">
        <f>-'A domestic'!AV5</f>
        <v>-0.000004683128383281499</v>
      </c>
      <c r="AW5" s="33">
        <f>-'A domestic'!AW5</f>
        <v>-0.0000073298587088291</v>
      </c>
      <c r="AX5" s="33">
        <f>-'A domestic'!AX5</f>
        <v>-0.000005791544923566085</v>
      </c>
      <c r="AY5" s="33">
        <f>-'A domestic'!AY5</f>
        <v>-0.000014133372333247713</v>
      </c>
      <c r="AZ5" s="33">
        <f>-'A domestic'!AZ5</f>
        <v>-0.000010856667024936677</v>
      </c>
      <c r="BA5" s="33">
        <f>-'A domestic'!BA5</f>
        <v>-0.0000012882121290324798</v>
      </c>
      <c r="BB5" s="33">
        <f>-'A domestic'!BB5</f>
        <v>-0.000004786868661886711</v>
      </c>
      <c r="BC5" s="33">
        <f>-'A domestic'!BC5</f>
        <v>-0.000008932903550970208</v>
      </c>
      <c r="BD5" s="33">
        <f>-'A domestic'!BD5</f>
        <v>-0.000012738387080741746</v>
      </c>
      <c r="BE5" s="33">
        <f>-'A domestic'!BE5</f>
        <v>-0.000009955366069401189</v>
      </c>
      <c r="BF5" s="33">
        <f>-'A domestic'!BF5</f>
        <v>-0.00003229098563250467</v>
      </c>
      <c r="BG5" s="33">
        <f>-'A domestic'!BG5</f>
        <v>-0.00006602581055903942</v>
      </c>
      <c r="BH5" s="33">
        <f>-'A domestic'!BH5</f>
        <v>-0.000029240225472687878</v>
      </c>
      <c r="BI5" s="33">
        <f>-'A domestic'!BI5</f>
        <v>-0.00005618296450582693</v>
      </c>
      <c r="BJ5" s="33">
        <f>-'A domestic'!BJ5</f>
        <v>-0.0002018604517418372</v>
      </c>
      <c r="BK5" s="33">
        <f>-'A domestic'!BK5</f>
        <v>-0.000006249023590064053</v>
      </c>
      <c r="BL5" s="33">
        <f>-'A domestic'!BL5</f>
        <v>-0.000006895099546673725</v>
      </c>
      <c r="BM5" s="33">
        <f>-'A domestic'!BM5</f>
        <v>0</v>
      </c>
      <c r="BN5" s="33">
        <f>-'A domestic'!BN5</f>
        <v>0</v>
      </c>
    </row>
    <row r="6" spans="1:66" x14ac:dyDescent="0.25">
      <c r="A6" s="30" t="s">
        <v>280</v>
      </c>
      <c r="B6" s="31" t="s">
        <v>281</v>
      </c>
      <c r="C6" s="33">
        <f>-'A domestic'!C6</f>
        <v>-0.001548268388632997</v>
      </c>
      <c r="D6" s="33">
        <f>-'A domestic'!D6</f>
        <v>-0.00113210387173119</v>
      </c>
      <c r="E6" s="33">
        <f>-'A domestic'!E6</f>
        <v>-0.003237432044468878</v>
      </c>
      <c r="F6" s="33">
        <f>1-'A domestic'!F6</f>
        <v>0.9471158348589823</v>
      </c>
      <c r="G6" s="33">
        <f>-'A domestic'!G6</f>
        <v>-0.0008889889571707752</v>
      </c>
      <c r="H6" s="33">
        <f>-'A domestic'!H6</f>
        <v>-0.0005871668256452686</v>
      </c>
      <c r="I6" s="33">
        <f>-'A domestic'!I6</f>
        <v>-0.0006110155927784747</v>
      </c>
      <c r="J6" s="33">
        <f>-'A domestic'!J6</f>
        <v>-0.0025097545524607294</v>
      </c>
      <c r="K6" s="33">
        <f>-'A domestic'!K6</f>
        <v>-0.0007193620708528989</v>
      </c>
      <c r="L6" s="33">
        <f>-'A domestic'!L6</f>
        <v>-0.04171583922378476</v>
      </c>
      <c r="M6" s="33">
        <f>-'A domestic'!M6</f>
        <v>-0.00656689934152935</v>
      </c>
      <c r="N6" s="33">
        <f>-'A domestic'!N6</f>
        <v>-0.0004941017279028075</v>
      </c>
      <c r="O6" s="33">
        <f>-'A domestic'!O6</f>
        <v>-0.001245284637089078</v>
      </c>
      <c r="P6" s="33">
        <f>-'A domestic'!P6</f>
        <v>-0.03548005526075794</v>
      </c>
      <c r="Q6" s="33">
        <f>-'A domestic'!Q6</f>
        <v>-0.01786560024157469</v>
      </c>
      <c r="R6" s="33">
        <f>-'A domestic'!R6</f>
        <v>-0.0033166020651887495</v>
      </c>
      <c r="S6" s="33">
        <f>-'A domestic'!S6</f>
        <v>-0.00043506890250550164</v>
      </c>
      <c r="T6" s="33">
        <f>-'A domestic'!T6</f>
        <v>-0.0021369756215046092</v>
      </c>
      <c r="U6" s="33">
        <f>-'A domestic'!U6</f>
        <v>-0.0010484403484896762</v>
      </c>
      <c r="V6" s="33">
        <f>-'A domestic'!V6</f>
        <v>-0.0008229064361687869</v>
      </c>
      <c r="W6" s="33">
        <f>-'A domestic'!W6</f>
        <v>-0.0007156457081044953</v>
      </c>
      <c r="X6" s="33">
        <f>-'A domestic'!X6</f>
        <v>-0.0019197511859597792</v>
      </c>
      <c r="Y6" s="33">
        <f>-'A domestic'!Y6</f>
        <v>-0.0007586622728321458</v>
      </c>
      <c r="Z6" s="33">
        <f>-'A domestic'!Z6</f>
        <v>-0.013093502323688817</v>
      </c>
      <c r="AA6" s="33">
        <f>-'A domestic'!AA6</f>
        <v>-0.0017804120463619866</v>
      </c>
      <c r="AB6" s="33">
        <f>-'A domestic'!AB6</f>
        <v>-0.001752425668116586</v>
      </c>
      <c r="AC6" s="33">
        <f>-'A domestic'!AC6</f>
        <v>-0.005771851855761139</v>
      </c>
      <c r="AD6" s="33">
        <f>-'A domestic'!AD6</f>
        <v>-0.000211937574661226</v>
      </c>
      <c r="AE6" s="33">
        <f>-'A domestic'!AE6</f>
        <v>-0.0005003854880378419</v>
      </c>
      <c r="AF6" s="33">
        <f>-'A domestic'!AF6</f>
        <v>-0.00025060346903361003</v>
      </c>
      <c r="AG6" s="33">
        <f>-'A domestic'!AG6</f>
        <v>-0.0005483352185324353</v>
      </c>
      <c r="AH6" s="33">
        <f>-'A domestic'!AH6</f>
        <v>-0.00018236437775772486</v>
      </c>
      <c r="AI6" s="33">
        <f>-'A domestic'!AI6</f>
        <v>-0.00021005412689926577</v>
      </c>
      <c r="AJ6" s="33">
        <f>-'A domestic'!AJ6</f>
        <v>-0.0006312864332121767</v>
      </c>
      <c r="AK6" s="33">
        <f>-'A domestic'!AK6</f>
        <v>-0.0001384451912793374</v>
      </c>
      <c r="AL6" s="33">
        <f>-'A domestic'!AL6</f>
        <v>-0.0002991110824204813</v>
      </c>
      <c r="AM6" s="33">
        <f>-'A domestic'!AM6</f>
        <v>-0.00009173225749018737</v>
      </c>
      <c r="AN6" s="33">
        <f>-'A domestic'!AN6</f>
        <v>-0.00012631940034210537</v>
      </c>
      <c r="AO6" s="33">
        <f>-'A domestic'!AO6</f>
        <v>-0.00016262391361417713</v>
      </c>
      <c r="AP6" s="33">
        <f>-'A domestic'!AP6</f>
        <v>-0.00014496824125037738</v>
      </c>
      <c r="AQ6" s="33">
        <f>-'A domestic'!AQ6</f>
        <v>-0.00007238337976934867</v>
      </c>
      <c r="AR6" s="33">
        <f>-'A domestic'!AR6</f>
        <v>-0.000035893566601634504</v>
      </c>
      <c r="AS6" s="33">
        <f>-'A domestic'!AS6</f>
        <v>-0.00011274681434036692</v>
      </c>
      <c r="AT6" s="33">
        <f>-'A domestic'!AT6</f>
        <v>-0.00020524867527345306</v>
      </c>
      <c r="AU6" s="33">
        <f>-'A domestic'!AU6</f>
        <v>-0.0002983370903994013</v>
      </c>
      <c r="AV6" s="33">
        <f>-'A domestic'!AV6</f>
        <v>-0.0005671045466040406</v>
      </c>
      <c r="AW6" s="33">
        <f>-'A domestic'!AW6</f>
        <v>-0.00034206007307869136</v>
      </c>
      <c r="AX6" s="33">
        <f>-'A domestic'!AX6</f>
        <v>-0.00020154576334009973</v>
      </c>
      <c r="AY6" s="33">
        <f>-'A domestic'!AY6</f>
        <v>-0.00039204745863530613</v>
      </c>
      <c r="AZ6" s="33">
        <f>-'A domestic'!AZ6</f>
        <v>-0.00011725200386931613</v>
      </c>
      <c r="BA6" s="33">
        <f>-'A domestic'!BA6</f>
        <v>-0.00021040798107530503</v>
      </c>
      <c r="BB6" s="33">
        <f>-'A domestic'!BB6</f>
        <v>-0.00010371548767421208</v>
      </c>
      <c r="BC6" s="33">
        <f>-'A domestic'!BC6</f>
        <v>-0.0008727603486904049</v>
      </c>
      <c r="BD6" s="33">
        <f>-'A domestic'!BD6</f>
        <v>-0.0005801882858906145</v>
      </c>
      <c r="BE6" s="33">
        <f>-'A domestic'!BE6</f>
        <v>-0.0001714652943229843</v>
      </c>
      <c r="BF6" s="33">
        <f>-'A domestic'!BF6</f>
        <v>-0.0002962000287030983</v>
      </c>
      <c r="BG6" s="33">
        <f>-'A domestic'!BG6</f>
        <v>-0.0002591236419984648</v>
      </c>
      <c r="BH6" s="33">
        <f>-'A domestic'!BH6</f>
        <v>-0.00021297358254733856</v>
      </c>
      <c r="BI6" s="33">
        <f>-'A domestic'!BI6</f>
        <v>-0.00041551984165767833</v>
      </c>
      <c r="BJ6" s="33">
        <f>-'A domestic'!BJ6</f>
        <v>-0.00042672494356821425</v>
      </c>
      <c r="BK6" s="33">
        <f>-'A domestic'!BK6</f>
        <v>-0.0002249648492423059</v>
      </c>
      <c r="BL6" s="33">
        <f>-'A domestic'!BL6</f>
        <v>-0.0003463461541521494</v>
      </c>
      <c r="BM6" s="33">
        <f>-'A domestic'!BM6</f>
        <v>0</v>
      </c>
      <c r="BN6" s="33">
        <f>-'A domestic'!BN6</f>
        <v>0</v>
      </c>
    </row>
    <row r="7" spans="1:66" x14ac:dyDescent="0.25">
      <c r="A7" s="30" t="s">
        <v>282</v>
      </c>
      <c r="B7" s="31" t="s">
        <v>283</v>
      </c>
      <c r="C7" s="33">
        <f>-'A domestic'!C7</f>
        <v>-0.09736389369685956</v>
      </c>
      <c r="D7" s="33">
        <f>-'A domestic'!D7</f>
        <v>-0.002180941263504782</v>
      </c>
      <c r="E7" s="33">
        <f>-'A domestic'!E7</f>
        <v>-0.04148935448184119</v>
      </c>
      <c r="F7" s="33">
        <f>-'A domestic'!F7</f>
        <v>-0.002455116539993426</v>
      </c>
      <c r="G7" s="33">
        <f>1-'A domestic'!G7</f>
        <v>0.8355241664900757</v>
      </c>
      <c r="H7" s="33">
        <f>-'A domestic'!H7</f>
        <v>-0.00886064164115104</v>
      </c>
      <c r="I7" s="33">
        <f>-'A domestic'!I7</f>
        <v>-0.0021278052263331883</v>
      </c>
      <c r="J7" s="33">
        <f>-'A domestic'!J7</f>
        <v>-0.004263175426821914</v>
      </c>
      <c r="K7" s="33">
        <f>-'A domestic'!K7</f>
        <v>-0.0021808328393050336</v>
      </c>
      <c r="L7" s="33">
        <f>-'A domestic'!L7</f>
        <v>-0.0022721165380878926</v>
      </c>
      <c r="M7" s="33">
        <f>-'A domestic'!M7</f>
        <v>-0.01816723436811795</v>
      </c>
      <c r="N7" s="33">
        <f>-'A domestic'!N7</f>
        <v>-0.009020316838696243</v>
      </c>
      <c r="O7" s="33">
        <f>-'A domestic'!O7</f>
        <v>-0.004029307211972222</v>
      </c>
      <c r="P7" s="33">
        <f>-'A domestic'!P7</f>
        <v>-0.0028954710859220513</v>
      </c>
      <c r="Q7" s="33">
        <f>-'A domestic'!Q7</f>
        <v>-0.002381179424829746</v>
      </c>
      <c r="R7" s="33">
        <f>-'A domestic'!R7</f>
        <v>-0.0013485595179679676</v>
      </c>
      <c r="S7" s="33">
        <f>-'A domestic'!S7</f>
        <v>-0.0016233380763673586</v>
      </c>
      <c r="T7" s="33">
        <f>-'A domestic'!T7</f>
        <v>-0.0017121238978705256</v>
      </c>
      <c r="U7" s="33">
        <f>-'A domestic'!U7</f>
        <v>-0.0013929007743905693</v>
      </c>
      <c r="V7" s="33">
        <f>-'A domestic'!V7</f>
        <v>-0.001256151744911245</v>
      </c>
      <c r="W7" s="33">
        <f>-'A domestic'!W7</f>
        <v>-0.0012268212138934205</v>
      </c>
      <c r="X7" s="33">
        <f>-'A domestic'!X7</f>
        <v>-0.003745568499936782</v>
      </c>
      <c r="Y7" s="33">
        <f>-'A domestic'!Y7</f>
        <v>-0.0015574675520835233</v>
      </c>
      <c r="Z7" s="33">
        <f>-'A domestic'!Z7</f>
        <v>-0.0017520864624577834</v>
      </c>
      <c r="AA7" s="33">
        <f>-'A domestic'!AA7</f>
        <v>-0.0017704337562702863</v>
      </c>
      <c r="AB7" s="33">
        <f>-'A domestic'!AB7</f>
        <v>-0.0035096675826708705</v>
      </c>
      <c r="AC7" s="33">
        <f>-'A domestic'!AC7</f>
        <v>-0.00155819261036885</v>
      </c>
      <c r="AD7" s="33">
        <f>-'A domestic'!AD7</f>
        <v>-0.0019866993787349073</v>
      </c>
      <c r="AE7" s="33">
        <f>-'A domestic'!AE7</f>
        <v>-0.008227508526241895</v>
      </c>
      <c r="AF7" s="33">
        <f>-'A domestic'!AF7</f>
        <v>-0.006532373302281937</v>
      </c>
      <c r="AG7" s="33">
        <f>-'A domestic'!AG7</f>
        <v>-0.002359499137090798</v>
      </c>
      <c r="AH7" s="33">
        <f>-'A domestic'!AH7</f>
        <v>-0.0033349081033718533</v>
      </c>
      <c r="AI7" s="33">
        <f>-'A domestic'!AI7</f>
        <v>-0.003246981262792265</v>
      </c>
      <c r="AJ7" s="33">
        <f>-'A domestic'!AJ7</f>
        <v>-0.0019109699720219638</v>
      </c>
      <c r="AK7" s="33">
        <f>-'A domestic'!AK7</f>
        <v>-0.0011539406693132771</v>
      </c>
      <c r="AL7" s="33">
        <f>-'A domestic'!AL7</f>
        <v>-0.13423564613232475</v>
      </c>
      <c r="AM7" s="33">
        <f>-'A domestic'!AM7</f>
        <v>-0.0021455406825783728</v>
      </c>
      <c r="AN7" s="33">
        <f>-'A domestic'!AN7</f>
        <v>-0.003604738484074484</v>
      </c>
      <c r="AO7" s="33">
        <f>-'A domestic'!AO7</f>
        <v>-0.0020272813231081615</v>
      </c>
      <c r="AP7" s="33">
        <f>-'A domestic'!AP7</f>
        <v>-0.0019010979121670264</v>
      </c>
      <c r="AQ7" s="33">
        <f>-'A domestic'!AQ7</f>
        <v>-0.0006508512177604846</v>
      </c>
      <c r="AR7" s="33">
        <f>-'A domestic'!AR7</f>
        <v>-0.0005964812838729957</v>
      </c>
      <c r="AS7" s="33">
        <f>-'A domestic'!AS7</f>
        <v>-0.0011290742233800277</v>
      </c>
      <c r="AT7" s="33">
        <f>-'A domestic'!AT7</f>
        <v>-0.00045332072249051246</v>
      </c>
      <c r="AU7" s="33">
        <f>-'A domestic'!AU7</f>
        <v>-0.0023238192932647428</v>
      </c>
      <c r="AV7" s="33">
        <f>-'A domestic'!AV7</f>
        <v>-0.00175171302146077</v>
      </c>
      <c r="AW7" s="33">
        <f>-'A domestic'!AW7</f>
        <v>-0.003930433125423249</v>
      </c>
      <c r="AX7" s="33">
        <f>-'A domestic'!AX7</f>
        <v>-0.0033423005753899877</v>
      </c>
      <c r="AY7" s="33">
        <f>-'A domestic'!AY7</f>
        <v>-0.004200684055220929</v>
      </c>
      <c r="AZ7" s="33">
        <f>-'A domestic'!AZ7</f>
        <v>-0.002624056419927195</v>
      </c>
      <c r="BA7" s="33">
        <f>-'A domestic'!BA7</f>
        <v>-0.0011357736937636362</v>
      </c>
      <c r="BB7" s="33">
        <f>-'A domestic'!BB7</f>
        <v>-0.0033404365145532767</v>
      </c>
      <c r="BC7" s="33">
        <f>-'A domestic'!BC7</f>
        <v>-0.0034946458997032396</v>
      </c>
      <c r="BD7" s="33">
        <f>-'A domestic'!BD7</f>
        <v>-0.004734781908371877</v>
      </c>
      <c r="BE7" s="33">
        <f>-'A domestic'!BE7</f>
        <v>-0.006577955176281998</v>
      </c>
      <c r="BF7" s="33">
        <f>-'A domestic'!BF7</f>
        <v>-0.010758240181148444</v>
      </c>
      <c r="BG7" s="33">
        <f>-'A domestic'!BG7</f>
        <v>-0.016051095862468605</v>
      </c>
      <c r="BH7" s="33">
        <f>-'A domestic'!BH7</f>
        <v>-0.0043458830635376994</v>
      </c>
      <c r="BI7" s="33">
        <f>-'A domestic'!BI7</f>
        <v>-0.015641103222736777</v>
      </c>
      <c r="BJ7" s="33">
        <f>-'A domestic'!BJ7</f>
        <v>-0.008067516857648126</v>
      </c>
      <c r="BK7" s="33">
        <f>-'A domestic'!BK7</f>
        <v>-0.0033463521324793</v>
      </c>
      <c r="BL7" s="33">
        <f>-'A domestic'!BL7</f>
        <v>-0.0026928015691125</v>
      </c>
      <c r="BM7" s="33">
        <f>-'A domestic'!BM7</f>
        <v>0</v>
      </c>
      <c r="BN7" s="33">
        <f>-'A domestic'!BN7</f>
        <v>0</v>
      </c>
    </row>
    <row r="8" spans="1:66" x14ac:dyDescent="0.25">
      <c r="A8" s="30" t="s">
        <v>145</v>
      </c>
      <c r="B8" s="31" t="s">
        <v>285</v>
      </c>
      <c r="C8" s="33">
        <f>-'A domestic'!C8</f>
        <v>-0.0011085245538188671</v>
      </c>
      <c r="D8" s="33">
        <f>-'A domestic'!D8</f>
        <v>-0.0006164922073783708</v>
      </c>
      <c r="E8" s="33">
        <f>-'A domestic'!E8</f>
        <v>-0.006088001140227638</v>
      </c>
      <c r="F8" s="33">
        <f>-'A domestic'!F8</f>
        <v>-0.000646373240147858</v>
      </c>
      <c r="G8" s="33">
        <f>-'A domestic'!G8</f>
        <v>-0.0007557362670999033</v>
      </c>
      <c r="H8" s="33">
        <f>1-'A domestic'!H8</f>
        <v>0.8200744300924535</v>
      </c>
      <c r="I8" s="33">
        <f>-'A domestic'!I8</f>
        <v>-0.005022774474710461</v>
      </c>
      <c r="J8" s="33">
        <f>-'A domestic'!J8</f>
        <v>-0.005202427979055789</v>
      </c>
      <c r="K8" s="33">
        <f>-'A domestic'!K8</f>
        <v>-0.0046232518861929394</v>
      </c>
      <c r="L8" s="33">
        <f>-'A domestic'!L8</f>
        <v>-0.0003223576818386622</v>
      </c>
      <c r="M8" s="33">
        <f>-'A domestic'!M8</f>
        <v>-0.0012685625767736436</v>
      </c>
      <c r="N8" s="33">
        <f>-'A domestic'!N8</f>
        <v>-0.0009857813885119737</v>
      </c>
      <c r="O8" s="33">
        <f>-'A domestic'!O8</f>
        <v>-0.005167805117859198</v>
      </c>
      <c r="P8" s="33">
        <f>-'A domestic'!P8</f>
        <v>-0.0018265998079718762</v>
      </c>
      <c r="Q8" s="33">
        <f>-'A domestic'!Q8</f>
        <v>-0.0006742635548032836</v>
      </c>
      <c r="R8" s="33">
        <f>-'A domestic'!R8</f>
        <v>-0.0011279326849773605</v>
      </c>
      <c r="S8" s="33">
        <f>-'A domestic'!S8</f>
        <v>-0.0007491151173422193</v>
      </c>
      <c r="T8" s="33">
        <f>-'A domestic'!T8</f>
        <v>-0.0011081960048366143</v>
      </c>
      <c r="U8" s="33">
        <f>-'A domestic'!U8</f>
        <v>-0.0009092388538199546</v>
      </c>
      <c r="V8" s="33">
        <f>-'A domestic'!V8</f>
        <v>-0.0034225637532248805</v>
      </c>
      <c r="W8" s="33">
        <f>-'A domestic'!W8</f>
        <v>-0.002018318771244014</v>
      </c>
      <c r="X8" s="33">
        <f>-'A domestic'!X8</f>
        <v>-0.012299265458550875</v>
      </c>
      <c r="Y8" s="33">
        <f>-'A domestic'!Y8</f>
        <v>-0.0016057202567692664</v>
      </c>
      <c r="Z8" s="33">
        <f>-'A domestic'!Z8</f>
        <v>-0.0004261011415171003</v>
      </c>
      <c r="AA8" s="33">
        <f>-'A domestic'!AA8</f>
        <v>-0.000657141676039132</v>
      </c>
      <c r="AB8" s="33">
        <f>-'A domestic'!AB8</f>
        <v>-0.0013420126681042016</v>
      </c>
      <c r="AC8" s="33">
        <f>-'A domestic'!AC8</f>
        <v>-0.0011125294031959856</v>
      </c>
      <c r="AD8" s="33">
        <f>-'A domestic'!AD8</f>
        <v>-0.001156179777216932</v>
      </c>
      <c r="AE8" s="33">
        <f>-'A domestic'!AE8</f>
        <v>-0.0022111943365826893</v>
      </c>
      <c r="AF8" s="33">
        <f>-'A domestic'!AF8</f>
        <v>-0.0015615210105002764</v>
      </c>
      <c r="AG8" s="33">
        <f>-'A domestic'!AG8</f>
        <v>-0.0006585461941987325</v>
      </c>
      <c r="AH8" s="33">
        <f>-'A domestic'!AH8</f>
        <v>-0.0004325253947759686</v>
      </c>
      <c r="AI8" s="33">
        <f>-'A domestic'!AI8</f>
        <v>-0.00033849083702140715</v>
      </c>
      <c r="AJ8" s="33">
        <f>-'A domestic'!AJ8</f>
        <v>-0.0005558881857901847</v>
      </c>
      <c r="AK8" s="33">
        <f>-'A domestic'!AK8</f>
        <v>-0.0006056977118471011</v>
      </c>
      <c r="AL8" s="33">
        <f>-'A domestic'!AL8</f>
        <v>-0.001519213915796682</v>
      </c>
      <c r="AM8" s="33">
        <f>-'A domestic'!AM8</f>
        <v>-0.000497523229047765</v>
      </c>
      <c r="AN8" s="33">
        <f>-'A domestic'!AN8</f>
        <v>-0.002834074252629529</v>
      </c>
      <c r="AO8" s="33">
        <f>-'A domestic'!AO8</f>
        <v>-0.0007094468231418477</v>
      </c>
      <c r="AP8" s="33">
        <f>-'A domestic'!AP8</f>
        <v>-0.00032513527950022054</v>
      </c>
      <c r="AQ8" s="33">
        <f>-'A domestic'!AQ8</f>
        <v>-0.00018527269060167724</v>
      </c>
      <c r="AR8" s="33">
        <f>-'A domestic'!AR8</f>
        <v>-0.00013260678772270527</v>
      </c>
      <c r="AS8" s="33">
        <f>-'A domestic'!AS8</f>
        <v>-0.00016928082950818624</v>
      </c>
      <c r="AT8" s="33">
        <f>-'A domestic'!AT8</f>
        <v>-0.0002214674938833239</v>
      </c>
      <c r="AU8" s="33">
        <f>-'A domestic'!AU8</f>
        <v>-0.0005923530109999346</v>
      </c>
      <c r="AV8" s="33">
        <f>-'A domestic'!AV8</f>
        <v>-0.0007385962478775391</v>
      </c>
      <c r="AW8" s="33">
        <f>-'A domestic'!AW8</f>
        <v>-0.0006845273605300953</v>
      </c>
      <c r="AX8" s="33">
        <f>-'A domestic'!AX8</f>
        <v>-0.0006069539079897256</v>
      </c>
      <c r="AY8" s="33">
        <f>-'A domestic'!AY8</f>
        <v>-0.002659531976447657</v>
      </c>
      <c r="AZ8" s="33">
        <f>-'A domestic'!AZ8</f>
        <v>-0.0007683806086898935</v>
      </c>
      <c r="BA8" s="33">
        <f>-'A domestic'!BA8</f>
        <v>-0.0005603722761291286</v>
      </c>
      <c r="BB8" s="33">
        <f>-'A domestic'!BB8</f>
        <v>-0.0006143148116087946</v>
      </c>
      <c r="BC8" s="33">
        <f>-'A domestic'!BC8</f>
        <v>-0.00203952292653204</v>
      </c>
      <c r="BD8" s="33">
        <f>-'A domestic'!BD8</f>
        <v>-0.0008326589413105616</v>
      </c>
      <c r="BE8" s="33">
        <f>-'A domestic'!BE8</f>
        <v>-0.00040531048880423773</v>
      </c>
      <c r="BF8" s="33">
        <f>-'A domestic'!BF8</f>
        <v>-0.002139098403788809</v>
      </c>
      <c r="BG8" s="33">
        <f>-'A domestic'!BG8</f>
        <v>-0.001573922534387828</v>
      </c>
      <c r="BH8" s="33">
        <f>-'A domestic'!BH8</f>
        <v>-0.002999523427966922</v>
      </c>
      <c r="BI8" s="33">
        <f>-'A domestic'!BI8</f>
        <v>-0.00276291432741676</v>
      </c>
      <c r="BJ8" s="33">
        <f>-'A domestic'!BJ8</f>
        <v>-0.0008258450390349806</v>
      </c>
      <c r="BK8" s="33">
        <f>-'A domestic'!BK8</f>
        <v>-0.006377128573660365</v>
      </c>
      <c r="BL8" s="33">
        <f>-'A domestic'!BL8</f>
        <v>-0.003076805574634945</v>
      </c>
      <c r="BM8" s="33">
        <f>-'A domestic'!BM8</f>
        <v>0</v>
      </c>
      <c r="BN8" s="33">
        <f>-'A domestic'!BN8</f>
        <v>0</v>
      </c>
    </row>
    <row r="9" spans="1:66" x14ac:dyDescent="0.25">
      <c r="A9" s="30" t="s">
        <v>85</v>
      </c>
      <c r="B9" s="31" t="s">
        <v>286</v>
      </c>
      <c r="C9" s="33">
        <f>-'A domestic'!C9</f>
        <v>-0.0025201040092801834</v>
      </c>
      <c r="D9" s="33">
        <f>-'A domestic'!D9</f>
        <v>-0.007590059903827215</v>
      </c>
      <c r="E9" s="33">
        <f>-'A domestic'!E9</f>
        <v>-0.004839180393514276</v>
      </c>
      <c r="F9" s="33">
        <f>-'A domestic'!F9</f>
        <v>-0.0016453137021945473</v>
      </c>
      <c r="G9" s="33">
        <f>-'A domestic'!G9</f>
        <v>-0.002730613241976878</v>
      </c>
      <c r="H9" s="33">
        <f>-'A domestic'!H9</f>
        <v>-0.0011826778320588695</v>
      </c>
      <c r="I9" s="33">
        <f>1-'A domestic'!I9</f>
        <v>0.828965420477735</v>
      </c>
      <c r="J9" s="33">
        <f>-'A domestic'!J9</f>
        <v>-0.020338964813671572</v>
      </c>
      <c r="K9" s="33">
        <f>-'A domestic'!K9</f>
        <v>-0.0025206105763284385</v>
      </c>
      <c r="L9" s="33">
        <f>-'A domestic'!L9</f>
        <v>-0.00024062026393655128</v>
      </c>
      <c r="M9" s="33">
        <f>-'A domestic'!M9</f>
        <v>-0.0017589683828506098</v>
      </c>
      <c r="N9" s="33">
        <f>-'A domestic'!N9</f>
        <v>-0.0007508408610287761</v>
      </c>
      <c r="O9" s="33">
        <f>-'A domestic'!O9</f>
        <v>-0.0023888275853950506</v>
      </c>
      <c r="P9" s="33">
        <f>-'A domestic'!P9</f>
        <v>-0.005252179880388752</v>
      </c>
      <c r="Q9" s="33">
        <f>-'A domestic'!Q9</f>
        <v>-0.001638178336154354</v>
      </c>
      <c r="R9" s="33">
        <f>-'A domestic'!R9</f>
        <v>-0.002947824073859272</v>
      </c>
      <c r="S9" s="33">
        <f>-'A domestic'!S9</f>
        <v>-0.0008121796824354465</v>
      </c>
      <c r="T9" s="33">
        <f>-'A domestic'!T9</f>
        <v>-0.0016763086639905599</v>
      </c>
      <c r="U9" s="33">
        <f>-'A domestic'!U9</f>
        <v>-0.0015261545688334938</v>
      </c>
      <c r="V9" s="33">
        <f>-'A domestic'!V9</f>
        <v>-0.0013312649084560632</v>
      </c>
      <c r="W9" s="33">
        <f>-'A domestic'!W9</f>
        <v>-0.003660676202746496</v>
      </c>
      <c r="X9" s="33">
        <f>-'A domestic'!X9</f>
        <v>-0.04904098159824733</v>
      </c>
      <c r="Y9" s="33">
        <f>-'A domestic'!Y9</f>
        <v>-0.0017650758277062163</v>
      </c>
      <c r="Z9" s="33">
        <f>-'A domestic'!Z9</f>
        <v>-0.0023042678243902536</v>
      </c>
      <c r="AA9" s="33">
        <f>-'A domestic'!AA9</f>
        <v>-0.000758350046969237</v>
      </c>
      <c r="AB9" s="33">
        <f>-'A domestic'!AB9</f>
        <v>-0.0014589786530197178</v>
      </c>
      <c r="AC9" s="33">
        <f>-'A domestic'!AC9</f>
        <v>-0.01540669540422651</v>
      </c>
      <c r="AD9" s="33">
        <f>-'A domestic'!AD9</f>
        <v>-0.0006823356062263862</v>
      </c>
      <c r="AE9" s="33">
        <f>-'A domestic'!AE9</f>
        <v>-0.001452644207364194</v>
      </c>
      <c r="AF9" s="33">
        <f>-'A domestic'!AF9</f>
        <v>-0.0008703764485197221</v>
      </c>
      <c r="AG9" s="33">
        <f>-'A domestic'!AG9</f>
        <v>-0.0009754513145928916</v>
      </c>
      <c r="AH9" s="33">
        <f>-'A domestic'!AH9</f>
        <v>-0.00011328046053656319</v>
      </c>
      <c r="AI9" s="33">
        <f>-'A domestic'!AI9</f>
        <v>-0.00015627520886782724</v>
      </c>
      <c r="AJ9" s="33">
        <f>-'A domestic'!AJ9</f>
        <v>-0.0010084167814797419</v>
      </c>
      <c r="AK9" s="33">
        <f>-'A domestic'!AK9</f>
        <v>-0.00028381264212264167</v>
      </c>
      <c r="AL9" s="33">
        <f>-'A domestic'!AL9</f>
        <v>-0.00079560168137606</v>
      </c>
      <c r="AM9" s="33">
        <f>-'A domestic'!AM9</f>
        <v>-0.0005029458255496479</v>
      </c>
      <c r="AN9" s="33">
        <f>-'A domestic'!AN9</f>
        <v>-0.002558257580322914</v>
      </c>
      <c r="AO9" s="33">
        <f>-'A domestic'!AO9</f>
        <v>-0.0005433381113787954</v>
      </c>
      <c r="AP9" s="33">
        <f>-'A domestic'!AP9</f>
        <v>-0.0002503831951508395</v>
      </c>
      <c r="AQ9" s="33">
        <f>-'A domestic'!AQ9</f>
        <v>-0.0000873633838606874</v>
      </c>
      <c r="AR9" s="33">
        <f>-'A domestic'!AR9</f>
        <v>-0.00010444030837558929</v>
      </c>
      <c r="AS9" s="33">
        <f>-'A domestic'!AS9</f>
        <v>-0.00017185055747035983</v>
      </c>
      <c r="AT9" s="33">
        <f>-'A domestic'!AT9</f>
        <v>-0.0009890159710785268</v>
      </c>
      <c r="AU9" s="33">
        <f>-'A domestic'!AU9</f>
        <v>-0.0003499265665695609</v>
      </c>
      <c r="AV9" s="33">
        <f>-'A domestic'!AV9</f>
        <v>-0.0005713416627603428</v>
      </c>
      <c r="AW9" s="33">
        <f>-'A domestic'!AW9</f>
        <v>-0.00032536428379746954</v>
      </c>
      <c r="AX9" s="33">
        <f>-'A domestic'!AX9</f>
        <v>-0.0009619756118043267</v>
      </c>
      <c r="AY9" s="33">
        <f>-'A domestic'!AY9</f>
        <v>-0.001391829927600264</v>
      </c>
      <c r="AZ9" s="33">
        <f>-'A domestic'!AZ9</f>
        <v>-0.000576760435699761</v>
      </c>
      <c r="BA9" s="33">
        <f>-'A domestic'!BA9</f>
        <v>-0.00015072081909680015</v>
      </c>
      <c r="BB9" s="33">
        <f>-'A domestic'!BB9</f>
        <v>-0.00019705942658100294</v>
      </c>
      <c r="BC9" s="33">
        <f>-'A domestic'!BC9</f>
        <v>-0.0023430849296588695</v>
      </c>
      <c r="BD9" s="33">
        <f>-'A domestic'!BD9</f>
        <v>-0.00027704251683798985</v>
      </c>
      <c r="BE9" s="33">
        <f>-'A domestic'!BE9</f>
        <v>-0.00035786363775007035</v>
      </c>
      <c r="BF9" s="33">
        <f>-'A domestic'!BF9</f>
        <v>-0.0005671253847012485</v>
      </c>
      <c r="BG9" s="33">
        <f>-'A domestic'!BG9</f>
        <v>-0.0004040853378068586</v>
      </c>
      <c r="BH9" s="33">
        <f>-'A domestic'!BH9</f>
        <v>-0.0017910729155210603</v>
      </c>
      <c r="BI9" s="33">
        <f>-'A domestic'!BI9</f>
        <v>-0.001379994065674374</v>
      </c>
      <c r="BJ9" s="33">
        <f>-'A domestic'!BJ9</f>
        <v>-0.0009684700875591277</v>
      </c>
      <c r="BK9" s="33">
        <f>-'A domestic'!BK9</f>
        <v>-0.002918294016559913</v>
      </c>
      <c r="BL9" s="33">
        <f>-'A domestic'!BL9</f>
        <v>-0.005848635592397782</v>
      </c>
      <c r="BM9" s="33">
        <f>-'A domestic'!BM9</f>
        <v>0</v>
      </c>
      <c r="BN9" s="33">
        <f>-'A domestic'!BN9</f>
        <v>0</v>
      </c>
    </row>
    <row r="10" spans="1:66" x14ac:dyDescent="0.25">
      <c r="A10" s="30" t="s">
        <v>87</v>
      </c>
      <c r="B10" s="31" t="s">
        <v>287</v>
      </c>
      <c r="C10" s="33">
        <f>-'A domestic'!C10</f>
        <v>-0.0013527490972507718</v>
      </c>
      <c r="D10" s="33">
        <f>-'A domestic'!D10</f>
        <v>-0.004323451843952211</v>
      </c>
      <c r="E10" s="33">
        <f>-'A domestic'!E10</f>
        <v>-0.0023754742464656333</v>
      </c>
      <c r="F10" s="33">
        <f>-'A domestic'!F10</f>
        <v>-0.0014451583522623983</v>
      </c>
      <c r="G10" s="33">
        <f>-'A domestic'!G10</f>
        <v>-0.013500462080007531</v>
      </c>
      <c r="H10" s="33">
        <f>-'A domestic'!H10</f>
        <v>-0.004976645077196847</v>
      </c>
      <c r="I10" s="33">
        <f>-'A domestic'!I10</f>
        <v>-0.011779588571519091</v>
      </c>
      <c r="J10" s="33">
        <f>1-'A domestic'!J10</f>
        <v>0.8040104963153951</v>
      </c>
      <c r="K10" s="33">
        <f>-'A domestic'!K10</f>
        <v>-0.11200296843479039</v>
      </c>
      <c r="L10" s="33">
        <f>-'A domestic'!L10</f>
        <v>-0.00045130075457412705</v>
      </c>
      <c r="M10" s="33">
        <f>-'A domestic'!M10</f>
        <v>-0.007217096756655817</v>
      </c>
      <c r="N10" s="33">
        <f>-'A domestic'!N10</f>
        <v>-0.006532853728126717</v>
      </c>
      <c r="O10" s="33">
        <f>-'A domestic'!O10</f>
        <v>-0.007900816708283596</v>
      </c>
      <c r="P10" s="33">
        <f>-'A domestic'!P10</f>
        <v>-0.0054418001282194066</v>
      </c>
      <c r="Q10" s="33">
        <f>-'A domestic'!Q10</f>
        <v>-0.001917499066282055</v>
      </c>
      <c r="R10" s="33">
        <f>-'A domestic'!R10</f>
        <v>-0.00247441232707232</v>
      </c>
      <c r="S10" s="33">
        <f>-'A domestic'!S10</f>
        <v>-0.002510327141686674</v>
      </c>
      <c r="T10" s="33">
        <f>-'A domestic'!T10</f>
        <v>-0.004735656323244426</v>
      </c>
      <c r="U10" s="33">
        <f>-'A domestic'!U10</f>
        <v>-0.0021731884254210273</v>
      </c>
      <c r="V10" s="33">
        <f>-'A domestic'!V10</f>
        <v>-0.0010596519997859736</v>
      </c>
      <c r="W10" s="33">
        <f>-'A domestic'!W10</f>
        <v>-0.0009794782272213598</v>
      </c>
      <c r="X10" s="33">
        <f>-'A domestic'!X10</f>
        <v>-0.008452262663393148</v>
      </c>
      <c r="Y10" s="33">
        <f>-'A domestic'!Y10</f>
        <v>-0.0015866624658429646</v>
      </c>
      <c r="Z10" s="33">
        <f>-'A domestic'!Z10</f>
        <v>-0.0012880362460989463</v>
      </c>
      <c r="AA10" s="33">
        <f>-'A domestic'!AA10</f>
        <v>-0.001414066252995269</v>
      </c>
      <c r="AB10" s="33">
        <f>-'A domestic'!AB10</f>
        <v>-0.00462050042176558</v>
      </c>
      <c r="AC10" s="33">
        <f>-'A domestic'!AC10</f>
        <v>-0.001054558964738677</v>
      </c>
      <c r="AD10" s="33">
        <f>-'A domestic'!AD10</f>
        <v>-0.0014606708107313766</v>
      </c>
      <c r="AE10" s="33">
        <f>-'A domestic'!AE10</f>
        <v>-0.0037987082916581833</v>
      </c>
      <c r="AF10" s="33">
        <f>-'A domestic'!AF10</f>
        <v>-0.003311730642220234</v>
      </c>
      <c r="AG10" s="33">
        <f>-'A domestic'!AG10</f>
        <v>-0.001301810490478989</v>
      </c>
      <c r="AH10" s="33">
        <f>-'A domestic'!AH10</f>
        <v>-0.0004316672094688734</v>
      </c>
      <c r="AI10" s="33">
        <f>-'A domestic'!AI10</f>
        <v>-0.0004568044566905719</v>
      </c>
      <c r="AJ10" s="33">
        <f>-'A domestic'!AJ10</f>
        <v>-0.0016978516785708718</v>
      </c>
      <c r="AK10" s="33">
        <f>-'A domestic'!AK10</f>
        <v>-0.0014294465999591588</v>
      </c>
      <c r="AL10" s="33">
        <f>-'A domestic'!AL10</f>
        <v>-0.0032549594701666838</v>
      </c>
      <c r="AM10" s="33">
        <f>-'A domestic'!AM10</f>
        <v>-0.013312926295164581</v>
      </c>
      <c r="AN10" s="33">
        <f>-'A domestic'!AN10</f>
        <v>-0.0036806460136378596</v>
      </c>
      <c r="AO10" s="33">
        <f>-'A domestic'!AO10</f>
        <v>-0.0007951147776350303</v>
      </c>
      <c r="AP10" s="33">
        <f>-'A domestic'!AP10</f>
        <v>-0.0009377576406790682</v>
      </c>
      <c r="AQ10" s="33">
        <f>-'A domestic'!AQ10</f>
        <v>-0.001212181931071129</v>
      </c>
      <c r="AR10" s="33">
        <f>-'A domestic'!AR10</f>
        <v>-0.0010788010850824594</v>
      </c>
      <c r="AS10" s="33">
        <f>-'A domestic'!AS10</f>
        <v>-0.002773700119171135</v>
      </c>
      <c r="AT10" s="33">
        <f>-'A domestic'!AT10</f>
        <v>-0.0003657296173079644</v>
      </c>
      <c r="AU10" s="33">
        <f>-'A domestic'!AU10</f>
        <v>-0.0026295641033193466</v>
      </c>
      <c r="AV10" s="33">
        <f>-'A domestic'!AV10</f>
        <v>-0.004082795925767508</v>
      </c>
      <c r="AW10" s="33">
        <f>-'A domestic'!AW10</f>
        <v>-0.001463121241156831</v>
      </c>
      <c r="AX10" s="33">
        <f>-'A domestic'!AX10</f>
        <v>-0.0075903987768257105</v>
      </c>
      <c r="AY10" s="33">
        <f>-'A domestic'!AY10</f>
        <v>-0.007926363901154882</v>
      </c>
      <c r="AZ10" s="33">
        <f>-'A domestic'!AZ10</f>
        <v>-0.001165191788451329</v>
      </c>
      <c r="BA10" s="33">
        <f>-'A domestic'!BA10</f>
        <v>-0.0006209182461936552</v>
      </c>
      <c r="BB10" s="33">
        <f>-'A domestic'!BB10</f>
        <v>-0.0031162514988882493</v>
      </c>
      <c r="BC10" s="33">
        <f>-'A domestic'!BC10</f>
        <v>-0.006698110487166082</v>
      </c>
      <c r="BD10" s="33">
        <f>-'A domestic'!BD10</f>
        <v>-0.0014753558151711546</v>
      </c>
      <c r="BE10" s="33">
        <f>-'A domestic'!BE10</f>
        <v>-0.0013620847129634966</v>
      </c>
      <c r="BF10" s="33">
        <f>-'A domestic'!BF10</f>
        <v>-0.0011635119835435568</v>
      </c>
      <c r="BG10" s="33">
        <f>-'A domestic'!BG10</f>
        <v>-0.0018638459260046157</v>
      </c>
      <c r="BH10" s="33">
        <f>-'A domestic'!BH10</f>
        <v>-0.005203450870311307</v>
      </c>
      <c r="BI10" s="33">
        <f>-'A domestic'!BI10</f>
        <v>-0.0021735784393191794</v>
      </c>
      <c r="BJ10" s="33">
        <f>-'A domestic'!BJ10</f>
        <v>-0.0022797003723778993</v>
      </c>
      <c r="BK10" s="33">
        <f>-'A domestic'!BK10</f>
        <v>-0.002215278862677707</v>
      </c>
      <c r="BL10" s="33">
        <f>-'A domestic'!BL10</f>
        <v>-0.00124589144885666</v>
      </c>
      <c r="BM10" s="33">
        <f>-'A domestic'!BM10</f>
        <v>0</v>
      </c>
      <c r="BN10" s="33">
        <f>-'A domestic'!BN10</f>
        <v>0</v>
      </c>
    </row>
    <row r="11" spans="1:66" x14ac:dyDescent="0.25">
      <c r="A11" s="30" t="s">
        <v>89</v>
      </c>
      <c r="B11" s="31" t="s">
        <v>288</v>
      </c>
      <c r="C11" s="33">
        <f>-'A domestic'!C11</f>
        <v>-0.00021088152141940023</v>
      </c>
      <c r="D11" s="33">
        <f>-'A domestic'!D11</f>
        <v>-0.00020176108605110318</v>
      </c>
      <c r="E11" s="33">
        <f>-'A domestic'!E11</f>
        <v>-0.0006922810661128416</v>
      </c>
      <c r="F11" s="33">
        <f>-'A domestic'!F11</f>
        <v>-0.0002928878744419981</v>
      </c>
      <c r="G11" s="33">
        <f>-'A domestic'!G11</f>
        <v>-0.0012919845306208942</v>
      </c>
      <c r="H11" s="33">
        <f>-'A domestic'!H11</f>
        <v>-0.001420706567660766</v>
      </c>
      <c r="I11" s="33">
        <f>-'A domestic'!I11</f>
        <v>-0.0027557934744666204</v>
      </c>
      <c r="J11" s="33">
        <f>-'A domestic'!J11</f>
        <v>-0.011308242064436761</v>
      </c>
      <c r="K11" s="33">
        <f>1-'A domestic'!K11</f>
        <v>0.9389267288502575</v>
      </c>
      <c r="L11" s="33">
        <f>-'A domestic'!L11</f>
        <v>-0.0001675157868016296</v>
      </c>
      <c r="M11" s="33">
        <f>-'A domestic'!M11</f>
        <v>-0.000962531704215331</v>
      </c>
      <c r="N11" s="33">
        <f>-'A domestic'!N11</f>
        <v>-0.0011520966760086705</v>
      </c>
      <c r="O11" s="33">
        <f>-'A domestic'!O11</f>
        <v>-0.001433632887398297</v>
      </c>
      <c r="P11" s="33">
        <f>-'A domestic'!P11</f>
        <v>-0.0006982840872493928</v>
      </c>
      <c r="Q11" s="33">
        <f>-'A domestic'!Q11</f>
        <v>-0.0004577204567668726</v>
      </c>
      <c r="R11" s="33">
        <f>-'A domestic'!R11</f>
        <v>-0.0006962784461023365</v>
      </c>
      <c r="S11" s="33">
        <f>-'A domestic'!S11</f>
        <v>-0.0005795812257555686</v>
      </c>
      <c r="T11" s="33">
        <f>-'A domestic'!T11</f>
        <v>-0.0008585274903980141</v>
      </c>
      <c r="U11" s="33">
        <f>-'A domestic'!U11</f>
        <v>-0.0007721886549769469</v>
      </c>
      <c r="V11" s="33">
        <f>-'A domestic'!V11</f>
        <v>-0.0007212718346316007</v>
      </c>
      <c r="W11" s="33">
        <f>-'A domestic'!W11</f>
        <v>-0.0004023445916532185</v>
      </c>
      <c r="X11" s="33">
        <f>-'A domestic'!X11</f>
        <v>-0.0016136624852402385</v>
      </c>
      <c r="Y11" s="33">
        <f>-'A domestic'!Y11</f>
        <v>-0.00041846043055199065</v>
      </c>
      <c r="Z11" s="33">
        <f>-'A domestic'!Z11</f>
        <v>-0.0004094035485867361</v>
      </c>
      <c r="AA11" s="33">
        <f>-'A domestic'!AA11</f>
        <v>-0.0007669028670478373</v>
      </c>
      <c r="AB11" s="33">
        <f>-'A domestic'!AB11</f>
        <v>-0.0011459226345693658</v>
      </c>
      <c r="AC11" s="33">
        <f>-'A domestic'!AC11</f>
        <v>-0.0003401124799675234</v>
      </c>
      <c r="AD11" s="33">
        <f>-'A domestic'!AD11</f>
        <v>-0.0017595003294755443</v>
      </c>
      <c r="AE11" s="33">
        <f>-'A domestic'!AE11</f>
        <v>-0.001667459884619129</v>
      </c>
      <c r="AF11" s="33">
        <f>-'A domestic'!AF11</f>
        <v>-0.0031073402728517756</v>
      </c>
      <c r="AG11" s="33">
        <f>-'A domestic'!AG11</f>
        <v>-0.0008450371518479311</v>
      </c>
      <c r="AH11" s="33">
        <f>-'A domestic'!AH11</f>
        <v>-0.0001454624095526323</v>
      </c>
      <c r="AI11" s="33">
        <f>-'A domestic'!AI11</f>
        <v>-0.0003992293797392672</v>
      </c>
      <c r="AJ11" s="33">
        <f>-'A domestic'!AJ11</f>
        <v>-0.0007306117997422548</v>
      </c>
      <c r="AK11" s="33">
        <f>-'A domestic'!AK11</f>
        <v>-0.003322684590704098</v>
      </c>
      <c r="AL11" s="33">
        <f>-'A domestic'!AL11</f>
        <v>-0.0011798833770959324</v>
      </c>
      <c r="AM11" s="33">
        <f>-'A domestic'!AM11</f>
        <v>-0.02856036389237592</v>
      </c>
      <c r="AN11" s="33">
        <f>-'A domestic'!AN11</f>
        <v>-0.008729945346578713</v>
      </c>
      <c r="AO11" s="33">
        <f>-'A domestic'!AO11</f>
        <v>-0.0024620098921803455</v>
      </c>
      <c r="AP11" s="33">
        <f>-'A domestic'!AP11</f>
        <v>-0.0011328025209596134</v>
      </c>
      <c r="AQ11" s="33">
        <f>-'A domestic'!AQ11</f>
        <v>-0.0017985592112224915</v>
      </c>
      <c r="AR11" s="33">
        <f>-'A domestic'!AR11</f>
        <v>-0.00212469973411342</v>
      </c>
      <c r="AS11" s="33">
        <f>-'A domestic'!AS11</f>
        <v>-0.004102891907605432</v>
      </c>
      <c r="AT11" s="33">
        <f>-'A domestic'!AT11</f>
        <v>-0.00029430990728905956</v>
      </c>
      <c r="AU11" s="33">
        <f>-'A domestic'!AU11</f>
        <v>-0.001863217867560908</v>
      </c>
      <c r="AV11" s="33">
        <f>-'A domestic'!AV11</f>
        <v>-0.003024854923372869</v>
      </c>
      <c r="AW11" s="33">
        <f>-'A domestic'!AW11</f>
        <v>-0.002384240152233021</v>
      </c>
      <c r="AX11" s="33">
        <f>-'A domestic'!AX11</f>
        <v>-0.009847942988031771</v>
      </c>
      <c r="AY11" s="33">
        <f>-'A domestic'!AY11</f>
        <v>-0.006862674009465672</v>
      </c>
      <c r="AZ11" s="33">
        <f>-'A domestic'!AZ11</f>
        <v>-0.0009806284490274054</v>
      </c>
      <c r="BA11" s="33">
        <f>-'A domestic'!BA11</f>
        <v>-0.0010528987134625467</v>
      </c>
      <c r="BB11" s="33">
        <f>-'A domestic'!BB11</f>
        <v>-0.004907338189877528</v>
      </c>
      <c r="BC11" s="33">
        <f>-'A domestic'!BC11</f>
        <v>-0.004799946841387992</v>
      </c>
      <c r="BD11" s="33">
        <f>-'A domestic'!BD11</f>
        <v>-0.0014241238321578984</v>
      </c>
      <c r="BE11" s="33">
        <f>-'A domestic'!BE11</f>
        <v>-0.001662440225440324</v>
      </c>
      <c r="BF11" s="33">
        <f>-'A domestic'!BF11</f>
        <v>-0.0005218382739870199</v>
      </c>
      <c r="BG11" s="33">
        <f>-'A domestic'!BG11</f>
        <v>-0.001714089059596962</v>
      </c>
      <c r="BH11" s="33">
        <f>-'A domestic'!BH11</f>
        <v>-0.006681173309871324</v>
      </c>
      <c r="BI11" s="33">
        <f>-'A domestic'!BI11</f>
        <v>-0.0040153262445258185</v>
      </c>
      <c r="BJ11" s="33">
        <f>-'A domestic'!BJ11</f>
        <v>-0.004863054073871725</v>
      </c>
      <c r="BK11" s="33">
        <f>-'A domestic'!BK11</f>
        <v>-0.0014372754257147321</v>
      </c>
      <c r="BL11" s="33">
        <f>-'A domestic'!BL11</f>
        <v>-0.0010804090597364906</v>
      </c>
      <c r="BM11" s="33">
        <f>-'A domestic'!BM11</f>
        <v>0</v>
      </c>
      <c r="BN11" s="33">
        <f>-'A domestic'!BN11</f>
        <v>0</v>
      </c>
    </row>
    <row r="12" spans="1:66" x14ac:dyDescent="0.25">
      <c r="A12" s="30" t="s">
        <v>91</v>
      </c>
      <c r="B12" s="31" t="s">
        <v>289</v>
      </c>
      <c r="C12" s="33">
        <f>-'A domestic'!C12</f>
        <v>-0.022147273160525702</v>
      </c>
      <c r="D12" s="33">
        <f>-'A domestic'!D12</f>
        <v>-0.017988762227762644</v>
      </c>
      <c r="E12" s="33">
        <f>-'A domestic'!E12</f>
        <v>-0.04208661657809541</v>
      </c>
      <c r="F12" s="33">
        <f>-'A domestic'!F12</f>
        <v>-0.018251780739913733</v>
      </c>
      <c r="G12" s="33">
        <f>-'A domestic'!G12</f>
        <v>-0.003399819877092604</v>
      </c>
      <c r="H12" s="33">
        <f>-'A domestic'!H12</f>
        <v>-0.0042028321027862536</v>
      </c>
      <c r="I12" s="33">
        <f>-'A domestic'!I12</f>
        <v>-0.005492917028042787</v>
      </c>
      <c r="J12" s="33">
        <f>-'A domestic'!J12</f>
        <v>-0.005340513795804253</v>
      </c>
      <c r="K12" s="33">
        <f>-'A domestic'!K12</f>
        <v>-0.004503832095774671</v>
      </c>
      <c r="L12" s="33">
        <f>1-'A domestic'!L12</f>
        <v>0.9285820688677237</v>
      </c>
      <c r="M12" s="33">
        <f>-'A domestic'!M12</f>
        <v>-0.05667275734288931</v>
      </c>
      <c r="N12" s="33">
        <f>-'A domestic'!N12</f>
        <v>-0.003507422559780659</v>
      </c>
      <c r="O12" s="33">
        <f>-'A domestic'!O12</f>
        <v>-0.008850686083726965</v>
      </c>
      <c r="P12" s="33">
        <f>-'A domestic'!P12</f>
        <v>-0.019333364435067106</v>
      </c>
      <c r="Q12" s="33">
        <f>-'A domestic'!Q12</f>
        <v>-0.012589299195015936</v>
      </c>
      <c r="R12" s="33">
        <f>-'A domestic'!R12</f>
        <v>-0.0031857298756410215</v>
      </c>
      <c r="S12" s="33">
        <f>-'A domestic'!S12</f>
        <v>-0.0015692097856800547</v>
      </c>
      <c r="T12" s="33">
        <f>-'A domestic'!T12</f>
        <v>-0.0032423167888580378</v>
      </c>
      <c r="U12" s="33">
        <f>-'A domestic'!U12</f>
        <v>-0.0022057109564484075</v>
      </c>
      <c r="V12" s="33">
        <f>-'A domestic'!V12</f>
        <v>-0.0027445051707067182</v>
      </c>
      <c r="W12" s="33">
        <f>-'A domestic'!W12</f>
        <v>-0.0019175494063035448</v>
      </c>
      <c r="X12" s="33">
        <f>-'A domestic'!X12</f>
        <v>-0.004244168063769312</v>
      </c>
      <c r="Y12" s="33">
        <f>-'A domestic'!Y12</f>
        <v>-0.0041335132064408845</v>
      </c>
      <c r="Z12" s="33">
        <f>-'A domestic'!Z12</f>
        <v>-0.009706301841226603</v>
      </c>
      <c r="AA12" s="33">
        <f>-'A domestic'!AA12</f>
        <v>-0.0037489861344531823</v>
      </c>
      <c r="AB12" s="33">
        <f>-'A domestic'!AB12</f>
        <v>-0.010184641127717223</v>
      </c>
      <c r="AC12" s="33">
        <f>-'A domestic'!AC12</f>
        <v>-0.00930491506444305</v>
      </c>
      <c r="AD12" s="33">
        <f>-'A domestic'!AD12</f>
        <v>-0.006703725793639756</v>
      </c>
      <c r="AE12" s="33">
        <f>-'A domestic'!AE12</f>
        <v>-0.005474735837995615</v>
      </c>
      <c r="AF12" s="33">
        <f>-'A domestic'!AF12</f>
        <v>-0.002969147046246912</v>
      </c>
      <c r="AG12" s="33">
        <f>-'A domestic'!AG12</f>
        <v>-0.05209974572475955</v>
      </c>
      <c r="AH12" s="33">
        <f>-'A domestic'!AH12</f>
        <v>-0.07169709148126646</v>
      </c>
      <c r="AI12" s="33">
        <f>-'A domestic'!AI12</f>
        <v>-0.10545602940757776</v>
      </c>
      <c r="AJ12" s="33">
        <f>-'A domestic'!AJ12</f>
        <v>-0.00976254281841431</v>
      </c>
      <c r="AK12" s="33">
        <f>-'A domestic'!AK12</f>
        <v>-0.011614167096423614</v>
      </c>
      <c r="AL12" s="33">
        <f>-'A domestic'!AL12</f>
        <v>-0.0026518929450454654</v>
      </c>
      <c r="AM12" s="33">
        <f>-'A domestic'!AM12</f>
        <v>-0.0011559168209847256</v>
      </c>
      <c r="AN12" s="33">
        <f>-'A domestic'!AN12</f>
        <v>-0.003424530532210288</v>
      </c>
      <c r="AO12" s="33">
        <f>-'A domestic'!AO12</f>
        <v>-0.0014575168257670624</v>
      </c>
      <c r="AP12" s="33">
        <f>-'A domestic'!AP12</f>
        <v>-0.0011156567152047188</v>
      </c>
      <c r="AQ12" s="33">
        <f>-'A domestic'!AQ12</f>
        <v>-0.000720478276777027</v>
      </c>
      <c r="AR12" s="33">
        <f>-'A domestic'!AR12</f>
        <v>-0.0017276271535828387</v>
      </c>
      <c r="AS12" s="33">
        <f>-'A domestic'!AS12</f>
        <v>-0.005380689136796257</v>
      </c>
      <c r="AT12" s="33">
        <f>-'A domestic'!AT12</f>
        <v>-0.0005630585770613929</v>
      </c>
      <c r="AU12" s="33">
        <f>-'A domestic'!AU12</f>
        <v>-0.0023781425707362267</v>
      </c>
      <c r="AV12" s="33">
        <f>-'A domestic'!AV12</f>
        <v>-0.0028014027976562945</v>
      </c>
      <c r="AW12" s="33">
        <f>-'A domestic'!AW12</f>
        <v>-0.0022343852630747375</v>
      </c>
      <c r="AX12" s="33">
        <f>-'A domestic'!AX12</f>
        <v>-0.0023560004749066834</v>
      </c>
      <c r="AY12" s="33">
        <f>-'A domestic'!AY12</f>
        <v>-0.0036187578117606862</v>
      </c>
      <c r="AZ12" s="33">
        <f>-'A domestic'!AZ12</f>
        <v>-0.00758663891702575</v>
      </c>
      <c r="BA12" s="33">
        <f>-'A domestic'!BA12</f>
        <v>-0.0012864945128604364</v>
      </c>
      <c r="BB12" s="33">
        <f>-'A domestic'!BB12</f>
        <v>-0.002321631301015055</v>
      </c>
      <c r="BC12" s="33">
        <f>-'A domestic'!BC12</f>
        <v>-0.004905887943150375</v>
      </c>
      <c r="BD12" s="33">
        <f>-'A domestic'!BD12</f>
        <v>-0.003642413009693843</v>
      </c>
      <c r="BE12" s="33">
        <f>-'A domestic'!BE12</f>
        <v>-0.0017340341346202728</v>
      </c>
      <c r="BF12" s="33">
        <f>-'A domestic'!BF12</f>
        <v>-0.002121956275613529</v>
      </c>
      <c r="BG12" s="33">
        <f>-'A domestic'!BG12</f>
        <v>-0.0024578937913975374</v>
      </c>
      <c r="BH12" s="33">
        <f>-'A domestic'!BH12</f>
        <v>-0.0030981546362777797</v>
      </c>
      <c r="BI12" s="33">
        <f>-'A domestic'!BI12</f>
        <v>-0.004618707873749856</v>
      </c>
      <c r="BJ12" s="33">
        <f>-'A domestic'!BJ12</f>
        <v>-0.0040832171150058235</v>
      </c>
      <c r="BK12" s="33">
        <f>-'A domestic'!BK12</f>
        <v>-0.003871270114044681</v>
      </c>
      <c r="BL12" s="33">
        <f>-'A domestic'!BL12</f>
        <v>-0.00580249146466235</v>
      </c>
      <c r="BM12" s="33">
        <f>-'A domestic'!BM12</f>
        <v>0</v>
      </c>
      <c r="BN12" s="33">
        <f>-'A domestic'!BN12</f>
        <v>0</v>
      </c>
    </row>
    <row r="13" spans="1:66" x14ac:dyDescent="0.25">
      <c r="A13" s="30" t="s">
        <v>93</v>
      </c>
      <c r="B13" s="31" t="s">
        <v>290</v>
      </c>
      <c r="C13" s="33">
        <f>-'A domestic'!C13</f>
        <v>-0.032162225149192564</v>
      </c>
      <c r="D13" s="33">
        <f>-'A domestic'!D13</f>
        <v>-0.004176134225565692</v>
      </c>
      <c r="E13" s="33">
        <f>-'A domestic'!E13</f>
        <v>-0.011483721214342433</v>
      </c>
      <c r="F13" s="33">
        <f>-'A domestic'!F13</f>
        <v>-0.008647996518398683</v>
      </c>
      <c r="G13" s="33">
        <f>-'A domestic'!G13</f>
        <v>-0.007823426573426571</v>
      </c>
      <c r="H13" s="33">
        <f>-'A domestic'!H13</f>
        <v>-0.03048919736007687</v>
      </c>
      <c r="I13" s="33">
        <f>-'A domestic'!I13</f>
        <v>-0.025242864554249983</v>
      </c>
      <c r="J13" s="33">
        <f>-'A domestic'!J13</f>
        <v>-0.030220170661516246</v>
      </c>
      <c r="K13" s="33">
        <f>-'A domestic'!K13</f>
        <v>-0.026151512437429004</v>
      </c>
      <c r="L13" s="33">
        <f>-'A domestic'!L13</f>
        <v>-0.023937491631098654</v>
      </c>
      <c r="M13" s="33">
        <f>1-'A domestic'!M13</f>
        <v>0.8321166951502301</v>
      </c>
      <c r="N13" s="33">
        <f>-'A domestic'!N13</f>
        <v>-0.033814481486524973</v>
      </c>
      <c r="O13" s="33">
        <f>-'A domestic'!O13</f>
        <v>-0.11268242382896859</v>
      </c>
      <c r="P13" s="33">
        <f>-'A domestic'!P13</f>
        <v>-0.025672098433977542</v>
      </c>
      <c r="Q13" s="33">
        <f>-'A domestic'!Q13</f>
        <v>-0.014726718637010198</v>
      </c>
      <c r="R13" s="33">
        <f>-'A domestic'!R13</f>
        <v>-0.010480654514538572</v>
      </c>
      <c r="S13" s="33">
        <f>-'A domestic'!S13</f>
        <v>-0.007573364897956684</v>
      </c>
      <c r="T13" s="33">
        <f>-'A domestic'!T13</f>
        <v>-0.013601743423297917</v>
      </c>
      <c r="U13" s="33">
        <f>-'A domestic'!U13</f>
        <v>-0.005717638120152148</v>
      </c>
      <c r="V13" s="33">
        <f>-'A domestic'!V13</f>
        <v>-0.008735568187961694</v>
      </c>
      <c r="W13" s="33">
        <f>-'A domestic'!W13</f>
        <v>-0.009248062663154763</v>
      </c>
      <c r="X13" s="33">
        <f>-'A domestic'!X13</f>
        <v>-0.0187096271861055</v>
      </c>
      <c r="Y13" s="33">
        <f>-'A domestic'!Y13</f>
        <v>-0.006456130789969762</v>
      </c>
      <c r="Z13" s="33">
        <f>-'A domestic'!Z13</f>
        <v>-0.009046166522861993</v>
      </c>
      <c r="AA13" s="33">
        <f>-'A domestic'!AA13</f>
        <v>-0.008307639236347204</v>
      </c>
      <c r="AB13" s="33">
        <f>-'A domestic'!AB13</f>
        <v>-0.0074183955844652665</v>
      </c>
      <c r="AC13" s="33">
        <f>-'A domestic'!AC13</f>
        <v>-0.007802961200913294</v>
      </c>
      <c r="AD13" s="33">
        <f>-'A domestic'!AD13</f>
        <v>-0.005072224928535683</v>
      </c>
      <c r="AE13" s="33">
        <f>-'A domestic'!AE13</f>
        <v>-0.005006351417567859</v>
      </c>
      <c r="AF13" s="33">
        <f>-'A domestic'!AF13</f>
        <v>-0.0021746029041275344</v>
      </c>
      <c r="AG13" s="33">
        <f>-'A domestic'!AG13</f>
        <v>-0.004543126940509643</v>
      </c>
      <c r="AH13" s="33">
        <f>-'A domestic'!AH13</f>
        <v>-0.0018317965379946526</v>
      </c>
      <c r="AI13" s="33">
        <f>-'A domestic'!AI13</f>
        <v>-0.005178593459850874</v>
      </c>
      <c r="AJ13" s="33">
        <f>-'A domestic'!AJ13</f>
        <v>-0.0019159779736957492</v>
      </c>
      <c r="AK13" s="33">
        <f>-'A domestic'!AK13</f>
        <v>-0.001395527528095721</v>
      </c>
      <c r="AL13" s="33">
        <f>-'A domestic'!AL13</f>
        <v>-0.0031799282155934106</v>
      </c>
      <c r="AM13" s="33">
        <f>-'A domestic'!AM13</f>
        <v>-0.00441399355253276</v>
      </c>
      <c r="AN13" s="33">
        <f>-'A domestic'!AN13</f>
        <v>-0.0024788733700161778</v>
      </c>
      <c r="AO13" s="33">
        <f>-'A domestic'!AO13</f>
        <v>-0.0012310049460901727</v>
      </c>
      <c r="AP13" s="33">
        <f>-'A domestic'!AP13</f>
        <v>-0.0015570931744815252</v>
      </c>
      <c r="AQ13" s="33">
        <f>-'A domestic'!AQ13</f>
        <v>-0.0005510244704958033</v>
      </c>
      <c r="AR13" s="33">
        <f>-'A domestic'!AR13</f>
        <v>-0.0005645758913382094</v>
      </c>
      <c r="AS13" s="33">
        <f>-'A domestic'!AS13</f>
        <v>-0.0008040036361650667</v>
      </c>
      <c r="AT13" s="33">
        <f>-'A domestic'!AT13</f>
        <v>-0.0011476948221563858</v>
      </c>
      <c r="AU13" s="33">
        <f>-'A domestic'!AU13</f>
        <v>-0.0015129385524363373</v>
      </c>
      <c r="AV13" s="33">
        <f>-'A domestic'!AV13</f>
        <v>-0.003589060390501545</v>
      </c>
      <c r="AW13" s="33">
        <f>-'A domestic'!AW13</f>
        <v>-0.008960345057170863</v>
      </c>
      <c r="AX13" s="33">
        <f>-'A domestic'!AX13</f>
        <v>-0.0017322510866386162</v>
      </c>
      <c r="AY13" s="33">
        <f>-'A domestic'!AY13</f>
        <v>-0.004997683355926246</v>
      </c>
      <c r="AZ13" s="33">
        <f>-'A domestic'!AZ13</f>
        <v>-0.0033215972762793765</v>
      </c>
      <c r="BA13" s="33">
        <f>-'A domestic'!BA13</f>
        <v>-0.0006101831451183846</v>
      </c>
      <c r="BB13" s="33">
        <f>-'A domestic'!BB13</f>
        <v>-0.0012621377038507962</v>
      </c>
      <c r="BC13" s="33">
        <f>-'A domestic'!BC13</f>
        <v>-0.009002956320922552</v>
      </c>
      <c r="BD13" s="33">
        <f>-'A domestic'!BD13</f>
        <v>-0.001562784307922038</v>
      </c>
      <c r="BE13" s="33">
        <f>-'A domestic'!BE13</f>
        <v>-0.0011087524189421388</v>
      </c>
      <c r="BF13" s="33">
        <f>-'A domestic'!BF13</f>
        <v>-0.008162682782924846</v>
      </c>
      <c r="BG13" s="33">
        <f>-'A domestic'!BG13</f>
        <v>-0.0025370141062853245</v>
      </c>
      <c r="BH13" s="33">
        <f>-'A domestic'!BH13</f>
        <v>-0.0027123582285485844</v>
      </c>
      <c r="BI13" s="33">
        <f>-'A domestic'!BI13</f>
        <v>-0.0025457905791702825</v>
      </c>
      <c r="BJ13" s="33">
        <f>-'A domestic'!BJ13</f>
        <v>-0.0023809181487498745</v>
      </c>
      <c r="BK13" s="33">
        <f>-'A domestic'!BK13</f>
        <v>-0.0025652241837212935</v>
      </c>
      <c r="BL13" s="33">
        <f>-'A domestic'!BL13</f>
        <v>-0.012415952714468095</v>
      </c>
      <c r="BM13" s="33">
        <f>-'A domestic'!BM13</f>
        <v>0</v>
      </c>
      <c r="BN13" s="33">
        <f>-'A domestic'!BN13</f>
        <v>0</v>
      </c>
    </row>
    <row r="14" spans="1:66" x14ac:dyDescent="0.25">
      <c r="A14" s="30" t="s">
        <v>95</v>
      </c>
      <c r="B14" s="31" t="s">
        <v>291</v>
      </c>
      <c r="C14" s="33">
        <f>-'A domestic'!C14</f>
        <v>-0.0032396848298851238</v>
      </c>
      <c r="D14" s="33">
        <f>-'A domestic'!D14</f>
        <v>-0.0003811042736520838</v>
      </c>
      <c r="E14" s="33">
        <f>-'A domestic'!E14</f>
        <v>-0.0016356836954234792</v>
      </c>
      <c r="F14" s="33">
        <f>-'A domestic'!F14</f>
        <v>-0.0007391057646577068</v>
      </c>
      <c r="G14" s="33">
        <f>-'A domestic'!G14</f>
        <v>-0.002517232346777801</v>
      </c>
      <c r="H14" s="33">
        <f>-'A domestic'!H14</f>
        <v>-0.0016328244261399468</v>
      </c>
      <c r="I14" s="33">
        <f>-'A domestic'!I14</f>
        <v>-0.0016231516071124477</v>
      </c>
      <c r="J14" s="33">
        <f>-'A domestic'!J14</f>
        <v>-0.0016108517518741339</v>
      </c>
      <c r="K14" s="33">
        <f>-'A domestic'!K14</f>
        <v>-0.0017984051771322473</v>
      </c>
      <c r="L14" s="33">
        <f>-'A domestic'!L14</f>
        <v>-0.0009949923433162583</v>
      </c>
      <c r="M14" s="33">
        <f>-'A domestic'!M14</f>
        <v>-0.008141020034621516</v>
      </c>
      <c r="N14" s="33">
        <f>1-'A domestic'!N14</f>
        <v>0.9447165831412275</v>
      </c>
      <c r="O14" s="33">
        <f>-'A domestic'!O14</f>
        <v>-0.007222258502928508</v>
      </c>
      <c r="P14" s="33">
        <f>-'A domestic'!P14</f>
        <v>-0.002064753809711567</v>
      </c>
      <c r="Q14" s="33">
        <f>-'A domestic'!Q14</f>
        <v>-0.0009378898769081621</v>
      </c>
      <c r="R14" s="33">
        <f>-'A domestic'!R14</f>
        <v>-0.0009055459570172852</v>
      </c>
      <c r="S14" s="33">
        <f>-'A domestic'!S14</f>
        <v>-0.00175508429332325</v>
      </c>
      <c r="T14" s="33">
        <f>-'A domestic'!T14</f>
        <v>-0.0013313923898856746</v>
      </c>
      <c r="U14" s="33">
        <f>-'A domestic'!U14</f>
        <v>-0.0012558505755475614</v>
      </c>
      <c r="V14" s="33">
        <f>-'A domestic'!V14</f>
        <v>-0.001061506645799426</v>
      </c>
      <c r="W14" s="33">
        <f>-'A domestic'!W14</f>
        <v>-0.000890434752019418</v>
      </c>
      <c r="X14" s="33">
        <f>-'A domestic'!X14</f>
        <v>-0.002098332691630456</v>
      </c>
      <c r="Y14" s="33">
        <f>-'A domestic'!Y14</f>
        <v>-0.0008170521003510282</v>
      </c>
      <c r="Z14" s="33">
        <f>-'A domestic'!Z14</f>
        <v>-0.0006973700576799148</v>
      </c>
      <c r="AA14" s="33">
        <f>-'A domestic'!AA14</f>
        <v>-0.0007740302171133376</v>
      </c>
      <c r="AB14" s="33">
        <f>-'A domestic'!AB14</f>
        <v>-0.0013103630486564735</v>
      </c>
      <c r="AC14" s="33">
        <f>-'A domestic'!AC14</f>
        <v>-0.0009498328525896273</v>
      </c>
      <c r="AD14" s="33">
        <f>-'A domestic'!AD14</f>
        <v>-0.0008123042931266503</v>
      </c>
      <c r="AE14" s="33">
        <f>-'A domestic'!AE14</f>
        <v>-0.003199879803082224</v>
      </c>
      <c r="AF14" s="33">
        <f>-'A domestic'!AF14</f>
        <v>-0.0012649720852358692</v>
      </c>
      <c r="AG14" s="33">
        <f>-'A domestic'!AG14</f>
        <v>-0.0006894985128641203</v>
      </c>
      <c r="AH14" s="33">
        <f>-'A domestic'!AH14</f>
        <v>-0.0006916973575187116</v>
      </c>
      <c r="AI14" s="33">
        <f>-'A domestic'!AI14</f>
        <v>-0.0017000465029467682</v>
      </c>
      <c r="AJ14" s="33">
        <f>-'A domestic'!AJ14</f>
        <v>-0.0006917997867704176</v>
      </c>
      <c r="AK14" s="33">
        <f>-'A domestic'!AK14</f>
        <v>-0.000601544356108721</v>
      </c>
      <c r="AL14" s="33">
        <f>-'A domestic'!AL14</f>
        <v>-0.0009230196227009429</v>
      </c>
      <c r="AM14" s="33">
        <f>-'A domestic'!AM14</f>
        <v>-0.0033511646381636923</v>
      </c>
      <c r="AN14" s="33">
        <f>-'A domestic'!AN14</f>
        <v>-0.001533795654612628</v>
      </c>
      <c r="AO14" s="33">
        <f>-'A domestic'!AO14</f>
        <v>-0.0008720707367560249</v>
      </c>
      <c r="AP14" s="33">
        <f>-'A domestic'!AP14</f>
        <v>-0.0015596332938526206</v>
      </c>
      <c r="AQ14" s="33">
        <f>-'A domestic'!AQ14</f>
        <v>-0.00039295546732399716</v>
      </c>
      <c r="AR14" s="33">
        <f>-'A domestic'!AR14</f>
        <v>-0.00038037210162565453</v>
      </c>
      <c r="AS14" s="33">
        <f>-'A domestic'!AS14</f>
        <v>-0.0005894313513235706</v>
      </c>
      <c r="AT14" s="33">
        <f>-'A domestic'!AT14</f>
        <v>-0.0002321851927307824</v>
      </c>
      <c r="AU14" s="33">
        <f>-'A domestic'!AU14</f>
        <v>-0.0014044683717708735</v>
      </c>
      <c r="AV14" s="33">
        <f>-'A domestic'!AV14</f>
        <v>-0.001189291603240011</v>
      </c>
      <c r="AW14" s="33">
        <f>-'A domestic'!AW14</f>
        <v>-0.0059477731278421014</v>
      </c>
      <c r="AX14" s="33">
        <f>-'A domestic'!AX14</f>
        <v>-0.0011409343499425187</v>
      </c>
      <c r="AY14" s="33">
        <f>-'A domestic'!AY14</f>
        <v>-0.005683459161313396</v>
      </c>
      <c r="AZ14" s="33">
        <f>-'A domestic'!AZ14</f>
        <v>-0.003057508850897792</v>
      </c>
      <c r="BA14" s="33">
        <f>-'A domestic'!BA14</f>
        <v>-0.0004178101338495342</v>
      </c>
      <c r="BB14" s="33">
        <f>-'A domestic'!BB14</f>
        <v>-0.0007140412420647678</v>
      </c>
      <c r="BC14" s="33">
        <f>-'A domestic'!BC14</f>
        <v>-0.0014461900696202293</v>
      </c>
      <c r="BD14" s="33">
        <f>-'A domestic'!BD14</f>
        <v>-0.0009758439807919046</v>
      </c>
      <c r="BE14" s="33">
        <f>-'A domestic'!BE14</f>
        <v>-0.0006776003416173276</v>
      </c>
      <c r="BF14" s="33">
        <f>-'A domestic'!BF14</f>
        <v>-0.02089266635837413</v>
      </c>
      <c r="BG14" s="33">
        <f>-'A domestic'!BG14</f>
        <v>-0.003921158542725523</v>
      </c>
      <c r="BH14" s="33">
        <f>-'A domestic'!BH14</f>
        <v>-0.0008479665387079485</v>
      </c>
      <c r="BI14" s="33">
        <f>-'A domestic'!BI14</f>
        <v>-0.001032947212008172</v>
      </c>
      <c r="BJ14" s="33">
        <f>-'A domestic'!BJ14</f>
        <v>-0.0008177936250053917</v>
      </c>
      <c r="BK14" s="33">
        <f>-'A domestic'!BK14</f>
        <v>-0.0005655366349007968</v>
      </c>
      <c r="BL14" s="33">
        <f>-'A domestic'!BL14</f>
        <v>-0.0011148845574698591</v>
      </c>
      <c r="BM14" s="33">
        <f>-'A domestic'!BM14</f>
        <v>0</v>
      </c>
      <c r="BN14" s="33">
        <f>-'A domestic'!BN14</f>
        <v>0</v>
      </c>
    </row>
    <row r="15" spans="1:66" x14ac:dyDescent="0.25">
      <c r="A15" s="30" t="s">
        <v>97</v>
      </c>
      <c r="B15" s="31" t="s">
        <v>292</v>
      </c>
      <c r="C15" s="33">
        <f>-'A domestic'!C15</f>
        <v>-0.003994005238869585</v>
      </c>
      <c r="D15" s="33">
        <f>-'A domestic'!D15</f>
        <v>-0.0012730163762748176</v>
      </c>
      <c r="E15" s="33">
        <f>-'A domestic'!E15</f>
        <v>-0.004615207107418945</v>
      </c>
      <c r="F15" s="33">
        <f>-'A domestic'!F15</f>
        <v>-0.0028636905341209782</v>
      </c>
      <c r="G15" s="33">
        <f>-'A domestic'!G15</f>
        <v>-0.012448788585152219</v>
      </c>
      <c r="H15" s="33">
        <f>-'A domestic'!H15</f>
        <v>-0.010800883253492698</v>
      </c>
      <c r="I15" s="33">
        <f>-'A domestic'!I15</f>
        <v>-0.008163847225734619</v>
      </c>
      <c r="J15" s="33">
        <f>-'A domestic'!J15</f>
        <v>-0.011512232475542446</v>
      </c>
      <c r="K15" s="33">
        <f>-'A domestic'!K15</f>
        <v>-0.012448091486932773</v>
      </c>
      <c r="L15" s="33">
        <f>-'A domestic'!L15</f>
        <v>-0.002858421791893596</v>
      </c>
      <c r="M15" s="33">
        <f>-'A domestic'!M15</f>
        <v>-0.013040350532993265</v>
      </c>
      <c r="N15" s="33">
        <f>-'A domestic'!N15</f>
        <v>-0.010687775611074127</v>
      </c>
      <c r="O15" s="33">
        <f>1-'A domestic'!O15</f>
        <v>0.8919077239319154</v>
      </c>
      <c r="P15" s="33">
        <f>-'A domestic'!P15</f>
        <v>-0.012599964483826599</v>
      </c>
      <c r="Q15" s="33">
        <f>-'A domestic'!Q15</f>
        <v>-0.0052184899992848135</v>
      </c>
      <c r="R15" s="33">
        <f>-'A domestic'!R15</f>
        <v>-0.012928348436165329</v>
      </c>
      <c r="S15" s="33">
        <f>-'A domestic'!S15</f>
        <v>-0.008806315443848155</v>
      </c>
      <c r="T15" s="33">
        <f>-'A domestic'!T15</f>
        <v>-0.02272424683547754</v>
      </c>
      <c r="U15" s="33">
        <f>-'A domestic'!U15</f>
        <v>-0.015416312441044999</v>
      </c>
      <c r="V15" s="33">
        <f>-'A domestic'!V15</f>
        <v>-0.02816752906160753</v>
      </c>
      <c r="W15" s="33">
        <f>-'A domestic'!W15</f>
        <v>-0.008836923654197647</v>
      </c>
      <c r="X15" s="33">
        <f>-'A domestic'!X15</f>
        <v>-0.020879035316992887</v>
      </c>
      <c r="Y15" s="33">
        <f>-'A domestic'!Y15</f>
        <v>-0.008999332166347752</v>
      </c>
      <c r="Z15" s="33">
        <f>-'A domestic'!Z15</f>
        <v>-0.0010826647822495476</v>
      </c>
      <c r="AA15" s="33">
        <f>-'A domestic'!AA15</f>
        <v>-0.0026442468743006287</v>
      </c>
      <c r="AB15" s="33">
        <f>-'A domestic'!AB15</f>
        <v>-0.0050794199037576355</v>
      </c>
      <c r="AC15" s="33">
        <f>-'A domestic'!AC15</f>
        <v>-0.019928430834649388</v>
      </c>
      <c r="AD15" s="33">
        <f>-'A domestic'!AD15</f>
        <v>-0.010344079790927644</v>
      </c>
      <c r="AE15" s="33">
        <f>-'A domestic'!AE15</f>
        <v>-0.0038839877324701663</v>
      </c>
      <c r="AF15" s="33">
        <f>-'A domestic'!AF15</f>
        <v>-0.0035493980119267266</v>
      </c>
      <c r="AG15" s="33">
        <f>-'A domestic'!AG15</f>
        <v>-0.005325611916979406</v>
      </c>
      <c r="AH15" s="33">
        <f>-'A domestic'!AH15</f>
        <v>-0.0004453981743823962</v>
      </c>
      <c r="AI15" s="33">
        <f>-'A domestic'!AI15</f>
        <v>-0.00106925142909566</v>
      </c>
      <c r="AJ15" s="33">
        <f>-'A domestic'!AJ15</f>
        <v>-0.002074982026838437</v>
      </c>
      <c r="AK15" s="33">
        <f>-'A domestic'!AK15</f>
        <v>-0.0013678384898398535</v>
      </c>
      <c r="AL15" s="33">
        <f>-'A domestic'!AL15</f>
        <v>-0.0015276633814017802</v>
      </c>
      <c r="AM15" s="33">
        <f>-'A domestic'!AM15</f>
        <v>-0.0018147622959635097</v>
      </c>
      <c r="AN15" s="33">
        <f>-'A domestic'!AN15</f>
        <v>-0.0017470320735387508</v>
      </c>
      <c r="AO15" s="33">
        <f>-'A domestic'!AO15</f>
        <v>-0.002550581845130924</v>
      </c>
      <c r="AP15" s="33">
        <f>-'A domestic'!AP15</f>
        <v>-0.0007961459857404955</v>
      </c>
      <c r="AQ15" s="33">
        <f>-'A domestic'!AQ15</f>
        <v>-0.0005284945443424299</v>
      </c>
      <c r="AR15" s="33">
        <f>-'A domestic'!AR15</f>
        <v>-0.0006069502407984724</v>
      </c>
      <c r="AS15" s="33">
        <f>-'A domestic'!AS15</f>
        <v>-0.0006607413022738882</v>
      </c>
      <c r="AT15" s="33">
        <f>-'A domestic'!AT15</f>
        <v>-0.0012210114700243982</v>
      </c>
      <c r="AU15" s="33">
        <f>-'A domestic'!AU15</f>
        <v>-0.0012867385415364068</v>
      </c>
      <c r="AV15" s="33">
        <f>-'A domestic'!AV15</f>
        <v>-0.0037418195782419174</v>
      </c>
      <c r="AW15" s="33">
        <f>-'A domestic'!AW15</f>
        <v>-0.002108556021906504</v>
      </c>
      <c r="AX15" s="33">
        <f>-'A domestic'!AX15</f>
        <v>-0.0028697105096269953</v>
      </c>
      <c r="AY15" s="33">
        <f>-'A domestic'!AY15</f>
        <v>-0.004076556176468058</v>
      </c>
      <c r="AZ15" s="33">
        <f>-'A domestic'!AZ15</f>
        <v>-0.0019913841490490102</v>
      </c>
      <c r="BA15" s="33">
        <f>-'A domestic'!BA15</f>
        <v>-0.00035941118400006184</v>
      </c>
      <c r="BB15" s="33">
        <f>-'A domestic'!BB15</f>
        <v>-0.0006550031952348317</v>
      </c>
      <c r="BC15" s="33">
        <f>-'A domestic'!BC15</f>
        <v>-0.005723483694473385</v>
      </c>
      <c r="BD15" s="33">
        <f>-'A domestic'!BD15</f>
        <v>-0.0007317263660806407</v>
      </c>
      <c r="BE15" s="33">
        <f>-'A domestic'!BE15</f>
        <v>-0.0004346470462640689</v>
      </c>
      <c r="BF15" s="33">
        <f>-'A domestic'!BF15</f>
        <v>-0.0020174291591586804</v>
      </c>
      <c r="BG15" s="33">
        <f>-'A domestic'!BG15</f>
        <v>-0.0018304641614482297</v>
      </c>
      <c r="BH15" s="33">
        <f>-'A domestic'!BH15</f>
        <v>-0.002605871437274915</v>
      </c>
      <c r="BI15" s="33">
        <f>-'A domestic'!BI15</f>
        <v>-0.0015485429591918548</v>
      </c>
      <c r="BJ15" s="33">
        <f>-'A domestic'!BJ15</f>
        <v>-0.001293402153753253</v>
      </c>
      <c r="BK15" s="33">
        <f>-'A domestic'!BK15</f>
        <v>-0.006286517731604436</v>
      </c>
      <c r="BL15" s="33">
        <f>-'A domestic'!BL15</f>
        <v>-0.0024466995545235305</v>
      </c>
      <c r="BM15" s="33">
        <f>-'A domestic'!BM15</f>
        <v>0</v>
      </c>
      <c r="BN15" s="33">
        <f>-'A domestic'!BN15</f>
        <v>0</v>
      </c>
    </row>
    <row r="16" spans="1:66" x14ac:dyDescent="0.25">
      <c r="A16" s="30" t="s">
        <v>99</v>
      </c>
      <c r="B16" s="31" t="s">
        <v>293</v>
      </c>
      <c r="C16" s="33">
        <f>-'A domestic'!C16</f>
        <v>-0.0032592367590233463</v>
      </c>
      <c r="D16" s="33">
        <f>-'A domestic'!D16</f>
        <v>-0.0012554023132068644</v>
      </c>
      <c r="E16" s="33">
        <f>-'A domestic'!E16</f>
        <v>-0.004214770020157596</v>
      </c>
      <c r="F16" s="33">
        <f>-'A domestic'!F16</f>
        <v>-0.008247685818534385</v>
      </c>
      <c r="G16" s="33">
        <f>-'A domestic'!G16</f>
        <v>-0.00533003402321584</v>
      </c>
      <c r="H16" s="33">
        <f>-'A domestic'!H16</f>
        <v>-0.002075505174270411</v>
      </c>
      <c r="I16" s="33">
        <f>-'A domestic'!I16</f>
        <v>-0.009498463691812788</v>
      </c>
      <c r="J16" s="33">
        <f>-'A domestic'!J16</f>
        <v>-0.0015359805460397392</v>
      </c>
      <c r="K16" s="33">
        <f>-'A domestic'!K16</f>
        <v>-0.0009624666442043727</v>
      </c>
      <c r="L16" s="33">
        <f>-'A domestic'!L16</f>
        <v>-0.0019844742989087788</v>
      </c>
      <c r="M16" s="33">
        <f>-'A domestic'!M16</f>
        <v>-0.004641520762272161</v>
      </c>
      <c r="N16" s="33">
        <f>-'A domestic'!N16</f>
        <v>-0.003299932128292062</v>
      </c>
      <c r="O16" s="33">
        <f>-'A domestic'!O16</f>
        <v>-0.0066961726906808825</v>
      </c>
      <c r="P16" s="33">
        <f>1-'A domestic'!P16</f>
        <v>0.9023135927619242</v>
      </c>
      <c r="Q16" s="33">
        <f>-'A domestic'!Q16</f>
        <v>-0.007832900247137262</v>
      </c>
      <c r="R16" s="33">
        <f>-'A domestic'!R16</f>
        <v>-0.0059164469064486224</v>
      </c>
      <c r="S16" s="33">
        <f>-'A domestic'!S16</f>
        <v>-0.0036286380530564494</v>
      </c>
      <c r="T16" s="33">
        <f>-'A domestic'!T16</f>
        <v>-0.006649176029019685</v>
      </c>
      <c r="U16" s="33">
        <f>-'A domestic'!U16</f>
        <v>-0.002971572270758549</v>
      </c>
      <c r="V16" s="33">
        <f>-'A domestic'!V16</f>
        <v>-0.004514301129043579</v>
      </c>
      <c r="W16" s="33">
        <f>-'A domestic'!W16</f>
        <v>-0.002938434681664079</v>
      </c>
      <c r="X16" s="33">
        <f>-'A domestic'!X16</f>
        <v>-0.006534654455501417</v>
      </c>
      <c r="Y16" s="33">
        <f>-'A domestic'!Y16</f>
        <v>-0.0029413875612637015</v>
      </c>
      <c r="Z16" s="33">
        <f>-'A domestic'!Z16</f>
        <v>-0.002561964365550847</v>
      </c>
      <c r="AA16" s="33">
        <f>-'A domestic'!AA16</f>
        <v>-0.004816663174265134</v>
      </c>
      <c r="AB16" s="33">
        <f>-'A domestic'!AB16</f>
        <v>-0.003860909555020111</v>
      </c>
      <c r="AC16" s="33">
        <f>-'A domestic'!AC16</f>
        <v>-0.04675728169110077</v>
      </c>
      <c r="AD16" s="33">
        <f>-'A domestic'!AD16</f>
        <v>-0.0026180813520288036</v>
      </c>
      <c r="AE16" s="33">
        <f>-'A domestic'!AE16</f>
        <v>-0.0016001668594674246</v>
      </c>
      <c r="AF16" s="33">
        <f>-'A domestic'!AF16</f>
        <v>-0.000915965046838047</v>
      </c>
      <c r="AG16" s="33">
        <f>-'A domestic'!AG16</f>
        <v>-0.001230710812875232</v>
      </c>
      <c r="AH16" s="33">
        <f>-'A domestic'!AH16</f>
        <v>-0.00030122304279040673</v>
      </c>
      <c r="AI16" s="33">
        <f>-'A domestic'!AI16</f>
        <v>-0.0007250663536944535</v>
      </c>
      <c r="AJ16" s="33">
        <f>-'A domestic'!AJ16</f>
        <v>-0.0011162279286237341</v>
      </c>
      <c r="AK16" s="33">
        <f>-'A domestic'!AK16</f>
        <v>-0.00029004267573021187</v>
      </c>
      <c r="AL16" s="33">
        <f>-'A domestic'!AL16</f>
        <v>-0.0016572218540132882</v>
      </c>
      <c r="AM16" s="33">
        <f>-'A domestic'!AM16</f>
        <v>-0.0003163181292765082</v>
      </c>
      <c r="AN16" s="33">
        <f>-'A domestic'!AN16</f>
        <v>-0.000343611946802149</v>
      </c>
      <c r="AO16" s="33">
        <f>-'A domestic'!AO16</f>
        <v>-0.0011767001749368672</v>
      </c>
      <c r="AP16" s="33">
        <f>-'A domestic'!AP16</f>
        <v>-0.0003870053298961889</v>
      </c>
      <c r="AQ16" s="33">
        <f>-'A domestic'!AQ16</f>
        <v>-0.00016334196461195737</v>
      </c>
      <c r="AR16" s="33">
        <f>-'A domestic'!AR16</f>
        <v>-0.00009845804727531688</v>
      </c>
      <c r="AS16" s="33">
        <f>-'A domestic'!AS16</f>
        <v>-0.00018662649325285806</v>
      </c>
      <c r="AT16" s="33">
        <f>-'A domestic'!AT16</f>
        <v>-0.0019041462129343084</v>
      </c>
      <c r="AU16" s="33">
        <f>-'A domestic'!AU16</f>
        <v>-0.0005090161648789077</v>
      </c>
      <c r="AV16" s="33">
        <f>-'A domestic'!AV16</f>
        <v>-0.001226756630306263</v>
      </c>
      <c r="AW16" s="33">
        <f>-'A domestic'!AW16</f>
        <v>-0.0016997127917029256</v>
      </c>
      <c r="AX16" s="33">
        <f>-'A domestic'!AX16</f>
        <v>-0.000809078825822182</v>
      </c>
      <c r="AY16" s="33">
        <f>-'A domestic'!AY16</f>
        <v>-0.0015153433119038636</v>
      </c>
      <c r="AZ16" s="33">
        <f>-'A domestic'!AZ16</f>
        <v>-0.0009252594472002283</v>
      </c>
      <c r="BA16" s="33">
        <f>-'A domestic'!BA16</f>
        <v>-0.00020482572851616428</v>
      </c>
      <c r="BB16" s="33">
        <f>-'A domestic'!BB16</f>
        <v>-0.00038614073872552805</v>
      </c>
      <c r="BC16" s="33">
        <f>-'A domestic'!BC16</f>
        <v>-0.0028607231827966696</v>
      </c>
      <c r="BD16" s="33">
        <f>-'A domestic'!BD16</f>
        <v>-0.0007904064770591395</v>
      </c>
      <c r="BE16" s="33">
        <f>-'A domestic'!BE16</f>
        <v>-0.000519267657853979</v>
      </c>
      <c r="BF16" s="33">
        <f>-'A domestic'!BF16</f>
        <v>-0.001248106392817847</v>
      </c>
      <c r="BG16" s="33">
        <f>-'A domestic'!BG16</f>
        <v>-0.0005851952427481344</v>
      </c>
      <c r="BH16" s="33">
        <f>-'A domestic'!BH16</f>
        <v>-0.001965641425805764</v>
      </c>
      <c r="BI16" s="33">
        <f>-'A domestic'!BI16</f>
        <v>-0.0012869410307115982</v>
      </c>
      <c r="BJ16" s="33">
        <f>-'A domestic'!BJ16</f>
        <v>-0.0015245927566028788</v>
      </c>
      <c r="BK16" s="33">
        <f>-'A domestic'!BK16</f>
        <v>-0.0017341040462427746</v>
      </c>
      <c r="BL16" s="33">
        <f>-'A domestic'!BL16</f>
        <v>-0.0021141435994647285</v>
      </c>
      <c r="BM16" s="33">
        <f>-'A domestic'!BM16</f>
        <v>0</v>
      </c>
      <c r="BN16" s="33">
        <f>-'A domestic'!BN16</f>
        <v>0</v>
      </c>
    </row>
    <row r="17" spans="1:66" x14ac:dyDescent="0.25">
      <c r="A17" s="30" t="s">
        <v>101</v>
      </c>
      <c r="B17" s="31" t="s">
        <v>294</v>
      </c>
      <c r="C17" s="33">
        <f>-'A domestic'!C17</f>
        <v>-0.001003083793109167</v>
      </c>
      <c r="D17" s="33">
        <f>-'A domestic'!D17</f>
        <v>-0.0006036819796925865</v>
      </c>
      <c r="E17" s="33">
        <f>-'A domestic'!E17</f>
        <v>-0.0006379845119079131</v>
      </c>
      <c r="F17" s="33">
        <f>-'A domestic'!F17</f>
        <v>-0.004009534005292181</v>
      </c>
      <c r="G17" s="33">
        <f>-'A domestic'!G17</f>
        <v>-0.0020196133832497466</v>
      </c>
      <c r="H17" s="33">
        <f>-'A domestic'!H17</f>
        <v>-0.0021681694975397843</v>
      </c>
      <c r="I17" s="33">
        <f>-'A domestic'!I17</f>
        <v>-0.00423807204213292</v>
      </c>
      <c r="J17" s="33">
        <f>-'A domestic'!J17</f>
        <v>-0.002946428531399056</v>
      </c>
      <c r="K17" s="33">
        <f>-'A domestic'!K17</f>
        <v>-0.0030608429615539357</v>
      </c>
      <c r="L17" s="33">
        <f>-'A domestic'!L17</f>
        <v>-0.001779671555176523</v>
      </c>
      <c r="M17" s="33">
        <f>-'A domestic'!M17</f>
        <v>-0.008227061670263554</v>
      </c>
      <c r="N17" s="33">
        <f>-'A domestic'!N17</f>
        <v>-0.0027991024356846953</v>
      </c>
      <c r="O17" s="33">
        <f>-'A domestic'!O17</f>
        <v>-0.012458732253712943</v>
      </c>
      <c r="P17" s="33">
        <f>-'A domestic'!P17</f>
        <v>-0.00978538298775294</v>
      </c>
      <c r="Q17" s="33">
        <f>1-'A domestic'!Q17</f>
        <v>0.752303104711501</v>
      </c>
      <c r="R17" s="33">
        <f>-'A domestic'!R17</f>
        <v>-0.12193128314102214</v>
      </c>
      <c r="S17" s="33">
        <f>-'A domestic'!S17</f>
        <v>-0.010748806177569901</v>
      </c>
      <c r="T17" s="33">
        <f>-'A domestic'!T17</f>
        <v>-0.055305209377674</v>
      </c>
      <c r="U17" s="33">
        <f>-'A domestic'!U17</f>
        <v>-0.042810533857979546</v>
      </c>
      <c r="V17" s="33">
        <f>-'A domestic'!V17</f>
        <v>-0.03618581290386655</v>
      </c>
      <c r="W17" s="33">
        <f>-'A domestic'!W17</f>
        <v>-0.0202736969238594</v>
      </c>
      <c r="X17" s="33">
        <f>-'A domestic'!X17</f>
        <v>-0.03239468512866083</v>
      </c>
      <c r="Y17" s="33">
        <f>-'A domestic'!Y17</f>
        <v>-0.026240550680951085</v>
      </c>
      <c r="Z17" s="33">
        <f>-'A domestic'!Z17</f>
        <v>-0.0018564687412577603</v>
      </c>
      <c r="AA17" s="33">
        <f>-'A domestic'!AA17</f>
        <v>-0.005996952345111992</v>
      </c>
      <c r="AB17" s="33">
        <f>-'A domestic'!AB17</f>
        <v>-0.016667996868063747</v>
      </c>
      <c r="AC17" s="33">
        <f>-'A domestic'!AC17</f>
        <v>-0.012239926203549386</v>
      </c>
      <c r="AD17" s="33">
        <f>-'A domestic'!AD17</f>
        <v>-0.003121956166583426</v>
      </c>
      <c r="AE17" s="33">
        <f>-'A domestic'!AE17</f>
        <v>-0.0023640504999542676</v>
      </c>
      <c r="AF17" s="33">
        <f>-'A domestic'!AF17</f>
        <v>-0.0009134670414507415</v>
      </c>
      <c r="AG17" s="33">
        <f>-'A domestic'!AG17</f>
        <v>-0.002422569342906881</v>
      </c>
      <c r="AH17" s="33">
        <f>-'A domestic'!AH17</f>
        <v>-0.0004359581360043493</v>
      </c>
      <c r="AI17" s="33">
        <f>-'A domestic'!AI17</f>
        <v>-0.0006814105261159916</v>
      </c>
      <c r="AJ17" s="33">
        <f>-'A domestic'!AJ17</f>
        <v>-0.001448703595300046</v>
      </c>
      <c r="AK17" s="33">
        <f>-'A domestic'!AK17</f>
        <v>-0.00027412147873308806</v>
      </c>
      <c r="AL17" s="33">
        <f>-'A domestic'!AL17</f>
        <v>-0.0004927728340893353</v>
      </c>
      <c r="AM17" s="33">
        <f>-'A domestic'!AM17</f>
        <v>-0.00048803368516946974</v>
      </c>
      <c r="AN17" s="33">
        <f>-'A domestic'!AN17</f>
        <v>-0.00041314556166936295</v>
      </c>
      <c r="AO17" s="33">
        <f>-'A domestic'!AO17</f>
        <v>-0.000916501913154184</v>
      </c>
      <c r="AP17" s="33">
        <f>-'A domestic'!AP17</f>
        <v>-0.0006215127789776817</v>
      </c>
      <c r="AQ17" s="33">
        <f>-'A domestic'!AQ17</f>
        <v>-0.00014500643960415878</v>
      </c>
      <c r="AR17" s="33">
        <f>-'A domestic'!AR17</f>
        <v>-0.00011017330859668369</v>
      </c>
      <c r="AS17" s="33">
        <f>-'A domestic'!AS17</f>
        <v>-0.00022966943661926594</v>
      </c>
      <c r="AT17" s="33">
        <f>-'A domestic'!AT17</f>
        <v>-0.0007058979970992026</v>
      </c>
      <c r="AU17" s="33">
        <f>-'A domestic'!AU17</f>
        <v>-0.0007004704431103886</v>
      </c>
      <c r="AV17" s="33">
        <f>-'A domestic'!AV17</f>
        <v>-0.00416463916941819</v>
      </c>
      <c r="AW17" s="33">
        <f>-'A domestic'!AW17</f>
        <v>-0.0012505553386007871</v>
      </c>
      <c r="AX17" s="33">
        <f>-'A domestic'!AX17</f>
        <v>-0.0017403592495316086</v>
      </c>
      <c r="AY17" s="33">
        <f>-'A domestic'!AY17</f>
        <v>-0.0027572365938818475</v>
      </c>
      <c r="AZ17" s="33">
        <f>-'A domestic'!AZ17</f>
        <v>-0.001097609036221098</v>
      </c>
      <c r="BA17" s="33">
        <f>-'A domestic'!BA17</f>
        <v>-0.00019151420318282866</v>
      </c>
      <c r="BB17" s="33">
        <f>-'A domestic'!BB17</f>
        <v>-0.0002537040390799957</v>
      </c>
      <c r="BC17" s="33">
        <f>-'A domestic'!BC17</f>
        <v>-0.001176949222241864</v>
      </c>
      <c r="BD17" s="33">
        <f>-'A domestic'!BD17</f>
        <v>-0.0008049546896267626</v>
      </c>
      <c r="BE17" s="33">
        <f>-'A domestic'!BE17</f>
        <v>-0.0002113926667502635</v>
      </c>
      <c r="BF17" s="33">
        <f>-'A domestic'!BF17</f>
        <v>-0.001504361276331106</v>
      </c>
      <c r="BG17" s="33">
        <f>-'A domestic'!BG17</f>
        <v>-0.00023533221864059862</v>
      </c>
      <c r="BH17" s="33">
        <f>-'A domestic'!BH17</f>
        <v>-0.0011840109210060031</v>
      </c>
      <c r="BI17" s="33">
        <f>-'A domestic'!BI17</f>
        <v>-0.0007549585855470493</v>
      </c>
      <c r="BJ17" s="33">
        <f>-'A domestic'!BJ17</f>
        <v>-0.0003640389343378431</v>
      </c>
      <c r="BK17" s="33">
        <f>-'A domestic'!BK17</f>
        <v>-0.005627245742852679</v>
      </c>
      <c r="BL17" s="33">
        <f>-'A domestic'!BL17</f>
        <v>-0.0008809815651557736</v>
      </c>
      <c r="BM17" s="33">
        <f>-'A domestic'!BM17</f>
        <v>0</v>
      </c>
      <c r="BN17" s="33">
        <f>-'A domestic'!BN17</f>
        <v>0</v>
      </c>
    </row>
    <row r="18" spans="1:66" x14ac:dyDescent="0.25">
      <c r="A18" s="30" t="s">
        <v>103</v>
      </c>
      <c r="B18" s="31" t="s">
        <v>295</v>
      </c>
      <c r="C18" s="33">
        <f>-'A domestic'!C18</f>
        <v>-0.006682395495375183</v>
      </c>
      <c r="D18" s="33">
        <f>-'A domestic'!D18</f>
        <v>-0.002320252489587687</v>
      </c>
      <c r="E18" s="33">
        <f>-'A domestic'!E18</f>
        <v>-0.006868514106923489</v>
      </c>
      <c r="F18" s="33">
        <f>-'A domestic'!F18</f>
        <v>-0.0076720096515277</v>
      </c>
      <c r="G18" s="33">
        <f>-'A domestic'!G18</f>
        <v>-0.007118975300793482</v>
      </c>
      <c r="H18" s="33">
        <f>-'A domestic'!H18</f>
        <v>-0.005418886657918452</v>
      </c>
      <c r="I18" s="33">
        <f>-'A domestic'!I18</f>
        <v>-0.0114158079917445</v>
      </c>
      <c r="J18" s="33">
        <f>-'A domestic'!J18</f>
        <v>-0.004548762002369876</v>
      </c>
      <c r="K18" s="33">
        <f>-'A domestic'!K18</f>
        <v>-0.0052757957409784745</v>
      </c>
      <c r="L18" s="33">
        <f>-'A domestic'!L18</f>
        <v>-0.0031618604758807587</v>
      </c>
      <c r="M18" s="33">
        <f>-'A domestic'!M18</f>
        <v>-0.006400016388882979</v>
      </c>
      <c r="N18" s="33">
        <f>-'A domestic'!N18</f>
        <v>-0.003899528342762353</v>
      </c>
      <c r="O18" s="33">
        <f>-'A domestic'!O18</f>
        <v>-0.01586805980841732</v>
      </c>
      <c r="P18" s="33">
        <f>-'A domestic'!P18</f>
        <v>-0.010090506045274093</v>
      </c>
      <c r="Q18" s="33">
        <f>-'A domestic'!Q18</f>
        <v>-0.033212744653968104</v>
      </c>
      <c r="R18" s="33">
        <f>1-'A domestic'!R18</f>
        <v>0.8500799872263624</v>
      </c>
      <c r="S18" s="33">
        <f>-'A domestic'!S18</f>
        <v>-0.014187995213220787</v>
      </c>
      <c r="T18" s="33">
        <f>-'A domestic'!T18</f>
        <v>-0.035080502524065645</v>
      </c>
      <c r="U18" s="33">
        <f>-'A domestic'!U18</f>
        <v>-0.0811386530407807</v>
      </c>
      <c r="V18" s="33">
        <f>-'A domestic'!V18</f>
        <v>-0.04330932277693549</v>
      </c>
      <c r="W18" s="33">
        <f>-'A domestic'!W18</f>
        <v>-0.04828098456433189</v>
      </c>
      <c r="X18" s="33">
        <f>-'A domestic'!X18</f>
        <v>-0.025805741895435528</v>
      </c>
      <c r="Y18" s="33">
        <f>-'A domestic'!Y18</f>
        <v>-0.04969379806770219</v>
      </c>
      <c r="Z18" s="33">
        <f>-'A domestic'!Z18</f>
        <v>-0.0035115841560023056</v>
      </c>
      <c r="AA18" s="33">
        <f>-'A domestic'!AA18</f>
        <v>-0.00985284873054768</v>
      </c>
      <c r="AB18" s="33">
        <f>-'A domestic'!AB18</f>
        <v>-0.013066476585473925</v>
      </c>
      <c r="AC18" s="33">
        <f>-'A domestic'!AC18</f>
        <v>-0.036180810209855876</v>
      </c>
      <c r="AD18" s="33">
        <f>-'A domestic'!AD18</f>
        <v>-0.009099038847098978</v>
      </c>
      <c r="AE18" s="33">
        <f>-'A domestic'!AE18</f>
        <v>-0.0035784456241717446</v>
      </c>
      <c r="AF18" s="33">
        <f>-'A domestic'!AF18</f>
        <v>-0.0016678646684169952</v>
      </c>
      <c r="AG18" s="33">
        <f>-'A domestic'!AG18</f>
        <v>-0.003470285903588837</v>
      </c>
      <c r="AH18" s="33">
        <f>-'A domestic'!AH18</f>
        <v>-0.0011285136788301562</v>
      </c>
      <c r="AI18" s="33">
        <f>-'A domestic'!AI18</f>
        <v>-0.0021587490390972733</v>
      </c>
      <c r="AJ18" s="33">
        <f>-'A domestic'!AJ18</f>
        <v>-0.004189193400121527</v>
      </c>
      <c r="AK18" s="33">
        <f>-'A domestic'!AK18</f>
        <v>-0.0008209799842864708</v>
      </c>
      <c r="AL18" s="33">
        <f>-'A domestic'!AL18</f>
        <v>-0.0017696560763317969</v>
      </c>
      <c r="AM18" s="33">
        <f>-'A domestic'!AM18</f>
        <v>-0.0008617409607575729</v>
      </c>
      <c r="AN18" s="33">
        <f>-'A domestic'!AN18</f>
        <v>-0.0010621259670966934</v>
      </c>
      <c r="AO18" s="33">
        <f>-'A domestic'!AO18</f>
        <v>-0.0028154265044454414</v>
      </c>
      <c r="AP18" s="33">
        <f>-'A domestic'!AP18</f>
        <v>-0.00107900642142177</v>
      </c>
      <c r="AQ18" s="33">
        <f>-'A domestic'!AQ18</f>
        <v>-0.00037605802270896716</v>
      </c>
      <c r="AR18" s="33">
        <f>-'A domestic'!AR18</f>
        <v>-0.00030783718578485147</v>
      </c>
      <c r="AS18" s="33">
        <f>-'A domestic'!AS18</f>
        <v>-0.0003642589386381085</v>
      </c>
      <c r="AT18" s="33">
        <f>-'A domestic'!AT18</f>
        <v>-0.001206120507908903</v>
      </c>
      <c r="AU18" s="33">
        <f>-'A domestic'!AU18</f>
        <v>-0.001189027191798737</v>
      </c>
      <c r="AV18" s="33">
        <f>-'A domestic'!AV18</f>
        <v>-0.006832015292867238</v>
      </c>
      <c r="AW18" s="33">
        <f>-'A domestic'!AW18</f>
        <v>-0.0020368862923090644</v>
      </c>
      <c r="AX18" s="33">
        <f>-'A domestic'!AX18</f>
        <v>-0.003129750876695112</v>
      </c>
      <c r="AY18" s="33">
        <f>-'A domestic'!AY18</f>
        <v>-0.003304751148182878</v>
      </c>
      <c r="AZ18" s="33">
        <f>-'A domestic'!AZ18</f>
        <v>-0.002610485586146024</v>
      </c>
      <c r="BA18" s="33">
        <f>-'A domestic'!BA18</f>
        <v>-0.0005041203464947105</v>
      </c>
      <c r="BB18" s="33">
        <f>-'A domestic'!BB18</f>
        <v>-0.0008568494904777214</v>
      </c>
      <c r="BC18" s="33">
        <f>-'A domestic'!BC18</f>
        <v>-0.005080628074015845</v>
      </c>
      <c r="BD18" s="33">
        <f>-'A domestic'!BD18</f>
        <v>-0.002349710351352559</v>
      </c>
      <c r="BE18" s="33">
        <f>-'A domestic'!BE18</f>
        <v>-0.0005181026682075597</v>
      </c>
      <c r="BF18" s="33">
        <f>-'A domestic'!BF18</f>
        <v>-0.0011244438774696624</v>
      </c>
      <c r="BG18" s="33">
        <f>-'A domestic'!BG18</f>
        <v>-0.0009370869928784338</v>
      </c>
      <c r="BH18" s="33">
        <f>-'A domestic'!BH18</f>
        <v>-0.003719618532891325</v>
      </c>
      <c r="BI18" s="33">
        <f>-'A domestic'!BI18</f>
        <v>-0.0019517727773638834</v>
      </c>
      <c r="BJ18" s="33">
        <f>-'A domestic'!BJ18</f>
        <v>-0.0015343694736388081</v>
      </c>
      <c r="BK18" s="33">
        <f>-'A domestic'!BK18</f>
        <v>-0.011745039837525386</v>
      </c>
      <c r="BL18" s="33">
        <f>-'A domestic'!BL18</f>
        <v>-0.0020202641671754015</v>
      </c>
      <c r="BM18" s="33">
        <f>-'A domestic'!BM18</f>
        <v>0</v>
      </c>
      <c r="BN18" s="33">
        <f>-'A domestic'!BN18</f>
        <v>0</v>
      </c>
    </row>
    <row r="19" spans="1:66" x14ac:dyDescent="0.25">
      <c r="A19" s="30" t="s">
        <v>105</v>
      </c>
      <c r="B19" s="31" t="s">
        <v>296</v>
      </c>
      <c r="C19" s="33">
        <f>-'A domestic'!C19</f>
        <v>-0.0007532729842091987</v>
      </c>
      <c r="D19" s="33">
        <f>-'A domestic'!D19</f>
        <v>-0.0007445944842362142</v>
      </c>
      <c r="E19" s="33">
        <f>-'A domestic'!E19</f>
        <v>-0.0011062922919254235</v>
      </c>
      <c r="F19" s="33">
        <f>-'A domestic'!F19</f>
        <v>-0.0008878450613962765</v>
      </c>
      <c r="G19" s="33">
        <f>-'A domestic'!G19</f>
        <v>-0.0006316074497892679</v>
      </c>
      <c r="H19" s="33">
        <f>-'A domestic'!H19</f>
        <v>-0.0006196652139008782</v>
      </c>
      <c r="I19" s="33">
        <f>-'A domestic'!I19</f>
        <v>-0.0010217538523684493</v>
      </c>
      <c r="J19" s="33">
        <f>-'A domestic'!J19</f>
        <v>-0.001118136451203476</v>
      </c>
      <c r="K19" s="33">
        <f>-'A domestic'!K19</f>
        <v>-0.003581172048376388</v>
      </c>
      <c r="L19" s="33">
        <f>-'A domestic'!L19</f>
        <v>-0.0005429568703789661</v>
      </c>
      <c r="M19" s="33">
        <f>-'A domestic'!M19</f>
        <v>-0.0013191474944313254</v>
      </c>
      <c r="N19" s="33">
        <f>-'A domestic'!N19</f>
        <v>-0.002307961012251894</v>
      </c>
      <c r="O19" s="33">
        <f>-'A domestic'!O19</f>
        <v>-0.0015793785572804308</v>
      </c>
      <c r="P19" s="33">
        <f>-'A domestic'!P19</f>
        <v>-0.0015500702798855058</v>
      </c>
      <c r="Q19" s="33">
        <f>-'A domestic'!Q19</f>
        <v>-0.0014627585604055915</v>
      </c>
      <c r="R19" s="33">
        <f>-'A domestic'!R19</f>
        <v>-0.0027943932306119966</v>
      </c>
      <c r="S19" s="33">
        <f>1-'A domestic'!S19</f>
        <v>0.930403784282421</v>
      </c>
      <c r="T19" s="33">
        <f>-'A domestic'!T19</f>
        <v>-0.022391268972665978</v>
      </c>
      <c r="U19" s="33">
        <f>-'A domestic'!U19</f>
        <v>-0.007316304013027234</v>
      </c>
      <c r="V19" s="33">
        <f>-'A domestic'!V19</f>
        <v>-0.00779683910825281</v>
      </c>
      <c r="W19" s="33">
        <f>-'A domestic'!W19</f>
        <v>-0.011682650520116494</v>
      </c>
      <c r="X19" s="33">
        <f>-'A domestic'!X19</f>
        <v>-0.007253623597331563</v>
      </c>
      <c r="Y19" s="33">
        <f>-'A domestic'!Y19</f>
        <v>-0.013958412656319502</v>
      </c>
      <c r="Z19" s="33">
        <f>-'A domestic'!Z19</f>
        <v>-0.002377755091672017</v>
      </c>
      <c r="AA19" s="33">
        <f>-'A domestic'!AA19</f>
        <v>-0.0020583786989165002</v>
      </c>
      <c r="AB19" s="33">
        <f>-'A domestic'!AB19</f>
        <v>-0.0010640464451285045</v>
      </c>
      <c r="AC19" s="33">
        <f>-'A domestic'!AC19</f>
        <v>-0.0029658517422116453</v>
      </c>
      <c r="AD19" s="33">
        <f>-'A domestic'!AD19</f>
        <v>-0.001632977782000666</v>
      </c>
      <c r="AE19" s="33">
        <f>-'A domestic'!AE19</f>
        <v>-0.0020055137158618394</v>
      </c>
      <c r="AF19" s="33">
        <f>-'A domestic'!AF19</f>
        <v>-0.0011130398290008254</v>
      </c>
      <c r="AG19" s="33">
        <f>-'A domestic'!AG19</f>
        <v>-0.0010759492195482928</v>
      </c>
      <c r="AH19" s="33">
        <f>-'A domestic'!AH19</f>
        <v>-0.0007110065269283531</v>
      </c>
      <c r="AI19" s="33">
        <f>-'A domestic'!AI19</f>
        <v>-0.001998044978156269</v>
      </c>
      <c r="AJ19" s="33">
        <f>-'A domestic'!AJ19</f>
        <v>-0.0010601661321088583</v>
      </c>
      <c r="AK19" s="33">
        <f>-'A domestic'!AK19</f>
        <v>-0.0015935041516251735</v>
      </c>
      <c r="AL19" s="33">
        <f>-'A domestic'!AL19</f>
        <v>-0.0006415960882804675</v>
      </c>
      <c r="AM19" s="33">
        <f>-'A domestic'!AM19</f>
        <v>-0.0034094575505589342</v>
      </c>
      <c r="AN19" s="33">
        <f>-'A domestic'!AN19</f>
        <v>-0.004761314278032476</v>
      </c>
      <c r="AO19" s="33">
        <f>-'A domestic'!AO19</f>
        <v>-0.015295940674796317</v>
      </c>
      <c r="AP19" s="33">
        <f>-'A domestic'!AP19</f>
        <v>-0.0072499542778513195</v>
      </c>
      <c r="AQ19" s="33">
        <f>-'A domestic'!AQ19</f>
        <v>-0.0005422761481064615</v>
      </c>
      <c r="AR19" s="33">
        <f>-'A domestic'!AR19</f>
        <v>-0.0006406004594875048</v>
      </c>
      <c r="AS19" s="33">
        <f>-'A domestic'!AS19</f>
        <v>-0.0012052024142594207</v>
      </c>
      <c r="AT19" s="33">
        <f>-'A domestic'!AT19</f>
        <v>-0.0002768580790772687</v>
      </c>
      <c r="AU19" s="33">
        <f>-'A domestic'!AU19</f>
        <v>-0.0011518122192452204</v>
      </c>
      <c r="AV19" s="33">
        <f>-'A domestic'!AV19</f>
        <v>-0.004744455064491137</v>
      </c>
      <c r="AW19" s="33">
        <f>-'A domestic'!AW19</f>
        <v>-0.005810541884237913</v>
      </c>
      <c r="AX19" s="33">
        <f>-'A domestic'!AX19</f>
        <v>-0.0027753083273728677</v>
      </c>
      <c r="AY19" s="33">
        <f>-'A domestic'!AY19</f>
        <v>-0.003913100652961802</v>
      </c>
      <c r="AZ19" s="33">
        <f>-'A domestic'!AZ19</f>
        <v>-0.0024185939964802687</v>
      </c>
      <c r="BA19" s="33">
        <f>-'A domestic'!BA19</f>
        <v>-0.0006166242057635469</v>
      </c>
      <c r="BB19" s="33">
        <f>-'A domestic'!BB19</f>
        <v>-0.000672555046995083</v>
      </c>
      <c r="BC19" s="33">
        <f>-'A domestic'!BC19</f>
        <v>-0.002780483768444095</v>
      </c>
      <c r="BD19" s="33">
        <f>-'A domestic'!BD19</f>
        <v>-0.001318875519228491</v>
      </c>
      <c r="BE19" s="33">
        <f>-'A domestic'!BE19</f>
        <v>-0.000903926057471693</v>
      </c>
      <c r="BF19" s="33">
        <f>-'A domestic'!BF19</f>
        <v>-0.0029421473106791473</v>
      </c>
      <c r="BG19" s="33">
        <f>-'A domestic'!BG19</f>
        <v>-0.0014745149592724027</v>
      </c>
      <c r="BH19" s="33">
        <f>-'A domestic'!BH19</f>
        <v>-0.004574131390734949</v>
      </c>
      <c r="BI19" s="33">
        <f>-'A domestic'!BI19</f>
        <v>-0.0017182623311365404</v>
      </c>
      <c r="BJ19" s="33">
        <f>-'A domestic'!BJ19</f>
        <v>-0.000997800238666916</v>
      </c>
      <c r="BK19" s="33">
        <f>-'A domestic'!BK19</f>
        <v>-0.023493204186845806</v>
      </c>
      <c r="BL19" s="33">
        <f>-'A domestic'!BL19</f>
        <v>-0.0008587050896972893</v>
      </c>
      <c r="BM19" s="33">
        <f>-'A domestic'!BM19</f>
        <v>0</v>
      </c>
      <c r="BN19" s="33">
        <f>-'A domestic'!BN19</f>
        <v>0</v>
      </c>
    </row>
    <row r="20" spans="1:66" x14ac:dyDescent="0.25">
      <c r="A20" s="30" t="s">
        <v>107</v>
      </c>
      <c r="B20" s="31" t="s">
        <v>297</v>
      </c>
      <c r="C20" s="33">
        <f>-'A domestic'!C20</f>
        <v>-0.0014080880395437767</v>
      </c>
      <c r="D20" s="33">
        <f>-'A domestic'!D20</f>
        <v>-0.0009591657979731017</v>
      </c>
      <c r="E20" s="33">
        <f>-'A domestic'!E20</f>
        <v>-0.002626595809663429</v>
      </c>
      <c r="F20" s="33">
        <f>-'A domestic'!F20</f>
        <v>-0.002343102995535985</v>
      </c>
      <c r="G20" s="33">
        <f>-'A domestic'!G20</f>
        <v>-0.001990255115255115</v>
      </c>
      <c r="H20" s="33">
        <f>-'A domestic'!H20</f>
        <v>-0.0015256675783782074</v>
      </c>
      <c r="I20" s="33">
        <f>-'A domestic'!I20</f>
        <v>-0.0021425148609741512</v>
      </c>
      <c r="J20" s="33">
        <f>-'A domestic'!J20</f>
        <v>-0.0022828992820882518</v>
      </c>
      <c r="K20" s="33">
        <f>-'A domestic'!K20</f>
        <v>-0.0023414808907010363</v>
      </c>
      <c r="L20" s="33">
        <f>-'A domestic'!L20</f>
        <v>-0.0008827641133427981</v>
      </c>
      <c r="M20" s="33">
        <f>-'A domestic'!M20</f>
        <v>-0.0020196146563889457</v>
      </c>
      <c r="N20" s="33">
        <f>-'A domestic'!N20</f>
        <v>-0.002059295436771396</v>
      </c>
      <c r="O20" s="33">
        <f>-'A domestic'!O20</f>
        <v>-0.0032711494484507376</v>
      </c>
      <c r="P20" s="33">
        <f>-'A domestic'!P20</f>
        <v>-0.0027961461942012326</v>
      </c>
      <c r="Q20" s="33">
        <f>-'A domestic'!Q20</f>
        <v>-0.0050681018110154885</v>
      </c>
      <c r="R20" s="33">
        <f>-'A domestic'!R20</f>
        <v>-0.0070290205080560785</v>
      </c>
      <c r="S20" s="33">
        <f>-'A domestic'!S20</f>
        <v>-0.021960766691492495</v>
      </c>
      <c r="T20" s="33">
        <f>1-'A domestic'!T20</f>
        <v>0.9027665710988191</v>
      </c>
      <c r="U20" s="33">
        <f>-'A domestic'!U20</f>
        <v>-0.020571829616358145</v>
      </c>
      <c r="V20" s="33">
        <f>-'A domestic'!V20</f>
        <v>-0.01796169024648152</v>
      </c>
      <c r="W20" s="33">
        <f>-'A domestic'!W20</f>
        <v>-0.015205547518435298</v>
      </c>
      <c r="X20" s="33">
        <f>-'A domestic'!X20</f>
        <v>-0.006866816056048876</v>
      </c>
      <c r="Y20" s="33">
        <f>-'A domestic'!Y20</f>
        <v>-0.019091446174107924</v>
      </c>
      <c r="Z20" s="33">
        <f>-'A domestic'!Z20</f>
        <v>-0.006438573975560258</v>
      </c>
      <c r="AA20" s="33">
        <f>-'A domestic'!AA20</f>
        <v>-0.004796706594081733</v>
      </c>
      <c r="AB20" s="33">
        <f>-'A domestic'!AB20</f>
        <v>-0.0029781603865106573</v>
      </c>
      <c r="AC20" s="33">
        <f>-'A domestic'!AC20</f>
        <v>-0.013593944125980403</v>
      </c>
      <c r="AD20" s="33">
        <f>-'A domestic'!AD20</f>
        <v>-0.003757768890567104</v>
      </c>
      <c r="AE20" s="33">
        <f>-'A domestic'!AE20</f>
        <v>-0.002164838180133328</v>
      </c>
      <c r="AF20" s="33">
        <f>-'A domestic'!AF20</f>
        <v>-0.0012721984579634315</v>
      </c>
      <c r="AG20" s="33">
        <f>-'A domestic'!AG20</f>
        <v>-0.00216640329135819</v>
      </c>
      <c r="AH20" s="33">
        <f>-'A domestic'!AH20</f>
        <v>-0.0009847676398917142</v>
      </c>
      <c r="AI20" s="33">
        <f>-'A domestic'!AI20</f>
        <v>-0.002544059169463698</v>
      </c>
      <c r="AJ20" s="33">
        <f>-'A domestic'!AJ20</f>
        <v>-0.0019428264271135432</v>
      </c>
      <c r="AK20" s="33">
        <f>-'A domestic'!AK20</f>
        <v>-0.001112407111929476</v>
      </c>
      <c r="AL20" s="33">
        <f>-'A domestic'!AL20</f>
        <v>-0.001949686023491092</v>
      </c>
      <c r="AM20" s="33">
        <f>-'A domestic'!AM20</f>
        <v>-0.0009412723761185236</v>
      </c>
      <c r="AN20" s="33">
        <f>-'A domestic'!AN20</f>
        <v>-0.002066886701927935</v>
      </c>
      <c r="AO20" s="33">
        <f>-'A domestic'!AO20</f>
        <v>-0.00526059320557289</v>
      </c>
      <c r="AP20" s="33">
        <f>-'A domestic'!AP20</f>
        <v>-0.0020271059766831553</v>
      </c>
      <c r="AQ20" s="33">
        <f>-'A domestic'!AQ20</f>
        <v>-0.0002878557586191648</v>
      </c>
      <c r="AR20" s="33">
        <f>-'A domestic'!AR20</f>
        <v>-0.0002766795758875993</v>
      </c>
      <c r="AS20" s="33">
        <f>-'A domestic'!AS20</f>
        <v>-0.0005602006957538459</v>
      </c>
      <c r="AT20" s="33">
        <f>-'A domestic'!AT20</f>
        <v>-0.0008937896910533202</v>
      </c>
      <c r="AU20" s="33">
        <f>-'A domestic'!AU20</f>
        <v>-0.0011207703464043723</v>
      </c>
      <c r="AV20" s="33">
        <f>-'A domestic'!AV20</f>
        <v>-0.0037424885965823863</v>
      </c>
      <c r="AW20" s="33">
        <f>-'A domestic'!AW20</f>
        <v>-0.0026065791997341705</v>
      </c>
      <c r="AX20" s="33">
        <f>-'A domestic'!AX20</f>
        <v>-0.0014502028488609477</v>
      </c>
      <c r="AY20" s="33">
        <f>-'A domestic'!AY20</f>
        <v>-0.0027553931105340325</v>
      </c>
      <c r="AZ20" s="33">
        <f>-'A domestic'!AZ20</f>
        <v>-0.0023841240786760943</v>
      </c>
      <c r="BA20" s="33">
        <f>-'A domestic'!BA20</f>
        <v>-0.00039204589126888464</v>
      </c>
      <c r="BB20" s="33">
        <f>-'A domestic'!BB20</f>
        <v>-0.0007571230600217483</v>
      </c>
      <c r="BC20" s="33">
        <f>-'A domestic'!BC20</f>
        <v>-0.0023788165438627506</v>
      </c>
      <c r="BD20" s="33">
        <f>-'A domestic'!BD20</f>
        <v>-0.0008934969211388035</v>
      </c>
      <c r="BE20" s="33">
        <f>-'A domestic'!BE20</f>
        <v>-0.0004687494704592517</v>
      </c>
      <c r="BF20" s="33">
        <f>-'A domestic'!BF20</f>
        <v>-0.0008865270845625171</v>
      </c>
      <c r="BG20" s="33">
        <f>-'A domestic'!BG20</f>
        <v>-0.0008714300415962606</v>
      </c>
      <c r="BH20" s="33">
        <f>-'A domestic'!BH20</f>
        <v>-0.0033547703463962944</v>
      </c>
      <c r="BI20" s="33">
        <f>-'A domestic'!BI20</f>
        <v>-0.0018581345031875051</v>
      </c>
      <c r="BJ20" s="33">
        <f>-'A domestic'!BJ20</f>
        <v>-0.0007482064037496587</v>
      </c>
      <c r="BK20" s="33">
        <f>-'A domestic'!BK20</f>
        <v>-0.011673176066239651</v>
      </c>
      <c r="BL20" s="33">
        <f>-'A domestic'!BL20</f>
        <v>-0.0024223015099737615</v>
      </c>
      <c r="BM20" s="33">
        <f>-'A domestic'!BM20</f>
        <v>0</v>
      </c>
      <c r="BN20" s="33">
        <f>-'A domestic'!BN20</f>
        <v>0</v>
      </c>
    </row>
    <row r="21" spans="1:66" x14ac:dyDescent="0.25">
      <c r="A21" s="30" t="s">
        <v>109</v>
      </c>
      <c r="B21" s="31" t="s">
        <v>298</v>
      </c>
      <c r="C21" s="33">
        <f>-'A domestic'!C21</f>
        <v>-0.0059306936483288775</v>
      </c>
      <c r="D21" s="33">
        <f>-'A domestic'!D21</f>
        <v>-0.006488380322849763</v>
      </c>
      <c r="E21" s="33">
        <f>-'A domestic'!E21</f>
        <v>-0.007594730519414412</v>
      </c>
      <c r="F21" s="33">
        <f>-'A domestic'!F21</f>
        <v>-0.00919796465880858</v>
      </c>
      <c r="G21" s="33">
        <f>-'A domestic'!G21</f>
        <v>-0.004329056885875067</v>
      </c>
      <c r="H21" s="33">
        <f>-'A domestic'!H21</f>
        <v>-0.004422415807216047</v>
      </c>
      <c r="I21" s="33">
        <f>-'A domestic'!I21</f>
        <v>-0.005060114316491367</v>
      </c>
      <c r="J21" s="33">
        <f>-'A domestic'!J21</f>
        <v>-0.007505502136967679</v>
      </c>
      <c r="K21" s="33">
        <f>-'A domestic'!K21</f>
        <v>-0.006401753764922143</v>
      </c>
      <c r="L21" s="33">
        <f>-'A domestic'!L21</f>
        <v>-0.002617985207547836</v>
      </c>
      <c r="M21" s="33">
        <f>-'A domestic'!M21</f>
        <v>-0.0048577279492701035</v>
      </c>
      <c r="N21" s="33">
        <f>-'A domestic'!N21</f>
        <v>-0.004205247058937511</v>
      </c>
      <c r="O21" s="33">
        <f>-'A domestic'!O21</f>
        <v>-0.007972848702821497</v>
      </c>
      <c r="P21" s="33">
        <f>-'A domestic'!P21</f>
        <v>-0.00735192314059288</v>
      </c>
      <c r="Q21" s="33">
        <f>-'A domestic'!Q21</f>
        <v>-0.012922855031349085</v>
      </c>
      <c r="R21" s="33">
        <f>-'A domestic'!R21</f>
        <v>-0.01765734620957821</v>
      </c>
      <c r="S21" s="33">
        <f>-'A domestic'!S21</f>
        <v>-0.0100242019843125</v>
      </c>
      <c r="T21" s="33">
        <f>-'A domestic'!T21</f>
        <v>-0.02017461743231246</v>
      </c>
      <c r="U21" s="33">
        <f>1-'A domestic'!U21</f>
        <v>0.8779391446498412</v>
      </c>
      <c r="V21" s="33">
        <f>-'A domestic'!V21</f>
        <v>-0.025412823337826823</v>
      </c>
      <c r="W21" s="33">
        <f>-'A domestic'!W21</f>
        <v>-0.027586621346102822</v>
      </c>
      <c r="X21" s="33">
        <f>-'A domestic'!X21</f>
        <v>-0.00793009034081209</v>
      </c>
      <c r="Y21" s="33">
        <f>-'A domestic'!Y21</f>
        <v>-0.04551446506605552</v>
      </c>
      <c r="Z21" s="33">
        <f>-'A domestic'!Z21</f>
        <v>-0.004685505301753629</v>
      </c>
      <c r="AA21" s="33">
        <f>-'A domestic'!AA21</f>
        <v>-0.01008520034268299</v>
      </c>
      <c r="AB21" s="33">
        <f>-'A domestic'!AB21</f>
        <v>-0.008335890530846683</v>
      </c>
      <c r="AC21" s="33">
        <f>-'A domestic'!AC21</f>
        <v>-0.011017805459372228</v>
      </c>
      <c r="AD21" s="33">
        <f>-'A domestic'!AD21</f>
        <v>-0.008624702370476234</v>
      </c>
      <c r="AE21" s="33">
        <f>-'A domestic'!AE21</f>
        <v>-0.0028278957618557707</v>
      </c>
      <c r="AF21" s="33">
        <f>-'A domestic'!AF21</f>
        <v>-0.0021853978559798187</v>
      </c>
      <c r="AG21" s="33">
        <f>-'A domestic'!AG21</f>
        <v>-0.003474948177530067</v>
      </c>
      <c r="AH21" s="33">
        <f>-'A domestic'!AH21</f>
        <v>-0.003156834652149604</v>
      </c>
      <c r="AI21" s="33">
        <f>-'A domestic'!AI21</f>
        <v>-0.007063386363564467</v>
      </c>
      <c r="AJ21" s="33">
        <f>-'A domestic'!AJ21</f>
        <v>-0.005333521782581502</v>
      </c>
      <c r="AK21" s="33">
        <f>-'A domestic'!AK21</f>
        <v>-0.001806709746195353</v>
      </c>
      <c r="AL21" s="33">
        <f>-'A domestic'!AL21</f>
        <v>-0.0022654707180389676</v>
      </c>
      <c r="AM21" s="33">
        <f>-'A domestic'!AM21</f>
        <v>-0.001877122155735164</v>
      </c>
      <c r="AN21" s="33">
        <f>-'A domestic'!AN21</f>
        <v>-0.002228552356494208</v>
      </c>
      <c r="AO21" s="33">
        <f>-'A domestic'!AO21</f>
        <v>-0.004193954572171333</v>
      </c>
      <c r="AP21" s="33">
        <f>-'A domestic'!AP21</f>
        <v>-0.002293002043707471</v>
      </c>
      <c r="AQ21" s="33">
        <f>-'A domestic'!AQ21</f>
        <v>-0.0008900519230909813</v>
      </c>
      <c r="AR21" s="33">
        <f>-'A domestic'!AR21</f>
        <v>-0.0011518345226816185</v>
      </c>
      <c r="AS21" s="33">
        <f>-'A domestic'!AS21</f>
        <v>-0.0010237153769309098</v>
      </c>
      <c r="AT21" s="33">
        <f>-'A domestic'!AT21</f>
        <v>-0.0008164894737021815</v>
      </c>
      <c r="AU21" s="33">
        <f>-'A domestic'!AU21</f>
        <v>-0.002065960099552697</v>
      </c>
      <c r="AV21" s="33">
        <f>-'A domestic'!AV21</f>
        <v>-0.005325832002358512</v>
      </c>
      <c r="AW21" s="33">
        <f>-'A domestic'!AW21</f>
        <v>-0.005196055395814406</v>
      </c>
      <c r="AX21" s="33">
        <f>-'A domestic'!AX21</f>
        <v>-0.0019905539902296634</v>
      </c>
      <c r="AY21" s="33">
        <f>-'A domestic'!AY21</f>
        <v>-0.0036992565846152713</v>
      </c>
      <c r="AZ21" s="33">
        <f>-'A domestic'!AZ21</f>
        <v>-0.006302295207975742</v>
      </c>
      <c r="BA21" s="33">
        <f>-'A domestic'!BA21</f>
        <v>-0.0009077601469248874</v>
      </c>
      <c r="BB21" s="33">
        <f>-'A domestic'!BB21</f>
        <v>-0.0014982898911705409</v>
      </c>
      <c r="BC21" s="33">
        <f>-'A domestic'!BC21</f>
        <v>-0.00437242121179068</v>
      </c>
      <c r="BD21" s="33">
        <f>-'A domestic'!BD21</f>
        <v>-0.0015231769732283653</v>
      </c>
      <c r="BE21" s="33">
        <f>-'A domestic'!BE21</f>
        <v>-0.0006408502136802829</v>
      </c>
      <c r="BF21" s="33">
        <f>-'A domestic'!BF21</f>
        <v>-0.001789080065698203</v>
      </c>
      <c r="BG21" s="33">
        <f>-'A domestic'!BG21</f>
        <v>-0.001618185647611765</v>
      </c>
      <c r="BH21" s="33">
        <f>-'A domestic'!BH21</f>
        <v>-0.00282539133895793</v>
      </c>
      <c r="BI21" s="33">
        <f>-'A domestic'!BI21</f>
        <v>-0.002302331066311699</v>
      </c>
      <c r="BJ21" s="33">
        <f>-'A domestic'!BJ21</f>
        <v>-0.002389544663781577</v>
      </c>
      <c r="BK21" s="33">
        <f>-'A domestic'!BK21</f>
        <v>-0.0069551632557412904</v>
      </c>
      <c r="BL21" s="33">
        <f>-'A domestic'!BL21</f>
        <v>-0.002135359290377571</v>
      </c>
      <c r="BM21" s="33">
        <f>-'A domestic'!BM21</f>
        <v>0</v>
      </c>
      <c r="BN21" s="33">
        <f>-'A domestic'!BN21</f>
        <v>0</v>
      </c>
    </row>
    <row r="22" spans="1:66" x14ac:dyDescent="0.25">
      <c r="A22" s="30" t="s">
        <v>111</v>
      </c>
      <c r="B22" s="31" t="s">
        <v>299</v>
      </c>
      <c r="C22" s="33">
        <f>-'A domestic'!C22</f>
        <v>-0.002620307646113574</v>
      </c>
      <c r="D22" s="33">
        <f>-'A domestic'!D22</f>
        <v>-0.002219371946562135</v>
      </c>
      <c r="E22" s="33">
        <f>-'A domestic'!E22</f>
        <v>-0.002253306999504544</v>
      </c>
      <c r="F22" s="33">
        <f>-'A domestic'!F22</f>
        <v>-0.0023421848517289567</v>
      </c>
      <c r="G22" s="33">
        <f>-'A domestic'!G22</f>
        <v>-0.001460261119352028</v>
      </c>
      <c r="H22" s="33">
        <f>-'A domestic'!H22</f>
        <v>-0.001763696313980104</v>
      </c>
      <c r="I22" s="33">
        <f>-'A domestic'!I22</f>
        <v>-0.0023671196668380904</v>
      </c>
      <c r="J22" s="33">
        <f>-'A domestic'!J22</f>
        <v>-0.0018897133688142147</v>
      </c>
      <c r="K22" s="33">
        <f>-'A domestic'!K22</f>
        <v>-0.0024381540543729676</v>
      </c>
      <c r="L22" s="33">
        <f>-'A domestic'!L22</f>
        <v>-0.0009479703680736956</v>
      </c>
      <c r="M22" s="33">
        <f>-'A domestic'!M22</f>
        <v>-0.0029132815350079934</v>
      </c>
      <c r="N22" s="33">
        <f>-'A domestic'!N22</f>
        <v>-0.0019661804052603002</v>
      </c>
      <c r="O22" s="33">
        <f>-'A domestic'!O22</f>
        <v>-0.004958716137605214</v>
      </c>
      <c r="P22" s="33">
        <f>-'A domestic'!P22</f>
        <v>-0.0063782382172084895</v>
      </c>
      <c r="Q22" s="33">
        <f>-'A domestic'!Q22</f>
        <v>-0.002517859839003187</v>
      </c>
      <c r="R22" s="33">
        <f>-'A domestic'!R22</f>
        <v>-0.007132214349447624</v>
      </c>
      <c r="S22" s="33">
        <f>-'A domestic'!S22</f>
        <v>-0.0048087369188900345</v>
      </c>
      <c r="T22" s="33">
        <f>-'A domestic'!T22</f>
        <v>-0.011827851223518466</v>
      </c>
      <c r="U22" s="33">
        <f>-'A domestic'!U22</f>
        <v>-0.024241307562665345</v>
      </c>
      <c r="V22" s="33">
        <f>1-'A domestic'!V22</f>
        <v>0.7703006075171215</v>
      </c>
      <c r="W22" s="33">
        <f>-'A domestic'!W22</f>
        <v>-0.010858540331930623</v>
      </c>
      <c r="X22" s="33">
        <f>-'A domestic'!X22</f>
        <v>-0.0034737674483060117</v>
      </c>
      <c r="Y22" s="33">
        <f>-'A domestic'!Y22</f>
        <v>-0.015300973204340472</v>
      </c>
      <c r="Z22" s="33">
        <f>-'A domestic'!Z22</f>
        <v>-0.0015459113711411478</v>
      </c>
      <c r="AA22" s="33">
        <f>-'A domestic'!AA22</f>
        <v>-0.0025387620933312234</v>
      </c>
      <c r="AB22" s="33">
        <f>-'A domestic'!AB22</f>
        <v>-0.009076560429444054</v>
      </c>
      <c r="AC22" s="33">
        <f>-'A domestic'!AC22</f>
        <v>-0.0038081547914608316</v>
      </c>
      <c r="AD22" s="33">
        <f>-'A domestic'!AD22</f>
        <v>-0.058089110765567255</v>
      </c>
      <c r="AE22" s="33">
        <f>-'A domestic'!AE22</f>
        <v>-0.0023835121421355784</v>
      </c>
      <c r="AF22" s="33">
        <f>-'A domestic'!AF22</f>
        <v>-0.0024302915984138734</v>
      </c>
      <c r="AG22" s="33">
        <f>-'A domestic'!AG22</f>
        <v>-0.015386410559325235</v>
      </c>
      <c r="AH22" s="33">
        <f>-'A domestic'!AH22</f>
        <v>-0.0010358296656638771</v>
      </c>
      <c r="AI22" s="33">
        <f>-'A domestic'!AI22</f>
        <v>-0.0042580249217833085</v>
      </c>
      <c r="AJ22" s="33">
        <f>-'A domestic'!AJ22</f>
        <v>-0.005668918783567522</v>
      </c>
      <c r="AK22" s="33">
        <f>-'A domestic'!AK22</f>
        <v>-0.010082963280874142</v>
      </c>
      <c r="AL22" s="33">
        <f>-'A domestic'!AL22</f>
        <v>-0.0010571971365099047</v>
      </c>
      <c r="AM22" s="33">
        <f>-'A domestic'!AM22</f>
        <v>-0.00132672861079404</v>
      </c>
      <c r="AN22" s="33">
        <f>-'A domestic'!AN22</f>
        <v>-0.0020744195102052167</v>
      </c>
      <c r="AO22" s="33">
        <f>-'A domestic'!AO22</f>
        <v>-0.0021745140448981397</v>
      </c>
      <c r="AP22" s="33">
        <f>-'A domestic'!AP22</f>
        <v>-0.0021393248217561945</v>
      </c>
      <c r="AQ22" s="33">
        <f>-'A domestic'!AQ22</f>
        <v>-0.0010352980427606013</v>
      </c>
      <c r="AR22" s="33">
        <f>-'A domestic'!AR22</f>
        <v>-0.0017542980676548863</v>
      </c>
      <c r="AS22" s="33">
        <f>-'A domestic'!AS22</f>
        <v>-0.0013513556921080445</v>
      </c>
      <c r="AT22" s="33">
        <f>-'A domestic'!AT22</f>
        <v>-0.0005010761328417987</v>
      </c>
      <c r="AU22" s="33">
        <f>-'A domestic'!AU22</f>
        <v>-0.0020314789283005052</v>
      </c>
      <c r="AV22" s="33">
        <f>-'A domestic'!AV22</f>
        <v>-0.0024746988413940378</v>
      </c>
      <c r="AW22" s="33">
        <f>-'A domestic'!AW22</f>
        <v>-0.005546259756347352</v>
      </c>
      <c r="AX22" s="33">
        <f>-'A domestic'!AX22</f>
        <v>-0.002017774251370424</v>
      </c>
      <c r="AY22" s="33">
        <f>-'A domestic'!AY22</f>
        <v>-0.0029864430234601692</v>
      </c>
      <c r="AZ22" s="33">
        <f>-'A domestic'!AZ22</f>
        <v>-0.011029016613957547</v>
      </c>
      <c r="BA22" s="33">
        <f>-'A domestic'!BA22</f>
        <v>-0.0006574175898495754</v>
      </c>
      <c r="BB22" s="33">
        <f>-'A domestic'!BB22</f>
        <v>-0.00215409089784902</v>
      </c>
      <c r="BC22" s="33">
        <f>-'A domestic'!BC22</f>
        <v>-0.002760267197249794</v>
      </c>
      <c r="BD22" s="33">
        <f>-'A domestic'!BD22</f>
        <v>-0.0013355816006458572</v>
      </c>
      <c r="BE22" s="33">
        <f>-'A domestic'!BE22</f>
        <v>-0.0006120431969688241</v>
      </c>
      <c r="BF22" s="33">
        <f>-'A domestic'!BF22</f>
        <v>-0.0009786959225654192</v>
      </c>
      <c r="BG22" s="33">
        <f>-'A domestic'!BG22</f>
        <v>-0.0009909404473008904</v>
      </c>
      <c r="BH22" s="33">
        <f>-'A domestic'!BH22</f>
        <v>-0.0017024793965515733</v>
      </c>
      <c r="BI22" s="33">
        <f>-'A domestic'!BI22</f>
        <v>-0.002407674124760125</v>
      </c>
      <c r="BJ22" s="33">
        <f>-'A domestic'!BJ22</f>
        <v>-0.0019288887610886664</v>
      </c>
      <c r="BK22" s="33">
        <f>-'A domestic'!BK22</f>
        <v>-0.0023183877519137638</v>
      </c>
      <c r="BL22" s="33">
        <f>-'A domestic'!BL22</f>
        <v>-0.001198686536575586</v>
      </c>
      <c r="BM22" s="33">
        <f>-'A domestic'!BM22</f>
        <v>0</v>
      </c>
      <c r="BN22" s="33">
        <f>-'A domestic'!BN22</f>
        <v>0</v>
      </c>
    </row>
    <row r="23" spans="1:66" x14ac:dyDescent="0.25">
      <c r="A23" s="30" t="s">
        <v>113</v>
      </c>
      <c r="B23" s="31" t="s">
        <v>300</v>
      </c>
      <c r="C23" s="33">
        <f>-'A domestic'!C23</f>
        <v>-0.0005064298788391391</v>
      </c>
      <c r="D23" s="33">
        <f>-'A domestic'!D23</f>
        <v>-0.00035708509674123816</v>
      </c>
      <c r="E23" s="33">
        <f>-'A domestic'!E23</f>
        <v>-0.007703323627824268</v>
      </c>
      <c r="F23" s="33">
        <f>-'A domestic'!F23</f>
        <v>-0.0012991734869449132</v>
      </c>
      <c r="G23" s="33">
        <f>-'A domestic'!G23</f>
        <v>-0.00035583103764921944</v>
      </c>
      <c r="H23" s="33">
        <f>-'A domestic'!H23</f>
        <v>-0.0005568642744339571</v>
      </c>
      <c r="I23" s="33">
        <f>-'A domestic'!I23</f>
        <v>-0.0005493482783221285</v>
      </c>
      <c r="J23" s="33">
        <f>-'A domestic'!J23</f>
        <v>-0.0006823591334128671</v>
      </c>
      <c r="K23" s="33">
        <f>-'A domestic'!K23</f>
        <v>-0.000720783735024545</v>
      </c>
      <c r="L23" s="33">
        <f>-'A domestic'!L23</f>
        <v>-0.00021104784981915834</v>
      </c>
      <c r="M23" s="33">
        <f>-'A domestic'!M23</f>
        <v>-0.000547766896504992</v>
      </c>
      <c r="N23" s="33">
        <f>-'A domestic'!N23</f>
        <v>-0.00036896158439801143</v>
      </c>
      <c r="O23" s="33">
        <f>-'A domestic'!O23</f>
        <v>-0.0008341136799408274</v>
      </c>
      <c r="P23" s="33">
        <f>-'A domestic'!P23</f>
        <v>-0.0007821835223014482</v>
      </c>
      <c r="Q23" s="33">
        <f>-'A domestic'!Q23</f>
        <v>-0.0009325259653054252</v>
      </c>
      <c r="R23" s="33">
        <f>-'A domestic'!R23</f>
        <v>-0.0014090359087369666</v>
      </c>
      <c r="S23" s="33">
        <f>-'A domestic'!S23</f>
        <v>-0.0009495429861607749</v>
      </c>
      <c r="T23" s="33">
        <f>-'A domestic'!T23</f>
        <v>-0.001962311473669705</v>
      </c>
      <c r="U23" s="33">
        <f>-'A domestic'!U23</f>
        <v>-0.0013362078020159919</v>
      </c>
      <c r="V23" s="33">
        <f>-'A domestic'!V23</f>
        <v>-0.00134072360312467</v>
      </c>
      <c r="W23" s="33">
        <f>1-'A domestic'!W23</f>
        <v>0.8117045632765654</v>
      </c>
      <c r="X23" s="33">
        <f>-'A domestic'!X23</f>
        <v>-0.0012636427341257113</v>
      </c>
      <c r="Y23" s="33">
        <f>-'A domestic'!Y23</f>
        <v>-0.019020080829362622</v>
      </c>
      <c r="Z23" s="33">
        <f>-'A domestic'!Z23</f>
        <v>-0.0010623062197462159</v>
      </c>
      <c r="AA23" s="33">
        <f>-'A domestic'!AA23</f>
        <v>-0.0013185597621175641</v>
      </c>
      <c r="AB23" s="33">
        <f>-'A domestic'!AB23</f>
        <v>-0.0007564947083212355</v>
      </c>
      <c r="AC23" s="33">
        <f>-'A domestic'!AC23</f>
        <v>-0.0008586716581165768</v>
      </c>
      <c r="AD23" s="33">
        <f>-'A domestic'!AD23</f>
        <v>-0.00114214906669929</v>
      </c>
      <c r="AE23" s="33">
        <f>-'A domestic'!AE23</f>
        <v>-0.0005454366364109054</v>
      </c>
      <c r="AF23" s="33">
        <f>-'A domestic'!AF23</f>
        <v>-0.0004094052400837438</v>
      </c>
      <c r="AG23" s="33">
        <f>-'A domestic'!AG23</f>
        <v>-0.0031603741941065235</v>
      </c>
      <c r="AH23" s="33">
        <f>-'A domestic'!AH23</f>
        <v>-0.0012842743120679307</v>
      </c>
      <c r="AI23" s="33">
        <f>-'A domestic'!AI23</f>
        <v>-0.01758760427574033</v>
      </c>
      <c r="AJ23" s="33">
        <f>-'A domestic'!AJ23</f>
        <v>-0.0024735354933771957</v>
      </c>
      <c r="AK23" s="33">
        <f>-'A domestic'!AK23</f>
        <v>-0.00020351443118062597</v>
      </c>
      <c r="AL23" s="33">
        <f>-'A domestic'!AL23</f>
        <v>-0.0004287822145733906</v>
      </c>
      <c r="AM23" s="33">
        <f>-'A domestic'!AM23</f>
        <v>-0.00019792477231872938</v>
      </c>
      <c r="AN23" s="33">
        <f>-'A domestic'!AN23</f>
        <v>-0.0004455945819407295</v>
      </c>
      <c r="AO23" s="33">
        <f>-'A domestic'!AO23</f>
        <v>-0.0006127436745105603</v>
      </c>
      <c r="AP23" s="33">
        <f>-'A domestic'!AP23</f>
        <v>-0.00038428377342715806</v>
      </c>
      <c r="AQ23" s="33">
        <f>-'A domestic'!AQ23</f>
        <v>-0.00010497986867210171</v>
      </c>
      <c r="AR23" s="33">
        <f>-'A domestic'!AR23</f>
        <v>-0.00008125904661203368</v>
      </c>
      <c r="AS23" s="33">
        <f>-'A domestic'!AS23</f>
        <v>-0.00019401446114410717</v>
      </c>
      <c r="AT23" s="33">
        <f>-'A domestic'!AT23</f>
        <v>-0.00012534016837979125</v>
      </c>
      <c r="AU23" s="33">
        <f>-'A domestic'!AU23</f>
        <v>-0.0002565363866307592</v>
      </c>
      <c r="AV23" s="33">
        <f>-'A domestic'!AV23</f>
        <v>-0.0006342293867644086</v>
      </c>
      <c r="AW23" s="33">
        <f>-'A domestic'!AW23</f>
        <v>-0.0008783614019413538</v>
      </c>
      <c r="AX23" s="33">
        <f>-'A domestic'!AX23</f>
        <v>-0.0003764504200317955</v>
      </c>
      <c r="AY23" s="33">
        <f>-'A domestic'!AY23</f>
        <v>-0.0013113311547456792</v>
      </c>
      <c r="AZ23" s="33">
        <f>-'A domestic'!AZ23</f>
        <v>-0.002682682421861853</v>
      </c>
      <c r="BA23" s="33">
        <f>-'A domestic'!BA23</f>
        <v>-0.00014599737462368104</v>
      </c>
      <c r="BB23" s="33">
        <f>-'A domestic'!BB23</f>
        <v>-0.0002880099311568505</v>
      </c>
      <c r="BC23" s="33">
        <f>-'A domestic'!BC23</f>
        <v>-0.0006439526437006418</v>
      </c>
      <c r="BD23" s="33">
        <f>-'A domestic'!BD23</f>
        <v>-0.004694687312970198</v>
      </c>
      <c r="BE23" s="33">
        <f>-'A domestic'!BE23</f>
        <v>-0.00016320445864837478</v>
      </c>
      <c r="BF23" s="33">
        <f>-'A domestic'!BF23</f>
        <v>-0.00042943024349795093</v>
      </c>
      <c r="BG23" s="33">
        <f>-'A domestic'!BG23</f>
        <v>-0.00020711448396033873</v>
      </c>
      <c r="BH23" s="33">
        <f>-'A domestic'!BH23</f>
        <v>-0.00045387812674022975</v>
      </c>
      <c r="BI23" s="33">
        <f>-'A domestic'!BI23</f>
        <v>-0.0009047798242292545</v>
      </c>
      <c r="BJ23" s="33">
        <f>-'A domestic'!BJ23</f>
        <v>-0.00030250312711169907</v>
      </c>
      <c r="BK23" s="33">
        <f>-'A domestic'!BK23</f>
        <v>-0.0007592563661927824</v>
      </c>
      <c r="BL23" s="33">
        <f>-'A domestic'!BL23</f>
        <v>-0.0004598501005358554</v>
      </c>
      <c r="BM23" s="33">
        <f>-'A domestic'!BM23</f>
        <v>0</v>
      </c>
      <c r="BN23" s="33">
        <f>-'A domestic'!BN23</f>
        <v>0</v>
      </c>
    </row>
    <row r="24" spans="1:66" x14ac:dyDescent="0.25">
      <c r="A24" s="30" t="s">
        <v>301</v>
      </c>
      <c r="B24" s="31" t="s">
        <v>302</v>
      </c>
      <c r="C24" s="33">
        <f>-'A domestic'!C24</f>
        <v>-0.0007953445460155526</v>
      </c>
      <c r="D24" s="33">
        <f>-'A domestic'!D24</f>
        <v>-0.00040512345056292943</v>
      </c>
      <c r="E24" s="33">
        <f>-'A domestic'!E24</f>
        <v>-0.0015474517948404697</v>
      </c>
      <c r="F24" s="33">
        <f>-'A domestic'!F24</f>
        <v>-0.0006142382069018707</v>
      </c>
      <c r="G24" s="33">
        <f>-'A domestic'!G24</f>
        <v>-0.001256592733865461</v>
      </c>
      <c r="H24" s="33">
        <f>-'A domestic'!H24</f>
        <v>-0.00324852132333437</v>
      </c>
      <c r="I24" s="33">
        <f>-'A domestic'!I24</f>
        <v>-0.008332442268927199</v>
      </c>
      <c r="J24" s="33">
        <f>-'A domestic'!J24</f>
        <v>-0.0019219931701320377</v>
      </c>
      <c r="K24" s="33">
        <f>-'A domestic'!K24</f>
        <v>-0.0017941401846173091</v>
      </c>
      <c r="L24" s="33">
        <f>-'A domestic'!L24</f>
        <v>-0.00034990962045735127</v>
      </c>
      <c r="M24" s="33">
        <f>-'A domestic'!M24</f>
        <v>-0.0021160569293063956</v>
      </c>
      <c r="N24" s="33">
        <f>-'A domestic'!N24</f>
        <v>-0.0028001789100374247</v>
      </c>
      <c r="O24" s="33">
        <f>-'A domestic'!O24</f>
        <v>-0.0023081069066910997</v>
      </c>
      <c r="P24" s="33">
        <f>-'A domestic'!P24</f>
        <v>-0.0016866420060016316</v>
      </c>
      <c r="Q24" s="33">
        <f>-'A domestic'!Q24</f>
        <v>-0.0020025269983550676</v>
      </c>
      <c r="R24" s="33">
        <f>-'A domestic'!R24</f>
        <v>-0.002156831280309191</v>
      </c>
      <c r="S24" s="33">
        <f>-'A domestic'!S24</f>
        <v>-0.0034177419770766693</v>
      </c>
      <c r="T24" s="33">
        <f>-'A domestic'!T24</f>
        <v>-0.0018592777935947315</v>
      </c>
      <c r="U24" s="33">
        <f>-'A domestic'!U24</f>
        <v>-0.0021839449045545963</v>
      </c>
      <c r="V24" s="33">
        <f>-'A domestic'!V24</f>
        <v>-0.002331660968112236</v>
      </c>
      <c r="W24" s="33">
        <f>-'A domestic'!W24</f>
        <v>-0.0018959297970981353</v>
      </c>
      <c r="X24" s="33">
        <f>1-'A domestic'!X24</f>
        <v>0.9583805086144147</v>
      </c>
      <c r="Y24" s="33">
        <f>-'A domestic'!Y24</f>
        <v>-0.0034097226361547374</v>
      </c>
      <c r="Z24" s="33">
        <f>-'A domestic'!Z24</f>
        <v>-0.0005570031267358909</v>
      </c>
      <c r="AA24" s="33">
        <f>-'A domestic'!AA24</f>
        <v>-0.0009465120886984461</v>
      </c>
      <c r="AB24" s="33">
        <f>-'A domestic'!AB24</f>
        <v>-0.0010891597301250712</v>
      </c>
      <c r="AC24" s="33">
        <f>-'A domestic'!AC24</f>
        <v>-0.0035686453483608984</v>
      </c>
      <c r="AD24" s="33">
        <f>-'A domestic'!AD24</f>
        <v>-0.0015911318032638384</v>
      </c>
      <c r="AE24" s="33">
        <f>-'A domestic'!AE24</f>
        <v>-0.001411508083220024</v>
      </c>
      <c r="AF24" s="33">
        <f>-'A domestic'!AF24</f>
        <v>-0.0014365315266568846</v>
      </c>
      <c r="AG24" s="33">
        <f>-'A domestic'!AG24</f>
        <v>-0.0009026680380659126</v>
      </c>
      <c r="AH24" s="33">
        <f>-'A domestic'!AH24</f>
        <v>-0.00038918703676766225</v>
      </c>
      <c r="AI24" s="33">
        <f>-'A domestic'!AI24</f>
        <v>-0.000610548892945155</v>
      </c>
      <c r="AJ24" s="33">
        <f>-'A domestic'!AJ24</f>
        <v>-0.0006353206567827261</v>
      </c>
      <c r="AK24" s="33">
        <f>-'A domestic'!AK24</f>
        <v>-0.0003571885935006905</v>
      </c>
      <c r="AL24" s="33">
        <f>-'A domestic'!AL24</f>
        <v>-0.001961965913503835</v>
      </c>
      <c r="AM24" s="33">
        <f>-'A domestic'!AM24</f>
        <v>-0.0009715485399207037</v>
      </c>
      <c r="AN24" s="33">
        <f>-'A domestic'!AN24</f>
        <v>-0.0035386815499506307</v>
      </c>
      <c r="AO24" s="33">
        <f>-'A domestic'!AO24</f>
        <v>-0.0010497954423486612</v>
      </c>
      <c r="AP24" s="33">
        <f>-'A domestic'!AP24</f>
        <v>-0.0007738292226944424</v>
      </c>
      <c r="AQ24" s="33">
        <f>-'A domestic'!AQ24</f>
        <v>-0.0003185348069982265</v>
      </c>
      <c r="AR24" s="33">
        <f>-'A domestic'!AR24</f>
        <v>-0.00026446579280787645</v>
      </c>
      <c r="AS24" s="33">
        <f>-'A domestic'!AS24</f>
        <v>-0.000416295929872124</v>
      </c>
      <c r="AT24" s="33">
        <f>-'A domestic'!AT24</f>
        <v>-0.0005852053264497252</v>
      </c>
      <c r="AU24" s="33">
        <f>-'A domestic'!AU24</f>
        <v>-0.0007869820262265023</v>
      </c>
      <c r="AV24" s="33">
        <f>-'A domestic'!AV24</f>
        <v>-0.0011629768818482388</v>
      </c>
      <c r="AW24" s="33">
        <f>-'A domestic'!AW24</f>
        <v>-0.0016536975675863876</v>
      </c>
      <c r="AX24" s="33">
        <f>-'A domestic'!AX24</f>
        <v>-0.0016656483200176062</v>
      </c>
      <c r="AY24" s="33">
        <f>-'A domestic'!AY24</f>
        <v>-0.0031707913582416612</v>
      </c>
      <c r="AZ24" s="33">
        <f>-'A domestic'!AZ24</f>
        <v>-0.0016198147201205522</v>
      </c>
      <c r="BA24" s="33">
        <f>-'A domestic'!BA24</f>
        <v>-0.0006028832763872006</v>
      </c>
      <c r="BB24" s="33">
        <f>-'A domestic'!BB24</f>
        <v>-0.0005688395593208709</v>
      </c>
      <c r="BC24" s="33">
        <f>-'A domestic'!BC24</f>
        <v>-0.0016803261732193432</v>
      </c>
      <c r="BD24" s="33">
        <f>-'A domestic'!BD24</f>
        <v>-0.0007087555041317621</v>
      </c>
      <c r="BE24" s="33">
        <f>-'A domestic'!BE24</f>
        <v>-0.0008122095998535926</v>
      </c>
      <c r="BF24" s="33">
        <f>-'A domestic'!BF24</f>
        <v>-0.013055444818293441</v>
      </c>
      <c r="BG24" s="33">
        <f>-'A domestic'!BG24</f>
        <v>-0.0026758896240254276</v>
      </c>
      <c r="BH24" s="33">
        <f>-'A domestic'!BH24</f>
        <v>-0.004068755553460732</v>
      </c>
      <c r="BI24" s="33">
        <f>-'A domestic'!BI24</f>
        <v>-0.0044407951528147365</v>
      </c>
      <c r="BJ24" s="33">
        <f>-'A domestic'!BJ24</f>
        <v>-0.0017017238652538354</v>
      </c>
      <c r="BK24" s="33">
        <f>-'A domestic'!BK24</f>
        <v>-0.0026808311201374784</v>
      </c>
      <c r="BL24" s="33">
        <f>-'A domestic'!BL24</f>
        <v>-0.001530712099361567</v>
      </c>
      <c r="BM24" s="33">
        <f>-'A domestic'!BM24</f>
        <v>0</v>
      </c>
      <c r="BN24" s="33">
        <f>-'A domestic'!BN24</f>
        <v>0</v>
      </c>
    </row>
    <row r="25" spans="1:66" x14ac:dyDescent="0.25">
      <c r="A25" s="30" t="s">
        <v>119</v>
      </c>
      <c r="B25" s="31" t="s">
        <v>303</v>
      </c>
      <c r="C25" s="33">
        <f>-'A domestic'!C25</f>
        <v>-0.013735404790397211</v>
      </c>
      <c r="D25" s="33">
        <f>-'A domestic'!D25</f>
        <v>-0.003151316010702945</v>
      </c>
      <c r="E25" s="33">
        <f>-'A domestic'!E25</f>
        <v>-0.007940871052470832</v>
      </c>
      <c r="F25" s="33">
        <f>-'A domestic'!F25</f>
        <v>-0.013877743643231353</v>
      </c>
      <c r="G25" s="33">
        <f>-'A domestic'!G25</f>
        <v>-0.00346052306279579</v>
      </c>
      <c r="H25" s="33">
        <f>-'A domestic'!H25</f>
        <v>-0.0028036447381596073</v>
      </c>
      <c r="I25" s="33">
        <f>-'A domestic'!I25</f>
        <v>-0.005941560884592167</v>
      </c>
      <c r="J25" s="33">
        <f>-'A domestic'!J25</f>
        <v>-0.007195257379857494</v>
      </c>
      <c r="K25" s="33">
        <f>-'A domestic'!K25</f>
        <v>-0.005059702786888275</v>
      </c>
      <c r="L25" s="33">
        <f>-'A domestic'!L25</f>
        <v>-0.0023038931072947807</v>
      </c>
      <c r="M25" s="33">
        <f>-'A domestic'!M25</f>
        <v>-0.005947115911162799</v>
      </c>
      <c r="N25" s="33">
        <f>-'A domestic'!N25</f>
        <v>-0.0016895264966088372</v>
      </c>
      <c r="O25" s="33">
        <f>-'A domestic'!O25</f>
        <v>-0.004022860768881282</v>
      </c>
      <c r="P25" s="33">
        <f>-'A domestic'!P25</f>
        <v>-0.00736471498270844</v>
      </c>
      <c r="Q25" s="33">
        <f>-'A domestic'!Q25</f>
        <v>-0.010907613575861605</v>
      </c>
      <c r="R25" s="33">
        <f>-'A domestic'!R25</f>
        <v>-0.00791888740079992</v>
      </c>
      <c r="S25" s="33">
        <f>-'A domestic'!S25</f>
        <v>-0.004453583841786071</v>
      </c>
      <c r="T25" s="33">
        <f>-'A domestic'!T25</f>
        <v>-0.0065321276922090735</v>
      </c>
      <c r="U25" s="33">
        <f>-'A domestic'!U25</f>
        <v>-0.010715857606488507</v>
      </c>
      <c r="V25" s="33">
        <f>-'A domestic'!V25</f>
        <v>-0.006231054211395703</v>
      </c>
      <c r="W25" s="33">
        <f>-'A domestic'!W25</f>
        <v>-0.01803368554974635</v>
      </c>
      <c r="X25" s="33">
        <f>-'A domestic'!X25</f>
        <v>-0.004274169756721987</v>
      </c>
      <c r="Y25" s="33">
        <f>1-'A domestic'!Y25</f>
        <v>0.9541307356347846</v>
      </c>
      <c r="Z25" s="33">
        <f>-'A domestic'!Z25</f>
        <v>-0.008855528229245268</v>
      </c>
      <c r="AA25" s="33">
        <f>-'A domestic'!AA25</f>
        <v>-0.008776618870657128</v>
      </c>
      <c r="AB25" s="33">
        <f>-'A domestic'!AB25</f>
        <v>-0.0053112877679725124</v>
      </c>
      <c r="AC25" s="33">
        <f>-'A domestic'!AC25</f>
        <v>-0.003751668660104848</v>
      </c>
      <c r="AD25" s="33">
        <f>-'A domestic'!AD25</f>
        <v>-0.0024265744611037935</v>
      </c>
      <c r="AE25" s="33">
        <f>-'A domestic'!AE25</f>
        <v>-0.0021228509637654857</v>
      </c>
      <c r="AF25" s="33">
        <f>-'A domestic'!AF25</f>
        <v>-0.002208147547899922</v>
      </c>
      <c r="AG25" s="33">
        <f>-'A domestic'!AG25</f>
        <v>-0.007798948242801902</v>
      </c>
      <c r="AH25" s="33">
        <f>-'A domestic'!AH25</f>
        <v>-0.011436177402350312</v>
      </c>
      <c r="AI25" s="33">
        <f>-'A domestic'!AI25</f>
        <v>-0.03568895539196923</v>
      </c>
      <c r="AJ25" s="33">
        <f>-'A domestic'!AJ25</f>
        <v>-0.003632331436228106</v>
      </c>
      <c r="AK25" s="33">
        <f>-'A domestic'!AK25</f>
        <v>-0.001240468913862863</v>
      </c>
      <c r="AL25" s="33">
        <f>-'A domestic'!AL25</f>
        <v>-0.0016482090907011834</v>
      </c>
      <c r="AM25" s="33">
        <f>-'A domestic'!AM25</f>
        <v>-0.0008016405161950364</v>
      </c>
      <c r="AN25" s="33">
        <f>-'A domestic'!AN25</f>
        <v>-0.0014706359544415753</v>
      </c>
      <c r="AO25" s="33">
        <f>-'A domestic'!AO25</f>
        <v>-0.006967273098984531</v>
      </c>
      <c r="AP25" s="33">
        <f>-'A domestic'!AP25</f>
        <v>-0.0015804078415662228</v>
      </c>
      <c r="AQ25" s="33">
        <f>-'A domestic'!AQ25</f>
        <v>-0.00040302203007337684</v>
      </c>
      <c r="AR25" s="33">
        <f>-'A domestic'!AR25</f>
        <v>-0.0004329661471322162</v>
      </c>
      <c r="AS25" s="33">
        <f>-'A domestic'!AS25</f>
        <v>-0.0006186620068932954</v>
      </c>
      <c r="AT25" s="33">
        <f>-'A domestic'!AT25</f>
        <v>-0.0009785353894622068</v>
      </c>
      <c r="AU25" s="33">
        <f>-'A domestic'!AU25</f>
        <v>-0.0010762358413344056</v>
      </c>
      <c r="AV25" s="33">
        <f>-'A domestic'!AV25</f>
        <v>-0.00173521056906254</v>
      </c>
      <c r="AW25" s="33">
        <f>-'A domestic'!AW25</f>
        <v>-0.003157947460387204</v>
      </c>
      <c r="AX25" s="33">
        <f>-'A domestic'!AX25</f>
        <v>-0.001078385664768005</v>
      </c>
      <c r="AY25" s="33">
        <f>-'A domestic'!AY25</f>
        <v>-0.0027701409773165523</v>
      </c>
      <c r="AZ25" s="33">
        <f>-'A domestic'!AZ25</f>
        <v>-0.005098290834910264</v>
      </c>
      <c r="BA25" s="33">
        <f>-'A domestic'!BA25</f>
        <v>-0.0014281978470540094</v>
      </c>
      <c r="BB25" s="33">
        <f>-'A domestic'!BB25</f>
        <v>-0.000850466998928539</v>
      </c>
      <c r="BC25" s="33">
        <f>-'A domestic'!BC25</f>
        <v>-0.0024693993202217117</v>
      </c>
      <c r="BD25" s="33">
        <f>-'A domestic'!BD25</f>
        <v>-0.0031406040891197055</v>
      </c>
      <c r="BE25" s="33">
        <f>-'A domestic'!BE25</f>
        <v>-0.0005187381171056066</v>
      </c>
      <c r="BF25" s="33">
        <f>-'A domestic'!BF25</f>
        <v>-0.0025352808917095885</v>
      </c>
      <c r="BG25" s="33">
        <f>-'A domestic'!BG25</f>
        <v>-0.0013147988923893632</v>
      </c>
      <c r="BH25" s="33">
        <f>-'A domestic'!BH25</f>
        <v>-0.001525292358612599</v>
      </c>
      <c r="BI25" s="33">
        <f>-'A domestic'!BI25</f>
        <v>-0.002504823834218117</v>
      </c>
      <c r="BJ25" s="33">
        <f>-'A domestic'!BJ25</f>
        <v>-0.0006763187784854716</v>
      </c>
      <c r="BK25" s="33">
        <f>-'A domestic'!BK25</f>
        <v>-0.002162162162162162</v>
      </c>
      <c r="BL25" s="33">
        <f>-'A domestic'!BL25</f>
        <v>-0.001607088586647799</v>
      </c>
      <c r="BM25" s="33">
        <f>-'A domestic'!BM25</f>
        <v>0</v>
      </c>
      <c r="BN25" s="33">
        <f>-'A domestic'!BN25</f>
        <v>0</v>
      </c>
    </row>
    <row r="26" spans="1:66" x14ac:dyDescent="0.25">
      <c r="A26" s="30" t="s">
        <v>304</v>
      </c>
      <c r="B26" s="31" t="s">
        <v>305</v>
      </c>
      <c r="C26" s="33">
        <f>-'A domestic'!C26</f>
        <v>-0.021888733811831887</v>
      </c>
      <c r="D26" s="33">
        <f>-'A domestic'!D26</f>
        <v>-0.0047798162052582775</v>
      </c>
      <c r="E26" s="33">
        <f>-'A domestic'!E26</f>
        <v>-0.016193947291620003</v>
      </c>
      <c r="F26" s="33">
        <f>-'A domestic'!F26</f>
        <v>-0.0547782958149169</v>
      </c>
      <c r="G26" s="33">
        <f>-'A domestic'!G26</f>
        <v>-0.020009388759388756</v>
      </c>
      <c r="H26" s="33">
        <f>-'A domestic'!H26</f>
        <v>-0.01652718709761286</v>
      </c>
      <c r="I26" s="33">
        <f>-'A domestic'!I26</f>
        <v>-0.02530340035834933</v>
      </c>
      <c r="J26" s="33">
        <f>-'A domestic'!J26</f>
        <v>-0.05532937278104386</v>
      </c>
      <c r="K26" s="33">
        <f>-'A domestic'!K26</f>
        <v>-0.021937699832670125</v>
      </c>
      <c r="L26" s="33">
        <f>-'A domestic'!L26</f>
        <v>-0.020369515579978417</v>
      </c>
      <c r="M26" s="33">
        <f>-'A domestic'!M26</f>
        <v>-0.040492675036027964</v>
      </c>
      <c r="N26" s="33">
        <f>-'A domestic'!N26</f>
        <v>-0.00820596399085643</v>
      </c>
      <c r="O26" s="33">
        <f>-'A domestic'!O26</f>
        <v>-0.028271857155790073</v>
      </c>
      <c r="P26" s="33">
        <f>-'A domestic'!P26</f>
        <v>-0.05677282892340847</v>
      </c>
      <c r="Q26" s="33">
        <f>-'A domestic'!Q26</f>
        <v>-0.05585937810411552</v>
      </c>
      <c r="R26" s="33">
        <f>-'A domestic'!R26</f>
        <v>-0.017088260172632895</v>
      </c>
      <c r="S26" s="33">
        <f>-'A domestic'!S26</f>
        <v>-0.007811325119280116</v>
      </c>
      <c r="T26" s="33">
        <f>-'A domestic'!T26</f>
        <v>-0.013539196529348124</v>
      </c>
      <c r="U26" s="33">
        <f>-'A domestic'!U26</f>
        <v>-0.008563296311641266</v>
      </c>
      <c r="V26" s="33">
        <f>-'A domestic'!V26</f>
        <v>-0.011256773978648755</v>
      </c>
      <c r="W26" s="33">
        <f>-'A domestic'!W26</f>
        <v>-0.00654011500166361</v>
      </c>
      <c r="X26" s="33">
        <f>-'A domestic'!X26</f>
        <v>-0.011022764856016875</v>
      </c>
      <c r="Y26" s="33">
        <f>-'A domestic'!Y26</f>
        <v>-0.009770564471492991</v>
      </c>
      <c r="Z26" s="33">
        <f>1-'A domestic'!Z26</f>
        <v>0.7213203885020911</v>
      </c>
      <c r="AA26" s="33">
        <f>-'A domestic'!AA26</f>
        <v>-0.07973936706280478</v>
      </c>
      <c r="AB26" s="33">
        <f>-'A domestic'!AB26</f>
        <v>-0.021590200727390818</v>
      </c>
      <c r="AC26" s="33">
        <f>-'A domestic'!AC26</f>
        <v>-0.007351525688346389</v>
      </c>
      <c r="AD26" s="33">
        <f>-'A domestic'!AD26</f>
        <v>-0.012686962294557784</v>
      </c>
      <c r="AE26" s="33">
        <f>-'A domestic'!AE26</f>
        <v>-0.008426039972283896</v>
      </c>
      <c r="AF26" s="33">
        <f>-'A domestic'!AF26</f>
        <v>-0.023222617868607232</v>
      </c>
      <c r="AG26" s="33">
        <f>-'A domestic'!AG26</f>
        <v>-0.020511026666393838</v>
      </c>
      <c r="AH26" s="33">
        <f>-'A domestic'!AH26</f>
        <v>-0.0013361945231471885</v>
      </c>
      <c r="AI26" s="33">
        <f>-'A domestic'!AI26</f>
        <v>-0.004187163288612472</v>
      </c>
      <c r="AJ26" s="33">
        <f>-'A domestic'!AJ26</f>
        <v>-0.011937684878728455</v>
      </c>
      <c r="AK26" s="33">
        <f>-'A domestic'!AK26</f>
        <v>-0.010851334092474465</v>
      </c>
      <c r="AL26" s="33">
        <f>-'A domestic'!AL26</f>
        <v>-0.028108555579627152</v>
      </c>
      <c r="AM26" s="33">
        <f>-'A domestic'!AM26</f>
        <v>-0.005207952057016795</v>
      </c>
      <c r="AN26" s="33">
        <f>-'A domestic'!AN26</f>
        <v>-0.009850595439521978</v>
      </c>
      <c r="AO26" s="33">
        <f>-'A domestic'!AO26</f>
        <v>-0.02020311726810411</v>
      </c>
      <c r="AP26" s="33">
        <f>-'A domestic'!AP26</f>
        <v>-0.006096740083373974</v>
      </c>
      <c r="AQ26" s="33">
        <f>-'A domestic'!AQ26</f>
        <v>-0.00383811672826644</v>
      </c>
      <c r="AR26" s="33">
        <f>-'A domestic'!AR26</f>
        <v>-0.003137446686213705</v>
      </c>
      <c r="AS26" s="33">
        <f>-'A domestic'!AS26</f>
        <v>-0.0031633351214357076</v>
      </c>
      <c r="AT26" s="33">
        <f>-'A domestic'!AT26</f>
        <v>-0.008997508182441412</v>
      </c>
      <c r="AU26" s="33">
        <f>-'A domestic'!AU26</f>
        <v>-0.006225041937393833</v>
      </c>
      <c r="AV26" s="33">
        <f>-'A domestic'!AV26</f>
        <v>-0.007145561888433608</v>
      </c>
      <c r="AW26" s="33">
        <f>-'A domestic'!AW26</f>
        <v>-0.009860696035238703</v>
      </c>
      <c r="AX26" s="33">
        <f>-'A domestic'!AX26</f>
        <v>-0.006234018955726534</v>
      </c>
      <c r="AY26" s="33">
        <f>-'A domestic'!AY26</f>
        <v>-0.010773316684630389</v>
      </c>
      <c r="AZ26" s="33">
        <f>-'A domestic'!AZ26</f>
        <v>-0.004044922716815782</v>
      </c>
      <c r="BA26" s="33">
        <f>-'A domestic'!BA26</f>
        <v>-0.005717085428646146</v>
      </c>
      <c r="BB26" s="33">
        <f>-'A domestic'!BB26</f>
        <v>-0.0064766332995327205</v>
      </c>
      <c r="BC26" s="33">
        <f>-'A domestic'!BC26</f>
        <v>-0.009193838365222232</v>
      </c>
      <c r="BD26" s="33">
        <f>-'A domestic'!BD26</f>
        <v>-0.011399812307175277</v>
      </c>
      <c r="BE26" s="33">
        <f>-'A domestic'!BE26</f>
        <v>-0.011516240379303684</v>
      </c>
      <c r="BF26" s="33">
        <f>-'A domestic'!BF26</f>
        <v>-0.010953341519031748</v>
      </c>
      <c r="BG26" s="33">
        <f>-'A domestic'!BG26</f>
        <v>-0.014653488062422792</v>
      </c>
      <c r="BH26" s="33">
        <f>-'A domestic'!BH26</f>
        <v>-0.014910332884692259</v>
      </c>
      <c r="BI26" s="33">
        <f>-'A domestic'!BI26</f>
        <v>-0.030403177146642802</v>
      </c>
      <c r="BJ26" s="33">
        <f>-'A domestic'!BJ26</f>
        <v>-0.015586387359279976</v>
      </c>
      <c r="BK26" s="33">
        <f>-'A domestic'!BK26</f>
        <v>-0.010195281987189503</v>
      </c>
      <c r="BL26" s="33">
        <f>-'A domestic'!BL26</f>
        <v>-0.02341628845277679</v>
      </c>
      <c r="BM26" s="33">
        <f>-'A domestic'!BM26</f>
        <v>0</v>
      </c>
      <c r="BN26" s="33">
        <f>-'A domestic'!BN26</f>
        <v>0</v>
      </c>
    </row>
    <row r="27" spans="1:66" x14ac:dyDescent="0.25">
      <c r="A27" s="30" t="s">
        <v>307</v>
      </c>
      <c r="B27" s="31" t="s">
        <v>308</v>
      </c>
      <c r="C27" s="33">
        <f>-'A domestic'!C27</f>
        <v>-0.0029497227379334484</v>
      </c>
      <c r="D27" s="33">
        <f>-'A domestic'!D27</f>
        <v>-0.0003010403506159317</v>
      </c>
      <c r="E27" s="33">
        <f>-'A domestic'!E27</f>
        <v>-0.002389048385016866</v>
      </c>
      <c r="F27" s="33">
        <f>-'A domestic'!F27</f>
        <v>-0.0019391197204435737</v>
      </c>
      <c r="G27" s="33">
        <f>-'A domestic'!G27</f>
        <v>-0.0013424601492783308</v>
      </c>
      <c r="H27" s="33">
        <f>-'A domestic'!H27</f>
        <v>-0.0011769686557436948</v>
      </c>
      <c r="I27" s="33">
        <f>-'A domestic'!I27</f>
        <v>-0.0006851295211617895</v>
      </c>
      <c r="J27" s="33">
        <f>-'A domestic'!J27</f>
        <v>-0.0023066608025027603</v>
      </c>
      <c r="K27" s="33">
        <f>-'A domestic'!K27</f>
        <v>-0.0009638883083760187</v>
      </c>
      <c r="L27" s="33">
        <f>-'A domestic'!L27</f>
        <v>-0.0006309393943679799</v>
      </c>
      <c r="M27" s="33">
        <f>-'A domestic'!M27</f>
        <v>-0.0016541740830301784</v>
      </c>
      <c r="N27" s="33">
        <f>-'A domestic'!N27</f>
        <v>-0.0005928682497657326</v>
      </c>
      <c r="O27" s="33">
        <f>-'A domestic'!O27</f>
        <v>-0.0011878272095393906</v>
      </c>
      <c r="P27" s="33">
        <f>-'A domestic'!P27</f>
        <v>-0.0013815189484804797</v>
      </c>
      <c r="Q27" s="33">
        <f>-'A domestic'!Q27</f>
        <v>-0.0029237291502769375</v>
      </c>
      <c r="R27" s="33">
        <f>-'A domestic'!R27</f>
        <v>-0.0010496973540619096</v>
      </c>
      <c r="S27" s="33">
        <f>-'A domestic'!S27</f>
        <v>-0.0003651106400134198</v>
      </c>
      <c r="T27" s="33">
        <f>-'A domestic'!T27</f>
        <v>-0.0006874967720871641</v>
      </c>
      <c r="U27" s="33">
        <f>-'A domestic'!U27</f>
        <v>-0.0005692075663858255</v>
      </c>
      <c r="V27" s="33">
        <f>-'A domestic'!V27</f>
        <v>-0.0004821152311969262</v>
      </c>
      <c r="W27" s="33">
        <f>-'A domestic'!W27</f>
        <v>-0.0006266022329025534</v>
      </c>
      <c r="X27" s="33">
        <f>-'A domestic'!X27</f>
        <v>-0.0005996766960421338</v>
      </c>
      <c r="Y27" s="33">
        <f>-'A domestic'!Y27</f>
        <v>-0.0006070109152483817</v>
      </c>
      <c r="Z27" s="33">
        <f>-'A domestic'!Z27</f>
        <v>-0.0013729528818036325</v>
      </c>
      <c r="AA27" s="33">
        <f>1-'A domestic'!AA27</f>
        <v>0.95636778836902</v>
      </c>
      <c r="AB27" s="33">
        <f>-'A domestic'!AB27</f>
        <v>-0.00960841164320696</v>
      </c>
      <c r="AC27" s="33">
        <f>-'A domestic'!AC27</f>
        <v>-0.0007537393922034544</v>
      </c>
      <c r="AD27" s="33">
        <f>-'A domestic'!AD27</f>
        <v>-0.0005324285412221044</v>
      </c>
      <c r="AE27" s="33">
        <f>-'A domestic'!AE27</f>
        <v>-0.0004890375917222088</v>
      </c>
      <c r="AF27" s="33">
        <f>-'A domestic'!AF27</f>
        <v>-0.0008004322976751688</v>
      </c>
      <c r="AG27" s="33">
        <f>-'A domestic'!AG27</f>
        <v>-0.0004136473046746807</v>
      </c>
      <c r="AH27" s="33">
        <f>-'A domestic'!AH27</f>
        <v>-0.00008968036459144587</v>
      </c>
      <c r="AI27" s="33">
        <f>-'A domestic'!AI27</f>
        <v>-0.00014425403895491746</v>
      </c>
      <c r="AJ27" s="33">
        <f>-'A domestic'!AJ27</f>
        <v>-0.0004326357001520206</v>
      </c>
      <c r="AK27" s="33">
        <f>-'A domestic'!AK27</f>
        <v>-0.00041325889596882214</v>
      </c>
      <c r="AL27" s="33">
        <f>-'A domestic'!AL27</f>
        <v>-0.002145150327822367</v>
      </c>
      <c r="AM27" s="33">
        <f>-'A domestic'!AM27</f>
        <v>-0.0002322678834973217</v>
      </c>
      <c r="AN27" s="33">
        <f>-'A domestic'!AN27</f>
        <v>-0.0012035109839933617</v>
      </c>
      <c r="AO27" s="33">
        <f>-'A domestic'!AO27</f>
        <v>-0.0005308509180119925</v>
      </c>
      <c r="AP27" s="33">
        <f>-'A domestic'!AP27</f>
        <v>-0.00020493320211802408</v>
      </c>
      <c r="AQ27" s="33">
        <f>-'A domestic'!AQ27</f>
        <v>-0.0002451927069670321</v>
      </c>
      <c r="AR27" s="33">
        <f>-'A domestic'!AR27</f>
        <v>-0.00020215057301337208</v>
      </c>
      <c r="AS27" s="33">
        <f>-'A domestic'!AS27</f>
        <v>-0.0005605219117491175</v>
      </c>
      <c r="AT27" s="33">
        <f>-'A domestic'!AT27</f>
        <v>-0.0010547922909963361</v>
      </c>
      <c r="AU27" s="33">
        <f>-'A domestic'!AU27</f>
        <v>-0.0003375803671442236</v>
      </c>
      <c r="AV27" s="33">
        <f>-'A domestic'!AV27</f>
        <v>-0.0015672869656048747</v>
      </c>
      <c r="AW27" s="33">
        <f>-'A domestic'!AW27</f>
        <v>-0.0007048880791657318</v>
      </c>
      <c r="AX27" s="33">
        <f>-'A domestic'!AX27</f>
        <v>-0.00032838059716619705</v>
      </c>
      <c r="AY27" s="33">
        <f>-'A domestic'!AY27</f>
        <v>-0.0008799560513569881</v>
      </c>
      <c r="AZ27" s="33">
        <f>-'A domestic'!AZ27</f>
        <v>-0.00030507234340072066</v>
      </c>
      <c r="BA27" s="33">
        <f>-'A domestic'!BA27</f>
        <v>-0.00017219102124734146</v>
      </c>
      <c r="BB27" s="33">
        <f>-'A domestic'!BB27</f>
        <v>-0.000345452355099491</v>
      </c>
      <c r="BC27" s="33">
        <f>-'A domestic'!BC27</f>
        <v>-0.0007592968018324676</v>
      </c>
      <c r="BD27" s="33">
        <f>-'A domestic'!BD27</f>
        <v>-0.001952801700344967</v>
      </c>
      <c r="BE27" s="33">
        <f>-'A domestic'!BE27</f>
        <v>-0.001238595810443052</v>
      </c>
      <c r="BF27" s="33">
        <f>-'A domestic'!BF27</f>
        <v>-0.0013091004767903558</v>
      </c>
      <c r="BG27" s="33">
        <f>-'A domestic'!BG27</f>
        <v>-0.001558983733674749</v>
      </c>
      <c r="BH27" s="33">
        <f>-'A domestic'!BH27</f>
        <v>-0.0015410035245382223</v>
      </c>
      <c r="BI27" s="33">
        <f>-'A domestic'!BI27</f>
        <v>-0.003678228457490857</v>
      </c>
      <c r="BJ27" s="33">
        <f>-'A domestic'!BJ27</f>
        <v>-0.001651114977067848</v>
      </c>
      <c r="BK27" s="33">
        <f>-'A domestic'!BK27</f>
        <v>-0.0005686611466958288</v>
      </c>
      <c r="BL27" s="33">
        <f>-'A domestic'!BL27</f>
        <v>-0.002013369067628728</v>
      </c>
      <c r="BM27" s="33">
        <f>-'A domestic'!BM27</f>
        <v>0</v>
      </c>
      <c r="BN27" s="33">
        <f>-'A domestic'!BN27</f>
        <v>0</v>
      </c>
    </row>
    <row r="28" spans="1:66" x14ac:dyDescent="0.25">
      <c r="A28" s="30" t="s">
        <v>310</v>
      </c>
      <c r="B28" s="31" t="s">
        <v>311</v>
      </c>
      <c r="C28" s="33">
        <f>-'A domestic'!C28</f>
        <v>-0.003907767265706353</v>
      </c>
      <c r="D28" s="33">
        <f>-'A domestic'!D28</f>
        <v>-0.001290630439342771</v>
      </c>
      <c r="E28" s="33">
        <f>-'A domestic'!E28</f>
        <v>-0.0030881165204053236</v>
      </c>
      <c r="F28" s="33">
        <f>-'A domestic'!F28</f>
        <v>-0.014252346316498861</v>
      </c>
      <c r="G28" s="33">
        <f>-'A domestic'!G28</f>
        <v>-0.005341880341880341</v>
      </c>
      <c r="H28" s="33">
        <f>-'A domestic'!H28</f>
        <v>-0.00631610567421859</v>
      </c>
      <c r="I28" s="33">
        <f>-'A domestic'!I28</f>
        <v>-0.006275922195084832</v>
      </c>
      <c r="J28" s="33">
        <f>-'A domestic'!J28</f>
        <v>-0.029485805181535773</v>
      </c>
      <c r="K28" s="33">
        <f>-'A domestic'!K28</f>
        <v>-0.004953077974014821</v>
      </c>
      <c r="L28" s="33">
        <f>-'A domestic'!L28</f>
        <v>-0.003965275006001732</v>
      </c>
      <c r="M28" s="33">
        <f>-'A domestic'!M28</f>
        <v>-0.009286508403636125</v>
      </c>
      <c r="N28" s="33">
        <f>-'A domestic'!N28</f>
        <v>-0.002673693173591717</v>
      </c>
      <c r="O28" s="33">
        <f>-'A domestic'!O28</f>
        <v>-0.015807799579523742</v>
      </c>
      <c r="P28" s="33">
        <f>-'A domestic'!P28</f>
        <v>-0.010161237407560132</v>
      </c>
      <c r="Q28" s="33">
        <f>-'A domestic'!Q28</f>
        <v>-0.04046375982390478</v>
      </c>
      <c r="R28" s="33">
        <f>-'A domestic'!R28</f>
        <v>-0.010185952102378529</v>
      </c>
      <c r="S28" s="33">
        <f>-'A domestic'!S28</f>
        <v>-0.0014096334570028607</v>
      </c>
      <c r="T28" s="33">
        <f>-'A domestic'!T28</f>
        <v>-0.01197111215903833</v>
      </c>
      <c r="U28" s="33">
        <f>-'A domestic'!U28</f>
        <v>-0.0029195615304774074</v>
      </c>
      <c r="V28" s="33">
        <f>-'A domestic'!V28</f>
        <v>-0.002082211079302901</v>
      </c>
      <c r="W28" s="33">
        <f>-'A domestic'!W28</f>
        <v>-0.002096735658870416</v>
      </c>
      <c r="X28" s="33">
        <f>-'A domestic'!X28</f>
        <v>-0.003864860945724794</v>
      </c>
      <c r="Y28" s="33">
        <f>-'A domestic'!Y28</f>
        <v>-0.002192862411264695</v>
      </c>
      <c r="Z28" s="33">
        <f>-'A domestic'!Z28</f>
        <v>-0.003969205352623248</v>
      </c>
      <c r="AA28" s="33">
        <f>-'A domestic'!AA28</f>
        <v>-0.0431261697763295</v>
      </c>
      <c r="AB28" s="33">
        <f>1-'A domestic'!AB28</f>
        <v>0.8462334200716382</v>
      </c>
      <c r="AC28" s="33">
        <f>-'A domestic'!AC28</f>
        <v>-0.0051162416552564</v>
      </c>
      <c r="AD28" s="33">
        <f>-'A domestic'!AD28</f>
        <v>-0.0028174651330689815</v>
      </c>
      <c r="AE28" s="33">
        <f>-'A domestic'!AE28</f>
        <v>-0.002370235103446287</v>
      </c>
      <c r="AF28" s="33">
        <f>-'A domestic'!AF28</f>
        <v>-0.004175951291749811</v>
      </c>
      <c r="AG28" s="33">
        <f>-'A domestic'!AG28</f>
        <v>-0.001895084849500502</v>
      </c>
      <c r="AH28" s="33">
        <f>-'A domestic'!AH28</f>
        <v>-0.0006844027824084027</v>
      </c>
      <c r="AI28" s="33">
        <f>-'A domestic'!AI28</f>
        <v>-0.0010047167274579339</v>
      </c>
      <c r="AJ28" s="33">
        <f>-'A domestic'!AJ28</f>
        <v>-0.0019112481943371741</v>
      </c>
      <c r="AK28" s="33">
        <f>-'A domestic'!AK28</f>
        <v>-0.0018447821737971708</v>
      </c>
      <c r="AL28" s="33">
        <f>-'A domestic'!AL28</f>
        <v>-0.0052248115515686104</v>
      </c>
      <c r="AM28" s="33">
        <f>-'A domestic'!AM28</f>
        <v>-0.0014021930787785784</v>
      </c>
      <c r="AN28" s="33">
        <f>-'A domestic'!AN28</f>
        <v>-0.0019411467483763899</v>
      </c>
      <c r="AO28" s="33">
        <f>-'A domestic'!AO28</f>
        <v>-0.0024120611187131344</v>
      </c>
      <c r="AP28" s="33">
        <f>-'A domestic'!AP28</f>
        <v>-0.0014309036728674606</v>
      </c>
      <c r="AQ28" s="33">
        <f>-'A domestic'!AQ28</f>
        <v>-0.000758827087250854</v>
      </c>
      <c r="AR28" s="33">
        <f>-'A domestic'!AR28</f>
        <v>-0.0007211117234620044</v>
      </c>
      <c r="AS28" s="33">
        <f>-'A domestic'!AS28</f>
        <v>-0.0007686698766851796</v>
      </c>
      <c r="AT28" s="33">
        <f>-'A domestic'!AT28</f>
        <v>-0.003608971681373626</v>
      </c>
      <c r="AU28" s="33">
        <f>-'A domestic'!AU28</f>
        <v>-0.002012077757774975</v>
      </c>
      <c r="AV28" s="33">
        <f>-'A domestic'!AV28</f>
        <v>-0.002322831678107623</v>
      </c>
      <c r="AW28" s="33">
        <f>-'A domestic'!AW28</f>
        <v>-0.002197328755157879</v>
      </c>
      <c r="AX28" s="33">
        <f>-'A domestic'!AX28</f>
        <v>-0.0032699062638454116</v>
      </c>
      <c r="AY28" s="33">
        <f>-'A domestic'!AY28</f>
        <v>-0.006245721582396946</v>
      </c>
      <c r="AZ28" s="33">
        <f>-'A domestic'!AZ28</f>
        <v>-0.0018586613946691593</v>
      </c>
      <c r="BA28" s="33">
        <f>-'A domestic'!BA28</f>
        <v>-0.0007746448935915312</v>
      </c>
      <c r="BB28" s="33">
        <f>-'A domestic'!BB28</f>
        <v>-0.0014408474672279001</v>
      </c>
      <c r="BC28" s="33">
        <f>-'A domestic'!BC28</f>
        <v>-0.005504862633883851</v>
      </c>
      <c r="BD28" s="33">
        <f>-'A domestic'!BD28</f>
        <v>-0.01043127723700347</v>
      </c>
      <c r="BE28" s="33">
        <f>-'A domestic'!BE28</f>
        <v>-0.0014987062260435767</v>
      </c>
      <c r="BF28" s="33">
        <f>-'A domestic'!BF28</f>
        <v>-0.002949323085264148</v>
      </c>
      <c r="BG28" s="33">
        <f>-'A domestic'!BG28</f>
        <v>-0.003574246392832916</v>
      </c>
      <c r="BH28" s="33">
        <f>-'A domestic'!BH28</f>
        <v>-0.0037418760179526245</v>
      </c>
      <c r="BI28" s="33">
        <f>-'A domestic'!BI28</f>
        <v>-0.0048990374570653875</v>
      </c>
      <c r="BJ28" s="33">
        <f>-'A domestic'!BJ28</f>
        <v>-0.002249220019265884</v>
      </c>
      <c r="BK28" s="33">
        <f>-'A domestic'!BK28</f>
        <v>-0.002349632869864084</v>
      </c>
      <c r="BL28" s="33">
        <f>-'A domestic'!BL28</f>
        <v>-0.006384331787947049</v>
      </c>
      <c r="BM28" s="33">
        <f>-'A domestic'!BM28</f>
        <v>0</v>
      </c>
      <c r="BN28" s="33">
        <f>-'A domestic'!BN28</f>
        <v>0</v>
      </c>
    </row>
    <row r="29" spans="1:66" x14ac:dyDescent="0.25">
      <c r="A29" s="30" t="s">
        <v>312</v>
      </c>
      <c r="B29" s="31" t="s">
        <v>313</v>
      </c>
      <c r="C29" s="33">
        <f>-'A domestic'!C29</f>
        <v>-0.011713874974141702</v>
      </c>
      <c r="D29" s="33">
        <f>-'A domestic'!D29</f>
        <v>-0.009562834967438002</v>
      </c>
      <c r="E29" s="33">
        <f>-'A domestic'!E29</f>
        <v>-0.017327387860647893</v>
      </c>
      <c r="F29" s="33">
        <f>-'A domestic'!F29</f>
        <v>-0.01277321664337642</v>
      </c>
      <c r="G29" s="33">
        <f>-'A domestic'!G29</f>
        <v>-0.005356081208353935</v>
      </c>
      <c r="H29" s="33">
        <f>-'A domestic'!H29</f>
        <v>-0.005900653305437419</v>
      </c>
      <c r="I29" s="33">
        <f>-'A domestic'!I29</f>
        <v>-0.0129382551770842</v>
      </c>
      <c r="J29" s="33">
        <f>-'A domestic'!J29</f>
        <v>-0.007048653282205715</v>
      </c>
      <c r="K29" s="33">
        <f>-'A domestic'!K29</f>
        <v>-0.010382413445531069</v>
      </c>
      <c r="L29" s="33">
        <f>-'A domestic'!L29</f>
        <v>-0.00487283586410135</v>
      </c>
      <c r="M29" s="33">
        <f>-'A domestic'!M29</f>
        <v>-0.008376295056624378</v>
      </c>
      <c r="N29" s="33">
        <f>-'A domestic'!N29</f>
        <v>-0.009093786213270026</v>
      </c>
      <c r="O29" s="33">
        <f>-'A domestic'!O29</f>
        <v>-0.008550786339931036</v>
      </c>
      <c r="P29" s="33">
        <f>-'A domestic'!P29</f>
        <v>-0.014350565700406031</v>
      </c>
      <c r="Q29" s="33">
        <f>-'A domestic'!Q29</f>
        <v>-0.008861777957899256</v>
      </c>
      <c r="R29" s="33">
        <f>-'A domestic'!R29</f>
        <v>-0.008990823427657836</v>
      </c>
      <c r="S29" s="33">
        <f>-'A domestic'!S29</f>
        <v>-0.005202954281254174</v>
      </c>
      <c r="T29" s="33">
        <f>-'A domestic'!T29</f>
        <v>-0.007100240351363019</v>
      </c>
      <c r="U29" s="33">
        <f>-'A domestic'!U29</f>
        <v>-0.0066371272658523285</v>
      </c>
      <c r="V29" s="33">
        <f>-'A domestic'!V29</f>
        <v>-0.005346851724482318</v>
      </c>
      <c r="W29" s="33">
        <f>-'A domestic'!W29</f>
        <v>-0.005671666292903931</v>
      </c>
      <c r="X29" s="33">
        <f>-'A domestic'!X29</f>
        <v>-0.006524653891183859</v>
      </c>
      <c r="Y29" s="33">
        <f>-'A domestic'!Y29</f>
        <v>-0.013862718216774667</v>
      </c>
      <c r="Z29" s="33">
        <f>-'A domestic'!Z29</f>
        <v>-0.024581982011424183</v>
      </c>
      <c r="AA29" s="33">
        <f>-'A domestic'!AA29</f>
        <v>-0.04610967851374794</v>
      </c>
      <c r="AB29" s="33">
        <f>-'A domestic'!AB29</f>
        <v>-0.029688719112379542</v>
      </c>
      <c r="AC29" s="33">
        <f>1-'A domestic'!AC29</f>
        <v>0.8184369165977322</v>
      </c>
      <c r="AD29" s="33">
        <f>-'A domestic'!AD29</f>
        <v>-0.007443661158833304</v>
      </c>
      <c r="AE29" s="33">
        <f>-'A domestic'!AE29</f>
        <v>-0.007227872339797775</v>
      </c>
      <c r="AF29" s="33">
        <f>-'A domestic'!AF29</f>
        <v>-0.009406328500376886</v>
      </c>
      <c r="AG29" s="33">
        <f>-'A domestic'!AG29</f>
        <v>-0.012616760823015678</v>
      </c>
      <c r="AH29" s="33">
        <f>-'A domestic'!AH29</f>
        <v>-0.004514054715320625</v>
      </c>
      <c r="AI29" s="33">
        <f>-'A domestic'!AI29</f>
        <v>-0.007203844243599517</v>
      </c>
      <c r="AJ29" s="33">
        <f>-'A domestic'!AJ29</f>
        <v>-0.025106781724577712</v>
      </c>
      <c r="AK29" s="33">
        <f>-'A domestic'!AK29</f>
        <v>-0.010723964516497476</v>
      </c>
      <c r="AL29" s="33">
        <f>-'A domestic'!AL29</f>
        <v>-0.013119654234348297</v>
      </c>
      <c r="AM29" s="33">
        <f>-'A domestic'!AM29</f>
        <v>-0.0043136755172479245</v>
      </c>
      <c r="AN29" s="33">
        <f>-'A domestic'!AN29</f>
        <v>-0.008163825832201481</v>
      </c>
      <c r="AO29" s="33">
        <f>-'A domestic'!AO29</f>
        <v>-0.017190799668247218</v>
      </c>
      <c r="AP29" s="33">
        <f>-'A domestic'!AP29</f>
        <v>-0.004354490350449383</v>
      </c>
      <c r="AQ29" s="33">
        <f>-'A domestic'!AQ29</f>
        <v>-0.003844468250001168</v>
      </c>
      <c r="AR29" s="33">
        <f>-'A domestic'!AR29</f>
        <v>-0.004815969446598474</v>
      </c>
      <c r="AS29" s="33">
        <f>-'A domestic'!AS29</f>
        <v>-0.007080885399769369</v>
      </c>
      <c r="AT29" s="33">
        <f>-'A domestic'!AT29</f>
        <v>-0.05193815830856881</v>
      </c>
      <c r="AU29" s="33">
        <f>-'A domestic'!AU29</f>
        <v>-0.007151800578542905</v>
      </c>
      <c r="AV29" s="33">
        <f>-'A domestic'!AV29</f>
        <v>-0.02367566704473636</v>
      </c>
      <c r="AW29" s="33">
        <f>-'A domestic'!AW29</f>
        <v>-0.009406652009664012</v>
      </c>
      <c r="AX29" s="33">
        <f>-'A domestic'!AX29</f>
        <v>-0.006718192111336658</v>
      </c>
      <c r="AY29" s="33">
        <f>-'A domestic'!AY29</f>
        <v>-0.011222512127047956</v>
      </c>
      <c r="AZ29" s="33">
        <f>-'A domestic'!AZ29</f>
        <v>-0.006538427715768114</v>
      </c>
      <c r="BA29" s="33">
        <f>-'A domestic'!BA29</f>
        <v>-0.005565505801463323</v>
      </c>
      <c r="BB29" s="33">
        <f>-'A domestic'!BB29</f>
        <v>-0.005385227244622551</v>
      </c>
      <c r="BC29" s="33">
        <f>-'A domestic'!BC29</f>
        <v>-0.01226142878814663</v>
      </c>
      <c r="BD29" s="33">
        <f>-'A domestic'!BD29</f>
        <v>-0.025186854040219614</v>
      </c>
      <c r="BE29" s="33">
        <f>-'A domestic'!BE29</f>
        <v>-0.01260222254606581</v>
      </c>
      <c r="BF29" s="33">
        <f>-'A domestic'!BF29</f>
        <v>-0.009294142973322064</v>
      </c>
      <c r="BG29" s="33">
        <f>-'A domestic'!BG29</f>
        <v>-0.011671814097875334</v>
      </c>
      <c r="BH29" s="33">
        <f>-'A domestic'!BH29</f>
        <v>-0.015976946482531798</v>
      </c>
      <c r="BI29" s="33">
        <f>-'A domestic'!BI29</f>
        <v>-0.017645547529324873</v>
      </c>
      <c r="BJ29" s="33">
        <f>-'A domestic'!BJ29</f>
        <v>-0.014315414144609148</v>
      </c>
      <c r="BK29" s="33">
        <f>-'A domestic'!BK29</f>
        <v>-0.009810967036400562</v>
      </c>
      <c r="BL29" s="33">
        <f>-'A domestic'!BL29</f>
        <v>-0.008652819538802705</v>
      </c>
      <c r="BM29" s="33">
        <f>-'A domestic'!BM29</f>
        <v>0</v>
      </c>
      <c r="BN29" s="33">
        <f>-'A domestic'!BN29</f>
        <v>0</v>
      </c>
    </row>
    <row r="30" spans="1:66" x14ac:dyDescent="0.25">
      <c r="A30" s="30" t="s">
        <v>314</v>
      </c>
      <c r="B30" s="31" t="s">
        <v>315</v>
      </c>
      <c r="C30" s="33">
        <f>-'A domestic'!C30</f>
        <v>-0.005210589115336306</v>
      </c>
      <c r="D30" s="33">
        <f>-'A domestic'!D30</f>
        <v>-0.00639230361520638</v>
      </c>
      <c r="E30" s="33">
        <f>-'A domestic'!E30</f>
        <v>-0.010268835814007154</v>
      </c>
      <c r="F30" s="33">
        <f>-'A domestic'!F30</f>
        <v>-0.0043584286519629</v>
      </c>
      <c r="G30" s="33">
        <f>-'A domestic'!G30</f>
        <v>-0.004005085823267641</v>
      </c>
      <c r="H30" s="33">
        <f>-'A domestic'!H30</f>
        <v>-0.004464136711057708</v>
      </c>
      <c r="I30" s="33">
        <f>-'A domestic'!I30</f>
        <v>-0.0048445615934834055</v>
      </c>
      <c r="J30" s="33">
        <f>-'A domestic'!J30</f>
        <v>-0.003244568363015059</v>
      </c>
      <c r="K30" s="33">
        <f>-'A domestic'!K30</f>
        <v>-0.004930331347268485</v>
      </c>
      <c r="L30" s="33">
        <f>-'A domestic'!L30</f>
        <v>-0.0017370578901129508</v>
      </c>
      <c r="M30" s="33">
        <f>-'A domestic'!M30</f>
        <v>-0.003110263301587752</v>
      </c>
      <c r="N30" s="33">
        <f>-'A domestic'!N30</f>
        <v>-0.0025014572771550085</v>
      </c>
      <c r="O30" s="33">
        <f>-'A domestic'!O30</f>
        <v>-0.0036615796756542234</v>
      </c>
      <c r="P30" s="33">
        <f>-'A domestic'!P30</f>
        <v>-0.006328952001998538</v>
      </c>
      <c r="Q30" s="33">
        <f>-'A domestic'!Q30</f>
        <v>-0.0024985894899118735</v>
      </c>
      <c r="R30" s="33">
        <f>-'A domestic'!R30</f>
        <v>-0.0033370808430152887</v>
      </c>
      <c r="S30" s="33">
        <f>-'A domestic'!S30</f>
        <v>-0.003169824192843781</v>
      </c>
      <c r="T30" s="33">
        <f>-'A domestic'!T30</f>
        <v>-0.0038654499522333802</v>
      </c>
      <c r="U30" s="33">
        <f>-'A domestic'!U30</f>
        <v>-0.0057935662081538145</v>
      </c>
      <c r="V30" s="33">
        <f>-'A domestic'!V30</f>
        <v>-0.03407958415868943</v>
      </c>
      <c r="W30" s="33">
        <f>-'A domestic'!W30</f>
        <v>-0.008393904882513912</v>
      </c>
      <c r="X30" s="33">
        <f>-'A domestic'!X30</f>
        <v>-0.003926292983675507</v>
      </c>
      <c r="Y30" s="33">
        <f>-'A domestic'!Y30</f>
        <v>-0.0070894982245843065</v>
      </c>
      <c r="Z30" s="33">
        <f>-'A domestic'!Z30</f>
        <v>-0.001346701051207231</v>
      </c>
      <c r="AA30" s="33">
        <f>-'A domestic'!AA30</f>
        <v>-0.004497357891330719</v>
      </c>
      <c r="AB30" s="33">
        <f>-'A domestic'!AB30</f>
        <v>-0.0088577652341315</v>
      </c>
      <c r="AC30" s="33">
        <f>-'A domestic'!AC30</f>
        <v>-0.004011999633376147</v>
      </c>
      <c r="AD30" s="33">
        <f>1-'A domestic'!AD30</f>
        <v>0.9562003063617949</v>
      </c>
      <c r="AE30" s="33">
        <f>-'A domestic'!AE30</f>
        <v>-0.005359668169355096</v>
      </c>
      <c r="AF30" s="33">
        <f>-'A domestic'!AF30</f>
        <v>-0.006039463310679696</v>
      </c>
      <c r="AG30" s="33">
        <f>-'A domestic'!AG30</f>
        <v>-0.026420070364074382</v>
      </c>
      <c r="AH30" s="33">
        <f>-'A domestic'!AH30</f>
        <v>-0.0018652657649713645</v>
      </c>
      <c r="AI30" s="33">
        <f>-'A domestic'!AI30</f>
        <v>-0.007389856030672964</v>
      </c>
      <c r="AJ30" s="33">
        <f>-'A domestic'!AJ30</f>
        <v>-0.008306188109445979</v>
      </c>
      <c r="AK30" s="33">
        <f>-'A domestic'!AK30</f>
        <v>-0.033422053626744844</v>
      </c>
      <c r="AL30" s="33">
        <f>-'A domestic'!AL30</f>
        <v>-0.0036631249886636347</v>
      </c>
      <c r="AM30" s="33">
        <f>-'A domestic'!AM30</f>
        <v>-0.0024361014784709365</v>
      </c>
      <c r="AN30" s="33">
        <f>-'A domestic'!AN30</f>
        <v>-0.00527933970879322</v>
      </c>
      <c r="AO30" s="33">
        <f>-'A domestic'!AO30</f>
        <v>-0.004192792972788373</v>
      </c>
      <c r="AP30" s="33">
        <f>-'A domestic'!AP30</f>
        <v>-0.001824622175387259</v>
      </c>
      <c r="AQ30" s="33">
        <f>-'A domestic'!AQ30</f>
        <v>-0.0009218095317646193</v>
      </c>
      <c r="AR30" s="33">
        <f>-'A domestic'!AR30</f>
        <v>-0.0013774156183377242</v>
      </c>
      <c r="AS30" s="33">
        <f>-'A domestic'!AS30</f>
        <v>-0.0028071065826793915</v>
      </c>
      <c r="AT30" s="33">
        <f>-'A domestic'!AT30</f>
        <v>-0.00044615978211013085</v>
      </c>
      <c r="AU30" s="33">
        <f>-'A domestic'!AU30</f>
        <v>-0.0021228408040480013</v>
      </c>
      <c r="AV30" s="33">
        <f>-'A domestic'!AV30</f>
        <v>-0.002759254642206761</v>
      </c>
      <c r="AW30" s="33">
        <f>-'A domestic'!AW30</f>
        <v>-0.004009839928102231</v>
      </c>
      <c r="AX30" s="33">
        <f>-'A domestic'!AX30</f>
        <v>-0.0036961639702198755</v>
      </c>
      <c r="AY30" s="33">
        <f>-'A domestic'!AY30</f>
        <v>-0.004906738177434043</v>
      </c>
      <c r="AZ30" s="33">
        <f>-'A domestic'!AZ30</f>
        <v>-0.02060948243011292</v>
      </c>
      <c r="BA30" s="33">
        <f>-'A domestic'!BA30</f>
        <v>-0.0018107968493766555</v>
      </c>
      <c r="BB30" s="33">
        <f>-'A domestic'!BB30</f>
        <v>-0.003145770522303217</v>
      </c>
      <c r="BC30" s="33">
        <f>-'A domestic'!BC30</f>
        <v>-0.0033871376218792826</v>
      </c>
      <c r="BD30" s="33">
        <f>-'A domestic'!BD30</f>
        <v>-0.0022987568030295924</v>
      </c>
      <c r="BE30" s="33">
        <f>-'A domestic'!BE30</f>
        <v>-0.001151751127709978</v>
      </c>
      <c r="BF30" s="33">
        <f>-'A domestic'!BF30</f>
        <v>-0.0024234185390122945</v>
      </c>
      <c r="BG30" s="33">
        <f>-'A domestic'!BG30</f>
        <v>-0.0024921977041460885</v>
      </c>
      <c r="BH30" s="33">
        <f>-'A domestic'!BH30</f>
        <v>-0.003040983449159539</v>
      </c>
      <c r="BI30" s="33">
        <f>-'A domestic'!BI30</f>
        <v>-0.004423237976406666</v>
      </c>
      <c r="BJ30" s="33">
        <f>-'A domestic'!BJ30</f>
        <v>-0.004784840337584289</v>
      </c>
      <c r="BK30" s="33">
        <f>-'A domestic'!BK30</f>
        <v>-0.007351976253710358</v>
      </c>
      <c r="BL30" s="33">
        <f>-'A domestic'!BL30</f>
        <v>-0.0030486947841754284</v>
      </c>
      <c r="BM30" s="33">
        <f>-'A domestic'!BM30</f>
        <v>0</v>
      </c>
      <c r="BN30" s="33">
        <f>-'A domestic'!BN30</f>
        <v>0</v>
      </c>
    </row>
    <row r="31" spans="1:66" x14ac:dyDescent="0.25">
      <c r="A31" s="30" t="s">
        <v>317</v>
      </c>
      <c r="B31" s="31" t="s">
        <v>318</v>
      </c>
      <c r="C31" s="33">
        <f>-'A domestic'!C31</f>
        <v>-0.0439555298354583</v>
      </c>
      <c r="D31" s="33">
        <f>-'A domestic'!D31</f>
        <v>-0.03386223560891015</v>
      </c>
      <c r="E31" s="33">
        <f>-'A domestic'!E31</f>
        <v>-0.0408174346235552</v>
      </c>
      <c r="F31" s="33">
        <f>-'A domestic'!F31</f>
        <v>-0.01983006994419522</v>
      </c>
      <c r="G31" s="33">
        <f>-'A domestic'!G31</f>
        <v>-0.06873763862400224</v>
      </c>
      <c r="H31" s="33">
        <f>-'A domestic'!H31</f>
        <v>-0.06632789292747238</v>
      </c>
      <c r="I31" s="33">
        <f>-'A domestic'!I31</f>
        <v>-0.05931660168968442</v>
      </c>
      <c r="J31" s="33">
        <f>-'A domestic'!J31</f>
        <v>-0.04781355904087743</v>
      </c>
      <c r="K31" s="33">
        <f>-'A domestic'!K31</f>
        <v>-0.04378156983001161</v>
      </c>
      <c r="L31" s="33">
        <f>-'A domestic'!L31</f>
        <v>-0.02280804582732319</v>
      </c>
      <c r="M31" s="33">
        <f>-'A domestic'!M31</f>
        <v>-0.054197563256754705</v>
      </c>
      <c r="N31" s="33">
        <f>-'A domestic'!N31</f>
        <v>-0.044486379100896346</v>
      </c>
      <c r="O31" s="33">
        <f>-'A domestic'!O31</f>
        <v>-0.04779533047690506</v>
      </c>
      <c r="P31" s="33">
        <f>-'A domestic'!P31</f>
        <v>-0.053819418317315945</v>
      </c>
      <c r="Q31" s="33">
        <f>-'A domestic'!Q31</f>
        <v>-0.04242675280711375</v>
      </c>
      <c r="R31" s="33">
        <f>-'A domestic'!R31</f>
        <v>-0.0423808307120231</v>
      </c>
      <c r="S31" s="33">
        <f>-'A domestic'!S31</f>
        <v>-0.04936193724131083</v>
      </c>
      <c r="T31" s="33">
        <f>-'A domestic'!T31</f>
        <v>-0.05256015337225085</v>
      </c>
      <c r="U31" s="33">
        <f>-'A domestic'!U31</f>
        <v>-0.04916723338547905</v>
      </c>
      <c r="V31" s="33">
        <f>-'A domestic'!V31</f>
        <v>-0.039602534522149055</v>
      </c>
      <c r="W31" s="33">
        <f>-'A domestic'!W31</f>
        <v>-0.0397672557460524</v>
      </c>
      <c r="X31" s="33">
        <f>-'A domestic'!X31</f>
        <v>-0.06439649094484617</v>
      </c>
      <c r="Y31" s="33">
        <f>-'A domestic'!Y31</f>
        <v>-0.0513793988523966</v>
      </c>
      <c r="Z31" s="33">
        <f>-'A domestic'!Z31</f>
        <v>-0.016397750593144036</v>
      </c>
      <c r="AA31" s="33">
        <f>-'A domestic'!AA31</f>
        <v>-0.016281718489628994</v>
      </c>
      <c r="AB31" s="33">
        <f>-'A domestic'!AB31</f>
        <v>-0.030018631993361838</v>
      </c>
      <c r="AC31" s="33">
        <f>-'A domestic'!AC31</f>
        <v>-0.04048715618757536</v>
      </c>
      <c r="AD31" s="33">
        <f>-'A domestic'!AD31</f>
        <v>-0.02816603598212635</v>
      </c>
      <c r="AE31" s="33">
        <f>1-'A domestic'!AE31</f>
        <v>0.9479588311939144</v>
      </c>
      <c r="AF31" s="33">
        <f>-'A domestic'!AF31</f>
        <v>-0.02466236111647637</v>
      </c>
      <c r="AG31" s="33">
        <f>-'A domestic'!AG31</f>
        <v>-0.017598271021610417</v>
      </c>
      <c r="AH31" s="33">
        <f>-'A domestic'!AH31</f>
        <v>-0.016733326210395284</v>
      </c>
      <c r="AI31" s="33">
        <f>-'A domestic'!AI31</f>
        <v>-0.023963253181655694</v>
      </c>
      <c r="AJ31" s="33">
        <f>-'A domestic'!AJ31</f>
        <v>-0.013810816615881818</v>
      </c>
      <c r="AK31" s="33">
        <f>-'A domestic'!AK31</f>
        <v>-0.011965817882273131</v>
      </c>
      <c r="AL31" s="33">
        <f>-'A domestic'!AL31</f>
        <v>-0.04578089454154384</v>
      </c>
      <c r="AM31" s="33">
        <f>-'A domestic'!AM31</f>
        <v>-0.034383780652356435</v>
      </c>
      <c r="AN31" s="33">
        <f>-'A domestic'!AN31</f>
        <v>-0.021449381846163827</v>
      </c>
      <c r="AO31" s="33">
        <f>-'A domestic'!AO31</f>
        <v>-0.025114940258943737</v>
      </c>
      <c r="AP31" s="33">
        <f>-'A domestic'!AP31</f>
        <v>-0.02134516738660907</v>
      </c>
      <c r="AQ31" s="33">
        <f>-'A domestic'!AQ31</f>
        <v>-0.0029962404983332044</v>
      </c>
      <c r="AR31" s="33">
        <f>-'A domestic'!AR31</f>
        <v>-0.0031464200778641136</v>
      </c>
      <c r="AS31" s="33">
        <f>-'A domestic'!AS31</f>
        <v>-0.0169566711743978</v>
      </c>
      <c r="AT31" s="33">
        <f>-'A domestic'!AT31</f>
        <v>-0.0031164791922990392</v>
      </c>
      <c r="AU31" s="33">
        <f>-'A domestic'!AU31</f>
        <v>-0.011896180456283784</v>
      </c>
      <c r="AV31" s="33">
        <f>-'A domestic'!AV31</f>
        <v>-0.01531360680721701</v>
      </c>
      <c r="AW31" s="33">
        <f>-'A domestic'!AW31</f>
        <v>-0.014096539940196497</v>
      </c>
      <c r="AX31" s="33">
        <f>-'A domestic'!AX31</f>
        <v>-0.0204719529958214</v>
      </c>
      <c r="AY31" s="33">
        <f>-'A domestic'!AY31</f>
        <v>-0.02385959047631923</v>
      </c>
      <c r="AZ31" s="33">
        <f>-'A domestic'!AZ31</f>
        <v>-0.01889928595700977</v>
      </c>
      <c r="BA31" s="33">
        <f>-'A domestic'!BA31</f>
        <v>-0.004957469676559993</v>
      </c>
      <c r="BB31" s="33">
        <f>-'A domestic'!BB31</f>
        <v>-0.013570772656448828</v>
      </c>
      <c r="BC31" s="33">
        <f>-'A domestic'!BC31</f>
        <v>-0.020349154289110133</v>
      </c>
      <c r="BD31" s="33">
        <f>-'A domestic'!BD31</f>
        <v>-0.008835776852972424</v>
      </c>
      <c r="BE31" s="33">
        <f>-'A domestic'!BE31</f>
        <v>-0.007053059135721718</v>
      </c>
      <c r="BF31" s="33">
        <f>-'A domestic'!BF31</f>
        <v>-0.032994530465149656</v>
      </c>
      <c r="BG31" s="33">
        <f>-'A domestic'!BG31</f>
        <v>-0.016709325242036235</v>
      </c>
      <c r="BH31" s="33">
        <f>-'A domestic'!BH31</f>
        <v>-0.018335803477753855</v>
      </c>
      <c r="BI31" s="33">
        <f>-'A domestic'!BI31</f>
        <v>-0.019737192478739722</v>
      </c>
      <c r="BJ31" s="33">
        <f>-'A domestic'!BJ31</f>
        <v>-0.013444711227409317</v>
      </c>
      <c r="BK31" s="33">
        <f>-'A domestic'!BK31</f>
        <v>-0.03825027339478207</v>
      </c>
      <c r="BL31" s="33">
        <f>-'A domestic'!BL31</f>
        <v>-0.016896176242987553</v>
      </c>
      <c r="BM31" s="33">
        <f>-'A domestic'!BM31</f>
        <v>0</v>
      </c>
      <c r="BN31" s="33">
        <f>-'A domestic'!BN31</f>
        <v>0</v>
      </c>
    </row>
    <row r="32" spans="1:66" x14ac:dyDescent="0.25">
      <c r="A32" s="30" t="s">
        <v>319</v>
      </c>
      <c r="B32" s="31" t="s">
        <v>320</v>
      </c>
      <c r="C32" s="33">
        <f>-'A domestic'!C32</f>
        <v>-0.016691062935390476</v>
      </c>
      <c r="D32" s="33">
        <f>-'A domestic'!D32</f>
        <v>-0.010939934443659817</v>
      </c>
      <c r="E32" s="33">
        <f>-'A domestic'!E32</f>
        <v>-0.0255940382383483</v>
      </c>
      <c r="F32" s="33">
        <f>-'A domestic'!F32</f>
        <v>-0.008622288491801895</v>
      </c>
      <c r="G32" s="33">
        <f>-'A domestic'!G32</f>
        <v>-0.021066139247957427</v>
      </c>
      <c r="H32" s="33">
        <f>-'A domestic'!H32</f>
        <v>-0.018488947912988638</v>
      </c>
      <c r="I32" s="33">
        <f>-'A domestic'!I32</f>
        <v>-0.016470830511629383</v>
      </c>
      <c r="J32" s="33">
        <f>-'A domestic'!J32</f>
        <v>-0.011299723783533446</v>
      </c>
      <c r="K32" s="33">
        <f>-'A domestic'!K32</f>
        <v>-0.015764833999383</v>
      </c>
      <c r="L32" s="33">
        <f>-'A domestic'!L32</f>
        <v>-0.0046022758268658235</v>
      </c>
      <c r="M32" s="33">
        <f>-'A domestic'!M32</f>
        <v>-0.013470716296616721</v>
      </c>
      <c r="N32" s="33">
        <f>-'A domestic'!N32</f>
        <v>-0.00910804949844369</v>
      </c>
      <c r="O32" s="33">
        <f>-'A domestic'!O32</f>
        <v>-0.013383656697195715</v>
      </c>
      <c r="P32" s="33">
        <f>-'A domestic'!P32</f>
        <v>-0.014321972170971248</v>
      </c>
      <c r="Q32" s="33">
        <f>-'A domestic'!Q32</f>
        <v>-0.00791117362385868</v>
      </c>
      <c r="R32" s="33">
        <f>-'A domestic'!R32</f>
        <v>-0.010451216271412921</v>
      </c>
      <c r="S32" s="33">
        <f>-'A domestic'!S32</f>
        <v>-0.017088454563257464</v>
      </c>
      <c r="T32" s="33">
        <f>-'A domestic'!T32</f>
        <v>-0.014842300075082231</v>
      </c>
      <c r="U32" s="33">
        <f>-'A domestic'!U32</f>
        <v>-0.009902920877617334</v>
      </c>
      <c r="V32" s="33">
        <f>-'A domestic'!V32</f>
        <v>-0.01165088625650737</v>
      </c>
      <c r="W32" s="33">
        <f>-'A domestic'!W32</f>
        <v>-0.01683654549425358</v>
      </c>
      <c r="X32" s="33">
        <f>-'A domestic'!X32</f>
        <v>-0.019876478744157707</v>
      </c>
      <c r="Y32" s="33">
        <f>-'A domestic'!Y32</f>
        <v>-0.012049389684382707</v>
      </c>
      <c r="Z32" s="33">
        <f>-'A domestic'!Z32</f>
        <v>-0.00444209547112169</v>
      </c>
      <c r="AA32" s="33">
        <f>-'A domestic'!AA32</f>
        <v>-0.007744578581172676</v>
      </c>
      <c r="AB32" s="33">
        <f>-'A domestic'!AB32</f>
        <v>-0.006642291872790547</v>
      </c>
      <c r="AC32" s="33">
        <f>-'A domestic'!AC32</f>
        <v>-0.009498039910626572</v>
      </c>
      <c r="AD32" s="33">
        <f>-'A domestic'!AD32</f>
        <v>-0.007436768879982532</v>
      </c>
      <c r="AE32" s="33">
        <f>-'A domestic'!AE32</f>
        <v>-0.005832932185198575</v>
      </c>
      <c r="AF32" s="33">
        <f>1-'A domestic'!AF32</f>
        <v>0.9942292506974119</v>
      </c>
      <c r="AG32" s="33">
        <f>-'A domestic'!AG32</f>
        <v>-0.0071738150118486515</v>
      </c>
      <c r="AH32" s="33">
        <f>-'A domestic'!AH32</f>
        <v>-0.0062051088629516684</v>
      </c>
      <c r="AI32" s="33">
        <f>-'A domestic'!AI32</f>
        <v>-0.008548949887538793</v>
      </c>
      <c r="AJ32" s="33">
        <f>-'A domestic'!AJ32</f>
        <v>-0.004312724108074901</v>
      </c>
      <c r="AK32" s="33">
        <f>-'A domestic'!AK32</f>
        <v>-0.007044091332292687</v>
      </c>
      <c r="AL32" s="33">
        <f>-'A domestic'!AL32</f>
        <v>-0.018822592879624074</v>
      </c>
      <c r="AM32" s="33">
        <f>-'A domestic'!AM32</f>
        <v>-0.0052924541858378055</v>
      </c>
      <c r="AN32" s="33">
        <f>-'A domestic'!AN32</f>
        <v>-0.009221316224973693</v>
      </c>
      <c r="AO32" s="33">
        <f>-'A domestic'!AO32</f>
        <v>-0.007642743140174846</v>
      </c>
      <c r="AP32" s="33">
        <f>-'A domestic'!AP32</f>
        <v>-0.003714289550384356</v>
      </c>
      <c r="AQ32" s="33">
        <f>-'A domestic'!AQ32</f>
        <v>-0.0016011826773150125</v>
      </c>
      <c r="AR32" s="33">
        <f>-'A domestic'!AR32</f>
        <v>-0.0024150886583558105</v>
      </c>
      <c r="AS32" s="33">
        <f>-'A domestic'!AS32</f>
        <v>-0.00350189678045208</v>
      </c>
      <c r="AT32" s="33">
        <f>-'A domestic'!AT32</f>
        <v>-0.001146556659446921</v>
      </c>
      <c r="AU32" s="33">
        <f>-'A domestic'!AU32</f>
        <v>-0.003358871740801773</v>
      </c>
      <c r="AV32" s="33">
        <f>-'A domestic'!AV32</f>
        <v>-0.005000689088890682</v>
      </c>
      <c r="AW32" s="33">
        <f>-'A domestic'!AW32</f>
        <v>-0.005396404867189068</v>
      </c>
      <c r="AX32" s="33">
        <f>-'A domestic'!AX32</f>
        <v>-0.01357074806490005</v>
      </c>
      <c r="AY32" s="33">
        <f>-'A domestic'!AY32</f>
        <v>-0.010274961686271088</v>
      </c>
      <c r="AZ32" s="33">
        <f>-'A domestic'!AZ32</f>
        <v>-0.004789961491402062</v>
      </c>
      <c r="BA32" s="33">
        <f>-'A domestic'!BA32</f>
        <v>-0.002775667734021983</v>
      </c>
      <c r="BB32" s="33">
        <f>-'A domestic'!BB32</f>
        <v>-0.008363457363759732</v>
      </c>
      <c r="BC32" s="33">
        <f>-'A domestic'!BC32</f>
        <v>-0.005638386034329932</v>
      </c>
      <c r="BD32" s="33">
        <f>-'A domestic'!BD32</f>
        <v>-0.004130578630443799</v>
      </c>
      <c r="BE32" s="33">
        <f>-'A domestic'!BE32</f>
        <v>-0.0031957784164274557</v>
      </c>
      <c r="BF32" s="33">
        <f>-'A domestic'!BF32</f>
        <v>-0.015418826043277893</v>
      </c>
      <c r="BG32" s="33">
        <f>-'A domestic'!BG32</f>
        <v>-0.012286518082772757</v>
      </c>
      <c r="BH32" s="33">
        <f>-'A domestic'!BH32</f>
        <v>-0.009422771763892597</v>
      </c>
      <c r="BI32" s="33">
        <f>-'A domestic'!BI32</f>
        <v>-0.007130554578531201</v>
      </c>
      <c r="BJ32" s="33">
        <f>-'A domestic'!BJ32</f>
        <v>-0.0067907926329561635</v>
      </c>
      <c r="BK32" s="33">
        <f>-'A domestic'!BK32</f>
        <v>-0.019543821277925325</v>
      </c>
      <c r="BL32" s="33">
        <f>-'A domestic'!BL32</f>
        <v>-0.00935399812347214</v>
      </c>
      <c r="BM32" s="33">
        <f>-'A domestic'!BM32</f>
        <v>0</v>
      </c>
      <c r="BN32" s="33">
        <f>-'A domestic'!BN32</f>
        <v>0</v>
      </c>
    </row>
    <row r="33" spans="1:66" x14ac:dyDescent="0.25">
      <c r="A33" s="30" t="s">
        <v>321</v>
      </c>
      <c r="B33" s="31" t="s">
        <v>322</v>
      </c>
      <c r="C33" s="33">
        <f>-'A domestic'!C33</f>
        <v>-0.007667149354917266</v>
      </c>
      <c r="D33" s="33">
        <f>-'A domestic'!D33</f>
        <v>-0.03394710336732847</v>
      </c>
      <c r="E33" s="33">
        <f>-'A domestic'!E33</f>
        <v>-0.00756079517303633</v>
      </c>
      <c r="F33" s="33">
        <f>-'A domestic'!F33</f>
        <v>-0.027254180767825306</v>
      </c>
      <c r="G33" s="33">
        <f>-'A domestic'!G33</f>
        <v>-0.02293219196628287</v>
      </c>
      <c r="H33" s="33">
        <f>-'A domestic'!H33</f>
        <v>-0.014947941095353783</v>
      </c>
      <c r="I33" s="33">
        <f>-'A domestic'!I33</f>
        <v>-0.02620464835769758</v>
      </c>
      <c r="J33" s="33">
        <f>-'A domestic'!J33</f>
        <v>-0.03201483794867242</v>
      </c>
      <c r="K33" s="33">
        <f>-'A domestic'!K33</f>
        <v>-0.01277223091806807</v>
      </c>
      <c r="L33" s="33">
        <f>-'A domestic'!L33</f>
        <v>-0.025293047011138155</v>
      </c>
      <c r="M33" s="33">
        <f>-'A domestic'!M33</f>
        <v>-0.020664017655869702</v>
      </c>
      <c r="N33" s="33">
        <f>-'A domestic'!N33</f>
        <v>-0.006147206791261398</v>
      </c>
      <c r="O33" s="33">
        <f>-'A domestic'!O33</f>
        <v>-0.019696125883898442</v>
      </c>
      <c r="P33" s="33">
        <f>-'A domestic'!P33</f>
        <v>-0.038460178243032966</v>
      </c>
      <c r="Q33" s="33">
        <f>-'A domestic'!Q33</f>
        <v>-0.02370173472874501</v>
      </c>
      <c r="R33" s="33">
        <f>-'A domestic'!R33</f>
        <v>-0.01109485785888298</v>
      </c>
      <c r="S33" s="33">
        <f>-'A domestic'!S33</f>
        <v>-0.006290371215392044</v>
      </c>
      <c r="T33" s="33">
        <f>-'A domestic'!T33</f>
        <v>-0.01221429240646969</v>
      </c>
      <c r="U33" s="33">
        <f>-'A domestic'!U33</f>
        <v>-0.009718162530146613</v>
      </c>
      <c r="V33" s="33">
        <f>-'A domestic'!V33</f>
        <v>-0.01360049014584843</v>
      </c>
      <c r="W33" s="33">
        <f>-'A domestic'!W33</f>
        <v>-0.00616708513435671</v>
      </c>
      <c r="X33" s="33">
        <f>-'A domestic'!X33</f>
        <v>-0.015912326481280013</v>
      </c>
      <c r="Y33" s="33">
        <f>-'A domestic'!Y33</f>
        <v>-0.006435451059390158</v>
      </c>
      <c r="Z33" s="33">
        <f>-'A domestic'!Z33</f>
        <v>-0.012306661741323208</v>
      </c>
      <c r="AA33" s="33">
        <f>-'A domestic'!AA33</f>
        <v>-0.0033655347009292637</v>
      </c>
      <c r="AB33" s="33">
        <f>-'A domestic'!AB33</f>
        <v>-0.013878014110225993</v>
      </c>
      <c r="AC33" s="33">
        <f>-'A domestic'!AC33</f>
        <v>-0.008196632428786967</v>
      </c>
      <c r="AD33" s="33">
        <f>-'A domestic'!AD33</f>
        <v>-0.016042517483619144</v>
      </c>
      <c r="AE33" s="33">
        <f>-'A domestic'!AE33</f>
        <v>-0.038477822692751386</v>
      </c>
      <c r="AF33" s="33">
        <f>-'A domestic'!AF33</f>
        <v>-0.018864758255974716</v>
      </c>
      <c r="AG33" s="33">
        <f>1-'A domestic'!AG33</f>
        <v>0.9059491133520532</v>
      </c>
      <c r="AH33" s="33">
        <f>-'A domestic'!AH33</f>
        <v>-0.009861836456484214</v>
      </c>
      <c r="AI33" s="33">
        <f>-'A domestic'!AI33</f>
        <v>-0.010975960823639946</v>
      </c>
      <c r="AJ33" s="33">
        <f>-'A domestic'!AJ33</f>
        <v>-0.07990823115155102</v>
      </c>
      <c r="AK33" s="33">
        <f>-'A domestic'!AK33</f>
        <v>-0.034625142338962286</v>
      </c>
      <c r="AL33" s="33">
        <f>-'A domestic'!AL33</f>
        <v>-0.004581300251084321</v>
      </c>
      <c r="AM33" s="33">
        <f>-'A domestic'!AM33</f>
        <v>-0.0069924381891781255</v>
      </c>
      <c r="AN33" s="33">
        <f>-'A domestic'!AN33</f>
        <v>-0.005013953078716687</v>
      </c>
      <c r="AO33" s="33">
        <f>-'A domestic'!AO33</f>
        <v>-0.0033215934355695677</v>
      </c>
      <c r="AP33" s="33">
        <f>-'A domestic'!AP33</f>
        <v>-0.0033318201479365516</v>
      </c>
      <c r="AQ33" s="33">
        <f>-'A domestic'!AQ33</f>
        <v>-0.00105027804685194</v>
      </c>
      <c r="AR33" s="33">
        <f>-'A domestic'!AR33</f>
        <v>-0.0010997389989334128</v>
      </c>
      <c r="AS33" s="33">
        <f>-'A domestic'!AS33</f>
        <v>-0.002954544724509102</v>
      </c>
      <c r="AT33" s="33">
        <f>-'A domestic'!AT33</f>
        <v>-0.0006004282526888145</v>
      </c>
      <c r="AU33" s="33">
        <f>-'A domestic'!AU33</f>
        <v>-0.002733536739908437</v>
      </c>
      <c r="AV33" s="33">
        <f>-'A domestic'!AV33</f>
        <v>-0.002997202165300159</v>
      </c>
      <c r="AW33" s="33">
        <f>-'A domestic'!AW33</f>
        <v>-0.004331132068172572</v>
      </c>
      <c r="AX33" s="33">
        <f>-'A domestic'!AX33</f>
        <v>-0.006447726963406122</v>
      </c>
      <c r="AY33" s="33">
        <f>-'A domestic'!AY33</f>
        <v>-0.0061904170819624986</v>
      </c>
      <c r="AZ33" s="33">
        <f>-'A domestic'!AZ33</f>
        <v>-0.006836443225602627</v>
      </c>
      <c r="BA33" s="33">
        <f>-'A domestic'!BA33</f>
        <v>-0.001322135048430335</v>
      </c>
      <c r="BB33" s="33">
        <f>-'A domestic'!BB33</f>
        <v>-0.06500727205130884</v>
      </c>
      <c r="BC33" s="33">
        <f>-'A domestic'!BC33</f>
        <v>-0.0037866107999744232</v>
      </c>
      <c r="BD33" s="33">
        <f>-'A domestic'!BD33</f>
        <v>-0.007193499440972752</v>
      </c>
      <c r="BE33" s="33">
        <f>-'A domestic'!BE33</f>
        <v>-0.011625113957169052</v>
      </c>
      <c r="BF33" s="33">
        <f>-'A domestic'!BF33</f>
        <v>-0.003459520658257722</v>
      </c>
      <c r="BG33" s="33">
        <f>-'A domestic'!BG33</f>
        <v>-0.003873391266371357</v>
      </c>
      <c r="BH33" s="33">
        <f>-'A domestic'!BH33</f>
        <v>-0.0034830782014555516</v>
      </c>
      <c r="BI33" s="33">
        <f>-'A domestic'!BI33</f>
        <v>-0.005184634193303341</v>
      </c>
      <c r="BJ33" s="33">
        <f>-'A domestic'!BJ33</f>
        <v>-0.01088436156600003</v>
      </c>
      <c r="BK33" s="33">
        <f>-'A domestic'!BK33</f>
        <v>-0.008964224339946883</v>
      </c>
      <c r="BL33" s="33">
        <f>-'A domestic'!BL33</f>
        <v>-0.003452323303792252</v>
      </c>
      <c r="BM33" s="33">
        <f>-'A domestic'!BM33</f>
        <v>0</v>
      </c>
      <c r="BN33" s="33">
        <f>-'A domestic'!BN33</f>
        <v>0</v>
      </c>
    </row>
    <row r="34" spans="1:66" x14ac:dyDescent="0.25">
      <c r="A34" s="30" t="s">
        <v>134</v>
      </c>
      <c r="B34" s="31" t="s">
        <v>324</v>
      </c>
      <c r="C34" s="33">
        <f>-'A domestic'!C34</f>
        <v>-0.00042577817114397115</v>
      </c>
      <c r="D34" s="33">
        <f>-'A domestic'!D34</f>
        <v>-0.003045631632295224</v>
      </c>
      <c r="E34" s="33">
        <f>-'A domestic'!E34</f>
        <v>-0.003413895845634896</v>
      </c>
      <c r="F34" s="33">
        <f>-'A domestic'!F34</f>
        <v>-0.0030638458840531275</v>
      </c>
      <c r="G34" s="33">
        <f>-'A domestic'!G34</f>
        <v>-0.0017700313154858606</v>
      </c>
      <c r="H34" s="33">
        <f>-'A domestic'!H34</f>
        <v>-0.001135247751902034</v>
      </c>
      <c r="I34" s="33">
        <f>-'A domestic'!I34</f>
        <v>-0.00219116980632503</v>
      </c>
      <c r="J34" s="33">
        <f>-'A domestic'!J34</f>
        <v>-0.003615786078170022</v>
      </c>
      <c r="K34" s="33">
        <f>-'A domestic'!K34</f>
        <v>-0.0007989752644650775</v>
      </c>
      <c r="L34" s="33">
        <f>-'A domestic'!L34</f>
        <v>-0.0039011708288155824</v>
      </c>
      <c r="M34" s="33">
        <f>-'A domestic'!M34</f>
        <v>-0.0027649936611267513</v>
      </c>
      <c r="N34" s="33">
        <f>-'A domestic'!N34</f>
        <v>-0.0015237494462885055</v>
      </c>
      <c r="O34" s="33">
        <f>-'A domestic'!O34</f>
        <v>-0.0014487680146552879</v>
      </c>
      <c r="P34" s="33">
        <f>-'A domestic'!P34</f>
        <v>-0.0025467052729478126</v>
      </c>
      <c r="Q34" s="33">
        <f>-'A domestic'!Q34</f>
        <v>-0.003012929013596523</v>
      </c>
      <c r="R34" s="33">
        <f>-'A domestic'!R34</f>
        <v>-0.0011544910999711536</v>
      </c>
      <c r="S34" s="33">
        <f>-'A domestic'!S34</f>
        <v>-0.0019332991371899405</v>
      </c>
      <c r="T34" s="33">
        <f>-'A domestic'!T34</f>
        <v>-0.0017684420554933697</v>
      </c>
      <c r="U34" s="33">
        <f>-'A domestic'!U34</f>
        <v>-0.0016233425214756266</v>
      </c>
      <c r="V34" s="33">
        <f>-'A domestic'!V34</f>
        <v>-0.001436886998922172</v>
      </c>
      <c r="W34" s="33">
        <f>-'A domestic'!W34</f>
        <v>-0.0007097827632352315</v>
      </c>
      <c r="X34" s="33">
        <f>-'A domestic'!X34</f>
        <v>-0.001184709708619272</v>
      </c>
      <c r="Y34" s="33">
        <f>-'A domestic'!Y34</f>
        <v>-0.0007079766586664492</v>
      </c>
      <c r="Z34" s="33">
        <f>-'A domestic'!Z34</f>
        <v>-0.0006756721160645218</v>
      </c>
      <c r="AA34" s="33">
        <f>-'A domestic'!AA34</f>
        <v>-0.0003606439133143176</v>
      </c>
      <c r="AB34" s="33">
        <f>-'A domestic'!AB34</f>
        <v>-0.0010839994660846808</v>
      </c>
      <c r="AC34" s="33">
        <f>-'A domestic'!AC34</f>
        <v>-0.0005504717808275433</v>
      </c>
      <c r="AD34" s="33">
        <f>-'A domestic'!AD34</f>
        <v>-0.0012607947240590009</v>
      </c>
      <c r="AE34" s="33">
        <f>-'A domestic'!AE34</f>
        <v>-0.003958259713855984</v>
      </c>
      <c r="AF34" s="33">
        <f>-'A domestic'!AF34</f>
        <v>-0.0005569659868910029</v>
      </c>
      <c r="AG34" s="33">
        <f>-'A domestic'!AG34</f>
        <v>-0.0046455674596072236</v>
      </c>
      <c r="AH34" s="33">
        <f>1-'A domestic'!AH34</f>
        <v>0.9038793837714584</v>
      </c>
      <c r="AI34" s="33">
        <f>-'A domestic'!AI34</f>
        <v>-0.0018126658842361337</v>
      </c>
      <c r="AJ34" s="33">
        <f>-'A domestic'!AJ34</f>
        <v>-0.009842809956352483</v>
      </c>
      <c r="AK34" s="33">
        <f>-'A domestic'!AK34</f>
        <v>-0.001795634130893006</v>
      </c>
      <c r="AL34" s="33">
        <f>-'A domestic'!AL34</f>
        <v>-0.00047114220214028354</v>
      </c>
      <c r="AM34" s="33">
        <f>-'A domestic'!AM34</f>
        <v>-0.0006019082117090126</v>
      </c>
      <c r="AN34" s="33">
        <f>-'A domestic'!AN34</f>
        <v>-0.00038649100930359764</v>
      </c>
      <c r="AO34" s="33">
        <f>-'A domestic'!AO34</f>
        <v>-0.0005572773039742963</v>
      </c>
      <c r="AP34" s="33">
        <f>-'A domestic'!AP34</f>
        <v>-0.00029184157202907633</v>
      </c>
      <c r="AQ34" s="33">
        <f>-'A domestic'!AQ34</f>
        <v>-0.00007537938058761642</v>
      </c>
      <c r="AR34" s="33">
        <f>-'A domestic'!AR34</f>
        <v>-0.000052095523748205635</v>
      </c>
      <c r="AS34" s="33">
        <f>-'A domestic'!AS34</f>
        <v>-0.00018148703732851084</v>
      </c>
      <c r="AT34" s="33">
        <f>-'A domestic'!AT34</f>
        <v>-0.00004144809200300323</v>
      </c>
      <c r="AU34" s="33">
        <f>-'A domestic'!AU34</f>
        <v>-0.0002590938136545791</v>
      </c>
      <c r="AV34" s="33">
        <f>-'A domestic'!AV34</f>
        <v>-0.00023415641916407494</v>
      </c>
      <c r="AW34" s="33">
        <f>-'A domestic'!AW34</f>
        <v>-0.0002431069805094985</v>
      </c>
      <c r="AX34" s="33">
        <f>-'A domestic'!AX34</f>
        <v>-0.00040540814464962594</v>
      </c>
      <c r="AY34" s="33">
        <f>-'A domestic'!AY34</f>
        <v>-0.0004313751033886911</v>
      </c>
      <c r="AZ34" s="33">
        <f>-'A domestic'!AZ34</f>
        <v>-0.0010460398678526488</v>
      </c>
      <c r="BA34" s="33">
        <f>-'A domestic'!BA34</f>
        <v>-0.0001648911525161574</v>
      </c>
      <c r="BB34" s="33">
        <f>-'A domestic'!BB34</f>
        <v>-0.018322537614815036</v>
      </c>
      <c r="BC34" s="33">
        <f>-'A domestic'!BC34</f>
        <v>-0.000373614773079175</v>
      </c>
      <c r="BD34" s="33">
        <f>-'A domestic'!BD34</f>
        <v>-0.000307670332769828</v>
      </c>
      <c r="BE34" s="33">
        <f>-'A domestic'!BE34</f>
        <v>-0.0002389287856656285</v>
      </c>
      <c r="BF34" s="33">
        <f>-'A domestic'!BF34</f>
        <v>-0.00041938415907894947</v>
      </c>
      <c r="BG34" s="33">
        <f>-'A domestic'!BG34</f>
        <v>-0.0003421169792933467</v>
      </c>
      <c r="BH34" s="33">
        <f>-'A domestic'!BH34</f>
        <v>-0.0002858559355912024</v>
      </c>
      <c r="BI34" s="33">
        <f>-'A domestic'!BI34</f>
        <v>-0.0003289044380445285</v>
      </c>
      <c r="BJ34" s="33">
        <f>-'A domestic'!BJ34</f>
        <v>-0.00030135292510747203</v>
      </c>
      <c r="BK34" s="33">
        <f>-'A domestic'!BK34</f>
        <v>-0.0004311826277144196</v>
      </c>
      <c r="BL34" s="33">
        <f>-'A domestic'!BL34</f>
        <v>-0.00023655495367819087</v>
      </c>
      <c r="BM34" s="33">
        <f>-'A domestic'!BM34</f>
        <v>0</v>
      </c>
      <c r="BN34" s="33">
        <f>-'A domestic'!BN34</f>
        <v>0</v>
      </c>
    </row>
    <row r="35" spans="1:66" x14ac:dyDescent="0.25">
      <c r="A35" s="30" t="s">
        <v>137</v>
      </c>
      <c r="B35" s="31" t="s">
        <v>325</v>
      </c>
      <c r="C35" s="33">
        <f>-'A domestic'!C35</f>
        <v>-0.0004114633658820582</v>
      </c>
      <c r="D35" s="33">
        <f>-'A domestic'!D35</f>
        <v>-0.0005428333981851109</v>
      </c>
      <c r="E35" s="33">
        <f>-'A domestic'!E35</f>
        <v>-0.004207982950881979</v>
      </c>
      <c r="F35" s="33">
        <f>-'A domestic'!F35</f>
        <v>-0.0008244931387113301</v>
      </c>
      <c r="G35" s="33">
        <f>-'A domestic'!G35</f>
        <v>-0.0008379982811800992</v>
      </c>
      <c r="H35" s="33">
        <f>-'A domestic'!H35</f>
        <v>-0.0009613374579936373</v>
      </c>
      <c r="I35" s="33">
        <f>-'A domestic'!I35</f>
        <v>-0.0005589661163566045</v>
      </c>
      <c r="J35" s="33">
        <f>-'A domestic'!J35</f>
        <v>-0.0007684386035937283</v>
      </c>
      <c r="K35" s="33">
        <f>-'A domestic'!K35</f>
        <v>-0.001413134186616169</v>
      </c>
      <c r="L35" s="33">
        <f>-'A domestic'!L35</f>
        <v>-0.00038462506311689955</v>
      </c>
      <c r="M35" s="33">
        <f>-'A domestic'!M35</f>
        <v>-0.0014675929537258312</v>
      </c>
      <c r="N35" s="33">
        <f>-'A domestic'!N35</f>
        <v>-0.0012855794957471194</v>
      </c>
      <c r="O35" s="33">
        <f>-'A domestic'!O35</f>
        <v>-0.0009081076354194492</v>
      </c>
      <c r="P35" s="33">
        <f>-'A domestic'!P35</f>
        <v>-0.0010267334450989186</v>
      </c>
      <c r="Q35" s="33">
        <f>-'A domestic'!Q35</f>
        <v>-0.0005548668557942166</v>
      </c>
      <c r="R35" s="33">
        <f>-'A domestic'!R35</f>
        <v>-0.0012844033468082624</v>
      </c>
      <c r="S35" s="33">
        <f>-'A domestic'!S35</f>
        <v>-0.006112667015777121</v>
      </c>
      <c r="T35" s="33">
        <f>-'A domestic'!T35</f>
        <v>-0.0030261277321767966</v>
      </c>
      <c r="U35" s="33">
        <f>-'A domestic'!U35</f>
        <v>-0.003287433116845481</v>
      </c>
      <c r="V35" s="33">
        <f>-'A domestic'!V35</f>
        <v>-0.0017263045093214037</v>
      </c>
      <c r="W35" s="33">
        <f>-'A domestic'!W35</f>
        <v>-0.0024488787850805637</v>
      </c>
      <c r="X35" s="33">
        <f>-'A domestic'!X35</f>
        <v>-0.0017697427211964102</v>
      </c>
      <c r="Y35" s="33">
        <f>-'A domestic'!Y35</f>
        <v>-0.002511168068225269</v>
      </c>
      <c r="Z35" s="33">
        <f>-'A domestic'!Z35</f>
        <v>-0.0006110247509223632</v>
      </c>
      <c r="AA35" s="33">
        <f>-'A domestic'!AA35</f>
        <v>-0.0005174456147553252</v>
      </c>
      <c r="AB35" s="33">
        <f>-'A domestic'!AB35</f>
        <v>-0.0006040949103283717</v>
      </c>
      <c r="AC35" s="33">
        <f>-'A domestic'!AC35</f>
        <v>-0.0004821936541665882</v>
      </c>
      <c r="AD35" s="33">
        <f>-'A domestic'!AD35</f>
        <v>-0.0006451665309954395</v>
      </c>
      <c r="AE35" s="33">
        <f>-'A domestic'!AE35</f>
        <v>-0.0012332326321014282</v>
      </c>
      <c r="AF35" s="33">
        <f>-'A domestic'!AF35</f>
        <v>-0.000961821288590726</v>
      </c>
      <c r="AG35" s="33">
        <f>-'A domestic'!AG35</f>
        <v>-0.0007989324428735459</v>
      </c>
      <c r="AH35" s="33">
        <f>-'A domestic'!AH35</f>
        <v>-0.0021411723412024636</v>
      </c>
      <c r="AI35" s="33">
        <f>1-'A domestic'!AI35</f>
        <v>0.9289998070285882</v>
      </c>
      <c r="AJ35" s="33">
        <f>-'A domestic'!AJ35</f>
        <v>-0.0041900280670671575</v>
      </c>
      <c r="AK35" s="33">
        <f>-'A domestic'!AK35</f>
        <v>-0.015082219137971017</v>
      </c>
      <c r="AL35" s="33">
        <f>-'A domestic'!AL35</f>
        <v>-0.000618275563210396</v>
      </c>
      <c r="AM35" s="33">
        <f>-'A domestic'!AM35</f>
        <v>-0.0007550965628872074</v>
      </c>
      <c r="AN35" s="33">
        <f>-'A domestic'!AN35</f>
        <v>-0.002125410827774507</v>
      </c>
      <c r="AO35" s="33">
        <f>-'A domestic'!AO35</f>
        <v>-0.0007942435780978115</v>
      </c>
      <c r="AP35" s="33">
        <f>-'A domestic'!AP35</f>
        <v>-0.0009148058477902412</v>
      </c>
      <c r="AQ35" s="33">
        <f>-'A domestic'!AQ35</f>
        <v>-0.0015260429767928578</v>
      </c>
      <c r="AR35" s="33">
        <f>-'A domestic'!AR35</f>
        <v>-0.001980876206827704</v>
      </c>
      <c r="AS35" s="33">
        <f>-'A domestic'!AS35</f>
        <v>-0.004683971643051938</v>
      </c>
      <c r="AT35" s="33">
        <f>-'A domestic'!AT35</f>
        <v>-0.00006331030071396946</v>
      </c>
      <c r="AU35" s="33">
        <f>-'A domestic'!AU35</f>
        <v>-0.0015240501319191409</v>
      </c>
      <c r="AV35" s="33">
        <f>-'A domestic'!AV35</f>
        <v>-0.001538073164737738</v>
      </c>
      <c r="AW35" s="33">
        <f>-'A domestic'!AW35</f>
        <v>-0.0017180374384749984</v>
      </c>
      <c r="AX35" s="33">
        <f>-'A domestic'!AX35</f>
        <v>-0.0013112057706953617</v>
      </c>
      <c r="AY35" s="33">
        <f>-'A domestic'!AY35</f>
        <v>-0.0013961313887451655</v>
      </c>
      <c r="AZ35" s="33">
        <f>-'A domestic'!AZ35</f>
        <v>-0.0014889918824700654</v>
      </c>
      <c r="BA35" s="33">
        <f>-'A domestic'!BA35</f>
        <v>-0.0004671915987957793</v>
      </c>
      <c r="BB35" s="33">
        <f>-'A domestic'!BB35</f>
        <v>-0.07981225901108079</v>
      </c>
      <c r="BC35" s="33">
        <f>-'A domestic'!BC35</f>
        <v>-0.000856775152862353</v>
      </c>
      <c r="BD35" s="33">
        <f>-'A domestic'!BD35</f>
        <v>-0.0013172745197593267</v>
      </c>
      <c r="BE35" s="33">
        <f>-'A domestic'!BE35</f>
        <v>-0.0006749526378754656</v>
      </c>
      <c r="BF35" s="33">
        <f>-'A domestic'!BF35</f>
        <v>-0.0006053164516591986</v>
      </c>
      <c r="BG35" s="33">
        <f>-'A domestic'!BG35</f>
        <v>-0.0005599283822828036</v>
      </c>
      <c r="BH35" s="33">
        <f>-'A domestic'!BH35</f>
        <v>-0.001486887286349964</v>
      </c>
      <c r="BI35" s="33">
        <f>-'A domestic'!BI35</f>
        <v>-0.0014578308810834883</v>
      </c>
      <c r="BJ35" s="33">
        <f>-'A domestic'!BJ35</f>
        <v>-0.0036150848992854375</v>
      </c>
      <c r="BK35" s="33">
        <f>-'A domestic'!BK35</f>
        <v>-0.0007998750195281987</v>
      </c>
      <c r="BL35" s="33">
        <f>-'A domestic'!BL35</f>
        <v>-0.0008157433155987838</v>
      </c>
      <c r="BM35" s="33">
        <f>-'A domestic'!BM35</f>
        <v>0</v>
      </c>
      <c r="BN35" s="33">
        <f>-'A domestic'!BN35</f>
        <v>0</v>
      </c>
    </row>
    <row r="36" spans="1:66" x14ac:dyDescent="0.25">
      <c r="A36" s="30" t="s">
        <v>326</v>
      </c>
      <c r="B36" s="31" t="s">
        <v>327</v>
      </c>
      <c r="C36" s="33">
        <f>-'A domestic'!C36</f>
        <v>-0.00255274874810918</v>
      </c>
      <c r="D36" s="33">
        <f>-'A domestic'!D36</f>
        <v>-0.006746186155026173</v>
      </c>
      <c r="E36" s="33">
        <f>-'A domestic'!E36</f>
        <v>-0.014598986011850222</v>
      </c>
      <c r="F36" s="33">
        <f>-'A domestic'!F36</f>
        <v>-0.01611342381334504</v>
      </c>
      <c r="G36" s="33">
        <f>-'A domestic'!G36</f>
        <v>-0.017690453485908027</v>
      </c>
      <c r="H36" s="33">
        <f>-'A domestic'!H36</f>
        <v>-0.010550557830442734</v>
      </c>
      <c r="I36" s="33">
        <f>-'A domestic'!I36</f>
        <v>-0.011566864624403624</v>
      </c>
      <c r="J36" s="33">
        <f>-'A domestic'!J36</f>
        <v>-0.02037841790417113</v>
      </c>
      <c r="K36" s="33">
        <f>-'A domestic'!K36</f>
        <v>-0.007251908939566477</v>
      </c>
      <c r="L36" s="33">
        <f>-'A domestic'!L36</f>
        <v>-0.013441672454104445</v>
      </c>
      <c r="M36" s="33">
        <f>-'A domestic'!M36</f>
        <v>-0.01265599971004284</v>
      </c>
      <c r="N36" s="33">
        <f>-'A domestic'!N36</f>
        <v>-0.0037472072218511393</v>
      </c>
      <c r="O36" s="33">
        <f>-'A domestic'!O36</f>
        <v>-0.010290485134081814</v>
      </c>
      <c r="P36" s="33">
        <f>-'A domestic'!P36</f>
        <v>-0.018438687948278822</v>
      </c>
      <c r="Q36" s="33">
        <f>-'A domestic'!Q36</f>
        <v>-0.010002503158747945</v>
      </c>
      <c r="R36" s="33">
        <f>-'A domestic'!R36</f>
        <v>-0.006370499808571424</v>
      </c>
      <c r="S36" s="33">
        <f>-'A domestic'!S36</f>
        <v>-0.005680661978782222</v>
      </c>
      <c r="T36" s="33">
        <f>-'A domestic'!T36</f>
        <v>-0.0077057254284786676</v>
      </c>
      <c r="U36" s="33">
        <f>-'A domestic'!U36</f>
        <v>-0.009907350016084098</v>
      </c>
      <c r="V36" s="33">
        <f>-'A domestic'!V36</f>
        <v>-0.009834445950932184</v>
      </c>
      <c r="W36" s="33">
        <f>-'A domestic'!W36</f>
        <v>-0.005301567898031662</v>
      </c>
      <c r="X36" s="33">
        <f>-'A domestic'!X36</f>
        <v>-0.008416903525270353</v>
      </c>
      <c r="Y36" s="33">
        <f>-'A domestic'!Y36</f>
        <v>-0.004879605446959937</v>
      </c>
      <c r="Z36" s="33">
        <f>-'A domestic'!Z36</f>
        <v>-0.007526506982317247</v>
      </c>
      <c r="AA36" s="33">
        <f>-'A domestic'!AA36</f>
        <v>-0.0026399704642613283</v>
      </c>
      <c r="AB36" s="33">
        <f>-'A domestic'!AB36</f>
        <v>-0.009261297882090031</v>
      </c>
      <c r="AC36" s="33">
        <f>-'A domestic'!AC36</f>
        <v>-0.0041545343458561715</v>
      </c>
      <c r="AD36" s="33">
        <f>-'A domestic'!AD36</f>
        <v>-0.01355071252624912</v>
      </c>
      <c r="AE36" s="33">
        <f>-'A domestic'!AE36</f>
        <v>-0.04833063366879983</v>
      </c>
      <c r="AF36" s="33">
        <f>-'A domestic'!AF36</f>
        <v>-0.01821393863810352</v>
      </c>
      <c r="AG36" s="33">
        <f>-'A domestic'!AG36</f>
        <v>-0.09628994370822247</v>
      </c>
      <c r="AH36" s="33">
        <f>-'A domestic'!AH36</f>
        <v>-0.13153749475970597</v>
      </c>
      <c r="AI36" s="33">
        <f>-'A domestic'!AI36</f>
        <v>-0.08515164073151983</v>
      </c>
      <c r="AJ36" s="33">
        <f>1-'A domestic'!AJ36</f>
        <v>0.8111528475497517</v>
      </c>
      <c r="AK36" s="33">
        <f>-'A domestic'!AK36</f>
        <v>-0.11427750646365988</v>
      </c>
      <c r="AL36" s="33">
        <f>-'A domestic'!AL36</f>
        <v>-0.0024367132209689607</v>
      </c>
      <c r="AM36" s="33">
        <f>-'A domestic'!AM36</f>
        <v>-0.0072983630084926905</v>
      </c>
      <c r="AN36" s="33">
        <f>-'A domestic'!AN36</f>
        <v>-0.0022615808235561343</v>
      </c>
      <c r="AO36" s="33">
        <f>-'A domestic'!AO36</f>
        <v>-0.004901078196547263</v>
      </c>
      <c r="AP36" s="33">
        <f>-'A domestic'!AP36</f>
        <v>-0.0030798040189042937</v>
      </c>
      <c r="AQ36" s="33">
        <f>-'A domestic'!AQ36</f>
        <v>-0.0005915304015587832</v>
      </c>
      <c r="AR36" s="33">
        <f>-'A domestic'!AR36</f>
        <v>-0.0006568024166340758</v>
      </c>
      <c r="AS36" s="33">
        <f>-'A domestic'!AS36</f>
        <v>-0.002469829787644106</v>
      </c>
      <c r="AT36" s="33">
        <f>-'A domestic'!AT36</f>
        <v>-0.0005954962142811345</v>
      </c>
      <c r="AU36" s="33">
        <f>-'A domestic'!AU36</f>
        <v>-0.0034418558383677903</v>
      </c>
      <c r="AV36" s="33">
        <f>-'A domestic'!AV36</f>
        <v>-0.00241292614795742</v>
      </c>
      <c r="AW36" s="33">
        <f>-'A domestic'!AW36</f>
        <v>-0.0016264142046146346</v>
      </c>
      <c r="AX36" s="33">
        <f>-'A domestic'!AX36</f>
        <v>-0.004278214235038267</v>
      </c>
      <c r="AY36" s="33">
        <f>-'A domestic'!AY36</f>
        <v>-0.007524484531331229</v>
      </c>
      <c r="AZ36" s="33">
        <f>-'A domestic'!AZ36</f>
        <v>-0.007015578231514082</v>
      </c>
      <c r="BA36" s="33">
        <f>-'A domestic'!BA36</f>
        <v>-0.0012268073508819315</v>
      </c>
      <c r="BB36" s="33">
        <f>-'A domestic'!BB36</f>
        <v>-0.008826188001075447</v>
      </c>
      <c r="BC36" s="33">
        <f>-'A domestic'!BC36</f>
        <v>-0.0042142931471778914</v>
      </c>
      <c r="BD36" s="33">
        <f>-'A domestic'!BD36</f>
        <v>-0.002470202963575313</v>
      </c>
      <c r="BE36" s="33">
        <f>-'A domestic'!BE36</f>
        <v>-0.0013402676341305534</v>
      </c>
      <c r="BF36" s="33">
        <f>-'A domestic'!BF36</f>
        <v>-0.0009543780198051379</v>
      </c>
      <c r="BG36" s="33">
        <f>-'A domestic'!BG36</f>
        <v>-0.0008644217153358038</v>
      </c>
      <c r="BH36" s="33">
        <f>-'A domestic'!BH36</f>
        <v>-0.001999682285311281</v>
      </c>
      <c r="BI36" s="33">
        <f>-'A domestic'!BI36</f>
        <v>-0.0028594787976611497</v>
      </c>
      <c r="BJ36" s="33">
        <f>-'A domestic'!BJ36</f>
        <v>-0.0020318318404669825</v>
      </c>
      <c r="BK36" s="33">
        <f>-'A domestic'!BK36</f>
        <v>-0.007070770192157475</v>
      </c>
      <c r="BL36" s="33">
        <f>-'A domestic'!BL36</f>
        <v>-0.00231569266313673</v>
      </c>
      <c r="BM36" s="33">
        <f>-'A domestic'!BM36</f>
        <v>0</v>
      </c>
      <c r="BN36" s="33">
        <f>-'A domestic'!BN36</f>
        <v>0</v>
      </c>
    </row>
    <row r="37" spans="1:66" x14ac:dyDescent="0.25">
      <c r="A37" s="30" t="s">
        <v>328</v>
      </c>
      <c r="B37" s="31" t="s">
        <v>329</v>
      </c>
      <c r="C37" s="33">
        <f>-'A domestic'!C37</f>
        <v>-0.00037899319784893867</v>
      </c>
      <c r="D37" s="33">
        <f>-'A domestic'!D37</f>
        <v>-0.0006341062704463244</v>
      </c>
      <c r="E37" s="33">
        <f>-'A domestic'!E37</f>
        <v>-0.00038686294871011743</v>
      </c>
      <c r="F37" s="33">
        <f>-'A domestic'!F37</f>
        <v>-0.0009860864487482946</v>
      </c>
      <c r="G37" s="33">
        <f>-'A domestic'!G37</f>
        <v>-0.0009990640672458853</v>
      </c>
      <c r="H37" s="33">
        <f>-'A domestic'!H37</f>
        <v>-0.0017834588473787855</v>
      </c>
      <c r="I37" s="33">
        <f>-'A domestic'!I37</f>
        <v>-0.0007880969636485326</v>
      </c>
      <c r="J37" s="33">
        <f>-'A domestic'!J37</f>
        <v>-0.00121990749146939</v>
      </c>
      <c r="K37" s="33">
        <f>-'A domestic'!K37</f>
        <v>-0.004980089593276097</v>
      </c>
      <c r="L37" s="33">
        <f>-'A domestic'!L37</f>
        <v>-0.0008509875441359099</v>
      </c>
      <c r="M37" s="33">
        <f>-'A domestic'!M37</f>
        <v>-0.00418735960124587</v>
      </c>
      <c r="N37" s="33">
        <f>-'A domestic'!N37</f>
        <v>-0.002949270607890451</v>
      </c>
      <c r="O37" s="33">
        <f>-'A domestic'!O37</f>
        <v>-0.0017453043968385525</v>
      </c>
      <c r="P37" s="33">
        <f>-'A domestic'!P37</f>
        <v>-0.0011828691650388422</v>
      </c>
      <c r="Q37" s="33">
        <f>-'A domestic'!Q37</f>
        <v>-0.0006424774119722508</v>
      </c>
      <c r="R37" s="33">
        <f>-'A domestic'!R37</f>
        <v>-0.001597664651373606</v>
      </c>
      <c r="S37" s="33">
        <f>-'A domestic'!S37</f>
        <v>-0.0038369809077773934</v>
      </c>
      <c r="T37" s="33">
        <f>-'A domestic'!T37</f>
        <v>-0.004578640261669215</v>
      </c>
      <c r="U37" s="33">
        <f>-'A domestic'!U37</f>
        <v>-0.003970026627980462</v>
      </c>
      <c r="V37" s="33">
        <f>-'A domestic'!V37</f>
        <v>-0.0017293646752436003</v>
      </c>
      <c r="W37" s="33">
        <f>-'A domestic'!W37</f>
        <v>-0.0005254664339077554</v>
      </c>
      <c r="X37" s="33">
        <f>-'A domestic'!X37</f>
        <v>-0.003536985301313431</v>
      </c>
      <c r="Y37" s="33">
        <f>-'A domestic'!Y37</f>
        <v>-0.0019102394266767714</v>
      </c>
      <c r="Z37" s="33">
        <f>-'A domestic'!Z37</f>
        <v>-0.0014928719583035205</v>
      </c>
      <c r="AA37" s="33">
        <f>-'A domestic'!AA37</f>
        <v>-0.005724687572609879</v>
      </c>
      <c r="AB37" s="33">
        <f>-'A domestic'!AB37</f>
        <v>-0.002434268556653507</v>
      </c>
      <c r="AC37" s="33">
        <f>-'A domestic'!AC37</f>
        <v>-0.0007630163115867364</v>
      </c>
      <c r="AD37" s="33">
        <f>-'A domestic'!AD37</f>
        <v>-0.003281217038599469</v>
      </c>
      <c r="AE37" s="33">
        <f>-'A domestic'!AE37</f>
        <v>-0.006364864824993877</v>
      </c>
      <c r="AF37" s="33">
        <f>-'A domestic'!AF37</f>
        <v>-0.015694789419484066</v>
      </c>
      <c r="AG37" s="33">
        <f>-'A domestic'!AG37</f>
        <v>-0.004720681873104818</v>
      </c>
      <c r="AH37" s="33">
        <f>-'A domestic'!AH37</f>
        <v>-0.0013194599096588327</v>
      </c>
      <c r="AI37" s="33">
        <f>-'A domestic'!AI37</f>
        <v>-0.0025725303613626945</v>
      </c>
      <c r="AJ37" s="33">
        <f>-'A domestic'!AJ37</f>
        <v>-0.005816654832944193</v>
      </c>
      <c r="AK37" s="33">
        <f>1-'A domestic'!AK37</f>
        <v>0.9078121160309148</v>
      </c>
      <c r="AL37" s="33">
        <f>-'A domestic'!AL37</f>
        <v>-0.0032273578825233627</v>
      </c>
      <c r="AM37" s="33">
        <f>-'A domestic'!AM37</f>
        <v>-0.006273944152678628</v>
      </c>
      <c r="AN37" s="33">
        <f>-'A domestic'!AN37</f>
        <v>-0.0025721643032963564</v>
      </c>
      <c r="AO37" s="33">
        <f>-'A domestic'!AO37</f>
        <v>-0.012030104009608753</v>
      </c>
      <c r="AP37" s="33">
        <f>-'A domestic'!AP37</f>
        <v>-0.001860456002229499</v>
      </c>
      <c r="AQ37" s="33">
        <f>-'A domestic'!AQ37</f>
        <v>-0.003052685153749369</v>
      </c>
      <c r="AR37" s="33">
        <f>-'A domestic'!AR37</f>
        <v>-0.0029288153303417045</v>
      </c>
      <c r="AS37" s="33">
        <f>-'A domestic'!AS37</f>
        <v>-0.00516965022790275</v>
      </c>
      <c r="AT37" s="33">
        <f>-'A domestic'!AT37</f>
        <v>-0.00035652946873979206</v>
      </c>
      <c r="AU37" s="33">
        <f>-'A domestic'!AU37</f>
        <v>-0.0038356114128972984</v>
      </c>
      <c r="AV37" s="33">
        <f>-'A domestic'!AV37</f>
        <v>-0.0018159387821457733</v>
      </c>
      <c r="AW37" s="33">
        <f>-'A domestic'!AW37</f>
        <v>-0.0014639356699022565</v>
      </c>
      <c r="AX37" s="33">
        <f>-'A domestic'!AX37</f>
        <v>-0.0038838100257434166</v>
      </c>
      <c r="AY37" s="33">
        <f>-'A domestic'!AY37</f>
        <v>-0.004654795453232671</v>
      </c>
      <c r="AZ37" s="33">
        <f>-'A domestic'!AZ37</f>
        <v>-0.001781579058792109</v>
      </c>
      <c r="BA37" s="33">
        <f>-'A domestic'!BA37</f>
        <v>-0.00570377390331281</v>
      </c>
      <c r="BB37" s="33">
        <f>-'A domestic'!BB37</f>
        <v>-0.0025569856768911515</v>
      </c>
      <c r="BC37" s="33">
        <f>-'A domestic'!BC37</f>
        <v>-0.003316457981502307</v>
      </c>
      <c r="BD37" s="33">
        <f>-'A domestic'!BD37</f>
        <v>-0.005137468079202976</v>
      </c>
      <c r="BE37" s="33">
        <f>-'A domestic'!BE37</f>
        <v>-0.0009992433921787256</v>
      </c>
      <c r="BF37" s="33">
        <f>-'A domestic'!BF37</f>
        <v>-0.001127074994817496</v>
      </c>
      <c r="BG37" s="33">
        <f>-'A domestic'!BG37</f>
        <v>-0.0021467609913609466</v>
      </c>
      <c r="BH37" s="33">
        <f>-'A domestic'!BH37</f>
        <v>-0.0038470535453991586</v>
      </c>
      <c r="BI37" s="33">
        <f>-'A domestic'!BI37</f>
        <v>-0.0025393529478206565</v>
      </c>
      <c r="BJ37" s="33">
        <f>-'A domestic'!BJ37</f>
        <v>-0.0050712406366368095</v>
      </c>
      <c r="BK37" s="33">
        <f>-'A domestic'!BK37</f>
        <v>-0.00305264802374629</v>
      </c>
      <c r="BL37" s="33">
        <f>-'A domestic'!BL37</f>
        <v>-0.0023554720835983088</v>
      </c>
      <c r="BM37" s="33">
        <f>-'A domestic'!BM37</f>
        <v>0</v>
      </c>
      <c r="BN37" s="33">
        <f>-'A domestic'!BN37</f>
        <v>0</v>
      </c>
    </row>
    <row r="38" spans="1:66" x14ac:dyDescent="0.25">
      <c r="A38" s="30" t="s">
        <v>330</v>
      </c>
      <c r="B38" s="31" t="s">
        <v>331</v>
      </c>
      <c r="C38" s="33">
        <f>-'A domestic'!C38</f>
        <v>-0.0012879833319804097</v>
      </c>
      <c r="D38" s="33">
        <f>-'A domestic'!D38</f>
        <v>-0.001199357567081558</v>
      </c>
      <c r="E38" s="33">
        <f>-'A domestic'!E38</f>
        <v>-0.003420682914910512</v>
      </c>
      <c r="F38" s="33">
        <f>-'A domestic'!F38</f>
        <v>-0.0036083051616208547</v>
      </c>
      <c r="G38" s="33">
        <f>-'A domestic'!G38</f>
        <v>-0.002369999529090438</v>
      </c>
      <c r="H38" s="33">
        <f>-'A domestic'!H38</f>
        <v>-0.003798798086635433</v>
      </c>
      <c r="I38" s="33">
        <f>-'A domestic'!I38</f>
        <v>-0.005000710022749016</v>
      </c>
      <c r="J38" s="33">
        <f>-'A domestic'!J38</f>
        <v>-0.0020354208053182765</v>
      </c>
      <c r="K38" s="33">
        <f>-'A domestic'!K38</f>
        <v>-0.004208125948072294</v>
      </c>
      <c r="L38" s="33">
        <f>-'A domestic'!L38</f>
        <v>-0.0014589669896549822</v>
      </c>
      <c r="M38" s="33">
        <f>-'A domestic'!M38</f>
        <v>-0.0029183242682324353</v>
      </c>
      <c r="N38" s="33">
        <f>-'A domestic'!N38</f>
        <v>-0.002972414806474133</v>
      </c>
      <c r="O38" s="33">
        <f>-'A domestic'!O38</f>
        <v>-0.0020634223493697485</v>
      </c>
      <c r="P38" s="33">
        <f>-'A domestic'!P38</f>
        <v>-0.002648663779221835</v>
      </c>
      <c r="Q38" s="33">
        <f>-'A domestic'!Q38</f>
        <v>-0.0015610969397890993</v>
      </c>
      <c r="R38" s="33">
        <f>-'A domestic'!R38</f>
        <v>-0.0031185338858976896</v>
      </c>
      <c r="S38" s="33">
        <f>-'A domestic'!S38</f>
        <v>-0.0023030055754692633</v>
      </c>
      <c r="T38" s="33">
        <f>-'A domestic'!T38</f>
        <v>-0.002835372682163937</v>
      </c>
      <c r="U38" s="33">
        <f>-'A domestic'!U38</f>
        <v>-0.0032856614614587753</v>
      </c>
      <c r="V38" s="33">
        <f>-'A domestic'!V38</f>
        <v>-0.001277109244863256</v>
      </c>
      <c r="W38" s="33">
        <f>-'A domestic'!W38</f>
        <v>-0.0024239612693861936</v>
      </c>
      <c r="X38" s="33">
        <f>-'A domestic'!X38</f>
        <v>-0.0032016092336638992</v>
      </c>
      <c r="Y38" s="33">
        <f>-'A domestic'!Y38</f>
        <v>-0.007534315174502459</v>
      </c>
      <c r="Z38" s="33">
        <f>-'A domestic'!Z38</f>
        <v>-0.0022515855793158427</v>
      </c>
      <c r="AA38" s="33">
        <f>-'A domestic'!AA38</f>
        <v>-0.006636988380993923</v>
      </c>
      <c r="AB38" s="33">
        <f>-'A domestic'!AB38</f>
        <v>-0.00263895903025566</v>
      </c>
      <c r="AC38" s="33">
        <f>-'A domestic'!AC38</f>
        <v>-0.005683989121513255</v>
      </c>
      <c r="AD38" s="33">
        <f>-'A domestic'!AD38</f>
        <v>-0.005122440103019876</v>
      </c>
      <c r="AE38" s="33">
        <f>-'A domestic'!AE38</f>
        <v>-0.007483143267417941</v>
      </c>
      <c r="AF38" s="33">
        <f>-'A domestic'!AF38</f>
        <v>-0.004048820660431586</v>
      </c>
      <c r="AG38" s="33">
        <f>-'A domestic'!AG38</f>
        <v>-0.009713588741333674</v>
      </c>
      <c r="AH38" s="33">
        <f>-'A domestic'!AH38</f>
        <v>-0.0029817648495021882</v>
      </c>
      <c r="AI38" s="33">
        <f>-'A domestic'!AI38</f>
        <v>-0.025949909683052365</v>
      </c>
      <c r="AJ38" s="33">
        <f>-'A domestic'!AJ38</f>
        <v>-0.01070988980170539</v>
      </c>
      <c r="AK38" s="33">
        <f>-'A domestic'!AK38</f>
        <v>-0.0027322158498977235</v>
      </c>
      <c r="AL38" s="33">
        <f>1-'A domestic'!AL38</f>
        <v>0.9896130156018819</v>
      </c>
      <c r="AM38" s="33">
        <f>-'A domestic'!AM38</f>
        <v>-0.003946294604245351</v>
      </c>
      <c r="AN38" s="33">
        <f>-'A domestic'!AN38</f>
        <v>-0.015170496423654405</v>
      </c>
      <c r="AO38" s="33">
        <f>-'A domestic'!AO38</f>
        <v>-0.00558264663449811</v>
      </c>
      <c r="AP38" s="33">
        <f>-'A domestic'!AP38</f>
        <v>-0.005252150392484729</v>
      </c>
      <c r="AQ38" s="33">
        <f>-'A domestic'!AQ38</f>
        <v>-0.00344971518218621</v>
      </c>
      <c r="AR38" s="33">
        <f>-'A domestic'!AR38</f>
        <v>-0.002736385931616275</v>
      </c>
      <c r="AS38" s="33">
        <f>-'A domestic'!AS38</f>
        <v>-0.010759772193616155</v>
      </c>
      <c r="AT38" s="33">
        <f>-'A domestic'!AT38</f>
        <v>-0.0007272385479016642</v>
      </c>
      <c r="AU38" s="33">
        <f>-'A domestic'!AU38</f>
        <v>-0.00724933555400307</v>
      </c>
      <c r="AV38" s="33">
        <f>-'A domestic'!AV38</f>
        <v>-0.005178870973568869</v>
      </c>
      <c r="AW38" s="33">
        <f>-'A domestic'!AW38</f>
        <v>-0.003483718958557386</v>
      </c>
      <c r="AX38" s="33">
        <f>-'A domestic'!AX38</f>
        <v>-0.006386336587216322</v>
      </c>
      <c r="AY38" s="33">
        <f>-'A domestic'!AY38</f>
        <v>-0.007274999784926944</v>
      </c>
      <c r="AZ38" s="33">
        <f>-'A domestic'!AZ38</f>
        <v>-0.0038644306275262105</v>
      </c>
      <c r="BA38" s="33">
        <f>-'A domestic'!BA38</f>
        <v>-0.004895206090323423</v>
      </c>
      <c r="BB38" s="33">
        <f>-'A domestic'!BB38</f>
        <v>-0.14668162297186355</v>
      </c>
      <c r="BC38" s="33">
        <f>-'A domestic'!BC38</f>
        <v>-0.009756611288933355</v>
      </c>
      <c r="BD38" s="33">
        <f>-'A domestic'!BD38</f>
        <v>-0.005593335275879356</v>
      </c>
      <c r="BE38" s="33">
        <f>-'A domestic'!BE38</f>
        <v>-0.005863286982278602</v>
      </c>
      <c r="BF38" s="33">
        <f>-'A domestic'!BF38</f>
        <v>-0.005220774664731865</v>
      </c>
      <c r="BG38" s="33">
        <f>-'A domestic'!BG38</f>
        <v>-0.012226947309558877</v>
      </c>
      <c r="BH38" s="33">
        <f>-'A domestic'!BH38</f>
        <v>-0.010548302233953224</v>
      </c>
      <c r="BI38" s="33">
        <f>-'A domestic'!BI38</f>
        <v>-0.018186308562693456</v>
      </c>
      <c r="BJ38" s="33">
        <f>-'A domestic'!BJ38</f>
        <v>-0.0229678087214067</v>
      </c>
      <c r="BK38" s="33">
        <f>-'A domestic'!BK38</f>
        <v>-0.008123730667083268</v>
      </c>
      <c r="BL38" s="33">
        <f>-'A domestic'!BL38</f>
        <v>-0.008148946879622702</v>
      </c>
      <c r="BM38" s="33">
        <f>-'A domestic'!BM38</f>
        <v>0</v>
      </c>
      <c r="BN38" s="33">
        <f>-'A domestic'!BN38</f>
        <v>0</v>
      </c>
    </row>
    <row r="39" spans="1:66" x14ac:dyDescent="0.25">
      <c r="A39" s="30" t="s">
        <v>332</v>
      </c>
      <c r="B39" s="31" t="s">
        <v>333</v>
      </c>
      <c r="C39" s="33">
        <f>-'A domestic'!C39</f>
        <v>-0.0004853068125380237</v>
      </c>
      <c r="D39" s="33">
        <f>-'A domestic'!D39</f>
        <v>-0.0004771809812954663</v>
      </c>
      <c r="E39" s="33">
        <f>-'A domestic'!E39</f>
        <v>-0.00025112156319779557</v>
      </c>
      <c r="F39" s="33">
        <f>-'A domestic'!F39</f>
        <v>-0.0018151703064947656</v>
      </c>
      <c r="G39" s="33">
        <f>-'A domestic'!G39</f>
        <v>-0.000853597160415342</v>
      </c>
      <c r="H39" s="33">
        <f>-'A domestic'!H39</f>
        <v>-0.0008006021863510283</v>
      </c>
      <c r="I39" s="33">
        <f>-'A domestic'!I39</f>
        <v>-0.0006449609034883899</v>
      </c>
      <c r="J39" s="33">
        <f>-'A domestic'!J39</f>
        <v>-0.001688861271725539</v>
      </c>
      <c r="K39" s="33">
        <f>-'A domestic'!K39</f>
        <v>-0.005479093717523858</v>
      </c>
      <c r="L39" s="33">
        <f>-'A domestic'!L39</f>
        <v>-0.0005104455828089129</v>
      </c>
      <c r="M39" s="33">
        <f>-'A domestic'!M39</f>
        <v>-0.0011342998046728803</v>
      </c>
      <c r="N39" s="33">
        <f>-'A domestic'!N39</f>
        <v>-0.0014952228759411758</v>
      </c>
      <c r="O39" s="33">
        <f>-'A domestic'!O39</f>
        <v>-0.000803563145292457</v>
      </c>
      <c r="P39" s="33">
        <f>-'A domestic'!P39</f>
        <v>-0.0007148382358695293</v>
      </c>
      <c r="Q39" s="33">
        <f>-'A domestic'!Q39</f>
        <v>-0.000544735022766825</v>
      </c>
      <c r="R39" s="33">
        <f>-'A domestic'!R39</f>
        <v>-0.0008092317050518424</v>
      </c>
      <c r="S39" s="33">
        <f>-'A domestic'!S39</f>
        <v>-0.0020938967543706684</v>
      </c>
      <c r="T39" s="33">
        <f>-'A domestic'!T39</f>
        <v>-0.0017149787353537111</v>
      </c>
      <c r="U39" s="33">
        <f>-'A domestic'!U39</f>
        <v>-0.0009771944925814461</v>
      </c>
      <c r="V39" s="33">
        <f>-'A domestic'!V39</f>
        <v>-0.0008846661484167487</v>
      </c>
      <c r="W39" s="33">
        <f>-'A domestic'!W39</f>
        <v>-0.0011047986738018706</v>
      </c>
      <c r="X39" s="33">
        <f>-'A domestic'!X39</f>
        <v>-0.0011125627803283186</v>
      </c>
      <c r="Y39" s="33">
        <f>-'A domestic'!Y39</f>
        <v>-0.0008961216584495148</v>
      </c>
      <c r="Z39" s="33">
        <f>-'A domestic'!Z39</f>
        <v>-0.0006162929754298044</v>
      </c>
      <c r="AA39" s="33">
        <f>-'A domestic'!AA39</f>
        <v>-0.0009251300385019451</v>
      </c>
      <c r="AB39" s="33">
        <f>-'A domestic'!AB39</f>
        <v>-0.0017197439958607803</v>
      </c>
      <c r="AC39" s="33">
        <f>-'A domestic'!AC39</f>
        <v>-0.0004979850324945748</v>
      </c>
      <c r="AD39" s="33">
        <f>-'A domestic'!AD39</f>
        <v>-0.0015894087335511459</v>
      </c>
      <c r="AE39" s="33">
        <f>-'A domestic'!AE39</f>
        <v>-0.0023798808153145754</v>
      </c>
      <c r="AF39" s="33">
        <f>-'A domestic'!AF39</f>
        <v>-0.002615857712899423</v>
      </c>
      <c r="AG39" s="33">
        <f>-'A domestic'!AG39</f>
        <v>-0.0008149913864488935</v>
      </c>
      <c r="AH39" s="33">
        <f>-'A domestic'!AH39</f>
        <v>-0.0008354433964571536</v>
      </c>
      <c r="AI39" s="33">
        <f>-'A domestic'!AI39</f>
        <v>-0.0016835964809606815</v>
      </c>
      <c r="AJ39" s="33">
        <f>-'A domestic'!AJ39</f>
        <v>-0.0008814082945862388</v>
      </c>
      <c r="AK39" s="33">
        <f>-'A domestic'!AK39</f>
        <v>-0.0019285415145211702</v>
      </c>
      <c r="AL39" s="33">
        <f>-'A domestic'!AL39</f>
        <v>-0.0011939658197710964</v>
      </c>
      <c r="AM39" s="33">
        <f>1-'A domestic'!AM39</f>
        <v>0.9758215459641874</v>
      </c>
      <c r="AN39" s="33">
        <f>-'A domestic'!AN39</f>
        <v>-0.00542709864038605</v>
      </c>
      <c r="AO39" s="33">
        <f>-'A domestic'!AO39</f>
        <v>-0.003824275568544819</v>
      </c>
      <c r="AP39" s="33">
        <f>-'A domestic'!AP39</f>
        <v>-0.008098807740542046</v>
      </c>
      <c r="AQ39" s="33">
        <f>-'A domestic'!AQ39</f>
        <v>-0.0038245748045678705</v>
      </c>
      <c r="AR39" s="33">
        <f>-'A domestic'!AR39</f>
        <v>-0.0030701462488356406</v>
      </c>
      <c r="AS39" s="33">
        <f>-'A domestic'!AS39</f>
        <v>-0.00847142944330056</v>
      </c>
      <c r="AT39" s="33">
        <f>-'A domestic'!AT39</f>
        <v>-0.0003348569538137366</v>
      </c>
      <c r="AU39" s="33">
        <f>-'A domestic'!AU39</f>
        <v>-0.004006429900660716</v>
      </c>
      <c r="AV39" s="33">
        <f>-'A domestic'!AV39</f>
        <v>-0.0043544173719978355</v>
      </c>
      <c r="AW39" s="33">
        <f>-'A domestic'!AW39</f>
        <v>-0.004543697970728617</v>
      </c>
      <c r="AX39" s="33">
        <f>-'A domestic'!AX39</f>
        <v>-0.022027561962291248</v>
      </c>
      <c r="AY39" s="33">
        <f>-'A domestic'!AY39</f>
        <v>-0.005167898318374491</v>
      </c>
      <c r="AZ39" s="33">
        <f>-'A domestic'!AZ39</f>
        <v>-0.002280985741939196</v>
      </c>
      <c r="BA39" s="33">
        <f>-'A domestic'!BA39</f>
        <v>-0.002037092780043361</v>
      </c>
      <c r="BB39" s="33">
        <f>-'A domestic'!BB39</f>
        <v>-0.0031098690073390668</v>
      </c>
      <c r="BC39" s="33">
        <f>-'A domestic'!BC39</f>
        <v>-0.0036013705894964096</v>
      </c>
      <c r="BD39" s="33">
        <f>-'A domestic'!BD39</f>
        <v>-0.003366623448962156</v>
      </c>
      <c r="BE39" s="33">
        <f>-'A domestic'!BE39</f>
        <v>-0.004859489539663873</v>
      </c>
      <c r="BF39" s="33">
        <f>-'A domestic'!BF39</f>
        <v>-0.0017439524166414186</v>
      </c>
      <c r="BG39" s="33">
        <f>-'A domestic'!BG39</f>
        <v>-0.0024560494950132067</v>
      </c>
      <c r="BH39" s="33">
        <f>-'A domestic'!BH39</f>
        <v>-0.009274388530150598</v>
      </c>
      <c r="BI39" s="33">
        <f>-'A domestic'!BI39</f>
        <v>-0.005806743477362654</v>
      </c>
      <c r="BJ39" s="33">
        <f>-'A domestic'!BJ39</f>
        <v>-0.008624789728696104</v>
      </c>
      <c r="BK39" s="33">
        <f>-'A domestic'!BK39</f>
        <v>-0.0017559756288079988</v>
      </c>
      <c r="BL39" s="33">
        <f>-'A domestic'!BL39</f>
        <v>-0.0014225120757060715</v>
      </c>
      <c r="BM39" s="33">
        <f>-'A domestic'!BM39</f>
        <v>0</v>
      </c>
      <c r="BN39" s="33">
        <f>-'A domestic'!BN39</f>
        <v>0</v>
      </c>
    </row>
    <row r="40" spans="1:66" x14ac:dyDescent="0.25">
      <c r="A40" s="30" t="s">
        <v>335</v>
      </c>
      <c r="B40" s="31" t="s">
        <v>336</v>
      </c>
      <c r="C40" s="33">
        <f>-'A domestic'!C40</f>
        <v>-0.00014489376057789916</v>
      </c>
      <c r="D40" s="33">
        <f>-'A domestic'!D40</f>
        <v>-0.00017614063067953453</v>
      </c>
      <c r="E40" s="33">
        <f>-'A domestic'!E40</f>
        <v>-0.0005701138191517521</v>
      </c>
      <c r="F40" s="33">
        <f>-'A domestic'!F40</f>
        <v>-0.00044254531498759593</v>
      </c>
      <c r="G40" s="33">
        <f>-'A domestic'!G40</f>
        <v>-0.0015405364837183014</v>
      </c>
      <c r="H40" s="33">
        <f>-'A domestic'!H40</f>
        <v>-0.000711451202352532</v>
      </c>
      <c r="I40" s="33">
        <f>-'A domestic'!I40</f>
        <v>-0.00043789450815790685</v>
      </c>
      <c r="J40" s="33">
        <f>-'A domestic'!J40</f>
        <v>-0.0005599648867494554</v>
      </c>
      <c r="K40" s="33">
        <f>-'A domestic'!K40</f>
        <v>-0.0013335209930039904</v>
      </c>
      <c r="L40" s="33">
        <f>-'A domestic'!L40</f>
        <v>-0.00026541700869337143</v>
      </c>
      <c r="M40" s="33">
        <f>-'A domestic'!M40</f>
        <v>-0.0008782235081191944</v>
      </c>
      <c r="N40" s="33">
        <f>-'A domestic'!N40</f>
        <v>-0.0014588918665365575</v>
      </c>
      <c r="O40" s="33">
        <f>-'A domestic'!O40</f>
        <v>-0.00043107084668984967</v>
      </c>
      <c r="P40" s="33">
        <f>-'A domestic'!P40</f>
        <v>-0.0004962482279536365</v>
      </c>
      <c r="Q40" s="33">
        <f>-'A domestic'!Q40</f>
        <v>-0.0001938954712693002</v>
      </c>
      <c r="R40" s="33">
        <f>-'A domestic'!R40</f>
        <v>-0.00038109725611575496</v>
      </c>
      <c r="S40" s="33">
        <f>-'A domestic'!S40</f>
        <v>-0.00076443444489523</v>
      </c>
      <c r="T40" s="33">
        <f>-'A domestic'!T40</f>
        <v>-0.0005821273158895844</v>
      </c>
      <c r="U40" s="33">
        <f>-'A domestic'!U40</f>
        <v>-0.0003826775635283984</v>
      </c>
      <c r="V40" s="33">
        <f>-'A domestic'!V40</f>
        <v>-0.0004205409835503098</v>
      </c>
      <c r="W40" s="33">
        <f>-'A domestic'!W40</f>
        <v>-0.0012685946960869238</v>
      </c>
      <c r="X40" s="33">
        <f>-'A domestic'!X40</f>
        <v>-0.0007564712580209884</v>
      </c>
      <c r="Y40" s="33">
        <f>-'A domestic'!Y40</f>
        <v>-0.0006877024130001706</v>
      </c>
      <c r="Z40" s="33">
        <f>-'A domestic'!Z40</f>
        <v>-0.00047244365879442116</v>
      </c>
      <c r="AA40" s="33">
        <f>-'A domestic'!AA40</f>
        <v>-0.0008453037177683411</v>
      </c>
      <c r="AB40" s="33">
        <f>-'A domestic'!AB40</f>
        <v>-0.0005683170796483315</v>
      </c>
      <c r="AC40" s="33">
        <f>-'A domestic'!AC40</f>
        <v>-0.0005204970235313391</v>
      </c>
      <c r="AD40" s="33">
        <f>-'A domestic'!AD40</f>
        <v>-0.0014732246043524248</v>
      </c>
      <c r="AE40" s="33">
        <f>-'A domestic'!AE40</f>
        <v>-0.0026618192992764805</v>
      </c>
      <c r="AF40" s="33">
        <f>-'A domestic'!AF40</f>
        <v>-0.0029068753405205113</v>
      </c>
      <c r="AG40" s="33">
        <f>-'A domestic'!AG40</f>
        <v>-0.0007982849048261528</v>
      </c>
      <c r="AH40" s="33">
        <f>-'A domestic'!AH40</f>
        <v>-0.0006749627440303558</v>
      </c>
      <c r="AI40" s="33">
        <f>-'A domestic'!AI40</f>
        <v>-0.0012989190437475682</v>
      </c>
      <c r="AJ40" s="33">
        <f>-'A domestic'!AJ40</f>
        <v>-0.0006511793287497134</v>
      </c>
      <c r="AK40" s="33">
        <f>-'A domestic'!AK40</f>
        <v>-0.0009414273006994944</v>
      </c>
      <c r="AL40" s="33">
        <f>-'A domestic'!AL40</f>
        <v>-0.002276060714930691</v>
      </c>
      <c r="AM40" s="33">
        <f>-'A domestic'!AM40</f>
        <v>-0.00847371080027583</v>
      </c>
      <c r="AN40" s="33">
        <f>1-'A domestic'!AN40</f>
        <v>0.8566999114605305</v>
      </c>
      <c r="AO40" s="33">
        <f>-'A domestic'!AO40</f>
        <v>-0.022934908616976547</v>
      </c>
      <c r="AP40" s="33">
        <f>-'A domestic'!AP40</f>
        <v>-0.0054979069416382165</v>
      </c>
      <c r="AQ40" s="33">
        <f>-'A domestic'!AQ40</f>
        <v>-0.0005802654384820965</v>
      </c>
      <c r="AR40" s="33">
        <f>-'A domestic'!AR40</f>
        <v>-0.0005498694994667064</v>
      </c>
      <c r="AS40" s="33">
        <f>-'A domestic'!AS40</f>
        <v>-0.0006639534622266051</v>
      </c>
      <c r="AT40" s="33">
        <f>-'A domestic'!AT40</f>
        <v>-0.00020852089306316386</v>
      </c>
      <c r="AU40" s="33">
        <f>-'A domestic'!AU40</f>
        <v>-0.003225797348424387</v>
      </c>
      <c r="AV40" s="33">
        <f>-'A domestic'!AV40</f>
        <v>-0.002244110520045796</v>
      </c>
      <c r="AW40" s="33">
        <f>-'A domestic'!AW40</f>
        <v>-0.0023801680085058937</v>
      </c>
      <c r="AX40" s="33">
        <f>-'A domestic'!AX40</f>
        <v>-0.06309424870631365</v>
      </c>
      <c r="AY40" s="33">
        <f>-'A domestic'!AY40</f>
        <v>-0.0037502596239048173</v>
      </c>
      <c r="AZ40" s="33">
        <f>-'A domestic'!AZ40</f>
        <v>-0.0038663305442555745</v>
      </c>
      <c r="BA40" s="33">
        <f>-'A domestic'!BA40</f>
        <v>-0.0008081384089463756</v>
      </c>
      <c r="BB40" s="33">
        <f>-'A domestic'!BB40</f>
        <v>-0.00201367608376701</v>
      </c>
      <c r="BC40" s="33">
        <f>-'A domestic'!BC40</f>
        <v>-0.0026497812849088464</v>
      </c>
      <c r="BD40" s="33">
        <f>-'A domestic'!BD40</f>
        <v>-0.0009969354085813294</v>
      </c>
      <c r="BE40" s="33">
        <f>-'A domestic'!BE40</f>
        <v>-0.0007210226829838648</v>
      </c>
      <c r="BF40" s="33">
        <f>-'A domestic'!BF40</f>
        <v>-0.000517134155092408</v>
      </c>
      <c r="BG40" s="33">
        <f>-'A domestic'!BG40</f>
        <v>-0.0006270607706724415</v>
      </c>
      <c r="BH40" s="33">
        <f>-'A domestic'!BH40</f>
        <v>-0.006063200783463472</v>
      </c>
      <c r="BI40" s="33">
        <f>-'A domestic'!BI40</f>
        <v>-0.009501358632834377</v>
      </c>
      <c r="BJ40" s="33">
        <f>-'A domestic'!BJ40</f>
        <v>-0.004450131554354234</v>
      </c>
      <c r="BK40" s="33">
        <f>-'A domestic'!BK40</f>
        <v>-0.0013466645836588034</v>
      </c>
      <c r="BL40" s="33">
        <f>-'A domestic'!BL40</f>
        <v>-0.0013572738261490819</v>
      </c>
      <c r="BM40" s="33">
        <f>-'A domestic'!BM40</f>
        <v>0</v>
      </c>
      <c r="BN40" s="33">
        <f>-'A domestic'!BN40</f>
        <v>0</v>
      </c>
    </row>
    <row r="41" spans="1:66" x14ac:dyDescent="0.25">
      <c r="A41" s="30" t="s">
        <v>337</v>
      </c>
      <c r="B41" s="31" t="s">
        <v>338</v>
      </c>
      <c r="C41" s="33">
        <f>-'A domestic'!C41</f>
        <v>-0.0009196389526799671</v>
      </c>
      <c r="D41" s="33">
        <f>-'A domestic'!D41</f>
        <v>-0.0011273000363490211</v>
      </c>
      <c r="E41" s="33">
        <f>-'A domestic'!E41</f>
        <v>-0.0028030596108294475</v>
      </c>
      <c r="F41" s="33">
        <f>-'A domestic'!F41</f>
        <v>-0.00262221871287256</v>
      </c>
      <c r="G41" s="33">
        <f>-'A domestic'!G41</f>
        <v>-0.002397812625085352</v>
      </c>
      <c r="H41" s="33">
        <f>-'A domestic'!H41</f>
        <v>-0.004407044947905962</v>
      </c>
      <c r="I41" s="33">
        <f>-'A domestic'!I41</f>
        <v>-0.001988063697244037</v>
      </c>
      <c r="J41" s="33">
        <f>-'A domestic'!J41</f>
        <v>-0.003100654248806432</v>
      </c>
      <c r="K41" s="33">
        <f>-'A domestic'!K41</f>
        <v>-0.003932323098772962</v>
      </c>
      <c r="L41" s="33">
        <f>-'A domestic'!L41</f>
        <v>-0.0011066695345173447</v>
      </c>
      <c r="M41" s="33">
        <f>-'A domestic'!M41</f>
        <v>-0.0024783457943998873</v>
      </c>
      <c r="N41" s="33">
        <f>-'A domestic'!N41</f>
        <v>-0.0017481943488325913</v>
      </c>
      <c r="O41" s="33">
        <f>-'A domestic'!O41</f>
        <v>-0.002977976427880138</v>
      </c>
      <c r="P41" s="33">
        <f>-'A domestic'!P41</f>
        <v>-0.004516272728093595</v>
      </c>
      <c r="Q41" s="33">
        <f>-'A domestic'!Q41</f>
        <v>-0.002876844589601164</v>
      </c>
      <c r="R41" s="33">
        <f>-'A domestic'!R41</f>
        <v>-0.003049737991636659</v>
      </c>
      <c r="S41" s="33">
        <f>-'A domestic'!S41</f>
        <v>-0.0028588418435176654</v>
      </c>
      <c r="T41" s="33">
        <f>-'A domestic'!T41</f>
        <v>-0.002372629479207571</v>
      </c>
      <c r="U41" s="33">
        <f>-'A domestic'!U41</f>
        <v>-0.002320868556584268</v>
      </c>
      <c r="V41" s="33">
        <f>-'A domestic'!V41</f>
        <v>-0.0016558279608102162</v>
      </c>
      <c r="W41" s="33">
        <f>-'A domestic'!W41</f>
        <v>-0.0021487692945851306</v>
      </c>
      <c r="X41" s="33">
        <f>-'A domestic'!X41</f>
        <v>-0.0023004869560496626</v>
      </c>
      <c r="Y41" s="33">
        <f>-'A domestic'!Y41</f>
        <v>-0.002661197486155731</v>
      </c>
      <c r="Z41" s="33">
        <f>-'A domestic'!Z41</f>
        <v>-0.0017019936836666907</v>
      </c>
      <c r="AA41" s="33">
        <f>-'A domestic'!AA41</f>
        <v>-0.007040396394701242</v>
      </c>
      <c r="AB41" s="33">
        <f>-'A domestic'!AB41</f>
        <v>-0.0035678065575259353</v>
      </c>
      <c r="AC41" s="33">
        <f>-'A domestic'!AC41</f>
        <v>-0.0019723142916385564</v>
      </c>
      <c r="AD41" s="33">
        <f>-'A domestic'!AD41</f>
        <v>-0.004606257647660305</v>
      </c>
      <c r="AE41" s="33">
        <f>-'A domestic'!AE41</f>
        <v>-0.005132369806152964</v>
      </c>
      <c r="AF41" s="33">
        <f>-'A domestic'!AF41</f>
        <v>-0.005106279869564865</v>
      </c>
      <c r="AG41" s="33">
        <f>-'A domestic'!AG41</f>
        <v>-0.003184980639907459</v>
      </c>
      <c r="AH41" s="33">
        <f>-'A domestic'!AH41</f>
        <v>-0.0010654370587586607</v>
      </c>
      <c r="AI41" s="33">
        <f>-'A domestic'!AI41</f>
        <v>-0.003488037354203771</v>
      </c>
      <c r="AJ41" s="33">
        <f>-'A domestic'!AJ41</f>
        <v>-0.0029579205441583327</v>
      </c>
      <c r="AK41" s="33">
        <f>-'A domestic'!AK41</f>
        <v>-0.021337172879971483</v>
      </c>
      <c r="AL41" s="33">
        <f>-'A domestic'!AL41</f>
        <v>-0.006315468571874705</v>
      </c>
      <c r="AM41" s="33">
        <f>-'A domestic'!AM41</f>
        <v>-0.008291601934420927</v>
      </c>
      <c r="AN41" s="33">
        <f>-'A domestic'!AN41</f>
        <v>-0.014717369033436397</v>
      </c>
      <c r="AO41" s="33">
        <f>1-'A domestic'!AO41</f>
        <v>0.8479141159880216</v>
      </c>
      <c r="AP41" s="33">
        <f>-'A domestic'!AP41</f>
        <v>-0.008248311909240809</v>
      </c>
      <c r="AQ41" s="33">
        <f>-'A domestic'!AQ41</f>
        <v>-0.008000640425134913</v>
      </c>
      <c r="AR41" s="33">
        <f>-'A domestic'!AR41</f>
        <v>-0.006003448275002549</v>
      </c>
      <c r="AS41" s="33">
        <f>-'A domestic'!AS41</f>
        <v>-0.014730323111169646</v>
      </c>
      <c r="AT41" s="33">
        <f>-'A domestic'!AT41</f>
        <v>-0.0012447706165844724</v>
      </c>
      <c r="AU41" s="33">
        <f>-'A domestic'!AU41</f>
        <v>-0.006428225105079385</v>
      </c>
      <c r="AV41" s="33">
        <f>-'A domestic'!AV41</f>
        <v>-0.005439565120238205</v>
      </c>
      <c r="AW41" s="33">
        <f>-'A domestic'!AW41</f>
        <v>-0.004428049088878202</v>
      </c>
      <c r="AX41" s="33">
        <f>-'A domestic'!AX41</f>
        <v>-0.011112816399338603</v>
      </c>
      <c r="AY41" s="33">
        <f>-'A domestic'!AY41</f>
        <v>-0.008594319367513153</v>
      </c>
      <c r="AZ41" s="33">
        <f>-'A domestic'!AZ41</f>
        <v>-0.004222700639349121</v>
      </c>
      <c r="BA41" s="33">
        <f>-'A domestic'!BA41</f>
        <v>-0.008637032921119767</v>
      </c>
      <c r="BB41" s="33">
        <f>-'A domestic'!BB41</f>
        <v>-0.02129757648817763</v>
      </c>
      <c r="BC41" s="33">
        <f>-'A domestic'!BC41</f>
        <v>-0.005115576100188938</v>
      </c>
      <c r="BD41" s="33">
        <f>-'A domestic'!BD41</f>
        <v>-0.005736311489342982</v>
      </c>
      <c r="BE41" s="33">
        <f>-'A domestic'!BE41</f>
        <v>-0.002394900988589033</v>
      </c>
      <c r="BF41" s="33">
        <f>-'A domestic'!BF41</f>
        <v>-0.0028699909106855255</v>
      </c>
      <c r="BG41" s="33">
        <f>-'A domestic'!BG41</f>
        <v>-0.004330407910408508</v>
      </c>
      <c r="BH41" s="33">
        <f>-'A domestic'!BH41</f>
        <v>-0.009646219457057018</v>
      </c>
      <c r="BI41" s="33">
        <f>-'A domestic'!BI41</f>
        <v>-0.00775910149394014</v>
      </c>
      <c r="BJ41" s="33">
        <f>-'A domestic'!BJ41</f>
        <v>-0.007338863887970326</v>
      </c>
      <c r="BK41" s="33">
        <f>-'A domestic'!BK41</f>
        <v>-0.005374160287455085</v>
      </c>
      <c r="BL41" s="33">
        <f>-'A domestic'!BL41</f>
        <v>-0.005930846394685046</v>
      </c>
      <c r="BM41" s="33">
        <f>-'A domestic'!BM41</f>
        <v>0</v>
      </c>
      <c r="BN41" s="33">
        <f>-'A domestic'!BN41</f>
        <v>0</v>
      </c>
    </row>
    <row r="42" spans="1:66" x14ac:dyDescent="0.25">
      <c r="A42" s="30" t="s">
        <v>339</v>
      </c>
      <c r="B42" s="31" t="s">
        <v>340</v>
      </c>
      <c r="C42" s="33">
        <f>-'A domestic'!C42</f>
        <v>-0.001630491233491058</v>
      </c>
      <c r="D42" s="33">
        <f>-'A domestic'!D42</f>
        <v>-0.0020448325943433236</v>
      </c>
      <c r="E42" s="33">
        <f>-'A domestic'!E42</f>
        <v>-0.00213792682181907</v>
      </c>
      <c r="F42" s="33">
        <f>-'A domestic'!F42</f>
        <v>-0.006377426883617928</v>
      </c>
      <c r="G42" s="33">
        <f>-'A domestic'!G42</f>
        <v>-0.004970891902710084</v>
      </c>
      <c r="H42" s="33">
        <f>-'A domestic'!H42</f>
        <v>-0.00775306143600716</v>
      </c>
      <c r="I42" s="33">
        <f>-'A domestic'!I42</f>
        <v>-0.003988008253236544</v>
      </c>
      <c r="J42" s="33">
        <f>-'A domestic'!J42</f>
        <v>-0.008004494065672359</v>
      </c>
      <c r="K42" s="33">
        <f>-'A domestic'!K42</f>
        <v>-0.014343169827736951</v>
      </c>
      <c r="L42" s="33">
        <f>-'A domestic'!L42</f>
        <v>-0.004667849440778304</v>
      </c>
      <c r="M42" s="33">
        <f>-'A domestic'!M42</f>
        <v>-0.011611366005517066</v>
      </c>
      <c r="N42" s="33">
        <f>-'A domestic'!N42</f>
        <v>-0.010499392599346477</v>
      </c>
      <c r="O42" s="33">
        <f>-'A domestic'!O42</f>
        <v>-0.0066008774449887175</v>
      </c>
      <c r="P42" s="33">
        <f>-'A domestic'!P42</f>
        <v>-0.00673640979644417</v>
      </c>
      <c r="Q42" s="33">
        <f>-'A domestic'!Q42</f>
        <v>-0.005561780341859967</v>
      </c>
      <c r="R42" s="33">
        <f>-'A domestic'!R42</f>
        <v>-0.00839341908074926</v>
      </c>
      <c r="S42" s="33">
        <f>-'A domestic'!S42</f>
        <v>-0.012744148591349536</v>
      </c>
      <c r="T42" s="33">
        <f>-'A domestic'!T42</f>
        <v>-0.01206947428686809</v>
      </c>
      <c r="U42" s="33">
        <f>-'A domestic'!U42</f>
        <v>-0.01098945181692118</v>
      </c>
      <c r="V42" s="33">
        <f>-'A domestic'!V42</f>
        <v>-0.009849654048242493</v>
      </c>
      <c r="W42" s="33">
        <f>-'A domestic'!W42</f>
        <v>-0.014011705369431485</v>
      </c>
      <c r="X42" s="33">
        <f>-'A domestic'!X42</f>
        <v>-0.007497565934077708</v>
      </c>
      <c r="Y42" s="33">
        <f>-'A domestic'!Y42</f>
        <v>-0.010604241453290367</v>
      </c>
      <c r="Z42" s="33">
        <f>-'A domestic'!Z42</f>
        <v>-0.00865997887888432</v>
      </c>
      <c r="AA42" s="33">
        <f>-'A domestic'!AA42</f>
        <v>-0.01088346355001903</v>
      </c>
      <c r="AB42" s="33">
        <f>-'A domestic'!AB42</f>
        <v>-0.013824691381808625</v>
      </c>
      <c r="AC42" s="33">
        <f>-'A domestic'!AC42</f>
        <v>-0.004206402632896922</v>
      </c>
      <c r="AD42" s="33">
        <f>-'A domestic'!AD42</f>
        <v>-0.013234898463194122</v>
      </c>
      <c r="AE42" s="33">
        <f>-'A domestic'!AE42</f>
        <v>-0.01925999006378198</v>
      </c>
      <c r="AF42" s="33">
        <f>-'A domestic'!AF42</f>
        <v>-0.015589783978739119</v>
      </c>
      <c r="AG42" s="33">
        <f>-'A domestic'!AG42</f>
        <v>-0.00854465305817974</v>
      </c>
      <c r="AH42" s="33">
        <f>-'A domestic'!AH42</f>
        <v>-0.00991590213083121</v>
      </c>
      <c r="AI42" s="33">
        <f>-'A domestic'!AI42</f>
        <v>-0.018064022220183544</v>
      </c>
      <c r="AJ42" s="33">
        <f>-'A domestic'!AJ42</f>
        <v>-0.011687841239669603</v>
      </c>
      <c r="AK42" s="33">
        <f>-'A domestic'!AK42</f>
        <v>-0.026923436348092744</v>
      </c>
      <c r="AL42" s="33">
        <f>-'A domestic'!AL42</f>
        <v>-0.005433119043619636</v>
      </c>
      <c r="AM42" s="33">
        <f>-'A domestic'!AM42</f>
        <v>-0.04516571003026713</v>
      </c>
      <c r="AN42" s="33">
        <f>-'A domestic'!AN42</f>
        <v>-0.02752546089197721</v>
      </c>
      <c r="AO42" s="33">
        <f>-'A domestic'!AO42</f>
        <v>-0.04154953872888504</v>
      </c>
      <c r="AP42" s="33">
        <f>1-'A domestic'!AP42</f>
        <v>0.8175079360586637</v>
      </c>
      <c r="AQ42" s="33">
        <f>-'A domestic'!AQ42</f>
        <v>-0.02565427564669576</v>
      </c>
      <c r="AR42" s="33">
        <f>-'A domestic'!AR42</f>
        <v>-0.017754104641212645</v>
      </c>
      <c r="AS42" s="33">
        <f>-'A domestic'!AS42</f>
        <v>-0.02556879322362737</v>
      </c>
      <c r="AT42" s="33">
        <f>-'A domestic'!AT42</f>
        <v>-0.0022828698545086607</v>
      </c>
      <c r="AU42" s="33">
        <f>-'A domestic'!AU42</f>
        <v>-0.038817597426064346</v>
      </c>
      <c r="AV42" s="33">
        <f>-'A domestic'!AV42</f>
        <v>-0.02270782051219152</v>
      </c>
      <c r="AW42" s="33">
        <f>-'A domestic'!AW42</f>
        <v>-0.030829792943707905</v>
      </c>
      <c r="AX42" s="33">
        <f>-'A domestic'!AX42</f>
        <v>-0.03743191314999232</v>
      </c>
      <c r="AY42" s="33">
        <f>-'A domestic'!AY42</f>
        <v>-0.022296316597372176</v>
      </c>
      <c r="AZ42" s="33">
        <f>-'A domestic'!AZ42</f>
        <v>-0.014670885567472557</v>
      </c>
      <c r="BA42" s="33">
        <f>-'A domestic'!BA42</f>
        <v>-0.015191026829594011</v>
      </c>
      <c r="BB42" s="33">
        <f>-'A domestic'!BB42</f>
        <v>-0.016732499407625</v>
      </c>
      <c r="BC42" s="33">
        <f>-'A domestic'!BC42</f>
        <v>-0.018740448061904707</v>
      </c>
      <c r="BD42" s="33">
        <f>-'A domestic'!BD42</f>
        <v>-0.013918323689515807</v>
      </c>
      <c r="BE42" s="33">
        <f>-'A domestic'!BE42</f>
        <v>-0.009110007218699482</v>
      </c>
      <c r="BF42" s="33">
        <f>-'A domestic'!BF42</f>
        <v>-0.008570904625982681</v>
      </c>
      <c r="BG42" s="33">
        <f>-'A domestic'!BG42</f>
        <v>-0.00886534828983929</v>
      </c>
      <c r="BH42" s="33">
        <f>-'A domestic'!BH42</f>
        <v>-0.0308183248056616</v>
      </c>
      <c r="BI42" s="33">
        <f>-'A domestic'!BI42</f>
        <v>-0.008501184816787936</v>
      </c>
      <c r="BJ42" s="33">
        <f>-'A domestic'!BJ42</f>
        <v>-0.01282877805414576</v>
      </c>
      <c r="BK42" s="33">
        <f>-'A domestic'!BK42</f>
        <v>-0.016291204499296986</v>
      </c>
      <c r="BL42" s="33">
        <f>-'A domestic'!BL42</f>
        <v>-0.007929364478674783</v>
      </c>
      <c r="BM42" s="33">
        <f>-'A domestic'!BM42</f>
        <v>0</v>
      </c>
      <c r="BN42" s="33">
        <f>-'A domestic'!BN42</f>
        <v>0</v>
      </c>
    </row>
    <row r="43" spans="1:66" x14ac:dyDescent="0.25">
      <c r="A43" s="30" t="s">
        <v>341</v>
      </c>
      <c r="B43" s="31" t="s">
        <v>342</v>
      </c>
      <c r="C43" s="33">
        <f>-'A domestic'!C43</f>
        <v>-0.013635375724359697</v>
      </c>
      <c r="D43" s="33">
        <f>-'A domestic'!D43</f>
        <v>-0.010264194933234693</v>
      </c>
      <c r="E43" s="33">
        <f>-'A domestic'!E43</f>
        <v>-0.01677084818004737</v>
      </c>
      <c r="F43" s="33">
        <f>-'A domestic'!F43</f>
        <v>-0.008628715498451092</v>
      </c>
      <c r="G43" s="33">
        <f>-'A domestic'!G43</f>
        <v>-0.007937548562548562</v>
      </c>
      <c r="H43" s="33">
        <f>-'A domestic'!H43</f>
        <v>-0.01125761735870667</v>
      </c>
      <c r="I43" s="33">
        <f>-'A domestic'!I43</f>
        <v>-0.007573764574560593</v>
      </c>
      <c r="J43" s="33">
        <f>-'A domestic'!J43</f>
        <v>-0.007294786767254114</v>
      </c>
      <c r="K43" s="33">
        <f>-'A domestic'!K43</f>
        <v>-0.011123100478958658</v>
      </c>
      <c r="L43" s="33">
        <f>-'A domestic'!L43</f>
        <v>-0.005639514476064072</v>
      </c>
      <c r="M43" s="33">
        <f>-'A domestic'!M43</f>
        <v>-0.007774003607130109</v>
      </c>
      <c r="N43" s="33">
        <f>-'A domestic'!N43</f>
        <v>-0.005439155785753618</v>
      </c>
      <c r="O43" s="33">
        <f>-'A domestic'!O43</f>
        <v>-0.008434750364294107</v>
      </c>
      <c r="P43" s="33">
        <f>-'A domestic'!P43</f>
        <v>-0.008636374581255287</v>
      </c>
      <c r="Q43" s="33">
        <f>-'A domestic'!Q43</f>
        <v>-0.006941894930904874</v>
      </c>
      <c r="R43" s="33">
        <f>-'A domestic'!R43</f>
        <v>-0.008426857085169158</v>
      </c>
      <c r="S43" s="33">
        <f>-'A domestic'!S43</f>
        <v>-0.005678874723901037</v>
      </c>
      <c r="T43" s="33">
        <f>-'A domestic'!T43</f>
        <v>-0.0072139147893298654</v>
      </c>
      <c r="U43" s="33">
        <f>-'A domestic'!U43</f>
        <v>-0.007551807632645736</v>
      </c>
      <c r="V43" s="33">
        <f>-'A domestic'!V43</f>
        <v>-0.005752833736827027</v>
      </c>
      <c r="W43" s="33">
        <f>-'A domestic'!W43</f>
        <v>-0.005249167828262618</v>
      </c>
      <c r="X43" s="33">
        <f>-'A domestic'!X43</f>
        <v>-0.00782508441547773</v>
      </c>
      <c r="Y43" s="33">
        <f>-'A domestic'!Y43</f>
        <v>-0.006887566737748171</v>
      </c>
      <c r="Z43" s="33">
        <f>-'A domestic'!Z43</f>
        <v>-0.007873138296518709</v>
      </c>
      <c r="AA43" s="33">
        <f>-'A domestic'!AA43</f>
        <v>-0.013899758097738777</v>
      </c>
      <c r="AB43" s="33">
        <f>-'A domestic'!AB43</f>
        <v>-0.00773936400777755</v>
      </c>
      <c r="AC43" s="33">
        <f>-'A domestic'!AC43</f>
        <v>-0.010644996992422736</v>
      </c>
      <c r="AD43" s="33">
        <f>-'A domestic'!AD43</f>
        <v>-0.01541802778917602</v>
      </c>
      <c r="AE43" s="33">
        <f>-'A domestic'!AE43</f>
        <v>-0.015414585178784967</v>
      </c>
      <c r="AF43" s="33">
        <f>-'A domestic'!AF43</f>
        <v>-0.019180309865078266</v>
      </c>
      <c r="AG43" s="33">
        <f>-'A domestic'!AG43</f>
        <v>-0.010302200826413957</v>
      </c>
      <c r="AH43" s="33">
        <f>-'A domestic'!AH43</f>
        <v>-0.010958597278951848</v>
      </c>
      <c r="AI43" s="33">
        <f>-'A domestic'!AI43</f>
        <v>-0.01205217187742203</v>
      </c>
      <c r="AJ43" s="33">
        <f>-'A domestic'!AJ43</f>
        <v>-0.011113033936445119</v>
      </c>
      <c r="AK43" s="33">
        <f>-'A domestic'!AK43</f>
        <v>-0.008687435752778421</v>
      </c>
      <c r="AL43" s="33">
        <f>-'A domestic'!AL43</f>
        <v>-0.013347677146144552</v>
      </c>
      <c r="AM43" s="33">
        <f>-'A domestic'!AM43</f>
        <v>-0.007979802635562654</v>
      </c>
      <c r="AN43" s="33">
        <f>-'A domestic'!AN43</f>
        <v>-0.010379050912512804</v>
      </c>
      <c r="AO43" s="33">
        <f>-'A domestic'!AO43</f>
        <v>-0.010656222339414696</v>
      </c>
      <c r="AP43" s="33">
        <f>-'A domestic'!AP43</f>
        <v>-0.011682281143314984</v>
      </c>
      <c r="AQ43" s="33">
        <f>1-'A domestic'!AQ43</f>
        <v>0.8781913550516229</v>
      </c>
      <c r="AR43" s="33">
        <f>-'A domestic'!AR43</f>
        <v>-0.08754216559347396</v>
      </c>
      <c r="AS43" s="33">
        <f>-'A domestic'!AS43</f>
        <v>-0.06856708756669248</v>
      </c>
      <c r="AT43" s="33">
        <f>-'A domestic'!AT43</f>
        <v>-0.037821668493417816</v>
      </c>
      <c r="AU43" s="33">
        <f>-'A domestic'!AU43</f>
        <v>-0.018706344059299853</v>
      </c>
      <c r="AV43" s="33">
        <f>-'A domestic'!AV43</f>
        <v>-0.010153914359408246</v>
      </c>
      <c r="AW43" s="33">
        <f>-'A domestic'!AW43</f>
        <v>-0.004121416666225518</v>
      </c>
      <c r="AX43" s="33">
        <f>-'A domestic'!AX43</f>
        <v>-0.012576339801523752</v>
      </c>
      <c r="AY43" s="33">
        <f>-'A domestic'!AY43</f>
        <v>-0.012829415111893295</v>
      </c>
      <c r="AZ43" s="33">
        <f>-'A domestic'!AZ43</f>
        <v>-0.019052907795412626</v>
      </c>
      <c r="BA43" s="33">
        <f>-'A domestic'!BA43</f>
        <v>-0.008165976685936889</v>
      </c>
      <c r="BB43" s="33">
        <f>-'A domestic'!BB43</f>
        <v>-0.014919073996213584</v>
      </c>
      <c r="BC43" s="33">
        <f>-'A domestic'!BC43</f>
        <v>-0.00983857459695366</v>
      </c>
      <c r="BD43" s="33">
        <f>-'A domestic'!BD43</f>
        <v>-0.016091158403862</v>
      </c>
      <c r="BE43" s="33">
        <f>-'A domestic'!BE43</f>
        <v>-0.0033889548814337086</v>
      </c>
      <c r="BF43" s="33">
        <f>-'A domestic'!BF43</f>
        <v>-0.006371768908166032</v>
      </c>
      <c r="BG43" s="33">
        <f>-'A domestic'!BG43</f>
        <v>-0.006954288376395808</v>
      </c>
      <c r="BH43" s="33">
        <f>-'A domestic'!BH43</f>
        <v>-0.010570559719014523</v>
      </c>
      <c r="BI43" s="33">
        <f>-'A domestic'!BI43</f>
        <v>-0.010687053279592766</v>
      </c>
      <c r="BJ43" s="33">
        <f>-'A domestic'!BJ43</f>
        <v>-0.026501804379394134</v>
      </c>
      <c r="BK43" s="33">
        <f>-'A domestic'!BK43</f>
        <v>-0.011079518825183566</v>
      </c>
      <c r="BL43" s="33">
        <f>-'A domestic'!BL43</f>
        <v>-0.016049670175565148</v>
      </c>
      <c r="BM43" s="33">
        <f>-'A domestic'!BM43</f>
        <v>0</v>
      </c>
      <c r="BN43" s="33">
        <f>-'A domestic'!BN43</f>
        <v>0</v>
      </c>
    </row>
    <row r="44" spans="1:66" x14ac:dyDescent="0.25">
      <c r="A44" s="30" t="s">
        <v>344</v>
      </c>
      <c r="B44" s="31" t="s">
        <v>345</v>
      </c>
      <c r="C44" s="33">
        <f>-'A domestic'!C44</f>
        <v>-0.006550070832100427</v>
      </c>
      <c r="D44" s="33">
        <f>-'A domestic'!D44</f>
        <v>-0.0016621270422305166</v>
      </c>
      <c r="E44" s="33">
        <f>-'A domestic'!E44</f>
        <v>-0.004526975206835936</v>
      </c>
      <c r="F44" s="33">
        <f>-'A domestic'!F44</f>
        <v>-0.002223744300622318</v>
      </c>
      <c r="G44" s="33">
        <f>-'A domestic'!G44</f>
        <v>-0.0018447882084245716</v>
      </c>
      <c r="H44" s="33">
        <f>-'A domestic'!H44</f>
        <v>-0.0019578083086960415</v>
      </c>
      <c r="I44" s="33">
        <f>-'A domestic'!I44</f>
        <v>-0.002994542159793024</v>
      </c>
      <c r="J44" s="33">
        <f>-'A domestic'!J44</f>
        <v>-0.0027644063184124436</v>
      </c>
      <c r="K44" s="33">
        <f>-'A domestic'!K44</f>
        <v>-0.004355979021923482</v>
      </c>
      <c r="L44" s="33">
        <f>-'A domestic'!L44</f>
        <v>-0.0011413849771768928</v>
      </c>
      <c r="M44" s="33">
        <f>-'A domestic'!M44</f>
        <v>-0.003471133897961869</v>
      </c>
      <c r="N44" s="33">
        <f>-'A domestic'!N44</f>
        <v>-0.0014928008086475344</v>
      </c>
      <c r="O44" s="33">
        <f>-'A domestic'!O44</f>
        <v>-0.0026965751729538644</v>
      </c>
      <c r="P44" s="33">
        <f>-'A domestic'!P44</f>
        <v>-0.0028096904976177076</v>
      </c>
      <c r="Q44" s="33">
        <f>-'A domestic'!Q44</f>
        <v>-0.0014061394934878142</v>
      </c>
      <c r="R44" s="33">
        <f>-'A domestic'!R44</f>
        <v>-0.0019531634352061866</v>
      </c>
      <c r="S44" s="33">
        <f>-'A domestic'!S44</f>
        <v>-0.0012750786966622507</v>
      </c>
      <c r="T44" s="33">
        <f>-'A domestic'!T44</f>
        <v>-0.0017201693489595031</v>
      </c>
      <c r="U44" s="33">
        <f>-'A domestic'!U44</f>
        <v>-0.0017297683914912958</v>
      </c>
      <c r="V44" s="33">
        <f>-'A domestic'!V44</f>
        <v>-0.0013734581052621032</v>
      </c>
      <c r="W44" s="33">
        <f>-'A domestic'!W44</f>
        <v>-0.0018845703414139367</v>
      </c>
      <c r="X44" s="33">
        <f>-'A domestic'!X44</f>
        <v>-0.002291557880766129</v>
      </c>
      <c r="Y44" s="33">
        <f>-'A domestic'!Y44</f>
        <v>-0.002157990708718696</v>
      </c>
      <c r="Z44" s="33">
        <f>-'A domestic'!Z44</f>
        <v>-0.0025377662495929395</v>
      </c>
      <c r="AA44" s="33">
        <f>-'A domestic'!AA44</f>
        <v>-0.004185179958461804</v>
      </c>
      <c r="AB44" s="33">
        <f>-'A domestic'!AB44</f>
        <v>-0.004815902420095032</v>
      </c>
      <c r="AC44" s="33">
        <f>-'A domestic'!AC44</f>
        <v>-0.0025181682281508657</v>
      </c>
      <c r="AD44" s="33">
        <f>-'A domestic'!AD44</f>
        <v>-0.004492042740990377</v>
      </c>
      <c r="AE44" s="33">
        <f>-'A domestic'!AE44</f>
        <v>-0.002968382718243309</v>
      </c>
      <c r="AF44" s="33">
        <f>-'A domestic'!AF44</f>
        <v>-0.004559305904223083</v>
      </c>
      <c r="AG44" s="33">
        <f>-'A domestic'!AG44</f>
        <v>-0.009981151462516482</v>
      </c>
      <c r="AH44" s="33">
        <f>-'A domestic'!AH44</f>
        <v>-0.00501480584201066</v>
      </c>
      <c r="AI44" s="33">
        <f>-'A domestic'!AI44</f>
        <v>-0.004333315407027322</v>
      </c>
      <c r="AJ44" s="33">
        <f>-'A domestic'!AJ44</f>
        <v>-0.005508662730006387</v>
      </c>
      <c r="AK44" s="33">
        <f>-'A domestic'!AK44</f>
        <v>-0.0022372742910740924</v>
      </c>
      <c r="AL44" s="33">
        <f>-'A domestic'!AL44</f>
        <v>-0.0026144899773002297</v>
      </c>
      <c r="AM44" s="33">
        <f>-'A domestic'!AM44</f>
        <v>-0.0020366368694988888</v>
      </c>
      <c r="AN44" s="33">
        <f>-'A domestic'!AN44</f>
        <v>-0.0020645689147656947</v>
      </c>
      <c r="AO44" s="33">
        <f>-'A domestic'!AO44</f>
        <v>-0.0033230454347982657</v>
      </c>
      <c r="AP44" s="33">
        <f>-'A domestic'!AP44</f>
        <v>-0.001736171590143756</v>
      </c>
      <c r="AQ44" s="33">
        <f>-'A domestic'!AQ44</f>
        <v>-0.003442404940189637</v>
      </c>
      <c r="AR44" s="33">
        <f>1-'A domestic'!AR44</f>
        <v>0.9278728749575321</v>
      </c>
      <c r="AS44" s="33">
        <f>-'A domestic'!AS44</f>
        <v>-0.015028732770777056</v>
      </c>
      <c r="AT44" s="33">
        <f>-'A domestic'!AT44</f>
        <v>-0.0036159429279690966</v>
      </c>
      <c r="AU44" s="33">
        <f>-'A domestic'!AU44</f>
        <v>-0.003523605315991274</v>
      </c>
      <c r="AV44" s="33">
        <f>-'A domestic'!AV44</f>
        <v>-0.0029164739522169257</v>
      </c>
      <c r="AW44" s="33">
        <f>-'A domestic'!AW44</f>
        <v>-0.0011251333118052669</v>
      </c>
      <c r="AX44" s="33">
        <f>-'A domestic'!AX44</f>
        <v>-0.00195696302967298</v>
      </c>
      <c r="AY44" s="33">
        <f>-'A domestic'!AY44</f>
        <v>-0.00281438457766411</v>
      </c>
      <c r="AZ44" s="33">
        <f>-'A domestic'!AZ44</f>
        <v>-0.011012188780068896</v>
      </c>
      <c r="BA44" s="33">
        <f>-'A domestic'!BA44</f>
        <v>-0.0014196097661937927</v>
      </c>
      <c r="BB44" s="33">
        <f>-'A domestic'!BB44</f>
        <v>-0.0027835641268871224</v>
      </c>
      <c r="BC44" s="33">
        <f>-'A domestic'!BC44</f>
        <v>-0.00324593505873149</v>
      </c>
      <c r="BD44" s="33">
        <f>-'A domestic'!BD44</f>
        <v>-0.0032754360878923653</v>
      </c>
      <c r="BE44" s="33">
        <f>-'A domestic'!BE44</f>
        <v>-0.0035333076894400258</v>
      </c>
      <c r="BF44" s="33">
        <f>-'A domestic'!BF44</f>
        <v>-0.0017763231331026454</v>
      </c>
      <c r="BG44" s="33">
        <f>-'A domestic'!BG44</f>
        <v>-0.002025406289271986</v>
      </c>
      <c r="BH44" s="33">
        <f>-'A domestic'!BH44</f>
        <v>-0.002622455445751962</v>
      </c>
      <c r="BI44" s="33">
        <f>-'A domestic'!BI44</f>
        <v>-0.0022900410428260496</v>
      </c>
      <c r="BJ44" s="33">
        <f>-'A domestic'!BJ44</f>
        <v>-0.0033677914683766345</v>
      </c>
      <c r="BK44" s="33">
        <f>-'A domestic'!BK44</f>
        <v>-0.003999375097640994</v>
      </c>
      <c r="BL44" s="33">
        <f>-'A domestic'!BL44</f>
        <v>-0.002311979917226982</v>
      </c>
      <c r="BM44" s="33">
        <f>-'A domestic'!BM44</f>
        <v>0</v>
      </c>
      <c r="BN44" s="33">
        <f>-'A domestic'!BN44</f>
        <v>0</v>
      </c>
    </row>
    <row r="45" spans="1:66" x14ac:dyDescent="0.25">
      <c r="A45" s="30" t="s">
        <v>346</v>
      </c>
      <c r="B45" s="31" t="s">
        <v>347</v>
      </c>
      <c r="C45" s="33">
        <f>-'A domestic'!C45</f>
        <v>-0.0012464354825616867</v>
      </c>
      <c r="D45" s="33">
        <f>-'A domestic'!D45</f>
        <v>-0.0008006392303615206</v>
      </c>
      <c r="E45" s="33">
        <f>-'A domestic'!E45</f>
        <v>-0.003305302737225039</v>
      </c>
      <c r="F45" s="33">
        <f>-'A domestic'!F45</f>
        <v>-0.0007997032559215685</v>
      </c>
      <c r="G45" s="33">
        <f>-'A domestic'!G45</f>
        <v>-0.0015074256551529275</v>
      </c>
      <c r="H45" s="33">
        <f>-'A domestic'!H45</f>
        <v>-0.0034479033269566224</v>
      </c>
      <c r="I45" s="33">
        <f>-'A domestic'!I45</f>
        <v>-0.0017306450910271793</v>
      </c>
      <c r="J45" s="33">
        <f>-'A domestic'!J45</f>
        <v>-0.0009692907006824038</v>
      </c>
      <c r="K45" s="33">
        <f>-'A domestic'!K45</f>
        <v>-0.001909294982520639</v>
      </c>
      <c r="L45" s="33">
        <f>-'A domestic'!L45</f>
        <v>-0.0014501503692970017</v>
      </c>
      <c r="M45" s="33">
        <f>-'A domestic'!M45</f>
        <v>-0.001970763178277166</v>
      </c>
      <c r="N45" s="33">
        <f>-'A domestic'!N45</f>
        <v>-0.0008910516454717841</v>
      </c>
      <c r="O45" s="33">
        <f>-'A domestic'!O45</f>
        <v>-0.0012643436862275108</v>
      </c>
      <c r="P45" s="33">
        <f>-'A domestic'!P45</f>
        <v>-0.0021114064103683154</v>
      </c>
      <c r="Q45" s="33">
        <f>-'A domestic'!Q45</f>
        <v>-0.0006438680557211086</v>
      </c>
      <c r="R45" s="33">
        <f>-'A domestic'!R45</f>
        <v>-0.0013309605682732854</v>
      </c>
      <c r="S45" s="33">
        <f>-'A domestic'!S45</f>
        <v>-0.0009186490089288702</v>
      </c>
      <c r="T45" s="33">
        <f>-'A domestic'!T45</f>
        <v>-0.0015221474398985344</v>
      </c>
      <c r="U45" s="33">
        <f>-'A domestic'!U45</f>
        <v>-0.0020041218828039833</v>
      </c>
      <c r="V45" s="33">
        <f>-'A domestic'!V45</f>
        <v>-0.0006266848879455333</v>
      </c>
      <c r="W45" s="33">
        <f>-'A domestic'!W45</f>
        <v>-0.0024345878569617336</v>
      </c>
      <c r="X45" s="33">
        <f>-'A domestic'!X45</f>
        <v>-0.002827659560789502</v>
      </c>
      <c r="Y45" s="33">
        <f>-'A domestic'!Y45</f>
        <v>-0.0017626429182262628</v>
      </c>
      <c r="Z45" s="33">
        <f>-'A domestic'!Z45</f>
        <v>-0.0014222420331274882</v>
      </c>
      <c r="AA45" s="33">
        <f>-'A domestic'!AA45</f>
        <v>-0.0018274525567942887</v>
      </c>
      <c r="AB45" s="33">
        <f>-'A domestic'!AB45</f>
        <v>-0.001061982339512348</v>
      </c>
      <c r="AC45" s="33">
        <f>-'A domestic'!AC45</f>
        <v>-0.0016026393619029743</v>
      </c>
      <c r="AD45" s="33">
        <f>-'A domestic'!AD45</f>
        <v>-0.002350267088113108</v>
      </c>
      <c r="AE45" s="33">
        <f>-'A domestic'!AE45</f>
        <v>-0.003782821236816297</v>
      </c>
      <c r="AF45" s="33">
        <f>-'A domestic'!AF45</f>
        <v>-0.002621121367108388</v>
      </c>
      <c r="AG45" s="33">
        <f>-'A domestic'!AG45</f>
        <v>-0.0035823099857878347</v>
      </c>
      <c r="AH45" s="33">
        <f>-'A domestic'!AH45</f>
        <v>-0.0042784828485229985</v>
      </c>
      <c r="AI45" s="33">
        <f>-'A domestic'!AI45</f>
        <v>-0.0038107108623924024</v>
      </c>
      <c r="AJ45" s="33">
        <f>-'A domestic'!AJ45</f>
        <v>-0.000989914997518257</v>
      </c>
      <c r="AK45" s="33">
        <f>-'A domestic'!AK45</f>
        <v>-0.0025584671348421553</v>
      </c>
      <c r="AL45" s="33">
        <f>-'A domestic'!AL45</f>
        <v>-0.0018686838132235494</v>
      </c>
      <c r="AM45" s="33">
        <f>-'A domestic'!AM45</f>
        <v>-0.0032888047783920377</v>
      </c>
      <c r="AN45" s="33">
        <f>-'A domestic'!AN45</f>
        <v>-0.0013263537035921064</v>
      </c>
      <c r="AO45" s="33">
        <f>-'A domestic'!AO45</f>
        <v>-0.008382972346965091</v>
      </c>
      <c r="AP45" s="33">
        <f>-'A domestic'!AP45</f>
        <v>-0.0017209308739171833</v>
      </c>
      <c r="AQ45" s="33">
        <f>-'A domestic'!AQ45</f>
        <v>-0.08567999092091912</v>
      </c>
      <c r="AR45" s="33">
        <f>-'A domestic'!AR45</f>
        <v>-0.22740867642223897</v>
      </c>
      <c r="AS45" s="33">
        <f>1-'A domestic'!AS45</f>
        <v>0.8699027036750322</v>
      </c>
      <c r="AT45" s="33">
        <f>-'A domestic'!AT45</f>
        <v>-0.0010220226896530008</v>
      </c>
      <c r="AU45" s="33">
        <f>-'A domestic'!AU45</f>
        <v>-0.004317377751901712</v>
      </c>
      <c r="AV45" s="33">
        <f>-'A domestic'!AV45</f>
        <v>-0.0029006405181591643</v>
      </c>
      <c r="AW45" s="33">
        <f>-'A domestic'!AW45</f>
        <v>-0.0012200142606473324</v>
      </c>
      <c r="AX45" s="33">
        <f>-'A domestic'!AX45</f>
        <v>-0.0018150701790456108</v>
      </c>
      <c r="AY45" s="33">
        <f>-'A domestic'!AY45</f>
        <v>-0.002258267101073276</v>
      </c>
      <c r="AZ45" s="33">
        <f>-'A domestic'!AZ45</f>
        <v>-0.0060563916998609265</v>
      </c>
      <c r="BA45" s="33">
        <f>-'A domestic'!BA45</f>
        <v>-0.0010971273298926618</v>
      </c>
      <c r="BB45" s="33">
        <f>-'A domestic'!BB45</f>
        <v>-0.0031298142934302617</v>
      </c>
      <c r="BC45" s="33">
        <f>-'A domestic'!BC45</f>
        <v>-0.002910402663948556</v>
      </c>
      <c r="BD45" s="33">
        <f>-'A domestic'!BD45</f>
        <v>-0.0004899058375642645</v>
      </c>
      <c r="BE45" s="33">
        <f>-'A domestic'!BE45</f>
        <v>-0.00048484750920977276</v>
      </c>
      <c r="BF45" s="33">
        <f>-'A domestic'!BF45</f>
        <v>-0.00047184704437817926</v>
      </c>
      <c r="BG45" s="33">
        <f>-'A domestic'!BG45</f>
        <v>-0.0007819816669562211</v>
      </c>
      <c r="BH45" s="33">
        <f>-'A domestic'!BH45</f>
        <v>-0.0013721084908377714</v>
      </c>
      <c r="BI45" s="33">
        <f>-'A domestic'!BI45</f>
        <v>-0.0017802976877783908</v>
      </c>
      <c r="BJ45" s="33">
        <f>-'A domestic'!BJ45</f>
        <v>-0.002987649705979613</v>
      </c>
      <c r="BK45" s="33">
        <f>-'A domestic'!BK45</f>
        <v>-0.006573972816747383</v>
      </c>
      <c r="BL45" s="33">
        <f>-'A domestic'!BL45</f>
        <v>-0.001236344387945881</v>
      </c>
      <c r="BM45" s="33">
        <f>-'A domestic'!BM45</f>
        <v>0</v>
      </c>
      <c r="BN45" s="33">
        <f>-'A domestic'!BN45</f>
        <v>0</v>
      </c>
    </row>
    <row r="46" spans="1:66" x14ac:dyDescent="0.25">
      <c r="A46" s="30" t="s">
        <v>348</v>
      </c>
      <c r="B46" s="31" t="s">
        <v>349</v>
      </c>
      <c r="C46" s="33">
        <f>-'A domestic'!C46</f>
        <v>-0.0036504499125836736</v>
      </c>
      <c r="D46" s="33">
        <f>-'A domestic'!D46</f>
        <v>-0.003160923681467283</v>
      </c>
      <c r="E46" s="33">
        <f>-'A domestic'!E46</f>
        <v>-0.0027555501259001348</v>
      </c>
      <c r="F46" s="33">
        <f>-'A domestic'!F46</f>
        <v>-0.006226851299265302</v>
      </c>
      <c r="G46" s="33">
        <f>-'A domestic'!G46</f>
        <v>-0.00737216276989004</v>
      </c>
      <c r="H46" s="33">
        <f>-'A domestic'!H46</f>
        <v>-0.011890018427464476</v>
      </c>
      <c r="I46" s="33">
        <f>-'A domestic'!I46</f>
        <v>-0.008705840686736266</v>
      </c>
      <c r="J46" s="33">
        <f>-'A domestic'!J46</f>
        <v>-0.007441839195479752</v>
      </c>
      <c r="K46" s="33">
        <f>-'A domestic'!K46</f>
        <v>-0.01889391684117594</v>
      </c>
      <c r="L46" s="33">
        <f>-'A domestic'!L46</f>
        <v>-0.002439632324889522</v>
      </c>
      <c r="M46" s="33">
        <f>-'A domestic'!M46</f>
        <v>-0.0056647228505940575</v>
      </c>
      <c r="N46" s="33">
        <f>-'A domestic'!N46</f>
        <v>-0.004250997218928511</v>
      </c>
      <c r="O46" s="33">
        <f>-'A domestic'!O46</f>
        <v>-0.008946261609553518</v>
      </c>
      <c r="P46" s="33">
        <f>-'A domestic'!P46</f>
        <v>-0.008529525076525315</v>
      </c>
      <c r="Q46" s="33">
        <f>-'A domestic'!Q46</f>
        <v>-0.003711230838915775</v>
      </c>
      <c r="R46" s="33">
        <f>-'A domestic'!R46</f>
        <v>-0.01076975726088667</v>
      </c>
      <c r="S46" s="33">
        <f>-'A domestic'!S46</f>
        <v>-0.007081614483505043</v>
      </c>
      <c r="T46" s="33">
        <f>-'A domestic'!T46</f>
        <v>-0.007283469011647481</v>
      </c>
      <c r="U46" s="33">
        <f>-'A domestic'!U46</f>
        <v>-0.007968273195334875</v>
      </c>
      <c r="V46" s="33">
        <f>-'A domestic'!V46</f>
        <v>-0.007522258765961197</v>
      </c>
      <c r="W46" s="33">
        <f>-'A domestic'!W46</f>
        <v>-0.0056408858323402965</v>
      </c>
      <c r="X46" s="33">
        <f>-'A domestic'!X46</f>
        <v>-0.010721676437456114</v>
      </c>
      <c r="Y46" s="33">
        <f>-'A domestic'!Y46</f>
        <v>-0.011034055461415473</v>
      </c>
      <c r="Z46" s="33">
        <f>-'A domestic'!Z46</f>
        <v>-0.007628299794833905</v>
      </c>
      <c r="AA46" s="33">
        <f>-'A domestic'!AA46</f>
        <v>-0.016747847183912715</v>
      </c>
      <c r="AB46" s="33">
        <f>-'A domestic'!AB46</f>
        <v>-0.00944362721151716</v>
      </c>
      <c r="AC46" s="33">
        <f>-'A domestic'!AC46</f>
        <v>-0.01723053775497974</v>
      </c>
      <c r="AD46" s="33">
        <f>-'A domestic'!AD46</f>
        <v>-0.03819774784942438</v>
      </c>
      <c r="AE46" s="33">
        <f>-'A domestic'!AE46</f>
        <v>-0.022504921015237267</v>
      </c>
      <c r="AF46" s="33">
        <f>-'A domestic'!AF46</f>
        <v>-0.06886046257885334</v>
      </c>
      <c r="AG46" s="33">
        <f>-'A domestic'!AG46</f>
        <v>-0.010938212696563412</v>
      </c>
      <c r="AH46" s="33">
        <f>-'A domestic'!AH46</f>
        <v>-0.0030190959103608287</v>
      </c>
      <c r="AI46" s="33">
        <f>-'A domestic'!AI46</f>
        <v>-0.01082031830792543</v>
      </c>
      <c r="AJ46" s="33">
        <f>-'A domestic'!AJ46</f>
        <v>-0.01751159074165166</v>
      </c>
      <c r="AK46" s="33">
        <f>-'A domestic'!AK46</f>
        <v>-0.013159907657057416</v>
      </c>
      <c r="AL46" s="33">
        <f>-'A domestic'!AL46</f>
        <v>-0.04982323154656428</v>
      </c>
      <c r="AM46" s="33">
        <f>-'A domestic'!AM46</f>
        <v>-0.010447084043919417</v>
      </c>
      <c r="AN46" s="33">
        <f>-'A domestic'!AN46</f>
        <v>-0.017266934911900907</v>
      </c>
      <c r="AO46" s="33">
        <f>-'A domestic'!AO46</f>
        <v>-0.03178193991743353</v>
      </c>
      <c r="AP46" s="33">
        <f>-'A domestic'!AP46</f>
        <v>-0.011571241639378525</v>
      </c>
      <c r="AQ46" s="33">
        <f>-'A domestic'!AQ46</f>
        <v>-0.018571010672114432</v>
      </c>
      <c r="AR46" s="33">
        <f>-'A domestic'!AR46</f>
        <v>-0.018110049176678855</v>
      </c>
      <c r="AS46" s="33">
        <f>-'A domestic'!AS46</f>
        <v>-0.02376580784216731</v>
      </c>
      <c r="AT46" s="33">
        <f>1-'A domestic'!AT46</f>
        <v>0.9800936764818025</v>
      </c>
      <c r="AU46" s="33">
        <f>-'A domestic'!AU46</f>
        <v>-0.027400890443177412</v>
      </c>
      <c r="AV46" s="33">
        <f>-'A domestic'!AV46</f>
        <v>-0.027883346394058043</v>
      </c>
      <c r="AW46" s="33">
        <f>-'A domestic'!AW46</f>
        <v>-0.012943716051046765</v>
      </c>
      <c r="AX46" s="33">
        <f>-'A domestic'!AX46</f>
        <v>-0.022336830461209677</v>
      </c>
      <c r="AY46" s="33">
        <f>-'A domestic'!AY46</f>
        <v>-0.023207611865642016</v>
      </c>
      <c r="AZ46" s="33">
        <f>-'A domestic'!AZ46</f>
        <v>-0.014527577562743392</v>
      </c>
      <c r="BA46" s="33">
        <f>-'A domestic'!BA46</f>
        <v>-0.019361398895315157</v>
      </c>
      <c r="BB46" s="33">
        <f>-'A domestic'!BB46</f>
        <v>-0.01722315344546839</v>
      </c>
      <c r="BC46" s="33">
        <f>-'A domestic'!BC46</f>
        <v>-0.025203011987016258</v>
      </c>
      <c r="BD46" s="33">
        <f>-'A domestic'!BD46</f>
        <v>-0.0148068087862294</v>
      </c>
      <c r="BE46" s="33">
        <f>-'A domestic'!BE46</f>
        <v>-0.010313865156049306</v>
      </c>
      <c r="BF46" s="33">
        <f>-'A domestic'!BF46</f>
        <v>-0.011556824161630336</v>
      </c>
      <c r="BG46" s="33">
        <f>-'A domestic'!BG46</f>
        <v>-0.021844399664928228</v>
      </c>
      <c r="BH46" s="33">
        <f>-'A domestic'!BH46</f>
        <v>-0.016865936621156652</v>
      </c>
      <c r="BI46" s="33">
        <f>-'A domestic'!BI46</f>
        <v>-0.02852690022783362</v>
      </c>
      <c r="BJ46" s="33">
        <f>-'A domestic'!BJ46</f>
        <v>-0.02078645062039021</v>
      </c>
      <c r="BK46" s="33">
        <f>-'A domestic'!BK46</f>
        <v>-0.023971254491485707</v>
      </c>
      <c r="BL46" s="33">
        <f>-'A domestic'!BL46</f>
        <v>-0.0314193774573737</v>
      </c>
      <c r="BM46" s="33">
        <f>-'A domestic'!BM46</f>
        <v>0</v>
      </c>
      <c r="BN46" s="33">
        <f>-'A domestic'!BN46</f>
        <v>0</v>
      </c>
    </row>
    <row r="47" spans="1:66" x14ac:dyDescent="0.25">
      <c r="A47" s="30" t="s">
        <v>350</v>
      </c>
      <c r="B47" s="31" t="s">
        <v>351</v>
      </c>
      <c r="C47" s="33">
        <f>-'A domestic'!C47</f>
        <v>-0.006526852916248788</v>
      </c>
      <c r="D47" s="33">
        <f>-'A domestic'!D47</f>
        <v>-0.004542826993071267</v>
      </c>
      <c r="E47" s="33">
        <f>-'A domestic'!E47</f>
        <v>-0.012223511765384588</v>
      </c>
      <c r="F47" s="33">
        <f>-'A domestic'!F47</f>
        <v>-0.012988062294221019</v>
      </c>
      <c r="G47" s="33">
        <f>-'A domestic'!G47</f>
        <v>-0.01788161333615879</v>
      </c>
      <c r="H47" s="33">
        <f>-'A domestic'!H47</f>
        <v>-0.015714727391222625</v>
      </c>
      <c r="I47" s="33">
        <f>-'A domestic'!I47</f>
        <v>-0.011379033905142092</v>
      </c>
      <c r="J47" s="33">
        <f>-'A domestic'!J47</f>
        <v>-0.01618742369974046</v>
      </c>
      <c r="K47" s="33">
        <f>-'A domestic'!K47</f>
        <v>-0.022972671349628448</v>
      </c>
      <c r="L47" s="33">
        <f>-'A domestic'!L47</f>
        <v>-0.01358512621451242</v>
      </c>
      <c r="M47" s="33">
        <f>-'A domestic'!M47</f>
        <v>-0.020640852600119924</v>
      </c>
      <c r="N47" s="33">
        <f>-'A domestic'!N47</f>
        <v>-0.023399053886691397</v>
      </c>
      <c r="O47" s="33">
        <f>-'A domestic'!O47</f>
        <v>-0.015836668433365782</v>
      </c>
      <c r="P47" s="33">
        <f>-'A domestic'!P47</f>
        <v>-0.01775470062574682</v>
      </c>
      <c r="Q47" s="33">
        <f>-'A domestic'!Q47</f>
        <v>-0.012785975953782952</v>
      </c>
      <c r="R47" s="33">
        <f>-'A domestic'!R47</f>
        <v>-0.016038722809022757</v>
      </c>
      <c r="S47" s="33">
        <f>-'A domestic'!S47</f>
        <v>-0.019392736749356144</v>
      </c>
      <c r="T47" s="33">
        <f>-'A domestic'!T47</f>
        <v>-0.021182115533196707</v>
      </c>
      <c r="U47" s="33">
        <f>-'A domestic'!U47</f>
        <v>-0.02274704279079255</v>
      </c>
      <c r="V47" s="33">
        <f>-'A domestic'!V47</f>
        <v>-0.01699180311374664</v>
      </c>
      <c r="W47" s="33">
        <f>-'A domestic'!W47</f>
        <v>-0.018828847447640237</v>
      </c>
      <c r="X47" s="33">
        <f>-'A domestic'!X47</f>
        <v>-0.014773690801123776</v>
      </c>
      <c r="Y47" s="33">
        <f>-'A domestic'!Y47</f>
        <v>-0.02033506840327745</v>
      </c>
      <c r="Z47" s="33">
        <f>-'A domestic'!Z47</f>
        <v>-0.01222522749130988</v>
      </c>
      <c r="AA47" s="33">
        <f>-'A domestic'!AA47</f>
        <v>-0.016789185814292618</v>
      </c>
      <c r="AB47" s="33">
        <f>-'A domestic'!AB47</f>
        <v>-0.018207819657716246</v>
      </c>
      <c r="AC47" s="33">
        <f>-'A domestic'!AC47</f>
        <v>-0.01588179736890899</v>
      </c>
      <c r="AD47" s="33">
        <f>-'A domestic'!AD47</f>
        <v>-0.0261170599409184</v>
      </c>
      <c r="AE47" s="33">
        <f>-'A domestic'!AE47</f>
        <v>-0.036022308148493117</v>
      </c>
      <c r="AF47" s="33">
        <f>-'A domestic'!AF47</f>
        <v>-0.029920037955407566</v>
      </c>
      <c r="AG47" s="33">
        <f>-'A domestic'!AG47</f>
        <v>-0.015143454283943363</v>
      </c>
      <c r="AH47" s="33">
        <f>-'A domestic'!AH47</f>
        <v>-0.014109853726605334</v>
      </c>
      <c r="AI47" s="33">
        <f>-'A domestic'!AI47</f>
        <v>-0.017046018936506077</v>
      </c>
      <c r="AJ47" s="33">
        <f>-'A domestic'!AJ47</f>
        <v>-0.020880584756533215</v>
      </c>
      <c r="AK47" s="33">
        <f>-'A domestic'!AK47</f>
        <v>-0.029398836368167296</v>
      </c>
      <c r="AL47" s="33">
        <f>-'A domestic'!AL47</f>
        <v>-0.019380257609560563</v>
      </c>
      <c r="AM47" s="33">
        <f>-'A domestic'!AM47</f>
        <v>-0.036204869310905476</v>
      </c>
      <c r="AN47" s="33">
        <f>-'A domestic'!AN47</f>
        <v>-0.03038850748413474</v>
      </c>
      <c r="AO47" s="33">
        <f>-'A domestic'!AO47</f>
        <v>-0.030235270339024404</v>
      </c>
      <c r="AP47" s="33">
        <f>-'A domestic'!AP47</f>
        <v>-0.04261385903643837</v>
      </c>
      <c r="AQ47" s="33">
        <f>-'A domestic'!AQ47</f>
        <v>-0.03598340790778837</v>
      </c>
      <c r="AR47" s="33">
        <f>-'A domestic'!AR47</f>
        <v>-0.02806378386489462</v>
      </c>
      <c r="AS47" s="33">
        <f>-'A domestic'!AS47</f>
        <v>-0.044455330097617554</v>
      </c>
      <c r="AT47" s="33">
        <f>-'A domestic'!AT47</f>
        <v>-0.01424173513663833</v>
      </c>
      <c r="AU47" s="33">
        <f>1-'A domestic'!AU47</f>
        <v>0.8173344520165842</v>
      </c>
      <c r="AV47" s="33">
        <f>-'A domestic'!AV47</f>
        <v>-0.08054445604571803</v>
      </c>
      <c r="AW47" s="33">
        <f>-'A domestic'!AW47</f>
        <v>-0.024380738923056436</v>
      </c>
      <c r="AX47" s="33">
        <f>-'A domestic'!AX47</f>
        <v>-0.045991816547022994</v>
      </c>
      <c r="AY47" s="33">
        <f>-'A domestic'!AY47</f>
        <v>-0.06012766736678068</v>
      </c>
      <c r="AZ47" s="33">
        <f>-'A domestic'!AZ47</f>
        <v>-0.03465746672702973</v>
      </c>
      <c r="BA47" s="33">
        <f>-'A domestic'!BA47</f>
        <v>-0.030844521813510686</v>
      </c>
      <c r="BB47" s="33">
        <f>-'A domestic'!BB47</f>
        <v>-0.035848061597425936</v>
      </c>
      <c r="BC47" s="33">
        <f>-'A domestic'!BC47</f>
        <v>-0.0641639491833759</v>
      </c>
      <c r="BD47" s="33">
        <f>-'A domestic'!BD47</f>
        <v>-0.014272979876271977</v>
      </c>
      <c r="BE47" s="33">
        <f>-'A domestic'!BE47</f>
        <v>-0.007809137416247836</v>
      </c>
      <c r="BF47" s="33">
        <f>-'A domestic'!BF47</f>
        <v>-0.013622331010508524</v>
      </c>
      <c r="BG47" s="33">
        <f>-'A domestic'!BG47</f>
        <v>-0.01393568790964128</v>
      </c>
      <c r="BH47" s="33">
        <f>-'A domestic'!BH47</f>
        <v>-0.024206542478628447</v>
      </c>
      <c r="BI47" s="33">
        <f>-'A domestic'!BI47</f>
        <v>-0.023832696495529063</v>
      </c>
      <c r="BJ47" s="33">
        <f>-'A domestic'!BJ47</f>
        <v>-0.03247537848834702</v>
      </c>
      <c r="BK47" s="33">
        <f>-'A domestic'!BK47</f>
        <v>-0.023187002030932668</v>
      </c>
      <c r="BL47" s="33">
        <f>-'A domestic'!BL47</f>
        <v>-0.02020635441766376</v>
      </c>
      <c r="BM47" s="33">
        <f>-'A domestic'!BM47</f>
        <v>0</v>
      </c>
      <c r="BN47" s="33">
        <f>-'A domestic'!BN47</f>
        <v>0</v>
      </c>
    </row>
    <row r="48" spans="1:66" x14ac:dyDescent="0.25">
      <c r="A48" s="30" t="s">
        <v>353</v>
      </c>
      <c r="B48" s="31" t="s">
        <v>354</v>
      </c>
      <c r="C48" s="33">
        <f>-'A domestic'!C48</f>
        <v>-0.002549781044579271</v>
      </c>
      <c r="D48" s="33">
        <f>-'A domestic'!D48</f>
        <v>-0.001722975623737992</v>
      </c>
      <c r="E48" s="33">
        <f>-'A domestic'!E48</f>
        <v>-0.0015338776562892377</v>
      </c>
      <c r="F48" s="33">
        <f>-'A domestic'!F48</f>
        <v>-0.01194413278562995</v>
      </c>
      <c r="G48" s="33">
        <f>-'A domestic'!G48</f>
        <v>-0.0031140366367639087</v>
      </c>
      <c r="H48" s="33">
        <f>-'A domestic'!H48</f>
        <v>-0.004351270686980794</v>
      </c>
      <c r="I48" s="33">
        <f>-'A domestic'!I48</f>
        <v>-0.004665217201899353</v>
      </c>
      <c r="J48" s="33">
        <f>-'A domestic'!J48</f>
        <v>-0.005193461367578616</v>
      </c>
      <c r="K48" s="33">
        <f>-'A domestic'!K48</f>
        <v>-0.0041796926646393735</v>
      </c>
      <c r="L48" s="33">
        <f>-'A domestic'!L48</f>
        <v>-0.007110787998302069</v>
      </c>
      <c r="M48" s="33">
        <f>-'A domestic'!M48</f>
        <v>-0.009957822264139942</v>
      </c>
      <c r="N48" s="33">
        <f>-'A domestic'!N48</f>
        <v>-0.00871163781805108</v>
      </c>
      <c r="O48" s="33">
        <f>-'A domestic'!O48</f>
        <v>-0.009331366514203618</v>
      </c>
      <c r="P48" s="33">
        <f>-'A domestic'!P48</f>
        <v>-0.009395231803228361</v>
      </c>
      <c r="Q48" s="33">
        <f>-'A domestic'!Q48</f>
        <v>-0.004971948728951615</v>
      </c>
      <c r="R48" s="33">
        <f>-'A domestic'!R48</f>
        <v>-0.007747217646050884</v>
      </c>
      <c r="S48" s="33">
        <f>-'A domestic'!S48</f>
        <v>-0.00979798658077971</v>
      </c>
      <c r="T48" s="33">
        <f>-'A domestic'!T48</f>
        <v>-0.012334974172804356</v>
      </c>
      <c r="U48" s="33">
        <f>-'A domestic'!U48</f>
        <v>-0.008712241910937871</v>
      </c>
      <c r="V48" s="33">
        <f>-'A domestic'!V48</f>
        <v>-0.008059271519156311</v>
      </c>
      <c r="W48" s="33">
        <f>-'A domestic'!W48</f>
        <v>-0.0181000101135799</v>
      </c>
      <c r="X48" s="33">
        <f>-'A domestic'!X48</f>
        <v>-0.003643777041704496</v>
      </c>
      <c r="Y48" s="33">
        <f>-'A domestic'!Y48</f>
        <v>-0.011057573586388357</v>
      </c>
      <c r="Z48" s="33">
        <f>-'A domestic'!Z48</f>
        <v>-0.007186126103972069</v>
      </c>
      <c r="AA48" s="33">
        <f>-'A domestic'!AA48</f>
        <v>-0.019818309592130264</v>
      </c>
      <c r="AB48" s="33">
        <f>-'A domestic'!AB48</f>
        <v>-0.02356279766123073</v>
      </c>
      <c r="AC48" s="33">
        <f>-'A domestic'!AC48</f>
        <v>-0.02220832654228476</v>
      </c>
      <c r="AD48" s="33">
        <f>-'A domestic'!AD48</f>
        <v>-0.004450689067885746</v>
      </c>
      <c r="AE48" s="33">
        <f>-'A domestic'!AE48</f>
        <v>-0.004677773079748701</v>
      </c>
      <c r="AF48" s="33">
        <f>-'A domestic'!AF48</f>
        <v>-0.0035929346772483363</v>
      </c>
      <c r="AG48" s="33">
        <f>-'A domestic'!AG48</f>
        <v>-0.007135092236614546</v>
      </c>
      <c r="AH48" s="33">
        <f>-'A domestic'!AH48</f>
        <v>-0.003985841658803544</v>
      </c>
      <c r="AI48" s="33">
        <f>-'A domestic'!AI48</f>
        <v>-0.008418615097956716</v>
      </c>
      <c r="AJ48" s="33">
        <f>-'A domestic'!AJ48</f>
        <v>-0.008006125342491668</v>
      </c>
      <c r="AK48" s="33">
        <f>-'A domestic'!AK48</f>
        <v>-0.003628648463431434</v>
      </c>
      <c r="AL48" s="33">
        <f>-'A domestic'!AL48</f>
        <v>-0.003109290683134789</v>
      </c>
      <c r="AM48" s="33">
        <f>-'A domestic'!AM48</f>
        <v>-0.004754713366067741</v>
      </c>
      <c r="AN48" s="33">
        <f>-'A domestic'!AN48</f>
        <v>-0.00408046429912434</v>
      </c>
      <c r="AO48" s="33">
        <f>-'A domestic'!AO48</f>
        <v>-0.010236884962166709</v>
      </c>
      <c r="AP48" s="33">
        <f>-'A domestic'!AP48</f>
        <v>-0.008394005898882926</v>
      </c>
      <c r="AQ48" s="33">
        <f>-'A domestic'!AQ48</f>
        <v>-0.002666800248356484</v>
      </c>
      <c r="AR48" s="33">
        <f>-'A domestic'!AR48</f>
        <v>-0.003096069380270154</v>
      </c>
      <c r="AS48" s="33">
        <f>-'A domestic'!AS48</f>
        <v>-0.0043890953593925175</v>
      </c>
      <c r="AT48" s="33">
        <f>-'A domestic'!AT48</f>
        <v>-0.0040453622335608515</v>
      </c>
      <c r="AU48" s="33">
        <f>-'A domestic'!AU48</f>
        <v>-0.009973348082926247</v>
      </c>
      <c r="AV48" s="33">
        <f>1-'A domestic'!AV48</f>
        <v>0.8954765885951997</v>
      </c>
      <c r="AW48" s="33">
        <f>-'A domestic'!AW48</f>
        <v>-0.014578681757488367</v>
      </c>
      <c r="AX48" s="33">
        <f>-'A domestic'!AX48</f>
        <v>-0.013520361624065025</v>
      </c>
      <c r="AY48" s="33">
        <f>-'A domestic'!AY48</f>
        <v>-0.020360659082166513</v>
      </c>
      <c r="AZ48" s="33">
        <f>-'A domestic'!AZ48</f>
        <v>-0.009149727551941008</v>
      </c>
      <c r="BA48" s="33">
        <f>-'A domestic'!BA48</f>
        <v>-0.006315674664603237</v>
      </c>
      <c r="BB48" s="33">
        <f>-'A domestic'!BB48</f>
        <v>-0.0019865504946829852</v>
      </c>
      <c r="BC48" s="33">
        <f>-'A domestic'!BC48</f>
        <v>-0.012839089884442706</v>
      </c>
      <c r="BD48" s="33">
        <f>-'A domestic'!BD48</f>
        <v>-0.006500336279497198</v>
      </c>
      <c r="BE48" s="33">
        <f>-'A domestic'!BE48</f>
        <v>-0.0021567135599711257</v>
      </c>
      <c r="BF48" s="33">
        <f>-'A domestic'!BF48</f>
        <v>-0.0023947951715010125</v>
      </c>
      <c r="BG48" s="33">
        <f>-'A domestic'!BG48</f>
        <v>-0.0014097801561823947</v>
      </c>
      <c r="BH48" s="33">
        <f>-'A domestic'!BH48</f>
        <v>-0.006675063412011359</v>
      </c>
      <c r="BI48" s="33">
        <f>-'A domestic'!BI48</f>
        <v>-0.005892188402548599</v>
      </c>
      <c r="BJ48" s="33">
        <f>-'A domestic'!BJ48</f>
        <v>-0.004489813523500066</v>
      </c>
      <c r="BK48" s="33">
        <f>-'A domestic'!BK48</f>
        <v>-0.005264802374628964</v>
      </c>
      <c r="BL48" s="33">
        <f>-'A domestic'!BL48</f>
        <v>-0.006479272004782017</v>
      </c>
      <c r="BM48" s="33">
        <f>-'A domestic'!BM48</f>
        <v>0</v>
      </c>
      <c r="BN48" s="33">
        <f>-'A domestic'!BN48</f>
        <v>0</v>
      </c>
    </row>
    <row r="49" spans="1:66" x14ac:dyDescent="0.25">
      <c r="A49" s="30" t="s">
        <v>355</v>
      </c>
      <c r="B49" s="31" t="s">
        <v>356</v>
      </c>
      <c r="C49" s="33">
        <f>-'A domestic'!C49</f>
        <v>-0.0009287166340655706</v>
      </c>
      <c r="D49" s="33">
        <f>-'A domestic'!D49</f>
        <v>-0.0003170531352231622</v>
      </c>
      <c r="E49" s="33">
        <f>-'A domestic'!E49</f>
        <v>-0.00027148277102464384</v>
      </c>
      <c r="F49" s="33">
        <f>-'A domestic'!F49</f>
        <v>-0.0006151563507088988</v>
      </c>
      <c r="G49" s="33">
        <f>-'A domestic'!G49</f>
        <v>-0.0005170439829530738</v>
      </c>
      <c r="H49" s="33">
        <f>-'A domestic'!H49</f>
        <v>-0.0004923066653315977</v>
      </c>
      <c r="I49" s="33">
        <f>-'A domestic'!I49</f>
        <v>-0.0006330800447399196</v>
      </c>
      <c r="J49" s="33">
        <f>-'A domestic'!J49</f>
        <v>-0.0007002923563672131</v>
      </c>
      <c r="K49" s="33">
        <f>-'A domestic'!K49</f>
        <v>-0.0015951072005868628</v>
      </c>
      <c r="L49" s="33">
        <f>-'A domestic'!L49</f>
        <v>-0.0003741553264417976</v>
      </c>
      <c r="M49" s="33">
        <f>-'A domestic'!M49</f>
        <v>-0.0010474702419645229</v>
      </c>
      <c r="N49" s="33">
        <f>-'A domestic'!N49</f>
        <v>-0.00465951923578933</v>
      </c>
      <c r="O49" s="33">
        <f>-'A domestic'!O49</f>
        <v>-0.0012060454182746573</v>
      </c>
      <c r="P49" s="33">
        <f>-'A domestic'!P49</f>
        <v>-0.0007690154495354305</v>
      </c>
      <c r="Q49" s="33">
        <f>-'A domestic'!Q49</f>
        <v>-0.0003824270309358636</v>
      </c>
      <c r="R49" s="33">
        <f>-'A domestic'!R49</f>
        <v>-0.0005993242323298145</v>
      </c>
      <c r="S49" s="33">
        <f>-'A domestic'!S49</f>
        <v>-0.0020561090797399087</v>
      </c>
      <c r="T49" s="33">
        <f>-'A domestic'!T49</f>
        <v>-0.0010194365121775693</v>
      </c>
      <c r="U49" s="33">
        <f>-'A domestic'!U49</f>
        <v>-0.0015131202470598745</v>
      </c>
      <c r="V49" s="33">
        <f>-'A domestic'!V49</f>
        <v>-0.0016871714784375603</v>
      </c>
      <c r="W49" s="33">
        <f>-'A domestic'!W49</f>
        <v>-0.0006463896718363183</v>
      </c>
      <c r="X49" s="33">
        <f>-'A domestic'!X49</f>
        <v>-0.0006193206616659083</v>
      </c>
      <c r="Y49" s="33">
        <f>-'A domestic'!Y49</f>
        <v>-0.0006921627470467519</v>
      </c>
      <c r="Z49" s="33">
        <f>-'A domestic'!Z49</f>
        <v>-0.0006080781168758284</v>
      </c>
      <c r="AA49" s="33">
        <f>-'A domestic'!AA49</f>
        <v>-0.0007312661167203355</v>
      </c>
      <c r="AB49" s="33">
        <f>-'A domestic'!AB49</f>
        <v>-0.0013698780939223098</v>
      </c>
      <c r="AC49" s="33">
        <f>-'A domestic'!AC49</f>
        <v>-0.0012269859730092774</v>
      </c>
      <c r="AD49" s="33">
        <f>-'A domestic'!AD49</f>
        <v>-0.0007967966657124142</v>
      </c>
      <c r="AE49" s="33">
        <f>-'A domestic'!AE49</f>
        <v>-0.0013437611422156947</v>
      </c>
      <c r="AF49" s="33">
        <f>-'A domestic'!AF49</f>
        <v>-0.0009680663020589898</v>
      </c>
      <c r="AG49" s="33">
        <f>-'A domestic'!AG49</f>
        <v>-0.0007516621654138531</v>
      </c>
      <c r="AH49" s="33">
        <f>-'A domestic'!AH49</f>
        <v>-0.0010165204962542358</v>
      </c>
      <c r="AI49" s="33">
        <f>-'A domestic'!AI49</f>
        <v>-0.002346026212477342</v>
      </c>
      <c r="AJ49" s="33">
        <f>-'A domestic'!AJ49</f>
        <v>-0.0008284069435386762</v>
      </c>
      <c r="AK49" s="33">
        <f>-'A domestic'!AK49</f>
        <v>-0.0008002132055945702</v>
      </c>
      <c r="AL49" s="33">
        <f>-'A domestic'!AL49</f>
        <v>-0.0005074185744715058</v>
      </c>
      <c r="AM49" s="33">
        <f>-'A domestic'!AM49</f>
        <v>-0.000999113405471942</v>
      </c>
      <c r="AN49" s="33">
        <f>-'A domestic'!AN49</f>
        <v>-0.002111504104801064</v>
      </c>
      <c r="AO49" s="33">
        <f>-'A domestic'!AO49</f>
        <v>-0.0009339259038985601</v>
      </c>
      <c r="AP49" s="33">
        <f>-'A domestic'!AP49</f>
        <v>-0.001634294659653034</v>
      </c>
      <c r="AQ49" s="33">
        <f>-'A domestic'!AQ49</f>
        <v>-0.00048643069285395074</v>
      </c>
      <c r="AR49" s="33">
        <f>-'A domestic'!AR49</f>
        <v>-0.0005241956289113707</v>
      </c>
      <c r="AS49" s="33">
        <f>-'A domestic'!AS49</f>
        <v>-0.0009437325941082564</v>
      </c>
      <c r="AT49" s="33">
        <f>-'A domestic'!AT49</f>
        <v>-0.0001980877348930715</v>
      </c>
      <c r="AU49" s="33">
        <f>-'A domestic'!AU49</f>
        <v>-0.0013905348038479929</v>
      </c>
      <c r="AV49" s="33">
        <f>-'A domestic'!AV49</f>
        <v>-0.0013837529342029381</v>
      </c>
      <c r="AW49" s="33">
        <f>1-'A domestic'!AW49</f>
        <v>0.9724157056068126</v>
      </c>
      <c r="AX49" s="33">
        <f>-'A domestic'!AX49</f>
        <v>-0.0014803188824634912</v>
      </c>
      <c r="AY49" s="33">
        <f>-'A domestic'!AY49</f>
        <v>-0.001618578379381499</v>
      </c>
      <c r="AZ49" s="33">
        <f>-'A domestic'!AZ49</f>
        <v>-0.008545554032003282</v>
      </c>
      <c r="BA49" s="33">
        <f>-'A domestic'!BA49</f>
        <v>-0.0004508742451613679</v>
      </c>
      <c r="BB49" s="33">
        <f>-'A domestic'!BB49</f>
        <v>-0.0007826530262184773</v>
      </c>
      <c r="BC49" s="33">
        <f>-'A domestic'!BC49</f>
        <v>-0.0011484266179212224</v>
      </c>
      <c r="BD49" s="33">
        <f>-'A domestic'!BD49</f>
        <v>-0.0007400794067893237</v>
      </c>
      <c r="BE49" s="33">
        <f>-'A domestic'!BE49</f>
        <v>-0.001541069485913369</v>
      </c>
      <c r="BF49" s="33">
        <f>-'A domestic'!BF49</f>
        <v>-0.0006820972397187096</v>
      </c>
      <c r="BG49" s="33">
        <f>-'A domestic'!BG49</f>
        <v>-0.0007148492785665833</v>
      </c>
      <c r="BH49" s="33">
        <f>-'A domestic'!BH49</f>
        <v>-0.0008811345556620422</v>
      </c>
      <c r="BI49" s="33">
        <f>-'A domestic'!BI49</f>
        <v>-0.0010838630235915777</v>
      </c>
      <c r="BJ49" s="33">
        <f>-'A domestic'!BJ49</f>
        <v>-0.0010840653889839405</v>
      </c>
      <c r="BK49" s="33">
        <f>-'A domestic'!BK49</f>
        <v>-0.0005780346820809249</v>
      </c>
      <c r="BL49" s="33">
        <f>-'A domestic'!BL49</f>
        <v>-0.0007552785964971834</v>
      </c>
      <c r="BM49" s="33">
        <f>-'A domestic'!BM49</f>
        <v>0</v>
      </c>
      <c r="BN49" s="33">
        <f>-'A domestic'!BN49</f>
        <v>0</v>
      </c>
    </row>
    <row r="50" spans="1:66" x14ac:dyDescent="0.25">
      <c r="A50" s="30" t="s">
        <v>357</v>
      </c>
      <c r="B50" s="31" t="s">
        <v>358</v>
      </c>
      <c r="C50" s="33">
        <f>-'A domestic'!C50</f>
        <v>-0.0004736105692142656</v>
      </c>
      <c r="D50" s="33">
        <f>-'A domestic'!D50</f>
        <v>-0.000738189370393322</v>
      </c>
      <c r="E50" s="33">
        <f>-'A domestic'!E50</f>
        <v>-0.0010927181533741915</v>
      </c>
      <c r="F50" s="33">
        <f>-'A domestic'!F50</f>
        <v>-0.0015837980671236575</v>
      </c>
      <c r="G50" s="33">
        <f>-'A domestic'!G50</f>
        <v>-0.010898907489816579</v>
      </c>
      <c r="H50" s="33">
        <f>-'A domestic'!H50</f>
        <v>-0.005223457160975936</v>
      </c>
      <c r="I50" s="33">
        <f>-'A domestic'!I50</f>
        <v>-0.0014347551326724182</v>
      </c>
      <c r="J50" s="33">
        <f>-'A domestic'!J50</f>
        <v>-0.0033813091880419478</v>
      </c>
      <c r="K50" s="33">
        <f>-'A domestic'!K50</f>
        <v>-0.002728173545388761</v>
      </c>
      <c r="L50" s="33">
        <f>-'A domestic'!L50</f>
        <v>-0.00203572090473954</v>
      </c>
      <c r="M50" s="33">
        <f>-'A domestic'!M50</f>
        <v>-0.0058895972353215096</v>
      </c>
      <c r="N50" s="33">
        <f>-'A domestic'!N50</f>
        <v>-0.012033906789162278</v>
      </c>
      <c r="O50" s="33">
        <f>-'A domestic'!O50</f>
        <v>-0.0028277462758477846</v>
      </c>
      <c r="P50" s="33">
        <f>-'A domestic'!P50</f>
        <v>-0.002711494297848262</v>
      </c>
      <c r="Q50" s="33">
        <f>-'A domestic'!Q50</f>
        <v>-0.000783925747570347</v>
      </c>
      <c r="R50" s="33">
        <f>-'A domestic'!R50</f>
        <v>-0.0018120518567451892</v>
      </c>
      <c r="S50" s="33">
        <f>-'A domestic'!S50</f>
        <v>-0.002992119993228858</v>
      </c>
      <c r="T50" s="33">
        <f>-'A domestic'!T50</f>
        <v>-0.0033051232134881222</v>
      </c>
      <c r="U50" s="33">
        <f>-'A domestic'!U50</f>
        <v>-0.00176216437570534</v>
      </c>
      <c r="V50" s="33">
        <f>-'A domestic'!V50</f>
        <v>-0.003394002204617715</v>
      </c>
      <c r="W50" s="33">
        <f>-'A domestic'!W50</f>
        <v>-0.0011700239354724288</v>
      </c>
      <c r="X50" s="33">
        <f>-'A domestic'!X50</f>
        <v>-0.00574675285248239</v>
      </c>
      <c r="Y50" s="33">
        <f>-'A domestic'!Y50</f>
        <v>-0.0014556908388388046</v>
      </c>
      <c r="Z50" s="33">
        <f>-'A domestic'!Z50</f>
        <v>-0.00118847573210239</v>
      </c>
      <c r="AA50" s="33">
        <f>-'A domestic'!AA50</f>
        <v>-0.002277901080933911</v>
      </c>
      <c r="AB50" s="33">
        <f>-'A domestic'!AB50</f>
        <v>-0.0019994303068499412</v>
      </c>
      <c r="AC50" s="33">
        <f>-'A domestic'!AC50</f>
        <v>-0.0010535281959183121</v>
      </c>
      <c r="AD50" s="33">
        <f>-'A domestic'!AD50</f>
        <v>-0.011961549945514073</v>
      </c>
      <c r="AE50" s="33">
        <f>-'A domestic'!AE50</f>
        <v>-0.010052420472240432</v>
      </c>
      <c r="AF50" s="33">
        <f>-'A domestic'!AF50</f>
        <v>-0.011092838994720555</v>
      </c>
      <c r="AG50" s="33">
        <f>-'A domestic'!AG50</f>
        <v>-0.0012378337313965555</v>
      </c>
      <c r="AH50" s="33">
        <f>-'A domestic'!AH50</f>
        <v>-0.0005423731140841512</v>
      </c>
      <c r="AI50" s="33">
        <f>-'A domestic'!AI50</f>
        <v>-0.0038613263146572855</v>
      </c>
      <c r="AJ50" s="33">
        <f>-'A domestic'!AJ50</f>
        <v>-0.0016296872113443477</v>
      </c>
      <c r="AK50" s="33">
        <f>-'A domestic'!AK50</f>
        <v>-0.0037712470104491504</v>
      </c>
      <c r="AL50" s="33">
        <f>-'A domestic'!AL50</f>
        <v>-0.0028900552155678373</v>
      </c>
      <c r="AM50" s="33">
        <f>-'A domestic'!AM50</f>
        <v>-0.009359853445291878</v>
      </c>
      <c r="AN50" s="33">
        <f>-'A domestic'!AN50</f>
        <v>-0.011079602082299984</v>
      </c>
      <c r="AO50" s="33">
        <f>-'A domestic'!AO50</f>
        <v>-0.0072524457475008205</v>
      </c>
      <c r="AP50" s="33">
        <f>-'A domestic'!AP50</f>
        <v>-0.0055194072377435606</v>
      </c>
      <c r="AQ50" s="33">
        <f>-'A domestic'!AQ50</f>
        <v>-0.004051671666592566</v>
      </c>
      <c r="AR50" s="33">
        <f>-'A domestic'!AR50</f>
        <v>-0.005393257642774762</v>
      </c>
      <c r="AS50" s="33">
        <f>-'A domestic'!AS50</f>
        <v>-0.003415168461728721</v>
      </c>
      <c r="AT50" s="33">
        <f>-'A domestic'!AT50</f>
        <v>-0.0005457490191882851</v>
      </c>
      <c r="AU50" s="33">
        <f>-'A domestic'!AU50</f>
        <v>-0.005054710419010608</v>
      </c>
      <c r="AV50" s="33">
        <f>-'A domestic'!AV50</f>
        <v>-0.002149332921812718</v>
      </c>
      <c r="AW50" s="33">
        <f>-'A domestic'!AW50</f>
        <v>-0.0014851108172833183</v>
      </c>
      <c r="AX50" s="33">
        <f>1-'A domestic'!AX50</f>
        <v>0.9037271487355609</v>
      </c>
      <c r="AY50" s="33">
        <f>-'A domestic'!AY50</f>
        <v>-0.005593742971719736</v>
      </c>
      <c r="AZ50" s="33">
        <f>-'A domestic'!AZ50</f>
        <v>-0.00398195404807115</v>
      </c>
      <c r="BA50" s="33">
        <f>-'A domestic'!BA50</f>
        <v>-0.004465802047312596</v>
      </c>
      <c r="BB50" s="33">
        <f>-'A domestic'!BB50</f>
        <v>-0.02137975106687335</v>
      </c>
      <c r="BC50" s="33">
        <f>-'A domestic'!BC50</f>
        <v>-0.003583348064788312</v>
      </c>
      <c r="BD50" s="33">
        <f>-'A domestic'!BD50</f>
        <v>-0.0019427084428219749</v>
      </c>
      <c r="BE50" s="33">
        <f>-'A domestic'!BE50</f>
        <v>-0.0008724713370183722</v>
      </c>
      <c r="BF50" s="33">
        <f>-'A domestic'!BF50</f>
        <v>-0.000922724880802411</v>
      </c>
      <c r="BG50" s="33">
        <f>-'A domestic'!BG50</f>
        <v>-0.0006838650993098274</v>
      </c>
      <c r="BH50" s="33">
        <f>-'A domestic'!BH50</f>
        <v>-0.008285457919387751</v>
      </c>
      <c r="BI50" s="33">
        <f>-'A domestic'!BI50</f>
        <v>-0.006402516996809861</v>
      </c>
      <c r="BJ50" s="33">
        <f>-'A domestic'!BJ50</f>
        <v>-0.004324759535893492</v>
      </c>
      <c r="BK50" s="33">
        <f>-'A domestic'!BK50</f>
        <v>-0.002974535228870489</v>
      </c>
      <c r="BL50" s="33">
        <f>-'A domestic'!BL50</f>
        <v>-0.0026190770431903736</v>
      </c>
      <c r="BM50" s="33">
        <f>-'A domestic'!BM50</f>
        <v>0</v>
      </c>
      <c r="BN50" s="33">
        <f>-'A domestic'!BN50</f>
        <v>0</v>
      </c>
    </row>
    <row r="51" spans="1:66" x14ac:dyDescent="0.25">
      <c r="A51" s="30" t="s">
        <v>359</v>
      </c>
      <c r="B51" s="31" t="s">
        <v>360</v>
      </c>
      <c r="C51" s="33">
        <f>-'A domestic'!C51</f>
        <v>-0.011862958433820648</v>
      </c>
      <c r="D51" s="33">
        <f>-'A domestic'!D51</f>
        <v>-0.0016268989160946098</v>
      </c>
      <c r="E51" s="33">
        <f>-'A domestic'!E51</f>
        <v>-0.0027691242644513666</v>
      </c>
      <c r="F51" s="33">
        <f>-'A domestic'!F51</f>
        <v>-0.002557030502573557</v>
      </c>
      <c r="G51" s="33">
        <f>-'A domestic'!G51</f>
        <v>-0.0020245432177250357</v>
      </c>
      <c r="H51" s="33">
        <f>-'A domestic'!H51</f>
        <v>-0.007174238791130223</v>
      </c>
      <c r="I51" s="33">
        <f>-'A domestic'!I51</f>
        <v>-0.0013685617767880834</v>
      </c>
      <c r="J51" s="33">
        <f>-'A domestic'!J51</f>
        <v>-0.0018175321464229718</v>
      </c>
      <c r="K51" s="33">
        <f>-'A domestic'!K51</f>
        <v>-0.003529992138197131</v>
      </c>
      <c r="L51" s="33">
        <f>-'A domestic'!L51</f>
        <v>-0.0009617463373830401</v>
      </c>
      <c r="M51" s="33">
        <f>-'A domestic'!M51</f>
        <v>-0.0024796064777059977</v>
      </c>
      <c r="N51" s="33">
        <f>-'A domestic'!N51</f>
        <v>-0.0018222019605827395</v>
      </c>
      <c r="O51" s="33">
        <f>-'A domestic'!O51</f>
        <v>-0.0021091080112751095</v>
      </c>
      <c r="P51" s="33">
        <f>-'A domestic'!P51</f>
        <v>-0.0021208121766297565</v>
      </c>
      <c r="Q51" s="33">
        <f>-'A domestic'!Q51</f>
        <v>-0.0013268727998029261</v>
      </c>
      <c r="R51" s="33">
        <f>-'A domestic'!R51</f>
        <v>-0.0019144457458778858</v>
      </c>
      <c r="S51" s="33">
        <f>-'A domestic'!S51</f>
        <v>-0.0032106757329851427</v>
      </c>
      <c r="T51" s="33">
        <f>-'A domestic'!T51</f>
        <v>-0.0033406789166877983</v>
      </c>
      <c r="U51" s="33">
        <f>-'A domestic'!U51</f>
        <v>-0.0027096203671527997</v>
      </c>
      <c r="V51" s="33">
        <f>-'A domestic'!V51</f>
        <v>-0.0026465798611964367</v>
      </c>
      <c r="W51" s="33">
        <f>-'A domestic'!W51</f>
        <v>-0.002208864479495083</v>
      </c>
      <c r="X51" s="33">
        <f>-'A domestic'!X51</f>
        <v>-0.004146662561673123</v>
      </c>
      <c r="Y51" s="33">
        <f>-'A domestic'!Y51</f>
        <v>-0.002113387368252883</v>
      </c>
      <c r="Z51" s="33">
        <f>-'A domestic'!Z51</f>
        <v>-0.0014482259879014775</v>
      </c>
      <c r="AA51" s="33">
        <f>-'A domestic'!AA51</f>
        <v>-0.003010592667667346</v>
      </c>
      <c r="AB51" s="33">
        <f>-'A domestic'!AB51</f>
        <v>-0.0037174542146972576</v>
      </c>
      <c r="AC51" s="33">
        <f>-'A domestic'!AC51</f>
        <v>-0.0019949912056865787</v>
      </c>
      <c r="AD51" s="33">
        <f>-'A domestic'!AD51</f>
        <v>-0.0040593060902883605</v>
      </c>
      <c r="AE51" s="33">
        <f>-'A domestic'!AE51</f>
        <v>-0.006440612032900727</v>
      </c>
      <c r="AF51" s="33">
        <f>-'A domestic'!AF51</f>
        <v>-0.0030225865186396255</v>
      </c>
      <c r="AG51" s="33">
        <f>-'A domestic'!AG51</f>
        <v>-0.0018415982067858361</v>
      </c>
      <c r="AH51" s="33">
        <f>-'A domestic'!AH51</f>
        <v>-0.0007191592873457572</v>
      </c>
      <c r="AI51" s="33">
        <f>-'A domestic'!AI51</f>
        <v>-0.00377907620472685</v>
      </c>
      <c r="AJ51" s="33">
        <f>-'A domestic'!AJ51</f>
        <v>-0.002362524789608285</v>
      </c>
      <c r="AK51" s="33">
        <f>-'A domestic'!AK51</f>
        <v>-0.0019070825098728727</v>
      </c>
      <c r="AL51" s="33">
        <f>-'A domestic'!AL51</f>
        <v>-0.002554217122650528</v>
      </c>
      <c r="AM51" s="33">
        <f>-'A domestic'!AM51</f>
        <v>-0.006819818867201516</v>
      </c>
      <c r="AN51" s="33">
        <f>-'A domestic'!AN51</f>
        <v>-0.006213407935176127</v>
      </c>
      <c r="AO51" s="33">
        <f>-'A domestic'!AO51</f>
        <v>-0.005359038753278616</v>
      </c>
      <c r="AP51" s="33">
        <f>-'A domestic'!AP51</f>
        <v>-0.005244802190018346</v>
      </c>
      <c r="AQ51" s="33">
        <f>-'A domestic'!AQ51</f>
        <v>-0.003987077888950713</v>
      </c>
      <c r="AR51" s="33">
        <f>-'A domestic'!AR51</f>
        <v>-0.00645336416191887</v>
      </c>
      <c r="AS51" s="33">
        <f>-'A domestic'!AS51</f>
        <v>-0.0075395818410173565</v>
      </c>
      <c r="AT51" s="33">
        <f>-'A domestic'!AT51</f>
        <v>-0.001339522662147402</v>
      </c>
      <c r="AU51" s="33">
        <f>-'A domestic'!AU51</f>
        <v>-0.008643045094846149</v>
      </c>
      <c r="AV51" s="33">
        <f>-'A domestic'!AV51</f>
        <v>-0.008583951320441497</v>
      </c>
      <c r="AW51" s="33">
        <f>-'A domestic'!AW51</f>
        <v>-0.003811526528591132</v>
      </c>
      <c r="AX51" s="33">
        <f>-'A domestic'!AX51</f>
        <v>-0.014924811268029801</v>
      </c>
      <c r="AY51" s="33">
        <f>1-'A domestic'!AY51</f>
        <v>0.9617667698607678</v>
      </c>
      <c r="AZ51" s="33">
        <f>-'A domestic'!AZ51</f>
        <v>-0.004630368486135493</v>
      </c>
      <c r="BA51" s="33">
        <f>-'A domestic'!BA51</f>
        <v>-0.0034781727483876954</v>
      </c>
      <c r="BB51" s="33">
        <f>-'A domestic'!BB51</f>
        <v>-0.0038630030101425763</v>
      </c>
      <c r="BC51" s="33">
        <f>-'A domestic'!BC51</f>
        <v>-0.007146792993594638</v>
      </c>
      <c r="BD51" s="33">
        <f>-'A domestic'!BD51</f>
        <v>-0.003064452201325544</v>
      </c>
      <c r="BE51" s="33">
        <f>-'A domestic'!BE51</f>
        <v>-0.002266116678584864</v>
      </c>
      <c r="BF51" s="33">
        <f>-'A domestic'!BF51</f>
        <v>-0.0018623526972939358</v>
      </c>
      <c r="BG51" s="33">
        <f>-'A domestic'!BG51</f>
        <v>-0.0021438101171460176</v>
      </c>
      <c r="BH51" s="33">
        <f>-'A domestic'!BH51</f>
        <v>-0.007472841504012455</v>
      </c>
      <c r="BI51" s="33">
        <f>-'A domestic'!BI51</f>
        <v>-0.00841047273867957</v>
      </c>
      <c r="BJ51" s="33">
        <f>-'A domestic'!BJ51</f>
        <v>-0.005328310784581543</v>
      </c>
      <c r="BK51" s="33">
        <f>-'A domestic'!BK51</f>
        <v>-0.0032276206842680832</v>
      </c>
      <c r="BL51" s="33">
        <f>-'A domestic'!BL51</f>
        <v>-0.003741387092479727</v>
      </c>
      <c r="BM51" s="33">
        <f>-'A domestic'!BM51</f>
        <v>0</v>
      </c>
      <c r="BN51" s="33">
        <f>-'A domestic'!BN51</f>
        <v>0</v>
      </c>
    </row>
    <row r="52" spans="1:66" x14ac:dyDescent="0.25">
      <c r="A52" s="30" t="s">
        <v>361</v>
      </c>
      <c r="B52" s="31" t="s">
        <v>362</v>
      </c>
      <c r="C52" s="33">
        <f>-'A domestic'!C52</f>
        <v>-0.00595373699338464</v>
      </c>
      <c r="D52" s="33">
        <f>-'A domestic'!D52</f>
        <v>-0.0033802988305863396</v>
      </c>
      <c r="E52" s="33">
        <f>-'A domestic'!E52</f>
        <v>-0.005959046823990932</v>
      </c>
      <c r="F52" s="33">
        <f>-'A domestic'!F52</f>
        <v>-0.0066537881695334184</v>
      </c>
      <c r="G52" s="33">
        <f>-'A domestic'!G52</f>
        <v>-0.0047310223446587075</v>
      </c>
      <c r="H52" s="33">
        <f>-'A domestic'!H52</f>
        <v>-0.004263437205208876</v>
      </c>
      <c r="I52" s="33">
        <f>-'A domestic'!I52</f>
        <v>-0.004628443115296945</v>
      </c>
      <c r="J52" s="33">
        <f>-'A domestic'!J52</f>
        <v>-0.005334237167770232</v>
      </c>
      <c r="K52" s="33">
        <f>-'A domestic'!K52</f>
        <v>-0.012939987290322304</v>
      </c>
      <c r="L52" s="33">
        <f>-'A domestic'!L52</f>
        <v>-0.002454510371743614</v>
      </c>
      <c r="M52" s="33">
        <f>-'A domestic'!M52</f>
        <v>-0.007776052217502539</v>
      </c>
      <c r="N52" s="33">
        <f>-'A domestic'!N52</f>
        <v>-0.017329084130238332</v>
      </c>
      <c r="O52" s="33">
        <f>-'A domestic'!O52</f>
        <v>-0.006350026724710815</v>
      </c>
      <c r="P52" s="33">
        <f>-'A domestic'!P52</f>
        <v>-0.007642373202746184</v>
      </c>
      <c r="Q52" s="33">
        <f>-'A domestic'!Q52</f>
        <v>-0.0031372922974229394</v>
      </c>
      <c r="R52" s="33">
        <f>-'A domestic'!R52</f>
        <v>-0.005069617445230868</v>
      </c>
      <c r="S52" s="33">
        <f>-'A domestic'!S52</f>
        <v>-0.005728151894196554</v>
      </c>
      <c r="T52" s="33">
        <f>-'A domestic'!T52</f>
        <v>-0.00535723230253803</v>
      </c>
      <c r="U52" s="33">
        <f>-'A domestic'!U52</f>
        <v>-0.004896475848414127</v>
      </c>
      <c r="V52" s="33">
        <f>-'A domestic'!V52</f>
        <v>-0.004215888585479104</v>
      </c>
      <c r="W52" s="33">
        <f>-'A domestic'!W52</f>
        <v>-0.004747886041940576</v>
      </c>
      <c r="X52" s="33">
        <f>-'A domestic'!X52</f>
        <v>-0.005103859432067952</v>
      </c>
      <c r="Y52" s="33">
        <f>-'A domestic'!Y52</f>
        <v>-0.006299613613426091</v>
      </c>
      <c r="Z52" s="33">
        <f>-'A domestic'!Z52</f>
        <v>-0.005095980353630015</v>
      </c>
      <c r="AA52" s="33">
        <f>-'A domestic'!AA52</f>
        <v>-0.011673173937276468</v>
      </c>
      <c r="AB52" s="33">
        <f>-'A domestic'!AB52</f>
        <v>-0.011810468318042899</v>
      </c>
      <c r="AC52" s="33">
        <f>-'A domestic'!AC52</f>
        <v>-0.010886361819399327</v>
      </c>
      <c r="AD52" s="33">
        <f>-'A domestic'!AD52</f>
        <v>-0.006783233153239727</v>
      </c>
      <c r="AE52" s="33">
        <f>-'A domestic'!AE52</f>
        <v>-0.011353456784827768</v>
      </c>
      <c r="AF52" s="33">
        <f>-'A domestic'!AF52</f>
        <v>-0.009346465585559672</v>
      </c>
      <c r="AG52" s="33">
        <f>-'A domestic'!AG52</f>
        <v>-0.013539114017722337</v>
      </c>
      <c r="AH52" s="33">
        <f>-'A domestic'!AH52</f>
        <v>-0.016856046709309895</v>
      </c>
      <c r="AI52" s="33">
        <f>-'A domestic'!AI52</f>
        <v>-0.0382260549367465</v>
      </c>
      <c r="AJ52" s="33">
        <f>-'A domestic'!AJ52</f>
        <v>-0.01080142494340958</v>
      </c>
      <c r="AK52" s="33">
        <f>-'A domestic'!AK52</f>
        <v>-0.006933335179269217</v>
      </c>
      <c r="AL52" s="33">
        <f>-'A domestic'!AL52</f>
        <v>-0.007110957593709363</v>
      </c>
      <c r="AM52" s="33">
        <f>-'A domestic'!AM52</f>
        <v>-0.008313292320428458</v>
      </c>
      <c r="AN52" s="33">
        <f>-'A domestic'!AN52</f>
        <v>-0.040508545681267175</v>
      </c>
      <c r="AO52" s="33">
        <f>-'A domestic'!AO52</f>
        <v>-0.016551920007620093</v>
      </c>
      <c r="AP52" s="33">
        <f>-'A domestic'!AP52</f>
        <v>-0.014992147402401354</v>
      </c>
      <c r="AQ52" s="33">
        <f>-'A domestic'!AQ52</f>
        <v>-0.0036625510803159505</v>
      </c>
      <c r="AR52" s="33">
        <f>-'A domestic'!AR52</f>
        <v>-0.006850686003328631</v>
      </c>
      <c r="AS52" s="33">
        <f>-'A domestic'!AS52</f>
        <v>-0.01054327261280303</v>
      </c>
      <c r="AT52" s="33">
        <f>-'A domestic'!AT52</f>
        <v>-0.0006673901587623162</v>
      </c>
      <c r="AU52" s="33">
        <f>-'A domestic'!AU52</f>
        <v>-0.011036620414864048</v>
      </c>
      <c r="AV52" s="33">
        <f>-'A domestic'!AV52</f>
        <v>-0.007428110634224926</v>
      </c>
      <c r="AW52" s="33">
        <f>-'A domestic'!AW52</f>
        <v>-0.008411827297126816</v>
      </c>
      <c r="AX52" s="33">
        <f>-'A domestic'!AX52</f>
        <v>-0.011131349343094015</v>
      </c>
      <c r="AY52" s="33">
        <f>-'A domestic'!AY52</f>
        <v>-0.009823922760505706</v>
      </c>
      <c r="AZ52" s="33">
        <f>1-'A domestic'!AZ52</f>
        <v>0.9115032358296068</v>
      </c>
      <c r="BA52" s="33">
        <f>-'A domestic'!BA52</f>
        <v>-0.0022517948015487745</v>
      </c>
      <c r="BB52" s="33">
        <f>-'A domestic'!BB52</f>
        <v>-0.008333938340344764</v>
      </c>
      <c r="BC52" s="33">
        <f>-'A domestic'!BC52</f>
        <v>-0.018544237618995676</v>
      </c>
      <c r="BD52" s="33">
        <f>-'A domestic'!BD52</f>
        <v>-0.004654801543586237</v>
      </c>
      <c r="BE52" s="33">
        <f>-'A domestic'!BE52</f>
        <v>-0.003983735050005592</v>
      </c>
      <c r="BF52" s="33">
        <f>-'A domestic'!BF52</f>
        <v>-0.0038429462135829437</v>
      </c>
      <c r="BG52" s="33">
        <f>-'A domestic'!BG52</f>
        <v>-0.005012982002249303</v>
      </c>
      <c r="BH52" s="33">
        <f>-'A domestic'!BH52</f>
        <v>-0.00891783234789409</v>
      </c>
      <c r="BI52" s="33">
        <f>-'A domestic'!BI52</f>
        <v>-0.012785721099570841</v>
      </c>
      <c r="BJ52" s="33">
        <f>-'A domestic'!BJ52</f>
        <v>-0.0065009417278909624</v>
      </c>
      <c r="BK52" s="33">
        <f>-'A domestic'!BK52</f>
        <v>-0.006942665208561162</v>
      </c>
      <c r="BL52" s="33">
        <f>-'A domestic'!BL52</f>
        <v>-0.01275540376907357</v>
      </c>
      <c r="BM52" s="33">
        <f>-'A domestic'!BM52</f>
        <v>0</v>
      </c>
      <c r="BN52" s="33">
        <f>-'A domestic'!BN52</f>
        <v>0</v>
      </c>
    </row>
    <row r="53" spans="1:66" x14ac:dyDescent="0.25">
      <c r="A53" s="30" t="s">
        <v>364</v>
      </c>
      <c r="B53" s="31" t="s">
        <v>365</v>
      </c>
      <c r="C53" s="33">
        <f>-'A domestic'!C53</f>
        <v>-0.006236541682705358</v>
      </c>
      <c r="D53" s="33">
        <f>-'A domestic'!D53</f>
        <v>-0.0023106448188233487</v>
      </c>
      <c r="E53" s="33">
        <f>-'A domestic'!E53</f>
        <v>-0.001839295773691962</v>
      </c>
      <c r="F53" s="33">
        <f>-'A domestic'!F53</f>
        <v>-0.00475782120802017</v>
      </c>
      <c r="G53" s="33">
        <f>-'A domestic'!G53</f>
        <v>-0.009338136610863882</v>
      </c>
      <c r="H53" s="33">
        <f>-'A domestic'!H53</f>
        <v>-0.004637168670148386</v>
      </c>
      <c r="I53" s="33">
        <f>-'A domestic'!I53</f>
        <v>-0.005985124033336559</v>
      </c>
      <c r="J53" s="33">
        <f>-'A domestic'!J53</f>
        <v>-0.005987454813882287</v>
      </c>
      <c r="K53" s="33">
        <f>-'A domestic'!K53</f>
        <v>-0.00996870917158207</v>
      </c>
      <c r="L53" s="33">
        <f>-'A domestic'!L53</f>
        <v>-0.0007271874999426004</v>
      </c>
      <c r="M53" s="33">
        <f>-'A domestic'!M53</f>
        <v>-0.004775310778133133</v>
      </c>
      <c r="N53" s="33">
        <f>-'A domestic'!N53</f>
        <v>-0.007601254523210674</v>
      </c>
      <c r="O53" s="33">
        <f>-'A domestic'!O53</f>
        <v>-0.009064259546131168</v>
      </c>
      <c r="P53" s="33">
        <f>-'A domestic'!P53</f>
        <v>-0.009563783134633387</v>
      </c>
      <c r="Q53" s="33">
        <f>-'A domestic'!Q53</f>
        <v>-0.0040696195993356705</v>
      </c>
      <c r="R53" s="33">
        <f>-'A domestic'!R53</f>
        <v>-0.00939351939476252</v>
      </c>
      <c r="S53" s="33">
        <f>-'A domestic'!S53</f>
        <v>-0.006905697538771304</v>
      </c>
      <c r="T53" s="33">
        <f>-'A domestic'!T53</f>
        <v>-0.00865794349446123</v>
      </c>
      <c r="U53" s="33">
        <f>-'A domestic'!U53</f>
        <v>-0.00883587814756725</v>
      </c>
      <c r="V53" s="33">
        <f>-'A domestic'!V53</f>
        <v>-0.005843989588388208</v>
      </c>
      <c r="W53" s="33">
        <f>-'A domestic'!W53</f>
        <v>-0.012642707742458419</v>
      </c>
      <c r="X53" s="33">
        <f>-'A domestic'!X53</f>
        <v>-0.006587157418168596</v>
      </c>
      <c r="Y53" s="33">
        <f>-'A domestic'!Y53</f>
        <v>-0.01596353555271446</v>
      </c>
      <c r="Z53" s="33">
        <f>-'A domestic'!Z53</f>
        <v>-0.002418204340856268</v>
      </c>
      <c r="AA53" s="33">
        <f>-'A domestic'!AA53</f>
        <v>-0.005046163846374245</v>
      </c>
      <c r="AB53" s="33">
        <f>-'A domestic'!AB53</f>
        <v>-0.0076550796951178396</v>
      </c>
      <c r="AC53" s="33">
        <f>-'A domestic'!AC53</f>
        <v>-0.007460457337282527</v>
      </c>
      <c r="AD53" s="33">
        <f>-'A domestic'!AD53</f>
        <v>-0.004395550837079574</v>
      </c>
      <c r="AE53" s="33">
        <f>-'A domestic'!AE53</f>
        <v>-0.007983869192345252</v>
      </c>
      <c r="AF53" s="33">
        <f>-'A domestic'!AF53</f>
        <v>-0.0066980445881471605</v>
      </c>
      <c r="AG53" s="33">
        <f>-'A domestic'!AG53</f>
        <v>-0.009298257837735772</v>
      </c>
      <c r="AH53" s="33">
        <f>-'A domestic'!AH53</f>
        <v>-0.009582926231678281</v>
      </c>
      <c r="AI53" s="33">
        <f>-'A domestic'!AI53</f>
        <v>-0.007444267641857713</v>
      </c>
      <c r="AJ53" s="33">
        <f>-'A domestic'!AJ53</f>
        <v>-0.015088552598485133</v>
      </c>
      <c r="AK53" s="33">
        <f>-'A domestic'!AK53</f>
        <v>-0.0177389823586215</v>
      </c>
      <c r="AL53" s="33">
        <f>-'A domestic'!AL53</f>
        <v>-0.005839144030829961</v>
      </c>
      <c r="AM53" s="33">
        <f>-'A domestic'!AM53</f>
        <v>-0.0033484533399127507</v>
      </c>
      <c r="AN53" s="33">
        <f>-'A domestic'!AN53</f>
        <v>-0.0024979951141046617</v>
      </c>
      <c r="AO53" s="33">
        <f>-'A domestic'!AO53</f>
        <v>-0.005976719225166748</v>
      </c>
      <c r="AP53" s="33">
        <f>-'A domestic'!AP53</f>
        <v>-0.005834109884112496</v>
      </c>
      <c r="AQ53" s="33">
        <f>-'A domestic'!AQ53</f>
        <v>-0.0029010875123450216</v>
      </c>
      <c r="AR53" s="33">
        <f>-'A domestic'!AR53</f>
        <v>-0.0017979187215110394</v>
      </c>
      <c r="AS53" s="33">
        <f>-'A domestic'!AS53</f>
        <v>-0.005343749297340011</v>
      </c>
      <c r="AT53" s="33">
        <f>-'A domestic'!AT53</f>
        <v>-0.0008319020937261816</v>
      </c>
      <c r="AU53" s="33">
        <f>-'A domestic'!AU53</f>
        <v>-0.006907963139892493</v>
      </c>
      <c r="AV53" s="33">
        <f>-'A domestic'!AV53</f>
        <v>-0.0096898386372364</v>
      </c>
      <c r="AW53" s="33">
        <f>-'A domestic'!AW53</f>
        <v>-0.005818278957319454</v>
      </c>
      <c r="AX53" s="33">
        <f>-'A domestic'!AX53</f>
        <v>-0.0053704996076228305</v>
      </c>
      <c r="AY53" s="33">
        <f>-'A domestic'!AY53</f>
        <v>-0.00691797850990012</v>
      </c>
      <c r="AZ53" s="33">
        <f>-'A domestic'!AZ53</f>
        <v>-0.009032746964747316</v>
      </c>
      <c r="BA53" s="33">
        <f>1-'A domestic'!BA53</f>
        <v>0.9618611917078644</v>
      </c>
      <c r="BB53" s="33">
        <f>-'A domestic'!BB53</f>
        <v>-0.004662410076677657</v>
      </c>
      <c r="BC53" s="33">
        <f>-'A domestic'!BC53</f>
        <v>-0.014281048578696687</v>
      </c>
      <c r="BD53" s="33">
        <f>-'A domestic'!BD53</f>
        <v>-0.003273487045060339</v>
      </c>
      <c r="BE53" s="33">
        <f>-'A domestic'!BE53</f>
        <v>-0.003415961459600701</v>
      </c>
      <c r="BF53" s="33">
        <f>-'A domestic'!BF53</f>
        <v>-0.005397537912009058</v>
      </c>
      <c r="BG53" s="33">
        <f>-'A domestic'!BG53</f>
        <v>-0.007514585617955478</v>
      </c>
      <c r="BH53" s="33">
        <f>-'A domestic'!BH53</f>
        <v>-0.0028175357559951184</v>
      </c>
      <c r="BI53" s="33">
        <f>-'A domestic'!BI53</f>
        <v>-0.0029443384836334925</v>
      </c>
      <c r="BJ53" s="33">
        <f>-'A domestic'!BJ53</f>
        <v>-0.004178108780354551</v>
      </c>
      <c r="BK53" s="33">
        <f>-'A domestic'!BK53</f>
        <v>-0.0067926886423996255</v>
      </c>
      <c r="BL53" s="33">
        <f>-'A domestic'!BL53</f>
        <v>-0.0031340879400996186</v>
      </c>
      <c r="BM53" s="33">
        <f>-'A domestic'!BM53</f>
        <v>0</v>
      </c>
      <c r="BN53" s="33">
        <f>-'A domestic'!BN53</f>
        <v>0</v>
      </c>
    </row>
    <row r="54" spans="1:66" x14ac:dyDescent="0.25">
      <c r="A54" s="30" t="s">
        <v>366</v>
      </c>
      <c r="B54" s="31" t="s">
        <v>367</v>
      </c>
      <c r="C54" s="33">
        <f>-'A domestic'!C54</f>
        <v>-0.00012010470756336702</v>
      </c>
      <c r="D54" s="33">
        <f>-'A domestic'!D54</f>
        <v>-0.00035388253981979214</v>
      </c>
      <c r="E54" s="33">
        <f>-'A domestic'!E54</f>
        <v>-0.000997699183515566</v>
      </c>
      <c r="F54" s="33">
        <f>-'A domestic'!F54</f>
        <v>-0.0004976339434092883</v>
      </c>
      <c r="G54" s="33">
        <f>-'A domestic'!G54</f>
        <v>-0.00023207011843375474</v>
      </c>
      <c r="H54" s="33">
        <f>-'A domestic'!H54</f>
        <v>-0.0004584907748494095</v>
      </c>
      <c r="I54" s="33">
        <f>-'A domestic'!I54</f>
        <v>-0.00031682289995920907</v>
      </c>
      <c r="J54" s="33">
        <f>-'A domestic'!J54</f>
        <v>-0.000311141418257904</v>
      </c>
      <c r="K54" s="33">
        <f>-'A domestic'!K54</f>
        <v>-0.0005189074226508066</v>
      </c>
      <c r="L54" s="33">
        <f>-'A domestic'!L54</f>
        <v>-0.00013867809104740168</v>
      </c>
      <c r="M54" s="33">
        <f>-'A domestic'!M54</f>
        <v>-0.0003589795714149516</v>
      </c>
      <c r="N54" s="33">
        <f>-'A domestic'!N54</f>
        <v>-0.0004074455425080885</v>
      </c>
      <c r="O54" s="33">
        <f>-'A domestic'!O54</f>
        <v>-0.000272152010491446</v>
      </c>
      <c r="P54" s="33">
        <f>-'A domestic'!P54</f>
        <v>-0.0005929395051212517</v>
      </c>
      <c r="Q54" s="33">
        <f>-'A domestic'!Q54</f>
        <v>-0.00017959170699533543</v>
      </c>
      <c r="R54" s="33">
        <f>-'A domestic'!R54</f>
        <v>-0.0004020560052976038</v>
      </c>
      <c r="S54" s="33">
        <f>-'A domestic'!S54</f>
        <v>-0.00033676988404035015</v>
      </c>
      <c r="T54" s="33">
        <f>-'A domestic'!T54</f>
        <v>-0.0008982356844823236</v>
      </c>
      <c r="U54" s="33">
        <f>-'A domestic'!U54</f>
        <v>-0.00035876021580787354</v>
      </c>
      <c r="V54" s="33">
        <f>-'A domestic'!V54</f>
        <v>-0.0004275886384014285</v>
      </c>
      <c r="W54" s="33">
        <f>-'A domestic'!W54</f>
        <v>-0.0004899223306378443</v>
      </c>
      <c r="X54" s="33">
        <f>-'A domestic'!X54</f>
        <v>-0.0003746639988970806</v>
      </c>
      <c r="Y54" s="33">
        <f>-'A domestic'!Y54</f>
        <v>-0.0004675241050643849</v>
      </c>
      <c r="Z54" s="33">
        <f>-'A domestic'!Z54</f>
        <v>-0.00034350609627332036</v>
      </c>
      <c r="AA54" s="33">
        <f>-'A domestic'!AA54</f>
        <v>-0.0006970548364059339</v>
      </c>
      <c r="AB54" s="33">
        <f>-'A domestic'!AB54</f>
        <v>-0.00042176558090124356</v>
      </c>
      <c r="AC54" s="33">
        <f>-'A domestic'!AC54</f>
        <v>-0.0002437974413926495</v>
      </c>
      <c r="AD54" s="33">
        <f>-'A domestic'!AD54</f>
        <v>-0.00038473685156271346</v>
      </c>
      <c r="AE54" s="33">
        <f>-'A domestic'!AE54</f>
        <v>-0.0006576673309725168</v>
      </c>
      <c r="AF54" s="33">
        <f>-'A domestic'!AF54</f>
        <v>-0.00029003626836178936</v>
      </c>
      <c r="AG54" s="33">
        <f>-'A domestic'!AG54</f>
        <v>-0.002828057668184409</v>
      </c>
      <c r="AH54" s="33">
        <f>-'A domestic'!AH54</f>
        <v>-0.0013216053729265707</v>
      </c>
      <c r="AI54" s="33">
        <f>-'A domestic'!AI54</f>
        <v>-0.0164626758491533</v>
      </c>
      <c r="AJ54" s="33">
        <f>-'A domestic'!AJ54</f>
        <v>-0.0013841560181712556</v>
      </c>
      <c r="AK54" s="33">
        <f>-'A domestic'!AK54</f>
        <v>-0.0004637913907857803</v>
      </c>
      <c r="AL54" s="33">
        <f>-'A domestic'!AL54</f>
        <v>-0.0018138186165611108</v>
      </c>
      <c r="AM54" s="33">
        <f>-'A domestic'!AM54</f>
        <v>-0.000309991766690978</v>
      </c>
      <c r="AN54" s="33">
        <f>-'A domestic'!AN54</f>
        <v>-0.0013953078716687603</v>
      </c>
      <c r="AO54" s="33">
        <f>-'A domestic'!AO54</f>
        <v>-0.001454322427463927</v>
      </c>
      <c r="AP54" s="33">
        <f>-'A domestic'!AP54</f>
        <v>-0.0005625457221486796</v>
      </c>
      <c r="AQ54" s="33">
        <f>-'A domestic'!AQ54</f>
        <v>-0.00034933369541001886</v>
      </c>
      <c r="AR54" s="33">
        <f>-'A domestic'!AR54</f>
        <v>-0.0006455856770710651</v>
      </c>
      <c r="AS54" s="33">
        <f>-'A domestic'!AS54</f>
        <v>-0.0005373943600895551</v>
      </c>
      <c r="AT54" s="33">
        <f>-'A domestic'!AT54</f>
        <v>-0.00007744248768982183</v>
      </c>
      <c r="AU54" s="33">
        <f>-'A domestic'!AU54</f>
        <v>-0.0006365347675148917</v>
      </c>
      <c r="AV54" s="33">
        <f>-'A domestic'!AV54</f>
        <v>-0.0003186757361766315</v>
      </c>
      <c r="AW54" s="33">
        <f>-'A domestic'!AW54</f>
        <v>-0.0005737650511522334</v>
      </c>
      <c r="AX54" s="33">
        <f>-'A domestic'!AX54</f>
        <v>-0.0007251014244304739</v>
      </c>
      <c r="AY54" s="33">
        <f>-'A domestic'!AY54</f>
        <v>-0.0005450565765039444</v>
      </c>
      <c r="AZ54" s="33">
        <f>-'A domestic'!AZ54</f>
        <v>-0.0009133171134727981</v>
      </c>
      <c r="BA54" s="33">
        <f>-'A domestic'!BA54</f>
        <v>-0.00028340666838714553</v>
      </c>
      <c r="BB54" s="33">
        <f>1-'A domestic'!BB54</f>
        <v>0.9070605514951385</v>
      </c>
      <c r="BC54" s="33">
        <f>-'A domestic'!BC54</f>
        <v>-0.00042063005492638653</v>
      </c>
      <c r="BD54" s="33">
        <f>-'A domestic'!BD54</f>
        <v>-0.00046575162818165587</v>
      </c>
      <c r="BE54" s="33">
        <f>-'A domestic'!BE54</f>
        <v>-0.0004242680475959698</v>
      </c>
      <c r="BF54" s="33">
        <f>-'A domestic'!BF54</f>
        <v>-0.00019924734097686211</v>
      </c>
      <c r="BG54" s="33">
        <f>-'A domestic'!BG54</f>
        <v>-0.00032348958581160657</v>
      </c>
      <c r="BH54" s="33">
        <f>-'A domestic'!BH54</f>
        <v>-0.0024208288163731296</v>
      </c>
      <c r="BI54" s="33">
        <f>-'A domestic'!BI54</f>
        <v>-0.006899385089158268</v>
      </c>
      <c r="BJ54" s="33">
        <f>-'A domestic'!BJ54</f>
        <v>-0.0006538898394030453</v>
      </c>
      <c r="BK54" s="33">
        <f>-'A domestic'!BK54</f>
        <v>-0.0010529604749257928</v>
      </c>
      <c r="BL54" s="33">
        <f>-'A domestic'!BL54</f>
        <v>-0.00029914124187107547</v>
      </c>
      <c r="BM54" s="33">
        <f>-'A domestic'!BM54</f>
        <v>0</v>
      </c>
      <c r="BN54" s="33">
        <f>-'A domestic'!BN54</f>
        <v>0</v>
      </c>
    </row>
    <row r="55" spans="1:66" x14ac:dyDescent="0.25">
      <c r="A55" s="30" t="s">
        <v>368</v>
      </c>
      <c r="B55" s="31" t="s">
        <v>369</v>
      </c>
      <c r="C55" s="33">
        <f>-'A domestic'!C55</f>
        <v>-0.004208378176206524</v>
      </c>
      <c r="D55" s="33">
        <f>-'A domestic'!D55</f>
        <v>-0.004152115048654845</v>
      </c>
      <c r="E55" s="33">
        <f>-'A domestic'!E55</f>
        <v>-0.0036582303395570753</v>
      </c>
      <c r="F55" s="33">
        <f>-'A domestic'!F55</f>
        <v>-0.011520868490589944</v>
      </c>
      <c r="G55" s="33">
        <f>-'A domestic'!G55</f>
        <v>-0.008904458336276516</v>
      </c>
      <c r="H55" s="33">
        <f>-'A domestic'!H55</f>
        <v>-0.010956787683637852</v>
      </c>
      <c r="I55" s="33">
        <f>-'A domestic'!I55</f>
        <v>-0.007005180620169512</v>
      </c>
      <c r="J55" s="33">
        <f>-'A domestic'!J55</f>
        <v>-0.010092817878705956</v>
      </c>
      <c r="K55" s="33">
        <f>-'A domestic'!K55</f>
        <v>-0.014264978298296418</v>
      </c>
      <c r="L55" s="33">
        <f>-'A domestic'!L55</f>
        <v>-0.006051507798208869</v>
      </c>
      <c r="M55" s="33">
        <f>-'A domestic'!M55</f>
        <v>-0.014110513074467776</v>
      </c>
      <c r="N55" s="33">
        <f>-'A domestic'!N55</f>
        <v>-0.011589053762896841</v>
      </c>
      <c r="O55" s="33">
        <f>-'A domestic'!O55</f>
        <v>-0.008153349109367831</v>
      </c>
      <c r="P55" s="33">
        <f>-'A domestic'!P55</f>
        <v>-0.010055516594781532</v>
      </c>
      <c r="Q55" s="33">
        <f>-'A domestic'!Q55</f>
        <v>-0.0075108668875803605</v>
      </c>
      <c r="R55" s="33">
        <f>-'A domestic'!R55</f>
        <v>-0.007885129415476484</v>
      </c>
      <c r="S55" s="33">
        <f>-'A domestic'!S55</f>
        <v>-0.007069103699336751</v>
      </c>
      <c r="T55" s="33">
        <f>-'A domestic'!T55</f>
        <v>-0.009534378601799226</v>
      </c>
      <c r="U55" s="33">
        <f>-'A domestic'!U55</f>
        <v>-0.009562130309303188</v>
      </c>
      <c r="V55" s="33">
        <f>-'A domestic'!V55</f>
        <v>-0.008451992812504836</v>
      </c>
      <c r="W55" s="33">
        <f>-'A domestic'!W55</f>
        <v>-0.009140697485236372</v>
      </c>
      <c r="X55" s="33">
        <f>-'A domestic'!X55</f>
        <v>-0.00947624901690881</v>
      </c>
      <c r="Y55" s="33">
        <f>-'A domestic'!Y55</f>
        <v>-0.010369060203561535</v>
      </c>
      <c r="Z55" s="33">
        <f>-'A domestic'!Z55</f>
        <v>-0.010984337389955494</v>
      </c>
      <c r="AA55" s="33">
        <f>-'A domestic'!AA55</f>
        <v>-0.026853004106779106</v>
      </c>
      <c r="AB55" s="33">
        <f>-'A domestic'!AB55</f>
        <v>-0.022837952572357226</v>
      </c>
      <c r="AC55" s="33">
        <f>-'A domestic'!AC55</f>
        <v>-0.012234772359447562</v>
      </c>
      <c r="AD55" s="33">
        <f>-'A domestic'!AD55</f>
        <v>-0.015651872964470057</v>
      </c>
      <c r="AE55" s="33">
        <f>-'A domestic'!AE55</f>
        <v>-0.020955706210227035</v>
      </c>
      <c r="AF55" s="33">
        <f>-'A domestic'!AF55</f>
        <v>-0.020698204995778815</v>
      </c>
      <c r="AG55" s="33">
        <f>-'A domestic'!AG55</f>
        <v>-0.012157785855023483</v>
      </c>
      <c r="AH55" s="33">
        <f>-'A domestic'!AH55</f>
        <v>-0.012855186807632186</v>
      </c>
      <c r="AI55" s="33">
        <f>-'A domestic'!AI55</f>
        <v>-0.012272349094774272</v>
      </c>
      <c r="AJ55" s="33">
        <f>-'A domestic'!AJ55</f>
        <v>-0.02141950138109557</v>
      </c>
      <c r="AK55" s="33">
        <f>-'A domestic'!AK55</f>
        <v>-0.014593507612754955</v>
      </c>
      <c r="AL55" s="33">
        <f>-'A domestic'!AL55</f>
        <v>-0.015348848580056043</v>
      </c>
      <c r="AM55" s="33">
        <f>-'A domestic'!AM55</f>
        <v>-0.018919439195069776</v>
      </c>
      <c r="AN55" s="33">
        <f>-'A domestic'!AN55</f>
        <v>-0.03101257167756799</v>
      </c>
      <c r="AO55" s="33">
        <f>-'A domestic'!AO55</f>
        <v>-0.01819732553358068</v>
      </c>
      <c r="AP55" s="33">
        <f>-'A domestic'!AP55</f>
        <v>-0.015971272701409692</v>
      </c>
      <c r="AQ55" s="33">
        <f>-'A domestic'!AQ55</f>
        <v>-0.01617085449658378</v>
      </c>
      <c r="AR55" s="33">
        <f>-'A domestic'!AR55</f>
        <v>-0.018817950073544424</v>
      </c>
      <c r="AS55" s="33">
        <f>-'A domestic'!AS55</f>
        <v>-0.02368614627533993</v>
      </c>
      <c r="AT55" s="33">
        <f>-'A domestic'!AT55</f>
        <v>-0.009023733348205326</v>
      </c>
      <c r="AU55" s="33">
        <f>-'A domestic'!AU55</f>
        <v>-0.023893246999300323</v>
      </c>
      <c r="AV55" s="33">
        <f>-'A domestic'!AV55</f>
        <v>-0.0195596432080589</v>
      </c>
      <c r="AW55" s="33">
        <f>-'A domestic'!AW55</f>
        <v>-0.014844185528497067</v>
      </c>
      <c r="AX55" s="33">
        <f>-'A domestic'!AX55</f>
        <v>-0.02626002299243334</v>
      </c>
      <c r="AY55" s="33">
        <f>-'A domestic'!AY55</f>
        <v>-0.026473035369071515</v>
      </c>
      <c r="AZ55" s="33">
        <f>-'A domestic'!AZ55</f>
        <v>-0.03718327031038125</v>
      </c>
      <c r="BA55" s="33">
        <f>-'A domestic'!BA55</f>
        <v>-0.009857399211356534</v>
      </c>
      <c r="BB55" s="33">
        <f>-'A domestic'!BB55</f>
        <v>-0.022300425472842892</v>
      </c>
      <c r="BC55" s="33">
        <f>1-'A domestic'!BC55</f>
        <v>0.9270810217486425</v>
      </c>
      <c r="BD55" s="33">
        <f>-'A domestic'!BD55</f>
        <v>-0.022393388401218267</v>
      </c>
      <c r="BE55" s="33">
        <f>-'A domestic'!BE55</f>
        <v>-0.010689839087393712</v>
      </c>
      <c r="BF55" s="33">
        <f>-'A domestic'!BF55</f>
        <v>-0.015260640079092983</v>
      </c>
      <c r="BG55" s="33">
        <f>-'A domestic'!BG55</f>
        <v>-0.01681537228413525</v>
      </c>
      <c r="BH55" s="33">
        <f>-'A domestic'!BH55</f>
        <v>-0.021652168751887517</v>
      </c>
      <c r="BI55" s="33">
        <f>-'A domestic'!BI55</f>
        <v>-0.023551196433786326</v>
      </c>
      <c r="BJ55" s="33">
        <f>-'A domestic'!BJ55</f>
        <v>-0.01951490230471727</v>
      </c>
      <c r="BK55" s="33">
        <f>-'A domestic'!BK55</f>
        <v>-0.01784096234963287</v>
      </c>
      <c r="BL55" s="33">
        <f>-'A domestic'!BL55</f>
        <v>-0.014937967971732215</v>
      </c>
      <c r="BM55" s="33">
        <f>-'A domestic'!BM55</f>
        <v>0</v>
      </c>
      <c r="BN55" s="33">
        <f>-'A domestic'!BN55</f>
        <v>0</v>
      </c>
    </row>
    <row r="56" spans="1:66" x14ac:dyDescent="0.25">
      <c r="A56" s="30" t="s">
        <v>370</v>
      </c>
      <c r="B56" s="31" t="s">
        <v>371</v>
      </c>
      <c r="C56" s="33">
        <f>-'A domestic'!C56</f>
        <v>-0.002596566017874304</v>
      </c>
      <c r="D56" s="33">
        <f>-'A domestic'!D56</f>
        <v>-0.006164922073783708</v>
      </c>
      <c r="E56" s="33">
        <f>-'A domestic'!E56</f>
        <v>-0.005714712330068753</v>
      </c>
      <c r="F56" s="33">
        <f>-'A domestic'!F56</f>
        <v>-0.005197612091586682</v>
      </c>
      <c r="G56" s="33">
        <f>-'A domestic'!G56</f>
        <v>-0.0035719226060135145</v>
      </c>
      <c r="H56" s="33">
        <f>-'A domestic'!H56</f>
        <v>-0.00324808215592551</v>
      </c>
      <c r="I56" s="33">
        <f>-'A domestic'!I56</f>
        <v>-0.003971035597881587</v>
      </c>
      <c r="J56" s="33">
        <f>-'A domestic'!J56</f>
        <v>-0.005398348439832019</v>
      </c>
      <c r="K56" s="33">
        <f>-'A domestic'!K56</f>
        <v>-0.0057250416192186245</v>
      </c>
      <c r="L56" s="33">
        <f>-'A domestic'!L56</f>
        <v>-0.0030321826847821286</v>
      </c>
      <c r="M56" s="33">
        <f>-'A domestic'!M56</f>
        <v>-0.004942508901606032</v>
      </c>
      <c r="N56" s="33">
        <f>-'A domestic'!N56</f>
        <v>-0.002785377387687395</v>
      </c>
      <c r="O56" s="33">
        <f>-'A domestic'!O56</f>
        <v>-0.004065743629442756</v>
      </c>
      <c r="P56" s="33">
        <f>-'A domestic'!P56</f>
        <v>-0.0047435160409700135</v>
      </c>
      <c r="Q56" s="33">
        <f>-'A domestic'!Q56</f>
        <v>-0.0062624661278915476</v>
      </c>
      <c r="R56" s="33">
        <f>-'A domestic'!R56</f>
        <v>-0.003176290438986601</v>
      </c>
      <c r="S56" s="33">
        <f>-'A domestic'!S56</f>
        <v>-0.0025340720993938404</v>
      </c>
      <c r="T56" s="33">
        <f>-'A domestic'!T56</f>
        <v>-0.0038296347183534142</v>
      </c>
      <c r="U56" s="33">
        <f>-'A domestic'!U56</f>
        <v>-0.0024641195492807453</v>
      </c>
      <c r="V56" s="33">
        <f>-'A domestic'!V56</f>
        <v>-0.0025041430473633</v>
      </c>
      <c r="W56" s="33">
        <f>-'A domestic'!W56</f>
        <v>-0.00229241144388209</v>
      </c>
      <c r="X56" s="33">
        <f>-'A domestic'!X56</f>
        <v>-0.0028858771316381425</v>
      </c>
      <c r="Y56" s="33">
        <f>-'A domestic'!Y56</f>
        <v>-0.002505896764352037</v>
      </c>
      <c r="Z56" s="33">
        <f>-'A domestic'!Z56</f>
        <v>-0.013469957146118846</v>
      </c>
      <c r="AA56" s="33">
        <f>-'A domestic'!AA56</f>
        <v>-0.014870503176659925</v>
      </c>
      <c r="AB56" s="33">
        <f>-'A domestic'!AB56</f>
        <v>-0.02354250062267186</v>
      </c>
      <c r="AC56" s="33">
        <f>-'A domestic'!AC56</f>
        <v>-0.005495894427173112</v>
      </c>
      <c r="AD56" s="33">
        <f>-'A domestic'!AD56</f>
        <v>-0.0037474304722909467</v>
      </c>
      <c r="AE56" s="33">
        <f>-'A domestic'!AE56</f>
        <v>-0.0032326752234344033</v>
      </c>
      <c r="AF56" s="33">
        <f>-'A domestic'!AF56</f>
        <v>-0.003838988207897926</v>
      </c>
      <c r="AG56" s="33">
        <f>-'A domestic'!AG56</f>
        <v>-0.00581256052861898</v>
      </c>
      <c r="AH56" s="33">
        <f>-'A domestic'!AH56</f>
        <v>-0.0031851547672837447</v>
      </c>
      <c r="AI56" s="33">
        <f>-'A domestic'!AI56</f>
        <v>-0.0040245611482115345</v>
      </c>
      <c r="AJ56" s="33">
        <f>-'A domestic'!AJ56</f>
        <v>-0.008560900639021013</v>
      </c>
      <c r="AK56" s="33">
        <f>-'A domestic'!AK56</f>
        <v>-0.0027522904026332277</v>
      </c>
      <c r="AL56" s="33">
        <f>-'A domestic'!AL56</f>
        <v>-0.003738156243236908</v>
      </c>
      <c r="AM56" s="33">
        <f>-'A domestic'!AM56</f>
        <v>-0.0025757333383944238</v>
      </c>
      <c r="AN56" s="33">
        <f>-'A domestic'!AN56</f>
        <v>-0.004787389383607682</v>
      </c>
      <c r="AO56" s="33">
        <f>-'A domestic'!AO56</f>
        <v>-0.004919373386828858</v>
      </c>
      <c r="AP56" s="33">
        <f>-'A domestic'!AP56</f>
        <v>-0.003508267725678719</v>
      </c>
      <c r="AQ56" s="33">
        <f>-'A domestic'!AQ56</f>
        <v>-0.0022448434931116546</v>
      </c>
      <c r="AR56" s="33">
        <f>-'A domestic'!AR56</f>
        <v>-0.0022520720433733873</v>
      </c>
      <c r="AS56" s="33">
        <f>-'A domestic'!AS56</f>
        <v>-0.0033734103823434</v>
      </c>
      <c r="AT56" s="33">
        <f>-'A domestic'!AT56</f>
        <v>-0.002268073739285621</v>
      </c>
      <c r="AU56" s="33">
        <f>-'A domestic'!AU56</f>
        <v>-0.008086584249318445</v>
      </c>
      <c r="AV56" s="33">
        <f>-'A domestic'!AV56</f>
        <v>-0.010265417416153045</v>
      </c>
      <c r="AW56" s="33">
        <f>-'A domestic'!AW56</f>
        <v>-0.004315657922009489</v>
      </c>
      <c r="AX56" s="33">
        <f>-'A domestic'!AX56</f>
        <v>-0.009790606693288467</v>
      </c>
      <c r="AY56" s="33">
        <f>-'A domestic'!AY56</f>
        <v>-0.010732145556529188</v>
      </c>
      <c r="AZ56" s="33">
        <f>-'A domestic'!AZ56</f>
        <v>-0.003791962375134758</v>
      </c>
      <c r="BA56" s="33">
        <f>-'A domestic'!BA56</f>
        <v>-0.003244576948989806</v>
      </c>
      <c r="BB56" s="33">
        <f>-'A domestic'!BB56</f>
        <v>-0.0029239789409691327</v>
      </c>
      <c r="BC56" s="33">
        <f>-'A domestic'!BC56</f>
        <v>-0.007864559629795402</v>
      </c>
      <c r="BD56" s="33">
        <f>1-'A domestic'!BD56</f>
        <v>0.9872075269806695</v>
      </c>
      <c r="BE56" s="33">
        <f>-'A domestic'!BE56</f>
        <v>-0.003724789624051487</v>
      </c>
      <c r="BF56" s="33">
        <f>-'A domestic'!BF56</f>
        <v>-0.002625217266508268</v>
      </c>
      <c r="BG56" s="33">
        <f>-'A domestic'!BG56</f>
        <v>-0.003734515748631255</v>
      </c>
      <c r="BH56" s="33">
        <f>-'A domestic'!BH56</f>
        <v>-0.008735844675922286</v>
      </c>
      <c r="BI56" s="33">
        <f>-'A domestic'!BI56</f>
        <v>-0.007738032882250455</v>
      </c>
      <c r="BJ56" s="33">
        <f>-'A domestic'!BJ56</f>
        <v>-0.008194039078113094</v>
      </c>
      <c r="BK56" s="33">
        <f>-'A domestic'!BK56</f>
        <v>-0.0026964536791126387</v>
      </c>
      <c r="BL56" s="33">
        <f>-'A domestic'!BL56</f>
        <v>-0.002462611322708162</v>
      </c>
      <c r="BM56" s="33">
        <f>-'A domestic'!BM56</f>
        <v>0</v>
      </c>
      <c r="BN56" s="33">
        <f>-'A domestic'!BN56</f>
        <v>0</v>
      </c>
    </row>
    <row r="57" spans="1:66" x14ac:dyDescent="0.25">
      <c r="A57" s="30" t="s">
        <v>373</v>
      </c>
      <c r="B57" s="31" t="s">
        <v>374</v>
      </c>
      <c r="C57" s="33">
        <f>-'A domestic'!C57</f>
        <v>-0.0005043350292886152</v>
      </c>
      <c r="D57" s="33">
        <f>-'A domestic'!D57</f>
        <v>-0.0008935133810834569</v>
      </c>
      <c r="E57" s="33">
        <f>-'A domestic'!E57</f>
        <v>-0.0012284595388865134</v>
      </c>
      <c r="F57" s="33">
        <f>-'A domestic'!F57</f>
        <v>-0.001146761614978231</v>
      </c>
      <c r="G57" s="33">
        <f>-'A domestic'!G57</f>
        <v>-0.0009231299004026274</v>
      </c>
      <c r="H57" s="33">
        <f>-'A domestic'!H57</f>
        <v>-0.0013873298445874372</v>
      </c>
      <c r="I57" s="33">
        <f>-'A domestic'!I57</f>
        <v>-0.0007417050390116484</v>
      </c>
      <c r="J57" s="33">
        <f>-'A domestic'!J57</f>
        <v>-0.0007688869341675868</v>
      </c>
      <c r="K57" s="33">
        <f>-'A domestic'!K57</f>
        <v>-0.0010747781137644102</v>
      </c>
      <c r="L57" s="33">
        <f>-'A domestic'!L57</f>
        <v>-0.0007901895995840027</v>
      </c>
      <c r="M57" s="33">
        <f>-'A domestic'!M57</f>
        <v>-0.0013339605232781232</v>
      </c>
      <c r="N57" s="33">
        <f>-'A domestic'!N57</f>
        <v>-0.00201865852995586</v>
      </c>
      <c r="O57" s="33">
        <f>-'A domestic'!O57</f>
        <v>-0.0008458854455851535</v>
      </c>
      <c r="P57" s="33">
        <f>-'A domestic'!P57</f>
        <v>-0.0010387728259135635</v>
      </c>
      <c r="Q57" s="33">
        <f>-'A domestic'!Q57</f>
        <v>-0.0005618200745385051</v>
      </c>
      <c r="R57" s="33">
        <f>-'A domestic'!R57</f>
        <v>-0.0012004083596290971</v>
      </c>
      <c r="S57" s="33">
        <f>-'A domestic'!S57</f>
        <v>-0.002050747315096355</v>
      </c>
      <c r="T57" s="33">
        <f>-'A domestic'!T57</f>
        <v>-0.001957639921424492</v>
      </c>
      <c r="U57" s="33">
        <f>-'A domestic'!U57</f>
        <v>-0.0016682666402099459</v>
      </c>
      <c r="V57" s="33">
        <f>-'A domestic'!V57</f>
        <v>-0.0025092433239002937</v>
      </c>
      <c r="W57" s="33">
        <f>-'A domestic'!W57</f>
        <v>-0.002312931750924513</v>
      </c>
      <c r="X57" s="33">
        <f>-'A domestic'!X57</f>
        <v>-0.0010732748490807696</v>
      </c>
      <c r="Y57" s="33">
        <f>-'A domestic'!Y57</f>
        <v>-0.002067567573047093</v>
      </c>
      <c r="Z57" s="33">
        <f>-'A domestic'!Z57</f>
        <v>-0.0008052347221712511</v>
      </c>
      <c r="AA57" s="33">
        <f>-'A domestic'!AA57</f>
        <v>-0.0016749272653925815</v>
      </c>
      <c r="AB57" s="33">
        <f>-'A domestic'!AB57</f>
        <v>-0.0015367266312282667</v>
      </c>
      <c r="AC57" s="33">
        <f>-'A domestic'!AC57</f>
        <v>-0.0009353608583517076</v>
      </c>
      <c r="AD57" s="33">
        <f>-'A domestic'!AD57</f>
        <v>-0.002056852931323118</v>
      </c>
      <c r="AE57" s="33">
        <f>-'A domestic'!AE57</f>
        <v>-0.0017821303768886017</v>
      </c>
      <c r="AF57" s="33">
        <f>-'A domestic'!AF57</f>
        <v>-0.001647166909493607</v>
      </c>
      <c r="AG57" s="33">
        <f>-'A domestic'!AG57</f>
        <v>-0.0020789856549601284</v>
      </c>
      <c r="AH57" s="33">
        <f>-'A domestic'!AH57</f>
        <v>-0.003696204117658922</v>
      </c>
      <c r="AI57" s="33">
        <f>-'A domestic'!AI57</f>
        <v>-0.004183367129692606</v>
      </c>
      <c r="AJ57" s="33">
        <f>-'A domestic'!AJ57</f>
        <v>-0.0016671081127401337</v>
      </c>
      <c r="AK57" s="33">
        <f>-'A domestic'!AK57</f>
        <v>-0.0029239624398196057</v>
      </c>
      <c r="AL57" s="33">
        <f>-'A domestic'!AL57</f>
        <v>-0.0010428893747519382</v>
      </c>
      <c r="AM57" s="33">
        <f>-'A domestic'!AM57</f>
        <v>-0.001523749617029122</v>
      </c>
      <c r="AN57" s="33">
        <f>-'A domestic'!AN57</f>
        <v>-0.0019399878547952697</v>
      </c>
      <c r="AO57" s="33">
        <f>-'A domestic'!AO57</f>
        <v>-0.0030947911560469388</v>
      </c>
      <c r="AP57" s="33">
        <f>-'A domestic'!AP57</f>
        <v>-0.003527862932255742</v>
      </c>
      <c r="AQ57" s="33">
        <f>-'A domestic'!AQ57</f>
        <v>-0.002721447303281687</v>
      </c>
      <c r="AR57" s="33">
        <f>-'A domestic'!AR57</f>
        <v>-0.0020536603835476855</v>
      </c>
      <c r="AS57" s="33">
        <f>-'A domestic'!AS57</f>
        <v>-0.0016857415431858847</v>
      </c>
      <c r="AT57" s="33">
        <f>-'A domestic'!AT57</f>
        <v>-0.0005890466255941682</v>
      </c>
      <c r="AU57" s="33">
        <f>-'A domestic'!AU57</f>
        <v>-0.003964188261198312</v>
      </c>
      <c r="AV57" s="33">
        <f>-'A domestic'!AV57</f>
        <v>-0.002234298251052254</v>
      </c>
      <c r="AW57" s="33">
        <f>-'A domestic'!AW57</f>
        <v>-0.014878391535804935</v>
      </c>
      <c r="AX57" s="33">
        <f>-'A domestic'!AX57</f>
        <v>-0.00401817386797015</v>
      </c>
      <c r="AY57" s="33">
        <f>-'A domestic'!AY57</f>
        <v>-0.004350620700843209</v>
      </c>
      <c r="AZ57" s="33">
        <f>-'A domestic'!AZ57</f>
        <v>-0.0014260232137254325</v>
      </c>
      <c r="BA57" s="33">
        <f>-'A domestic'!BA57</f>
        <v>-0.004616522866409396</v>
      </c>
      <c r="BB57" s="33">
        <f>-'A domestic'!BB57</f>
        <v>-0.0017041252436316692</v>
      </c>
      <c r="BC57" s="33">
        <f>-'A domestic'!BC57</f>
        <v>-0.002868245627892223</v>
      </c>
      <c r="BD57" s="33">
        <f>-'A domestic'!BD57</f>
        <v>-0.00585958844846863</v>
      </c>
      <c r="BE57" s="33">
        <f>1-'A domestic'!BE57</f>
        <v>0.9730926577692524</v>
      </c>
      <c r="BF57" s="33">
        <f>-'A domestic'!BF57</f>
        <v>-0.003978010237438408</v>
      </c>
      <c r="BG57" s="33">
        <f>-'A domestic'!BG57</f>
        <v>-0.004078661453947366</v>
      </c>
      <c r="BH57" s="33">
        <f>-'A domestic'!BH57</f>
        <v>-0.0033578252953262765</v>
      </c>
      <c r="BI57" s="33">
        <f>-'A domestic'!BI57</f>
        <v>-0.006118675978212714</v>
      </c>
      <c r="BJ57" s="33">
        <f>-'A domestic'!BJ57</f>
        <v>-0.0077673141345448804</v>
      </c>
      <c r="BK57" s="33">
        <f>-'A domestic'!BK57</f>
        <v>-0.0036463052648023748</v>
      </c>
      <c r="BL57" s="33">
        <f>-'A domestic'!BL57</f>
        <v>-0.0011366306406555226</v>
      </c>
      <c r="BM57" s="33">
        <f>-'A domestic'!BM57</f>
        <v>0</v>
      </c>
      <c r="BN57" s="33">
        <f>-'A domestic'!BN57</f>
        <v>0</v>
      </c>
    </row>
    <row r="58" spans="1:66" x14ac:dyDescent="0.25">
      <c r="A58" s="30" t="s">
        <v>376</v>
      </c>
      <c r="B58" s="31" t="s">
        <v>377</v>
      </c>
      <c r="C58" s="33">
        <f>-'A domestic'!C58</f>
        <v>-0.00043869641003886823</v>
      </c>
      <c r="D58" s="33">
        <f>-'A domestic'!D58</f>
        <v>-0.00043875029823811325</v>
      </c>
      <c r="E58" s="33">
        <f>-'A domestic'!E58</f>
        <v>-0.0010452086684448788</v>
      </c>
      <c r="F58" s="33">
        <f>-'A domestic'!F58</f>
        <v>-0.0009870045925553228</v>
      </c>
      <c r="G58" s="33">
        <f>-'A domestic'!G58</f>
        <v>-0.00040461432506887045</v>
      </c>
      <c r="H58" s="33">
        <f>-'A domestic'!H58</f>
        <v>-0.0004576124400316903</v>
      </c>
      <c r="I58" s="33">
        <f>-'A domestic'!I58</f>
        <v>-0.0003920683386995212</v>
      </c>
      <c r="J58" s="33">
        <f>-'A domestic'!J58</f>
        <v>-0.0003604577813823556</v>
      </c>
      <c r="K58" s="33">
        <f>-'A domestic'!K58</f>
        <v>-0.0006511221906138887</v>
      </c>
      <c r="L58" s="33">
        <f>-'A domestic'!L58</f>
        <v>-0.00028194817186458487</v>
      </c>
      <c r="M58" s="33">
        <f>-'A domestic'!M58</f>
        <v>-0.00042311683461332086</v>
      </c>
      <c r="N58" s="33">
        <f>-'A domestic'!N58</f>
        <v>-0.0015810717055713475</v>
      </c>
      <c r="O58" s="33">
        <f>-'A domestic'!O58</f>
        <v>-0.00043863841031834504</v>
      </c>
      <c r="P58" s="33">
        <f>-'A domestic'!P58</f>
        <v>-0.00044545709014185406</v>
      </c>
      <c r="Q58" s="33">
        <f>-'A domestic'!Q58</f>
        <v>-0.00032024538902265565</v>
      </c>
      <c r="R58" s="33">
        <f>-'A domestic'!R58</f>
        <v>-0.00039517641587150077</v>
      </c>
      <c r="S58" s="33">
        <f>-'A domestic'!S58</f>
        <v>-0.0003977918721265092</v>
      </c>
      <c r="T58" s="33">
        <f>-'A domestic'!T58</f>
        <v>-0.0005655173523510498</v>
      </c>
      <c r="U58" s="33">
        <f>-'A domestic'!U58</f>
        <v>-0.0004505066554765537</v>
      </c>
      <c r="V58" s="33">
        <f>-'A domestic'!V58</f>
        <v>-0.0005194863483679902</v>
      </c>
      <c r="W58" s="33">
        <f>-'A domestic'!W58</f>
        <v>-0.0006320987437174881</v>
      </c>
      <c r="X58" s="33">
        <f>-'A domestic'!X58</f>
        <v>-0.0008786210078997314</v>
      </c>
      <c r="Y58" s="33">
        <f>-'A domestic'!Y58</f>
        <v>-0.0006978395358333099</v>
      </c>
      <c r="Z58" s="33">
        <f>-'A domestic'!Z58</f>
        <v>-0.00024671363244169073</v>
      </c>
      <c r="AA58" s="33">
        <f>-'A domestic'!AA58</f>
        <v>-0.0011418014804931555</v>
      </c>
      <c r="AB58" s="33">
        <f>-'A domestic'!AB58</f>
        <v>-0.0015845450780025514</v>
      </c>
      <c r="AC58" s="33">
        <f>-'A domestic'!AC58</f>
        <v>-0.000427480445181632</v>
      </c>
      <c r="AD58" s="33">
        <f>-'A domestic'!AD58</f>
        <v>-0.0006813509949619903</v>
      </c>
      <c r="AE58" s="33">
        <f>-'A domestic'!AE58</f>
        <v>-0.0010383892523620076</v>
      </c>
      <c r="AF58" s="33">
        <f>-'A domestic'!AF58</f>
        <v>-0.0006570646313394581</v>
      </c>
      <c r="AG58" s="33">
        <f>-'A domestic'!AG58</f>
        <v>-0.0008051488081285193</v>
      </c>
      <c r="AH58" s="33">
        <f>-'A domestic'!AH58</f>
        <v>-0.0004994638487293923</v>
      </c>
      <c r="AI58" s="33">
        <f>-'A domestic'!AI58</f>
        <v>-0.0014425403895491746</v>
      </c>
      <c r="AJ58" s="33">
        <f>-'A domestic'!AJ58</f>
        <v>-0.0009092305261072691</v>
      </c>
      <c r="AK58" s="33">
        <f>-'A domestic'!AK58</f>
        <v>-0.0007392973214316618</v>
      </c>
      <c r="AL58" s="33">
        <f>-'A domestic'!AL58</f>
        <v>-0.0008075435927645989</v>
      </c>
      <c r="AM58" s="33">
        <f>-'A domestic'!AM58</f>
        <v>-0.0006095902234200136</v>
      </c>
      <c r="AN58" s="33">
        <f>-'A domestic'!AN58</f>
        <v>-0.0007132989991795033</v>
      </c>
      <c r="AO58" s="33">
        <f>-'A domestic'!AO58</f>
        <v>-0.0009504786951057174</v>
      </c>
      <c r="AP58" s="33">
        <f>-'A domestic'!AP58</f>
        <v>-0.0009776738022248541</v>
      </c>
      <c r="AQ58" s="33">
        <f>-'A domestic'!AQ58</f>
        <v>-0.0006826088264341227</v>
      </c>
      <c r="AR58" s="33">
        <f>-'A domestic'!AR58</f>
        <v>-0.0011216739563010784</v>
      </c>
      <c r="AS58" s="33">
        <f>-'A domestic'!AS58</f>
        <v>-0.0012376452297818625</v>
      </c>
      <c r="AT58" s="33">
        <f>-'A domestic'!AT58</f>
        <v>-0.0001362001375659328</v>
      </c>
      <c r="AU58" s="33">
        <f>-'A domestic'!AU58</f>
        <v>-0.0007996809742068493</v>
      </c>
      <c r="AV58" s="33">
        <f>-'A domestic'!AV58</f>
        <v>-0.0008900173989369744</v>
      </c>
      <c r="AW58" s="33">
        <f>-'A domestic'!AW58</f>
        <v>-0.0029901751388295597</v>
      </c>
      <c r="AX58" s="33">
        <f>-'A domestic'!AX58</f>
        <v>-0.010256246905143181</v>
      </c>
      <c r="AY58" s="33">
        <f>-'A domestic'!AY58</f>
        <v>-0.0054702295874161375</v>
      </c>
      <c r="AZ58" s="33">
        <f>-'A domestic'!AZ58</f>
        <v>-0.0009494155313307125</v>
      </c>
      <c r="BA58" s="33">
        <f>-'A domestic'!BA58</f>
        <v>-0.001839566920258381</v>
      </c>
      <c r="BB58" s="33">
        <f>-'A domestic'!BB58</f>
        <v>-0.0012453836635341927</v>
      </c>
      <c r="BC58" s="33">
        <f>-'A domestic'!BC58</f>
        <v>-0.004487138499497876</v>
      </c>
      <c r="BD58" s="33">
        <f>-'A domestic'!BD58</f>
        <v>-0.011553925908250481</v>
      </c>
      <c r="BE58" s="33">
        <f>-'A domestic'!BE58</f>
        <v>-0.0019201147535983355</v>
      </c>
      <c r="BF58" s="33">
        <f>1-'A domestic'!BF58</f>
        <v>0.9526529635949036</v>
      </c>
      <c r="BG58" s="33">
        <f>-'A domestic'!BG58</f>
        <v>-0.0157488156850768</v>
      </c>
      <c r="BH58" s="33">
        <f>-'A domestic'!BH58</f>
        <v>-0.001097163087139363</v>
      </c>
      <c r="BI58" s="33">
        <f>-'A domestic'!BI58</f>
        <v>-0.0030414881930914853</v>
      </c>
      <c r="BJ58" s="33">
        <f>-'A domestic'!BJ58</f>
        <v>-0.002237717999223614</v>
      </c>
      <c r="BK58" s="33">
        <f>-'A domestic'!BK58</f>
        <v>-0.0012529292298078425</v>
      </c>
      <c r="BL58" s="33">
        <f>-'A domestic'!BL58</f>
        <v>-0.0009446286378943003</v>
      </c>
      <c r="BM58" s="33">
        <f>-'A domestic'!BM58</f>
        <v>0</v>
      </c>
      <c r="BN58" s="33">
        <f>-'A domestic'!BN58</f>
        <v>0</v>
      </c>
    </row>
    <row r="59" spans="1:66" x14ac:dyDescent="0.25">
      <c r="A59" s="30" t="s">
        <v>379</v>
      </c>
      <c r="B59" s="31" t="s">
        <v>380</v>
      </c>
      <c r="C59" s="33">
        <f>-'A domestic'!C59</f>
        <v>-0.00006598776084150107</v>
      </c>
      <c r="D59" s="33">
        <f>-'A domestic'!D59</f>
        <v>-0.00006084858150747556</v>
      </c>
      <c r="E59" s="33">
        <f>-'A domestic'!E59</f>
        <v>-0.00007465776203177706</v>
      </c>
      <c r="F59" s="33">
        <f>-'A domestic'!F59</f>
        <v>-0.0000642700664919745</v>
      </c>
      <c r="G59" s="33">
        <f>-'A domestic'!G59</f>
        <v>-0.00009234242188787642</v>
      </c>
      <c r="H59" s="33">
        <f>-'A domestic'!H59</f>
        <v>-0.00008563764472761959</v>
      </c>
      <c r="I59" s="33">
        <f>-'A domestic'!I59</f>
        <v>-0.00013068944623317375</v>
      </c>
      <c r="J59" s="33">
        <f>-'A domestic'!J59</f>
        <v>-0.00006545626378336308</v>
      </c>
      <c r="K59" s="33">
        <f>-'A domestic'!K59</f>
        <v>-0.00009667316367193108</v>
      </c>
      <c r="L59" s="33">
        <f>-'A domestic'!L59</f>
        <v>-0.000022592589667325046</v>
      </c>
      <c r="M59" s="33">
        <f>-'A domestic'!M59</f>
        <v>-0.00004790596563219722</v>
      </c>
      <c r="N59" s="33">
        <f>-'A domestic'!N59</f>
        <v>-0.00005436195481283611</v>
      </c>
      <c r="O59" s="33">
        <f>-'A domestic'!O59</f>
        <v>-0.00005465462620580018</v>
      </c>
      <c r="P59" s="33">
        <f>-'A domestic'!P59</f>
        <v>-0.000058315750820935284</v>
      </c>
      <c r="Q59" s="33">
        <f>-'A domestic'!Q59</f>
        <v>-0.00003854069818262729</v>
      </c>
      <c r="R59" s="33">
        <f>-'A domestic'!R59</f>
        <v>-0.00005951644805837988</v>
      </c>
      <c r="S59" s="33">
        <f>-'A domestic'!S59</f>
        <v>-0.00007097955099561589</v>
      </c>
      <c r="T59" s="33">
        <f>-'A domestic'!T59</f>
        <v>-0.00006228736326950525</v>
      </c>
      <c r="U59" s="33">
        <f>-'A domestic'!U59</f>
        <v>-0.000059350455454635865</v>
      </c>
      <c r="V59" s="33">
        <f>-'A domestic'!V59</f>
        <v>-0.00007780240026432412</v>
      </c>
      <c r="W59" s="33">
        <f>-'A domestic'!W59</f>
        <v>-0.0001264197487434976</v>
      </c>
      <c r="X59" s="33">
        <f>-'A domestic'!X59</f>
        <v>-0.00008286181863119418</v>
      </c>
      <c r="Y59" s="33">
        <f>-'A domestic'!Y59</f>
        <v>-0.00011313029081783467</v>
      </c>
      <c r="Z59" s="33">
        <f>-'A domestic'!Z59</f>
        <v>-0.00005107499013993742</v>
      </c>
      <c r="AA59" s="33">
        <f>-'A domestic'!AA59</f>
        <v>-0.00014112153129690688</v>
      </c>
      <c r="AB59" s="33">
        <f>-'A domestic'!AB59</f>
        <v>-0.00011627794971013077</v>
      </c>
      <c r="AC59" s="33">
        <f>-'A domestic'!AC59</f>
        <v>-0.00009128488673149435</v>
      </c>
      <c r="AD59" s="33">
        <f>-'A domestic'!AD59</f>
        <v>-0.00011741489327921583</v>
      </c>
      <c r="AE59" s="33">
        <f>-'A domestic'!AE59</f>
        <v>-0.00012789079147718514</v>
      </c>
      <c r="AF59" s="33">
        <f>-'A domestic'!AF59</f>
        <v>-0.000132037427614718</v>
      </c>
      <c r="AG59" s="33">
        <f>-'A domestic'!AG59</f>
        <v>-0.00009505858535729985</v>
      </c>
      <c r="AH59" s="33">
        <f>-'A domestic'!AH59</f>
        <v>-0.00009697493970175487</v>
      </c>
      <c r="AI59" s="33">
        <f>-'A domestic'!AI59</f>
        <v>-0.00013033478958207454</v>
      </c>
      <c r="AJ59" s="33">
        <f>-'A domestic'!AJ59</f>
        <v>-0.00011351470460580347</v>
      </c>
      <c r="AK59" s="33">
        <f>-'A domestic'!AK59</f>
        <v>-0.00007891375902922232</v>
      </c>
      <c r="AL59" s="33">
        <f>-'A domestic'!AL59</f>
        <v>-0.00014499282978348754</v>
      </c>
      <c r="AM59" s="33">
        <f>-'A domestic'!AM59</f>
        <v>-0.00010122180136848261</v>
      </c>
      <c r="AN59" s="33">
        <f>-'A domestic'!AN59</f>
        <v>-0.00016456288851907303</v>
      </c>
      <c r="AO59" s="33">
        <f>-'A domestic'!AO59</f>
        <v>-0.00012051593598193483</v>
      </c>
      <c r="AP59" s="33">
        <f>-'A domestic'!AP59</f>
        <v>-0.00015630805987133933</v>
      </c>
      <c r="AQ59" s="33">
        <f>-'A domestic'!AQ59</f>
        <v>-0.00010234338795202611</v>
      </c>
      <c r="AR59" s="33">
        <f>-'A domestic'!AR59</f>
        <v>-0.00009422061232929057</v>
      </c>
      <c r="AS59" s="33">
        <f>-'A domestic'!AS59</f>
        <v>-0.0001593231336547635</v>
      </c>
      <c r="AT59" s="33">
        <f>-'A domestic'!AT59</f>
        <v>-0.00004590589594840632</v>
      </c>
      <c r="AU59" s="33">
        <f>-'A domestic'!AU59</f>
        <v>-0.00017602152894980936</v>
      </c>
      <c r="AV59" s="33">
        <f>-'A domestic'!AV59</f>
        <v>-0.00009477759823307795</v>
      </c>
      <c r="AW59" s="33">
        <f>-'A domestic'!AW59</f>
        <v>-0.00033391578562443677</v>
      </c>
      <c r="AX59" s="33">
        <f>-'A domestic'!AX59</f>
        <v>-0.010622851698804912</v>
      </c>
      <c r="AY59" s="33">
        <f>-'A domestic'!AY59</f>
        <v>-0.0024229516134780756</v>
      </c>
      <c r="AZ59" s="33">
        <f>-'A domestic'!AZ59</f>
        <v>-0.00020057692328570513</v>
      </c>
      <c r="BA59" s="33">
        <f>-'A domestic'!BA59</f>
        <v>-0.00018679075870970955</v>
      </c>
      <c r="BB59" s="33">
        <f>-'A domestic'!BB59</f>
        <v>-0.0005217686841456516</v>
      </c>
      <c r="BC59" s="33">
        <f>-'A domestic'!BC59</f>
        <v>-0.0031526880830678537</v>
      </c>
      <c r="BD59" s="33">
        <f>-'A domestic'!BD59</f>
        <v>-0.0008125420349371497</v>
      </c>
      <c r="BE59" s="33">
        <f>-'A domestic'!BE59</f>
        <v>-0.0005533700820491618</v>
      </c>
      <c r="BF59" s="33">
        <f>-'A domestic'!BF59</f>
        <v>-0.0027724003763295113</v>
      </c>
      <c r="BG59" s="33">
        <f>1-'A domestic'!BG59</f>
        <v>0.989848623841367</v>
      </c>
      <c r="BH59" s="33">
        <f>-'A domestic'!BH59</f>
        <v>-0.002920967598338805</v>
      </c>
      <c r="BI59" s="33">
        <f>-'A domestic'!BI59</f>
        <v>-0.00038625788097756015</v>
      </c>
      <c r="BJ59" s="33">
        <f>-'A domestic'!BJ59</f>
        <v>-0.0005313933259528706</v>
      </c>
      <c r="BK59" s="33">
        <f>-'A domestic'!BK59</f>
        <v>-0.0002155913138572098</v>
      </c>
      <c r="BL59" s="33">
        <f>-'A domestic'!BL59</f>
        <v>-0.00024928436822589623</v>
      </c>
      <c r="BM59" s="33">
        <f>-'A domestic'!BM59</f>
        <v>0</v>
      </c>
      <c r="BN59" s="33">
        <f>-'A domestic'!BN59</f>
        <v>0</v>
      </c>
    </row>
    <row r="60" spans="1:66" x14ac:dyDescent="0.25">
      <c r="A60" s="30" t="s">
        <v>381</v>
      </c>
      <c r="B60" s="31" t="s">
        <v>382</v>
      </c>
      <c r="C60" s="33">
        <f>-'A domestic'!C60</f>
        <v>-0.0002714575875887147</v>
      </c>
      <c r="D60" s="33">
        <f>-'A domestic'!D60</f>
        <v>-0.0001281022768578433</v>
      </c>
      <c r="E60" s="33">
        <f>-'A domestic'!E60</f>
        <v>-0.001065569876271727</v>
      </c>
      <c r="F60" s="33">
        <f>-'A domestic'!F60</f>
        <v>-0.00032410476388095716</v>
      </c>
      <c r="G60" s="33">
        <f>-'A domestic'!G60</f>
        <v>-0.0007625791716700807</v>
      </c>
      <c r="H60" s="33">
        <f>-'A domestic'!H60</f>
        <v>-0.0013495614474255129</v>
      </c>
      <c r="I60" s="33">
        <f>-'A domestic'!I60</f>
        <v>-0.0003473736795981328</v>
      </c>
      <c r="J60" s="33">
        <f>-'A domestic'!J60</f>
        <v>-0.0008419648177065471</v>
      </c>
      <c r="K60" s="33">
        <f>-'A domestic'!K60</f>
        <v>-0.002704005254470778</v>
      </c>
      <c r="L60" s="33">
        <f>-'A domestic'!L60</f>
        <v>-0.00027919297800271597</v>
      </c>
      <c r="M60" s="33">
        <f>-'A domestic'!M60</f>
        <v>-0.00038025360220556546</v>
      </c>
      <c r="N60" s="33">
        <f>-'A domestic'!N60</f>
        <v>-0.0007398069989132994</v>
      </c>
      <c r="O60" s="33">
        <f>-'A domestic'!O60</f>
        <v>-0.00036856837672116533</v>
      </c>
      <c r="P60" s="33">
        <f>-'A domestic'!P60</f>
        <v>-0.0003638150389925447</v>
      </c>
      <c r="Q60" s="33">
        <f>-'A domestic'!Q60</f>
        <v>-0.000318656081881104</v>
      </c>
      <c r="R60" s="33">
        <f>-'A domestic'!R60</f>
        <v>-0.0002916625935764154</v>
      </c>
      <c r="S60" s="33">
        <f>-'A domestic'!S60</f>
        <v>-0.00021804509550451786</v>
      </c>
      <c r="T60" s="33">
        <f>-'A domestic'!T60</f>
        <v>-0.00038644118295122216</v>
      </c>
      <c r="U60" s="33">
        <f>-'A domestic'!U60</f>
        <v>-0.00021323138047134636</v>
      </c>
      <c r="V60" s="33">
        <f>-'A domestic'!V60</f>
        <v>-0.00017201841774770114</v>
      </c>
      <c r="W60" s="33">
        <f>-'A domestic'!W60</f>
        <v>-0.0004155362176090618</v>
      </c>
      <c r="X60" s="33">
        <f>-'A domestic'!X60</f>
        <v>-0.0006457507245051685</v>
      </c>
      <c r="Y60" s="33">
        <f>-'A domestic'!Y60</f>
        <v>-0.0005348346006764299</v>
      </c>
      <c r="Z60" s="33">
        <f>-'A domestic'!Z60</f>
        <v>-0.00023555213984117993</v>
      </c>
      <c r="AA60" s="33">
        <f>-'A domestic'!AA60</f>
        <v>-0.00041623724382522023</v>
      </c>
      <c r="AB60" s="33">
        <f>-'A domestic'!AB60</f>
        <v>-0.0004448147602816542</v>
      </c>
      <c r="AC60" s="33">
        <f>-'A domestic'!AC60</f>
        <v>-0.000528372097318925</v>
      </c>
      <c r="AD60" s="33">
        <f>-'A domestic'!AD60</f>
        <v>-0.0008408580197941326</v>
      </c>
      <c r="AE60" s="33">
        <f>-'A domestic'!AE60</f>
        <v>-0.00038128931620527246</v>
      </c>
      <c r="AF60" s="33">
        <f>-'A domestic'!AF60</f>
        <v>-0.0005242242734216777</v>
      </c>
      <c r="AG60" s="33">
        <f>-'A domestic'!AG60</f>
        <v>-0.00040160309699317006</v>
      </c>
      <c r="AH60" s="33">
        <f>-'A domestic'!AH60</f>
        <v>-0.00030551396932588257</v>
      </c>
      <c r="AI60" s="33">
        <f>-'A domestic'!AI60</f>
        <v>-0.0016975157303335243</v>
      </c>
      <c r="AJ60" s="33">
        <f>-'A domestic'!AJ60</f>
        <v>-0.0006801144495315848</v>
      </c>
      <c r="AK60" s="33">
        <f>-'A domestic'!AK60</f>
        <v>-0.00036134194923907064</v>
      </c>
      <c r="AL60" s="33">
        <f>-'A domestic'!AL60</f>
        <v>-0.005503193278371251</v>
      </c>
      <c r="AM60" s="33">
        <f>-'A domestic'!AM60</f>
        <v>-0.008040806846208838</v>
      </c>
      <c r="AN60" s="33">
        <f>-'A domestic'!AN60</f>
        <v>-0.020944683691585964</v>
      </c>
      <c r="AO60" s="33">
        <f>-'A domestic'!AO60</f>
        <v>-0.001039050648056296</v>
      </c>
      <c r="AP60" s="33">
        <f>-'A domestic'!AP60</f>
        <v>-0.0006995307310898998</v>
      </c>
      <c r="AQ60" s="33">
        <f>-'A domestic'!AQ60</f>
        <v>-0.000538800787157271</v>
      </c>
      <c r="AR60" s="33">
        <f>-'A domestic'!AR60</f>
        <v>-0.0001647614411366695</v>
      </c>
      <c r="AS60" s="33">
        <f>-'A domestic'!AS60</f>
        <v>-0.00030194303555539857</v>
      </c>
      <c r="AT60" s="33">
        <f>-'A domestic'!AT60</f>
        <v>-0.00012889692684686817</v>
      </c>
      <c r="AU60" s="33">
        <f>-'A domestic'!AU60</f>
        <v>-0.0009101794590636183</v>
      </c>
      <c r="AV60" s="33">
        <f>-'A domestic'!AV60</f>
        <v>-0.0004330778723967938</v>
      </c>
      <c r="AW60" s="33">
        <f>-'A domestic'!AW60</f>
        <v>-0.0005615486199708516</v>
      </c>
      <c r="AX60" s="33">
        <f>-'A domestic'!AX60</f>
        <v>-0.0028419110939938777</v>
      </c>
      <c r="AY60" s="33">
        <f>-'A domestic'!AY60</f>
        <v>-0.0030368315683004434</v>
      </c>
      <c r="AZ60" s="33">
        <f>-'A domestic'!AZ60</f>
        <v>-0.0005667180187016946</v>
      </c>
      <c r="BA60" s="33">
        <f>-'A domestic'!BA60</f>
        <v>-0.0007454454186667949</v>
      </c>
      <c r="BB60" s="33">
        <f>-'A domestic'!BB60</f>
        <v>-0.00465762320801577</v>
      </c>
      <c r="BC60" s="33">
        <f>-'A domestic'!BC60</f>
        <v>-0.001590526984891169</v>
      </c>
      <c r="BD60" s="33">
        <f>-'A domestic'!BD60</f>
        <v>-0.0011067778939005124</v>
      </c>
      <c r="BE60" s="33">
        <f>-'A domestic'!BE60</f>
        <v>-0.0011891367045450696</v>
      </c>
      <c r="BF60" s="33">
        <f>-'A domestic'!BF60</f>
        <v>-0.00020187845832469583</v>
      </c>
      <c r="BG60" s="33">
        <f>-'A domestic'!BG60</f>
        <v>-0.0005654612714357958</v>
      </c>
      <c r="BH60" s="33">
        <f>1-'A domestic'!BH60</f>
        <v>0.914996046023242</v>
      </c>
      <c r="BI60" s="33">
        <f>-'A domestic'!BI60</f>
        <v>-0.017393894667475856</v>
      </c>
      <c r="BJ60" s="33">
        <f>-'A domestic'!BJ60</f>
        <v>-0.004109096660100931</v>
      </c>
      <c r="BK60" s="33">
        <f>-'A domestic'!BK60</f>
        <v>-0.0017559756288079988</v>
      </c>
      <c r="BL60" s="33">
        <f>-'A domestic'!BL60</f>
        <v>-0.0009191698087988897</v>
      </c>
      <c r="BM60" s="33">
        <f>-'A domestic'!BM60</f>
        <v>0</v>
      </c>
      <c r="BN60" s="33">
        <f>-'A domestic'!BN60</f>
        <v>0</v>
      </c>
    </row>
    <row r="61" spans="1:66" x14ac:dyDescent="0.25">
      <c r="A61" s="30" t="s">
        <v>384</v>
      </c>
      <c r="B61" s="31" t="s">
        <v>385</v>
      </c>
      <c r="C61" s="33">
        <f>-'A domestic'!C61</f>
        <v>-0.00015955770743156608</v>
      </c>
      <c r="D61" s="33">
        <f>-'A domestic'!D61</f>
        <v>-0.0004563643613060667</v>
      </c>
      <c r="E61" s="33">
        <f>-'A domestic'!E61</f>
        <v>-0.0011062922919254235</v>
      </c>
      <c r="F61" s="33">
        <f>-'A domestic'!F61</f>
        <v>-0.0005251782576201346</v>
      </c>
      <c r="G61" s="33">
        <f>-'A domestic'!G61</f>
        <v>-0.0007778837324291869</v>
      </c>
      <c r="H61" s="33">
        <f>-'A domestic'!H61</f>
        <v>-0.0007751304766371722</v>
      </c>
      <c r="I61" s="33">
        <f>-'A domestic'!I61</f>
        <v>-0.0003762271937015608</v>
      </c>
      <c r="J61" s="33">
        <f>-'A domestic'!J61</f>
        <v>-0.0005084068707557105</v>
      </c>
      <c r="K61" s="33">
        <f>-'A domestic'!K61</f>
        <v>-0.0012112578742424307</v>
      </c>
      <c r="L61" s="33">
        <f>-'A domestic'!L61</f>
        <v>-0.00024998792306690554</v>
      </c>
      <c r="M61" s="33">
        <f>-'A domestic'!M61</f>
        <v>-0.0003249411221499693</v>
      </c>
      <c r="N61" s="33">
        <f>-'A domestic'!N61</f>
        <v>-0.000556268121772932</v>
      </c>
      <c r="O61" s="33">
        <f>-'A domestic'!O61</f>
        <v>-0.0003256855161596913</v>
      </c>
      <c r="P61" s="33">
        <f>-'A domestic'!P61</f>
        <v>-0.0003679535761475788</v>
      </c>
      <c r="Q61" s="33">
        <f>-'A domestic'!Q61</f>
        <v>-0.00025786508371675377</v>
      </c>
      <c r="R61" s="33">
        <f>-'A domestic'!R61</f>
        <v>-0.00030174199203791515</v>
      </c>
      <c r="S61" s="33">
        <f>-'A domestic'!S61</f>
        <v>-0.00029719495452840605</v>
      </c>
      <c r="T61" s="33">
        <f>-'A domestic'!T61</f>
        <v>-0.0003695716887323978</v>
      </c>
      <c r="U61" s="33">
        <f>-'A domestic'!U61</f>
        <v>-0.0003506612197543625</v>
      </c>
      <c r="V61" s="33">
        <f>-'A domestic'!V61</f>
        <v>-0.00030787123823308233</v>
      </c>
      <c r="W61" s="33">
        <f>-'A domestic'!W61</f>
        <v>-0.0005921574317956294</v>
      </c>
      <c r="X61" s="33">
        <f>-'A domestic'!X61</f>
        <v>-0.0005628889058739742</v>
      </c>
      <c r="Y61" s="33">
        <f>-'A domestic'!Y61</f>
        <v>-0.0006033615510284517</v>
      </c>
      <c r="Z61" s="33">
        <f>-'A domestic'!Z61</f>
        <v>-0.00031368258804475555</v>
      </c>
      <c r="AA61" s="33">
        <f>-'A domestic'!AA61</f>
        <v>-0.0008894932881744433</v>
      </c>
      <c r="AB61" s="33">
        <f>-'A domestic'!AB61</f>
        <v>-0.0006188876672441576</v>
      </c>
      <c r="AC61" s="33">
        <f>-'A domestic'!AC61</f>
        <v>-0.0005714170032573533</v>
      </c>
      <c r="AD61" s="33">
        <f>-'A domestic'!AD61</f>
        <v>-0.000752243005998498</v>
      </c>
      <c r="AE61" s="33">
        <f>-'A domestic'!AE61</f>
        <v>-0.002184299822314639</v>
      </c>
      <c r="AF61" s="33">
        <f>-'A domestic'!AF61</f>
        <v>-0.0008241633488545708</v>
      </c>
      <c r="AG61" s="33">
        <f>-'A domestic'!AG61</f>
        <v>-0.0006187873580887993</v>
      </c>
      <c r="AH61" s="33">
        <f>-'A domestic'!AH61</f>
        <v>-0.0005938642325098617</v>
      </c>
      <c r="AI61" s="33">
        <f>-'A domestic'!AI61</f>
        <v>-0.0006358566190775967</v>
      </c>
      <c r="AJ61" s="33">
        <f>-'A domestic'!AJ61</f>
        <v>-0.0008288242770114916</v>
      </c>
      <c r="AK61" s="33">
        <f>-'A domestic'!AK61</f>
        <v>-0.0005953143225011508</v>
      </c>
      <c r="AL61" s="33">
        <f>-'A domestic'!AL61</f>
        <v>-0.004126944320612833</v>
      </c>
      <c r="AM61" s="33">
        <f>-'A domestic'!AM61</f>
        <v>-0.0007117157908721434</v>
      </c>
      <c r="AN61" s="33">
        <f>-'A domestic'!AN61</f>
        <v>-0.008037506431859374</v>
      </c>
      <c r="AO61" s="33">
        <f>-'A domestic'!AO61</f>
        <v>-0.0012832769183233012</v>
      </c>
      <c r="AP61" s="33">
        <f>-'A domestic'!AP61</f>
        <v>-0.0006861043858426808</v>
      </c>
      <c r="AQ61" s="33">
        <f>-'A domestic'!AQ61</f>
        <v>-0.0009056311273459735</v>
      </c>
      <c r="AR61" s="33">
        <f>-'A domestic'!AR61</f>
        <v>-0.0004571444524124839</v>
      </c>
      <c r="AS61" s="33">
        <f>-'A domestic'!AS61</f>
        <v>-0.0005210123443306983</v>
      </c>
      <c r="AT61" s="33">
        <f>-'A domestic'!AT61</f>
        <v>-0.00017945032052558836</v>
      </c>
      <c r="AU61" s="33">
        <f>-'A domestic'!AU61</f>
        <v>-0.0008373368824541282</v>
      </c>
      <c r="AV61" s="33">
        <f>-'A domestic'!AV61</f>
        <v>-0.0005907431946339376</v>
      </c>
      <c r="AW61" s="33">
        <f>-'A domestic'!AW61</f>
        <v>-0.0004748119585830406</v>
      </c>
      <c r="AX61" s="33">
        <f>-'A domestic'!AX61</f>
        <v>-0.003977053899012831</v>
      </c>
      <c r="AY61" s="33">
        <f>-'A domestic'!AY61</f>
        <v>-0.0013721661052235716</v>
      </c>
      <c r="AZ61" s="33">
        <f>-'A domestic'!AZ61</f>
        <v>-0.0012460739577871073</v>
      </c>
      <c r="BA61" s="33">
        <f>-'A domestic'!BA61</f>
        <v>-0.0005900011550968757</v>
      </c>
      <c r="BB61" s="33">
        <f>-'A domestic'!BB61</f>
        <v>-0.0052623642823007915</v>
      </c>
      <c r="BC61" s="33">
        <f>-'A domestic'!BC61</f>
        <v>-0.0015460191847424753</v>
      </c>
      <c r="BD61" s="33">
        <f>-'A domestic'!BD61</f>
        <v>-0.004200813781069309</v>
      </c>
      <c r="BE61" s="33">
        <f>-'A domestic'!BE61</f>
        <v>-0.002023163383231605</v>
      </c>
      <c r="BF61" s="33">
        <f>-'A domestic'!BF61</f>
        <v>-0.0005337181674666327</v>
      </c>
      <c r="BG61" s="33">
        <f>-'A domestic'!BG61</f>
        <v>-0.0010119654260822607</v>
      </c>
      <c r="BH61" s="33">
        <f>-'A domestic'!BH61</f>
        <v>-0.021522115211725413</v>
      </c>
      <c r="BI61" s="33">
        <f>1-'A domestic'!BI61</f>
        <v>0.9009669907526352</v>
      </c>
      <c r="BJ61" s="33">
        <f>-'A domestic'!BJ61</f>
        <v>-0.008965824622949406</v>
      </c>
      <c r="BK61" s="33">
        <f>-'A domestic'!BK61</f>
        <v>-0.0011373222933916576</v>
      </c>
      <c r="BL61" s="33">
        <f>-'A domestic'!BL61</f>
        <v>-0.0033085869978577457</v>
      </c>
      <c r="BM61" s="33">
        <f>-'A domestic'!BM61</f>
        <v>0</v>
      </c>
      <c r="BN61" s="33">
        <f>-'A domestic'!BN61</f>
        <v>0</v>
      </c>
    </row>
    <row r="62" spans="1:66" x14ac:dyDescent="0.25">
      <c r="A62" s="30" t="s">
        <v>386</v>
      </c>
      <c r="B62" s="31" t="s">
        <v>387</v>
      </c>
      <c r="C62" s="33">
        <f>-'A domestic'!C62</f>
        <v>-0.0015187659241297864</v>
      </c>
      <c r="D62" s="33">
        <f>-'A domestic'!D62</f>
        <v>-0.0004979976012848658</v>
      </c>
      <c r="E62" s="33">
        <f>-'A domestic'!E62</f>
        <v>-0.016994821466142705</v>
      </c>
      <c r="F62" s="33">
        <f>-'A domestic'!F62</f>
        <v>-0.0010696375351878615</v>
      </c>
      <c r="G62" s="33">
        <f>-'A domestic'!G62</f>
        <v>-0.0009221733653551834</v>
      </c>
      <c r="H62" s="33">
        <f>-'A domestic'!H62</f>
        <v>-0.0011431527652615067</v>
      </c>
      <c r="I62" s="33">
        <f>-'A domestic'!I62</f>
        <v>-0.0006500527000948772</v>
      </c>
      <c r="J62" s="33">
        <f>-'A domestic'!J62</f>
        <v>-0.0009912588988014778</v>
      </c>
      <c r="K62" s="33">
        <f>-'A domestic'!K62</f>
        <v>-0.002040088086312075</v>
      </c>
      <c r="L62" s="33">
        <f>-'A domestic'!L62</f>
        <v>-0.0012914512028533527</v>
      </c>
      <c r="M62" s="33">
        <f>-'A domestic'!M62</f>
        <v>-0.0009533917502460303</v>
      </c>
      <c r="N62" s="33">
        <f>-'A domestic'!N62</f>
        <v>-0.0008571427033608071</v>
      </c>
      <c r="O62" s="33">
        <f>-'A domestic'!O62</f>
        <v>-0.0006684681205170945</v>
      </c>
      <c r="P62" s="33">
        <f>-'A domestic'!P62</f>
        <v>-0.0009499823924055587</v>
      </c>
      <c r="Q62" s="33">
        <f>-'A domestic'!Q62</f>
        <v>-0.0007849190645338167</v>
      </c>
      <c r="R62" s="33">
        <f>-'A domestic'!R62</f>
        <v>-0.0007162772525735663</v>
      </c>
      <c r="S62" s="33">
        <f>-'A domestic'!S62</f>
        <v>-0.0005897941107909089</v>
      </c>
      <c r="T62" s="33">
        <f>-'A domestic'!T62</f>
        <v>-0.0006791917903178967</v>
      </c>
      <c r="U62" s="33">
        <f>-'A domestic'!U62</f>
        <v>-0.0005394690652518395</v>
      </c>
      <c r="V62" s="33">
        <f>-'A domestic'!V62</f>
        <v>-0.0004059820123447092</v>
      </c>
      <c r="W62" s="33">
        <f>-'A domestic'!W62</f>
        <v>-0.0006082805301861044</v>
      </c>
      <c r="X62" s="33">
        <f>-'A domestic'!X62</f>
        <v>-0.0008961219954554578</v>
      </c>
      <c r="Y62" s="33">
        <f>-'A domestic'!Y62</f>
        <v>-0.0008571951067702599</v>
      </c>
      <c r="Z62" s="33">
        <f>-'A domestic'!Z62</f>
        <v>-0.000769875113612833</v>
      </c>
      <c r="AA62" s="33">
        <f>-'A domestic'!AA62</f>
        <v>-0.00225936997076361</v>
      </c>
      <c r="AB62" s="33">
        <f>-'A domestic'!AB62</f>
        <v>-0.0019492037368568076</v>
      </c>
      <c r="AC62" s="33">
        <f>-'A domestic'!AC62</f>
        <v>-0.0010853583370911731</v>
      </c>
      <c r="AD62" s="33">
        <f>-'A domestic'!AD62</f>
        <v>-0.00220429846816641</v>
      </c>
      <c r="AE62" s="33">
        <f>-'A domestic'!AE62</f>
        <v>-0.0015475693600444653</v>
      </c>
      <c r="AF62" s="33">
        <f>-'A domestic'!AF62</f>
        <v>-0.0023739972627213825</v>
      </c>
      <c r="AG62" s="33">
        <f>-'A domestic'!AG62</f>
        <v>-0.0012133567932050982</v>
      </c>
      <c r="AH62" s="33">
        <f>-'A domestic'!AH62</f>
        <v>-0.00046127460256365697</v>
      </c>
      <c r="AI62" s="33">
        <f>-'A domestic'!AI62</f>
        <v>-0.0005574026680670275</v>
      </c>
      <c r="AJ62" s="33">
        <f>-'A domestic'!AJ62</f>
        <v>-0.001743758360580572</v>
      </c>
      <c r="AK62" s="33">
        <f>-'A domestic'!AK62</f>
        <v>-0.0008154421766352973</v>
      </c>
      <c r="AL62" s="33">
        <f>-'A domestic'!AL62</f>
        <v>-0.00148124765034444</v>
      </c>
      <c r="AM62" s="33">
        <f>-'A domestic'!AM62</f>
        <v>-0.0021053230918560736</v>
      </c>
      <c r="AN62" s="33">
        <f>-'A domestic'!AN62</f>
        <v>-0.0015871047593441585</v>
      </c>
      <c r="AO62" s="33">
        <f>-'A domestic'!AO62</f>
        <v>-0.003370090209808081</v>
      </c>
      <c r="AP62" s="33">
        <f>-'A domestic'!AP62</f>
        <v>-0.0013686707482756216</v>
      </c>
      <c r="AQ62" s="33">
        <f>-'A domestic'!AQ62</f>
        <v>-0.0012405840188283073</v>
      </c>
      <c r="AR62" s="33">
        <f>-'A domestic'!AR62</f>
        <v>-0.0011705290886199697</v>
      </c>
      <c r="AS62" s="33">
        <f>-'A domestic'!AS62</f>
        <v>-0.002896725845360196</v>
      </c>
      <c r="AT62" s="33">
        <f>-'A domestic'!AT62</f>
        <v>-0.00028866651718796414</v>
      </c>
      <c r="AU62" s="33">
        <f>-'A domestic'!AU62</f>
        <v>-0.0038415199511937104</v>
      </c>
      <c r="AV62" s="33">
        <f>-'A domestic'!AV62</f>
        <v>-0.0021803307715877723</v>
      </c>
      <c r="AW62" s="33">
        <f>-'A domestic'!AW62</f>
        <v>-0.001994943211919653</v>
      </c>
      <c r="AX62" s="33">
        <f>-'A domestic'!AX62</f>
        <v>-0.003230523758365162</v>
      </c>
      <c r="AY62" s="33">
        <f>-'A domestic'!AY62</f>
        <v>-0.00254830848112949</v>
      </c>
      <c r="AZ62" s="33">
        <f>-'A domestic'!AZ62</f>
        <v>-0.0010878380358986552</v>
      </c>
      <c r="BA62" s="33">
        <f>-'A domestic'!BA62</f>
        <v>-0.0016643700707099638</v>
      </c>
      <c r="BB62" s="33">
        <f>-'A domestic'!BB62</f>
        <v>-0.0020902659823571973</v>
      </c>
      <c r="BC62" s="33">
        <f>-'A domestic'!BC62</f>
        <v>-0.0025932062290860355</v>
      </c>
      <c r="BD62" s="33">
        <f>-'A domestic'!BD62</f>
        <v>-0.0006895435105017909</v>
      </c>
      <c r="BE62" s="33">
        <f>-'A domestic'!BE62</f>
        <v>-0.0014112260944124555</v>
      </c>
      <c r="BF62" s="33">
        <f>-'A domestic'!BF62</f>
        <v>-0.0018842786751925502</v>
      </c>
      <c r="BG62" s="33">
        <f>-'A domestic'!BG62</f>
        <v>-0.0023396743931619387</v>
      </c>
      <c r="BH62" s="33">
        <f>-'A domestic'!BH62</f>
        <v>-0.003285815784833836</v>
      </c>
      <c r="BI62" s="33">
        <f>-'A domestic'!BI62</f>
        <v>-0.00360975546949938</v>
      </c>
      <c r="BJ62" s="33">
        <f>1-'A domestic'!BJ62</f>
        <v>0.9878193607752361</v>
      </c>
      <c r="BK62" s="33">
        <f>-'A domestic'!BK62</f>
        <v>-0.0013779097016091235</v>
      </c>
      <c r="BL62" s="33">
        <f>-'A domestic'!BL62</f>
        <v>-0.0024546554386158464</v>
      </c>
      <c r="BM62" s="33">
        <f>-'A domestic'!BM62</f>
        <v>0</v>
      </c>
      <c r="BN62" s="33">
        <f>-'A domestic'!BN62</f>
        <v>0</v>
      </c>
    </row>
    <row r="63" spans="1:66" x14ac:dyDescent="0.25">
      <c r="A63" s="30" t="s">
        <v>389</v>
      </c>
      <c r="B63" s="31" t="s">
        <v>390</v>
      </c>
      <c r="C63" s="33">
        <f>-'A domestic'!C63</f>
        <v>-0.00011294730493241055</v>
      </c>
      <c r="D63" s="33">
        <f>-'A domestic'!D63</f>
        <v>-0.0004483579690024515</v>
      </c>
      <c r="E63" s="33">
        <f>-'A domestic'!E63</f>
        <v>-0.004336937267118685</v>
      </c>
      <c r="F63" s="33">
        <f>-'A domestic'!F63</f>
        <v>-0.00033879506479340846</v>
      </c>
      <c r="G63" s="33">
        <f>-'A domestic'!G63</f>
        <v>-0.00031639236184690723</v>
      </c>
      <c r="H63" s="33">
        <f>-'A domestic'!H63</f>
        <v>-0.0003605564426737214</v>
      </c>
      <c r="I63" s="33">
        <f>-'A domestic'!I63</f>
        <v>-0.00036887237638107915</v>
      </c>
      <c r="J63" s="33">
        <f>-'A domestic'!J63</f>
        <v>-0.0004438472681200647</v>
      </c>
      <c r="K63" s="33">
        <f>-'A domestic'!K63</f>
        <v>-0.0005729306611733562</v>
      </c>
      <c r="L63" s="33">
        <f>-'A domestic'!L63</f>
        <v>-0.0002801113759566723</v>
      </c>
      <c r="M63" s="33">
        <f>-'A domestic'!M63</f>
        <v>-0.0002418936093599432</v>
      </c>
      <c r="N63" s="33">
        <f>-'A domestic'!N63</f>
        <v>-0.0002467817453632214</v>
      </c>
      <c r="O63" s="33">
        <f>-'A domestic'!O63</f>
        <v>-0.00027859845358238657</v>
      </c>
      <c r="P63" s="33">
        <f>-'A domestic'!P63</f>
        <v>-0.0005022679183609587</v>
      </c>
      <c r="Q63" s="33">
        <f>-'A domestic'!Q63</f>
        <v>-0.00020382864090399795</v>
      </c>
      <c r="R63" s="33">
        <f>-'A domestic'!R63</f>
        <v>-0.0002943824312565026</v>
      </c>
      <c r="S63" s="33">
        <f>-'A domestic'!S63</f>
        <v>-0.0008622228191086144</v>
      </c>
      <c r="T63" s="33">
        <f>-'A domestic'!T63</f>
        <v>-0.0004894748630261954</v>
      </c>
      <c r="U63" s="33">
        <f>-'A domestic'!U63</f>
        <v>-0.00034610553447426246</v>
      </c>
      <c r="V63" s="33">
        <f>-'A domestic'!V63</f>
        <v>-0.00031779359440505217</v>
      </c>
      <c r="W63" s="33">
        <f>-'A domestic'!W63</f>
        <v>-0.0007105156313438895</v>
      </c>
      <c r="X63" s="33">
        <f>-'A domestic'!X63</f>
        <v>-0.0008507622930151058</v>
      </c>
      <c r="Y63" s="33">
        <f>-'A domestic'!Y63</f>
        <v>-0.0011495497292779975</v>
      </c>
      <c r="Z63" s="33">
        <f>-'A domestic'!Z63</f>
        <v>-0.00026100034297034456</v>
      </c>
      <c r="AA63" s="33">
        <f>-'A domestic'!AA63</f>
        <v>-0.0010377421695368504</v>
      </c>
      <c r="AB63" s="33">
        <f>-'A domestic'!AB63</f>
        <v>-0.00034573769070615805</v>
      </c>
      <c r="AC63" s="33">
        <f>-'A domestic'!AC63</f>
        <v>-0.0001835180807777242</v>
      </c>
      <c r="AD63" s="33">
        <f>-'A domestic'!AD63</f>
        <v>-0.00026338351322591387</v>
      </c>
      <c r="AE63" s="33">
        <f>-'A domestic'!AE63</f>
        <v>-0.00044534819090702134</v>
      </c>
      <c r="AF63" s="33">
        <f>-'A domestic'!AF63</f>
        <v>-0.0008949996444803047</v>
      </c>
      <c r="AG63" s="33">
        <f>-'A domestic'!AG63</f>
        <v>-0.0002876364006519931</v>
      </c>
      <c r="AH63" s="33">
        <f>-'A domestic'!AH63</f>
        <v>-0.00031581219301102465</v>
      </c>
      <c r="AI63" s="33">
        <f>-'A domestic'!AI63</f>
        <v>-0.0007604971702798719</v>
      </c>
      <c r="AJ63" s="33">
        <f>-'A domestic'!AJ63</f>
        <v>-0.00032273788564395105</v>
      </c>
      <c r="AK63" s="33">
        <f>-'A domestic'!AK63</f>
        <v>-0.0004430246120938797</v>
      </c>
      <c r="AL63" s="33">
        <f>-'A domestic'!AL63</f>
        <v>-0.0006797876728155119</v>
      </c>
      <c r="AM63" s="33">
        <f>-'A domestic'!AM63</f>
        <v>-0.00035698760304063063</v>
      </c>
      <c r="AN63" s="33">
        <f>-'A domestic'!AN63</f>
        <v>-0.0016861901605299387</v>
      </c>
      <c r="AO63" s="33">
        <f>-'A domestic'!AO63</f>
        <v>-0.0020551597082991637</v>
      </c>
      <c r="AP63" s="33">
        <f>-'A domestic'!AP63</f>
        <v>-0.0008721681297754243</v>
      </c>
      <c r="AQ63" s="33">
        <f>-'A domestic'!AQ63</f>
        <v>-0.0006912373087907337</v>
      </c>
      <c r="AR63" s="33">
        <f>-'A domestic'!AR63</f>
        <v>-0.0005045040194563072</v>
      </c>
      <c r="AS63" s="33">
        <f>-'A domestic'!AS63</f>
        <v>-0.0007246632853329565</v>
      </c>
      <c r="AT63" s="33">
        <f>-'A domestic'!AT63</f>
        <v>-0.00020439505324135461</v>
      </c>
      <c r="AU63" s="33">
        <f>-'A domestic'!AU63</f>
        <v>-0.0010332005176232296</v>
      </c>
      <c r="AV63" s="33">
        <f>-'A domestic'!AV63</f>
        <v>-0.0006386895090342005</v>
      </c>
      <c r="AW63" s="33">
        <f>-'A domestic'!AW63</f>
        <v>-0.00034979714616023317</v>
      </c>
      <c r="AX63" s="33">
        <f>-'A domestic'!AX63</f>
        <v>-0.0007152557980604115</v>
      </c>
      <c r="AY63" s="33">
        <f>-'A domestic'!AY63</f>
        <v>-0.0019282835818144055</v>
      </c>
      <c r="AZ63" s="33">
        <f>-'A domestic'!AZ63</f>
        <v>-0.0009708574487049624</v>
      </c>
      <c r="BA63" s="33">
        <f>-'A domestic'!BA63</f>
        <v>-0.00012023313204303144</v>
      </c>
      <c r="BB63" s="33">
        <f>-'A domestic'!BB63</f>
        <v>-0.0006757462927696741</v>
      </c>
      <c r="BC63" s="33">
        <f>-'A domestic'!BC63</f>
        <v>-0.0007740282568112606</v>
      </c>
      <c r="BD63" s="33">
        <f>-'A domestic'!BD63</f>
        <v>-0.0005505349913747894</v>
      </c>
      <c r="BE63" s="33">
        <f>-'A domestic'!BE63</f>
        <v>-0.00029262421755059024</v>
      </c>
      <c r="BF63" s="33">
        <f>-'A domestic'!BF63</f>
        <v>-0.0003309626700259923</v>
      </c>
      <c r="BG63" s="33">
        <f>-'A domestic'!BG63</f>
        <v>-0.0002913988287242522</v>
      </c>
      <c r="BH63" s="33">
        <f>-'A domestic'!BH63</f>
        <v>-0.000408053892790495</v>
      </c>
      <c r="BI63" s="33">
        <f>-'A domestic'!BI63</f>
        <v>-0.0005793868214663402</v>
      </c>
      <c r="BJ63" s="33">
        <f>-'A domestic'!BJ63</f>
        <v>-0.000844823372104726</v>
      </c>
      <c r="BK63" s="33">
        <f>1-'A domestic'!BK63</f>
        <v>0.9650242149664114</v>
      </c>
      <c r="BL63" s="33">
        <f>-'A domestic'!BL63</f>
        <v>-0.0002217039700392013</v>
      </c>
      <c r="BM63" s="33">
        <f>-'A domestic'!BM63</f>
        <v>0</v>
      </c>
      <c r="BN63" s="33">
        <f>-'A domestic'!BN63</f>
        <v>0</v>
      </c>
    </row>
    <row r="64" spans="1:66" x14ac:dyDescent="0.25">
      <c r="A64" s="30" t="s">
        <v>391</v>
      </c>
      <c r="B64" s="31" t="s">
        <v>392</v>
      </c>
      <c r="C64" s="33">
        <f>-'A domestic'!C64</f>
        <v>-0.00020686639311422953</v>
      </c>
      <c r="D64" s="33">
        <f>-'A domestic'!D64</f>
        <v>-0.00021136875681544142</v>
      </c>
      <c r="E64" s="33">
        <f>-'A domestic'!E64</f>
        <v>-0.0013709879936744513</v>
      </c>
      <c r="F64" s="33">
        <f>-'A domestic'!F64</f>
        <v>-0.0005022246624444294</v>
      </c>
      <c r="G64" s="33">
        <f>-'A domestic'!G64</f>
        <v>-0.00033581738127192666</v>
      </c>
      <c r="H64" s="33">
        <f>-'A domestic'!H64</f>
        <v>-0.0005797009796946556</v>
      </c>
      <c r="I64" s="33">
        <f>-'A domestic'!I64</f>
        <v>-0.0008361861538209125</v>
      </c>
      <c r="J64" s="33">
        <f>-'A domestic'!J64</f>
        <v>-0.0004846453503412019</v>
      </c>
      <c r="K64" s="33">
        <f>-'A domestic'!K64</f>
        <v>-0.0007165187425096068</v>
      </c>
      <c r="L64" s="33">
        <f>-'A domestic'!L64</f>
        <v>-0.00023051788644303195</v>
      </c>
      <c r="M64" s="33">
        <f>-'A domestic'!M64</f>
        <v>-0.0006396391924377912</v>
      </c>
      <c r="N64" s="33">
        <f>-'A domestic'!N64</f>
        <v>-0.00048145315425823673</v>
      </c>
      <c r="O64" s="33">
        <f>-'A domestic'!O64</f>
        <v>-0.0003974372305632034</v>
      </c>
      <c r="P64" s="33">
        <f>-'A domestic'!P64</f>
        <v>-0.0005097925313701117</v>
      </c>
      <c r="Q64" s="33">
        <f>-'A domestic'!Q64</f>
        <v>-0.000265612956031818</v>
      </c>
      <c r="R64" s="33">
        <f>-'A domestic'!R64</f>
        <v>-0.0003356599678131209</v>
      </c>
      <c r="S64" s="33">
        <f>-'A domestic'!S64</f>
        <v>-0.00039804719425239266</v>
      </c>
      <c r="T64" s="33">
        <f>-'A domestic'!T64</f>
        <v>-0.0004443165246558041</v>
      </c>
      <c r="U64" s="33">
        <f>-'A domestic'!U64</f>
        <v>-0.000350155032501018</v>
      </c>
      <c r="V64" s="33">
        <f>-'A domestic'!V64</f>
        <v>-0.00026011410338668553</v>
      </c>
      <c r="W64" s="33">
        <f>-'A domestic'!W64</f>
        <v>-0.00037009839487226837</v>
      </c>
      <c r="X64" s="33">
        <f>-'A domestic'!X64</f>
        <v>-0.0012475703986153505</v>
      </c>
      <c r="Y64" s="33">
        <f>-'A domestic'!Y64</f>
        <v>-0.00023031543076892507</v>
      </c>
      <c r="Z64" s="33">
        <f>-'A domestic'!Z64</f>
        <v>-0.00025421415546923395</v>
      </c>
      <c r="AA64" s="33">
        <f>-'A domestic'!AA64</f>
        <v>-0.0008923442282006435</v>
      </c>
      <c r="AB64" s="33">
        <f>-'A domestic'!AB64</f>
        <v>-0.0014665470402789572</v>
      </c>
      <c r="AC64" s="33">
        <f>-'A domestic'!AC64</f>
        <v>-0.00025006451582046667</v>
      </c>
      <c r="AD64" s="33">
        <f>-'A domestic'!AD64</f>
        <v>-0.00031926020248038346</v>
      </c>
      <c r="AE64" s="33">
        <f>-'A domestic'!AE64</f>
        <v>-0.0002857400292276417</v>
      </c>
      <c r="AF64" s="33">
        <f>-'A domestic'!AF64</f>
        <v>-0.0004398273771219998</v>
      </c>
      <c r="AG64" s="33">
        <f>-'A domestic'!AG64</f>
        <v>-0.0005539040457400155</v>
      </c>
      <c r="AH64" s="33">
        <f>-'A domestic'!AH64</f>
        <v>-0.00019008804552158142</v>
      </c>
      <c r="AI64" s="33">
        <f>-'A domestic'!AI64</f>
        <v>-0.0010641898838691715</v>
      </c>
      <c r="AJ64" s="33">
        <f>-'A domestic'!AJ64</f>
        <v>-0.0005544970742141333</v>
      </c>
      <c r="AK64" s="33">
        <f>-'A domestic'!AK64</f>
        <v>-0.0005482429574661761</v>
      </c>
      <c r="AL64" s="33">
        <f>-'A domestic'!AL64</f>
        <v>-0.002708448034828923</v>
      </c>
      <c r="AM64" s="33">
        <f>-'A domestic'!AM64</f>
        <v>-0.00026661099467591403</v>
      </c>
      <c r="AN64" s="33">
        <f>-'A domestic'!AN64</f>
        <v>-0.0015158328041052645</v>
      </c>
      <c r="AO64" s="33">
        <f>-'A domestic'!AO64</f>
        <v>-0.0006272636667975403</v>
      </c>
      <c r="AP64" s="33">
        <f>-'A domestic'!AP64</f>
        <v>-0.0004203897559163008</v>
      </c>
      <c r="AQ64" s="33">
        <f>-'A domestic'!AQ64</f>
        <v>-0.00019893445433297814</v>
      </c>
      <c r="AR64" s="33">
        <f>-'A domestic'!AR64</f>
        <v>-0.00020838209499282254</v>
      </c>
      <c r="AS64" s="33">
        <f>-'A domestic'!AS64</f>
        <v>-0.00017538393341834854</v>
      </c>
      <c r="AT64" s="33">
        <f>-'A domestic'!AT64</f>
        <v>-0.0001129626489143635</v>
      </c>
      <c r="AU64" s="33">
        <f>-'A domestic'!AU64</f>
        <v>-0.0015060599556136493</v>
      </c>
      <c r="AV64" s="33">
        <f>-'A domestic'!AV64</f>
        <v>-0.0009007216923844748</v>
      </c>
      <c r="AW64" s="33">
        <f>-'A domestic'!AW64</f>
        <v>-0.0006560223544402044</v>
      </c>
      <c r="AX64" s="33">
        <f>-'A domestic'!AX64</f>
        <v>-0.0019511714847494138</v>
      </c>
      <c r="AY64" s="33">
        <f>-'A domestic'!AY64</f>
        <v>-0.0015184157841502217</v>
      </c>
      <c r="AZ64" s="33">
        <f>-'A domestic'!AZ64</f>
        <v>-0.00256407333461442</v>
      </c>
      <c r="BA64" s="33">
        <f>-'A domestic'!BA64</f>
        <v>-0.001347469886967974</v>
      </c>
      <c r="BB64" s="33">
        <f>-'A domestic'!BB64</f>
        <v>-0.00107704544892451</v>
      </c>
      <c r="BC64" s="33">
        <f>-'A domestic'!BC64</f>
        <v>-0.0011581431095029795</v>
      </c>
      <c r="BD64" s="33">
        <f>-'A domestic'!BD64</f>
        <v>-0.0005679371595178793</v>
      </c>
      <c r="BE64" s="33">
        <f>-'A domestic'!BE64</f>
        <v>-0.000546591960469995</v>
      </c>
      <c r="BF64" s="33">
        <f>-'A domestic'!BF64</f>
        <v>-0.0026716206088246083</v>
      </c>
      <c r="BG64" s="33">
        <f>-'A domestic'!BG64</f>
        <v>-0.003308114424573995</v>
      </c>
      <c r="BH64" s="33">
        <f>-'A domestic'!BH64</f>
        <v>-0.0028781983133190528</v>
      </c>
      <c r="BI64" s="33">
        <f>-'A domestic'!BI64</f>
        <v>-0.003530162936449459</v>
      </c>
      <c r="BJ64" s="33">
        <f>-'A domestic'!BJ64</f>
        <v>-0.0024332523399422028</v>
      </c>
      <c r="BK64" s="33">
        <f>-'A domestic'!BK64</f>
        <v>-0.0004405561630995157</v>
      </c>
      <c r="BL64" s="33">
        <f>1-'A domestic'!BL64</f>
        <v>0.9252353748308711</v>
      </c>
      <c r="BM64" s="33">
        <f>-'A domestic'!BM64</f>
        <v>0</v>
      </c>
      <c r="BN64" s="33">
        <f>-'A domestic'!BN64</f>
        <v>0</v>
      </c>
    </row>
    <row r="65" spans="1:66" x14ac:dyDescent="0.25">
      <c r="A65" s="30" t="s">
        <v>393</v>
      </c>
      <c r="B65" s="31" t="s">
        <v>394</v>
      </c>
      <c r="C65" s="33">
        <f>-'A domestic'!C65</f>
        <v>-0.000023217915851639266</v>
      </c>
      <c r="D65" s="33">
        <f>-'A domestic'!D65</f>
        <v>-0.000022417898450122574</v>
      </c>
      <c r="E65" s="33">
        <f>-'A domestic'!E65</f>
        <v>-0.0013709879936744513</v>
      </c>
      <c r="F65" s="33">
        <f>-'A domestic'!F65</f>
        <v>0</v>
      </c>
      <c r="G65" s="33">
        <f>-'A domestic'!G65</f>
        <v>-0.000036201172564808927</v>
      </c>
      <c r="H65" s="33">
        <f>-'A domestic'!H65</f>
        <v>0</v>
      </c>
      <c r="I65" s="33">
        <f>-'A domestic'!I65</f>
        <v>0</v>
      </c>
      <c r="J65" s="33">
        <f>-'A domestic'!J65</f>
        <v>0</v>
      </c>
      <c r="K65" s="33">
        <f>-'A domestic'!K65</f>
        <v>0</v>
      </c>
      <c r="L65" s="33">
        <f>-'A domestic'!L65</f>
        <v>0</v>
      </c>
      <c r="M65" s="33">
        <f>-'A domestic'!M65</f>
        <v>-1.5758541326380665e-7</v>
      </c>
      <c r="N65" s="33">
        <f>-'A domestic'!N65</f>
        <v>0</v>
      </c>
      <c r="O65" s="33">
        <f>-'A domestic'!O65</f>
        <v>0</v>
      </c>
      <c r="P65" s="33">
        <f>-'A domestic'!P65</f>
        <v>0</v>
      </c>
      <c r="Q65" s="33">
        <f>-'A domestic'!Q65</f>
        <v>0</v>
      </c>
      <c r="R65" s="33">
        <f>-'A domestic'!R65</f>
        <v>0</v>
      </c>
      <c r="S65" s="33">
        <f>-'A domestic'!S65</f>
        <v>0</v>
      </c>
      <c r="T65" s="33">
        <f>-'A domestic'!T65</f>
        <v>0</v>
      </c>
      <c r="U65" s="33">
        <f>-'A domestic'!U65</f>
        <v>0</v>
      </c>
      <c r="V65" s="33">
        <f>-'A domestic'!V65</f>
        <v>0</v>
      </c>
      <c r="W65" s="33">
        <f>-'A domestic'!W65</f>
        <v>0</v>
      </c>
      <c r="X65" s="33">
        <f>-'A domestic'!X65</f>
        <v>0</v>
      </c>
      <c r="Y65" s="33">
        <f>-'A domestic'!Y65</f>
        <v>-4.0548491332557234e-7</v>
      </c>
      <c r="Z65" s="33">
        <f>-'A domestic'!Z65</f>
        <v>0</v>
      </c>
      <c r="AA65" s="33">
        <f>-'A domestic'!AA65</f>
        <v>0</v>
      </c>
      <c r="AB65" s="33">
        <f>-'A domestic'!AB65</f>
        <v>0</v>
      </c>
      <c r="AC65" s="33">
        <f>-'A domestic'!AC65</f>
        <v>-0.0000036283062476836055</v>
      </c>
      <c r="AD65" s="33">
        <f>-'A domestic'!AD65</f>
        <v>0</v>
      </c>
      <c r="AE65" s="33">
        <f>-'A domestic'!AE65</f>
        <v>0</v>
      </c>
      <c r="AF65" s="33">
        <f>-'A domestic'!AF65</f>
        <v>0</v>
      </c>
      <c r="AG65" s="33">
        <f>-'A domestic'!AG65</f>
        <v>0</v>
      </c>
      <c r="AH65" s="33">
        <f>-'A domestic'!AH65</f>
        <v>-0.0000017163706141903517</v>
      </c>
      <c r="AI65" s="33">
        <f>-'A domestic'!AI65</f>
        <v>0</v>
      </c>
      <c r="AJ65" s="33">
        <f>-'A domestic'!AJ65</f>
        <v>-0.000028935120781871477</v>
      </c>
      <c r="AK65" s="33">
        <f>-'A domestic'!AK65</f>
        <v>0</v>
      </c>
      <c r="AL65" s="33">
        <f>-'A domestic'!AL65</f>
        <v>-0.0000027038289936314693</v>
      </c>
      <c r="AM65" s="33">
        <f>-'A domestic'!AM65</f>
        <v>0</v>
      </c>
      <c r="AN65" s="33">
        <f>-'A domestic'!AN65</f>
        <v>0</v>
      </c>
      <c r="AO65" s="33">
        <f>-'A domestic'!AO65</f>
        <v>0</v>
      </c>
      <c r="AP65" s="33">
        <f>-'A domestic'!AP65</f>
        <v>0</v>
      </c>
      <c r="AQ65" s="33">
        <f>-'A domestic'!AQ65</f>
        <v>0</v>
      </c>
      <c r="AR65" s="33">
        <f>-'A domestic'!AR65</f>
        <v>0</v>
      </c>
      <c r="AS65" s="33">
        <f>-'A domestic'!AS65</f>
        <v>0</v>
      </c>
      <c r="AT65" s="33">
        <f>-'A domestic'!AT65</f>
        <v>-0.0000033196412359384737</v>
      </c>
      <c r="AU65" s="33">
        <f>-'A domestic'!AU65</f>
        <v>0</v>
      </c>
      <c r="AV65" s="33">
        <f>-'A domestic'!AV65</f>
        <v>-0.000009366256766562998</v>
      </c>
      <c r="AW65" s="33">
        <f>-'A domestic'!AW65</f>
        <v>-0.000005701001217978188</v>
      </c>
      <c r="AX65" s="33">
        <f>-'A domestic'!AX65</f>
        <v>0</v>
      </c>
      <c r="AY65" s="33">
        <f>-'A domestic'!AY65</f>
        <v>0</v>
      </c>
      <c r="AZ65" s="33">
        <f>-'A domestic'!AZ65</f>
        <v>0</v>
      </c>
      <c r="BA65" s="33">
        <f>-'A domestic'!BA65</f>
        <v>-0.000010735101075270664</v>
      </c>
      <c r="BB65" s="33">
        <f>-'A domestic'!BB65</f>
        <v>-0.000003191245774591141</v>
      </c>
      <c r="BC65" s="33">
        <f>-'A domestic'!BC65</f>
        <v>-0.0000072090098832391135</v>
      </c>
      <c r="BD65" s="33">
        <f>-'A domestic'!BD65</f>
        <v>-0.00019553076125575715</v>
      </c>
      <c r="BE65" s="33">
        <f>-'A domestic'!BE65</f>
        <v>-0.00008610332568535282</v>
      </c>
      <c r="BF65" s="33">
        <f>-'A domestic'!BF65</f>
        <v>-0.00005094799955350736</v>
      </c>
      <c r="BG65" s="33">
        <f>-'A domestic'!BG65</f>
        <v>-0.00013334262858711034</v>
      </c>
      <c r="BH65" s="33">
        <f>-'A domestic'!BH65</f>
        <v>-0.00004364212757117593</v>
      </c>
      <c r="BI65" s="33">
        <f>-'A domestic'!BI65</f>
        <v>-0.00003043243910732292</v>
      </c>
      <c r="BJ65" s="33">
        <f>-'A domestic'!BJ65</f>
        <v>-0.0000063261110232484595</v>
      </c>
      <c r="BK65" s="33">
        <f>-'A domestic'!BK65</f>
        <v>0</v>
      </c>
      <c r="BL65" s="33">
        <f>-'A domestic'!BL65</f>
        <v>0</v>
      </c>
      <c r="BM65" s="33">
        <f>1-'A domestic'!BM65</f>
        <v>1</v>
      </c>
      <c r="BN65" s="33">
        <f>-'A domestic'!BN65</f>
        <v>0</v>
      </c>
    </row>
    <row r="66" spans="1:66" x14ac:dyDescent="0.25">
      <c r="A66" s="30" t="s">
        <v>395</v>
      </c>
      <c r="B66" s="31" t="s">
        <v>396</v>
      </c>
      <c r="C66" s="33">
        <f>-'A domestic'!C66</f>
        <v>0</v>
      </c>
      <c r="D66" s="33">
        <f>-'A domestic'!D66</f>
        <v>0</v>
      </c>
      <c r="E66" s="33">
        <f>-'A domestic'!E66</f>
        <v>0</v>
      </c>
      <c r="F66" s="33">
        <f>-'A domestic'!F66</f>
        <v>0</v>
      </c>
      <c r="G66" s="33">
        <f>-'A domestic'!G66</f>
        <v>0</v>
      </c>
      <c r="H66" s="33">
        <f>-'A domestic'!H66</f>
        <v>0</v>
      </c>
      <c r="I66" s="33">
        <f>-'A domestic'!I66</f>
        <v>0</v>
      </c>
      <c r="J66" s="33">
        <f>-'A domestic'!J66</f>
        <v>0</v>
      </c>
      <c r="K66" s="33">
        <f>-'A domestic'!K66</f>
        <v>0</v>
      </c>
      <c r="L66" s="33">
        <f>-'A domestic'!L66</f>
        <v>0</v>
      </c>
      <c r="M66" s="33">
        <f>-'A domestic'!M66</f>
        <v>0</v>
      </c>
      <c r="N66" s="33">
        <f>-'A domestic'!N66</f>
        <v>0</v>
      </c>
      <c r="O66" s="33">
        <f>-'A domestic'!O66</f>
        <v>0</v>
      </c>
      <c r="P66" s="33">
        <f>-'A domestic'!P66</f>
        <v>0</v>
      </c>
      <c r="Q66" s="33">
        <f>-'A domestic'!Q66</f>
        <v>0</v>
      </c>
      <c r="R66" s="33">
        <f>-'A domestic'!R66</f>
        <v>0</v>
      </c>
      <c r="S66" s="33">
        <f>-'A domestic'!S66</f>
        <v>0</v>
      </c>
      <c r="T66" s="33">
        <f>-'A domestic'!T66</f>
        <v>0</v>
      </c>
      <c r="U66" s="33">
        <f>-'A domestic'!U66</f>
        <v>0</v>
      </c>
      <c r="V66" s="33">
        <f>-'A domestic'!V66</f>
        <v>0</v>
      </c>
      <c r="W66" s="33">
        <f>-'A domestic'!W66</f>
        <v>0</v>
      </c>
      <c r="X66" s="33">
        <f>-'A domestic'!X66</f>
        <v>0</v>
      </c>
      <c r="Y66" s="33">
        <f>-'A domestic'!Y66</f>
        <v>0</v>
      </c>
      <c r="Z66" s="33">
        <f>-'A domestic'!Z66</f>
        <v>0</v>
      </c>
      <c r="AA66" s="33">
        <f>-'A domestic'!AA66</f>
        <v>0</v>
      </c>
      <c r="AB66" s="33">
        <f>-'A domestic'!AB66</f>
        <v>0</v>
      </c>
      <c r="AC66" s="33">
        <f>-'A domestic'!AC66</f>
        <v>0</v>
      </c>
      <c r="AD66" s="33">
        <f>-'A domestic'!AD66</f>
        <v>0</v>
      </c>
      <c r="AE66" s="33">
        <f>-'A domestic'!AE66</f>
        <v>0</v>
      </c>
      <c r="AF66" s="33">
        <f>-'A domestic'!AF66</f>
        <v>0</v>
      </c>
      <c r="AG66" s="33">
        <f>-'A domestic'!AG66</f>
        <v>0</v>
      </c>
      <c r="AH66" s="33">
        <f>-'A domestic'!AH66</f>
        <v>0</v>
      </c>
      <c r="AI66" s="33">
        <f>-'A domestic'!AI66</f>
        <v>0</v>
      </c>
      <c r="AJ66" s="33">
        <f>-'A domestic'!AJ66</f>
        <v>0</v>
      </c>
      <c r="AK66" s="33">
        <f>-'A domestic'!AK66</f>
        <v>0</v>
      </c>
      <c r="AL66" s="33">
        <f>-'A domestic'!AL66</f>
        <v>0</v>
      </c>
      <c r="AM66" s="33">
        <f>-'A domestic'!AM66</f>
        <v>0</v>
      </c>
      <c r="AN66" s="33">
        <f>-'A domestic'!AN66</f>
        <v>0</v>
      </c>
      <c r="AO66" s="33">
        <f>-'A domestic'!AO66</f>
        <v>0</v>
      </c>
      <c r="AP66" s="33">
        <f>-'A domestic'!AP66</f>
        <v>0</v>
      </c>
      <c r="AQ66" s="33">
        <f>-'A domestic'!AQ66</f>
        <v>0</v>
      </c>
      <c r="AR66" s="33">
        <f>-'A domestic'!AR66</f>
        <v>0</v>
      </c>
      <c r="AS66" s="33">
        <f>-'A domestic'!AS66</f>
        <v>0</v>
      </c>
      <c r="AT66" s="33">
        <f>-'A domestic'!AT66</f>
        <v>0</v>
      </c>
      <c r="AU66" s="33">
        <f>-'A domestic'!AU66</f>
        <v>0</v>
      </c>
      <c r="AV66" s="33">
        <f>-'A domestic'!AV66</f>
        <v>0</v>
      </c>
      <c r="AW66" s="33">
        <f>-'A domestic'!AW66</f>
        <v>0</v>
      </c>
      <c r="AX66" s="33">
        <f>-'A domestic'!AX66</f>
        <v>0</v>
      </c>
      <c r="AY66" s="33">
        <f>-'A domestic'!AY66</f>
        <v>0</v>
      </c>
      <c r="AZ66" s="33">
        <f>-'A domestic'!AZ66</f>
        <v>0</v>
      </c>
      <c r="BA66" s="33">
        <f>-'A domestic'!BA66</f>
        <v>0</v>
      </c>
      <c r="BB66" s="33">
        <f>-'A domestic'!BB66</f>
        <v>0</v>
      </c>
      <c r="BC66" s="33">
        <f>-'A domestic'!BC66</f>
        <v>0</v>
      </c>
      <c r="BD66" s="33">
        <f>-'A domestic'!BD66</f>
        <v>0</v>
      </c>
      <c r="BE66" s="33">
        <f>-'A domestic'!BE66</f>
        <v>0</v>
      </c>
      <c r="BF66" s="33">
        <f>-'A domestic'!BF66</f>
        <v>0</v>
      </c>
      <c r="BG66" s="33">
        <f>-'A domestic'!BG66</f>
        <v>0</v>
      </c>
      <c r="BH66" s="33">
        <f>-'A domestic'!BH66</f>
        <v>0</v>
      </c>
      <c r="BI66" s="33">
        <f>-'A domestic'!BI66</f>
        <v>0</v>
      </c>
      <c r="BJ66" s="33">
        <f>-'A domestic'!BJ66</f>
        <v>0</v>
      </c>
      <c r="BK66" s="33">
        <f>-'A domestic'!BK66</f>
        <v>0</v>
      </c>
      <c r="BL66" s="33">
        <f>-'A domestic'!BL66</f>
        <v>0</v>
      </c>
      <c r="BM66" s="33">
        <f>-'A domestic'!BM66</f>
        <v>0</v>
      </c>
      <c r="BN66" s="33">
        <f>1-'A domestic'!BN66</f>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425</v>
      </c>
      <c r="B1" s="27"/>
      <c r="C1" s="34" t="s">
        <v>273</v>
      </c>
      <c r="D1" s="34" t="s">
        <v>276</v>
      </c>
      <c r="E1" s="34" t="s">
        <v>278</v>
      </c>
      <c r="F1" s="34" t="s">
        <v>280</v>
      </c>
      <c r="G1" s="34" t="s">
        <v>282</v>
      </c>
      <c r="H1" s="34" t="s">
        <v>145</v>
      </c>
      <c r="I1" s="34" t="s">
        <v>85</v>
      </c>
      <c r="J1" s="34" t="s">
        <v>87</v>
      </c>
      <c r="K1" s="34" t="s">
        <v>89</v>
      </c>
      <c r="L1" s="34" t="s">
        <v>91</v>
      </c>
      <c r="M1" s="34" t="s">
        <v>93</v>
      </c>
      <c r="N1" s="34" t="s">
        <v>95</v>
      </c>
      <c r="O1" s="34" t="s">
        <v>97</v>
      </c>
      <c r="P1" s="34" t="s">
        <v>99</v>
      </c>
      <c r="Q1" s="34" t="s">
        <v>101</v>
      </c>
      <c r="R1" s="34" t="s">
        <v>103</v>
      </c>
      <c r="S1" s="34" t="s">
        <v>105</v>
      </c>
      <c r="T1" s="34" t="s">
        <v>107</v>
      </c>
      <c r="U1" s="34" t="s">
        <v>109</v>
      </c>
      <c r="V1" s="34" t="s">
        <v>111</v>
      </c>
      <c r="W1" s="34" t="s">
        <v>113</v>
      </c>
      <c r="X1" s="34" t="s">
        <v>301</v>
      </c>
      <c r="Y1" s="34" t="s">
        <v>119</v>
      </c>
      <c r="Z1" s="34" t="s">
        <v>304</v>
      </c>
      <c r="AA1" s="34" t="s">
        <v>307</v>
      </c>
      <c r="AB1" s="34" t="s">
        <v>310</v>
      </c>
      <c r="AC1" s="34" t="s">
        <v>312</v>
      </c>
      <c r="AD1" s="34" t="s">
        <v>314</v>
      </c>
      <c r="AE1" s="34" t="s">
        <v>317</v>
      </c>
      <c r="AF1" s="34" t="s">
        <v>319</v>
      </c>
      <c r="AG1" s="34" t="s">
        <v>321</v>
      </c>
      <c r="AH1" s="34" t="s">
        <v>134</v>
      </c>
      <c r="AI1" s="34" t="s">
        <v>137</v>
      </c>
      <c r="AJ1" s="34" t="s">
        <v>326</v>
      </c>
      <c r="AK1" s="34" t="s">
        <v>328</v>
      </c>
      <c r="AL1" s="34" t="s">
        <v>330</v>
      </c>
      <c r="AM1" s="34" t="s">
        <v>332</v>
      </c>
      <c r="AN1" s="34" t="s">
        <v>335</v>
      </c>
      <c r="AO1" s="34" t="s">
        <v>337</v>
      </c>
      <c r="AP1" s="34" t="s">
        <v>339</v>
      </c>
      <c r="AQ1" s="34" t="s">
        <v>341</v>
      </c>
      <c r="AR1" s="34" t="s">
        <v>344</v>
      </c>
      <c r="AS1" s="34" t="s">
        <v>346</v>
      </c>
      <c r="AT1" s="34" t="s">
        <v>348</v>
      </c>
      <c r="AU1" s="34" t="s">
        <v>350</v>
      </c>
      <c r="AV1" s="34" t="s">
        <v>353</v>
      </c>
      <c r="AW1" s="34" t="s">
        <v>355</v>
      </c>
      <c r="AX1" s="34" t="s">
        <v>357</v>
      </c>
      <c r="AY1" s="34" t="s">
        <v>359</v>
      </c>
      <c r="AZ1" s="34" t="s">
        <v>361</v>
      </c>
      <c r="BA1" s="34" t="s">
        <v>364</v>
      </c>
      <c r="BB1" s="34" t="s">
        <v>366</v>
      </c>
      <c r="BC1" s="34" t="s">
        <v>368</v>
      </c>
      <c r="BD1" s="34" t="s">
        <v>370</v>
      </c>
      <c r="BE1" s="34" t="s">
        <v>373</v>
      </c>
      <c r="BF1" s="34" t="s">
        <v>376</v>
      </c>
      <c r="BG1" s="34" t="s">
        <v>379</v>
      </c>
      <c r="BH1" s="34" t="s">
        <v>381</v>
      </c>
      <c r="BI1" s="34" t="s">
        <v>384</v>
      </c>
      <c r="BJ1" s="34" t="s">
        <v>386</v>
      </c>
      <c r="BK1" s="34" t="s">
        <v>389</v>
      </c>
      <c r="BL1" s="34" t="s">
        <v>391</v>
      </c>
      <c r="BM1" s="34" t="s">
        <v>393</v>
      </c>
      <c r="BN1" s="34"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 t="array" ref="C3:BN66">MINVERSE('I minus A'!C3:BN66)</f>
        <v>1.1638744819083384</v>
      </c>
      <c r="D3" s="33">
        <v>0.017624675271114113</v>
      </c>
      <c r="E3" s="33">
        <v>0.021331938495212997</v>
      </c>
      <c r="F3" s="33">
        <v>0.003598339623676336</v>
      </c>
      <c r="G3" s="33">
        <v>0.26263925701796</v>
      </c>
      <c r="H3" s="33">
        <v>0.022505221010735516</v>
      </c>
      <c r="I3" s="33">
        <v>0.008749745022458023</v>
      </c>
      <c r="J3" s="33">
        <v>0.007113412702825305</v>
      </c>
      <c r="K3" s="33">
        <v>0.0043953969049248314</v>
      </c>
      <c r="L3" s="33">
        <v>0.0024718190382136927</v>
      </c>
      <c r="M3" s="33">
        <v>0.013283647923710581</v>
      </c>
      <c r="N3" s="33">
        <v>0.0063496484534455964</v>
      </c>
      <c r="O3" s="33">
        <v>0.010414452149391325</v>
      </c>
      <c r="P3" s="33">
        <v>0.0046232894568811415</v>
      </c>
      <c r="Q3" s="33">
        <v>0.004315058909442945</v>
      </c>
      <c r="R3" s="33">
        <v>0.003590680989031157</v>
      </c>
      <c r="S3" s="33">
        <v>0.0029683906474622583</v>
      </c>
      <c r="T3" s="33">
        <v>0.00374978593435018</v>
      </c>
      <c r="U3" s="33">
        <v>0.0035071284875571093</v>
      </c>
      <c r="V3" s="33">
        <v>0.0037582921412240024</v>
      </c>
      <c r="W3" s="33">
        <v>0.003468329152427252</v>
      </c>
      <c r="X3" s="33">
        <v>0.005476133757101511</v>
      </c>
      <c r="Y3" s="33">
        <v>0.0035281429013443843</v>
      </c>
      <c r="Z3" s="33">
        <v>0.004740202948620973</v>
      </c>
      <c r="AA3" s="33">
        <v>0.003927684853991169</v>
      </c>
      <c r="AB3" s="33">
        <v>0.004272931103857532</v>
      </c>
      <c r="AC3" s="33">
        <v>0.004279347913969728</v>
      </c>
      <c r="AD3" s="33">
        <v>0.003043181874275443</v>
      </c>
      <c r="AE3" s="33">
        <v>0.009596615896789416</v>
      </c>
      <c r="AF3" s="33">
        <v>0.007243922362384972</v>
      </c>
      <c r="AG3" s="33">
        <v>0.00385985750018606</v>
      </c>
      <c r="AH3" s="33">
        <v>0.0034875834395366435</v>
      </c>
      <c r="AI3" s="33">
        <v>0.005756743333624816</v>
      </c>
      <c r="AJ3" s="33">
        <v>0.0040259713274190855</v>
      </c>
      <c r="AK3" s="33">
        <v>0.002746109422728232</v>
      </c>
      <c r="AL3" s="33">
        <v>0.05722332681991271</v>
      </c>
      <c r="AM3" s="33">
        <v>0.0027301710355776007</v>
      </c>
      <c r="AN3" s="33">
        <v>0.004939451638132923</v>
      </c>
      <c r="AO3" s="33">
        <v>0.003332722623651787</v>
      </c>
      <c r="AP3" s="33">
        <v>0.002596586182710597</v>
      </c>
      <c r="AQ3" s="33">
        <v>0.0015653474440756685</v>
      </c>
      <c r="AR3" s="33">
        <v>0.0020785447456774637</v>
      </c>
      <c r="AS3" s="33">
        <v>0.0026975500584872974</v>
      </c>
      <c r="AT3" s="33">
        <v>0.001095501200746284</v>
      </c>
      <c r="AU3" s="33">
        <v>0.003039270917578257</v>
      </c>
      <c r="AV3" s="33">
        <v>0.0031122362793065293</v>
      </c>
      <c r="AW3" s="33">
        <v>0.003835268705183953</v>
      </c>
      <c r="AX3" s="33">
        <v>0.0041374965619547935</v>
      </c>
      <c r="AY3" s="33">
        <v>0.00467852643023974</v>
      </c>
      <c r="AZ3" s="33">
        <v>0.003078790496067134</v>
      </c>
      <c r="BA3" s="33">
        <v>0.0015802801928617854</v>
      </c>
      <c r="BB3" s="33">
        <v>0.013486838701876868</v>
      </c>
      <c r="BC3" s="33">
        <v>0.010574273376585218</v>
      </c>
      <c r="BD3" s="33">
        <v>0.004031123169042203</v>
      </c>
      <c r="BE3" s="33">
        <v>0.0037700177244807485</v>
      </c>
      <c r="BF3" s="33">
        <v>0.0058906314634617415</v>
      </c>
      <c r="BG3" s="33">
        <v>0.007991102723368063</v>
      </c>
      <c r="BH3" s="33">
        <v>0.0053711958622701655</v>
      </c>
      <c r="BI3" s="33">
        <v>0.010244562466465679</v>
      </c>
      <c r="BJ3" s="33">
        <v>0.005905841535086546</v>
      </c>
      <c r="BK3" s="33">
        <v>0.0037304885655240097</v>
      </c>
      <c r="BL3" s="33">
        <v>0.004019542108609459</v>
      </c>
      <c r="BM3" s="33">
        <v>0</v>
      </c>
      <c r="BN3" s="33">
        <v>0</v>
      </c>
    </row>
    <row r="4" spans="1:66" x14ac:dyDescent="0.25">
      <c r="A4" s="30" t="s">
        <v>276</v>
      </c>
      <c r="B4" s="31" t="s">
        <v>277</v>
      </c>
      <c r="C4" s="33">
        <v>0.0030310784594145003</v>
      </c>
      <c r="D4" s="33">
        <v>1.3345301512651113</v>
      </c>
      <c r="E4" s="33">
        <v>0.005131773129225563</v>
      </c>
      <c r="F4" s="33">
        <v>0.0018028009160937616</v>
      </c>
      <c r="G4" s="33">
        <v>0.0032298228963952118</v>
      </c>
      <c r="H4" s="33">
        <v>0.0013339973060042744</v>
      </c>
      <c r="I4" s="33">
        <v>0.15185921762519458</v>
      </c>
      <c r="J4" s="33">
        <v>0.0567282221314032</v>
      </c>
      <c r="K4" s="33">
        <v>0.00789651952271862</v>
      </c>
      <c r="L4" s="33">
        <v>0.0004954915332925283</v>
      </c>
      <c r="M4" s="33">
        <v>0.002227234028307958</v>
      </c>
      <c r="N4" s="33">
        <v>0.0010485402091917084</v>
      </c>
      <c r="O4" s="33">
        <v>0.0020504013920089777</v>
      </c>
      <c r="P4" s="33">
        <v>0.00221439532525732</v>
      </c>
      <c r="Q4" s="33">
        <v>0.0014304549049742744</v>
      </c>
      <c r="R4" s="33">
        <v>0.0014671469576537945</v>
      </c>
      <c r="S4" s="33">
        <v>0.0007607266137211823</v>
      </c>
      <c r="T4" s="33">
        <v>0.0013168130602345483</v>
      </c>
      <c r="U4" s="33">
        <v>0.0011065420340020306</v>
      </c>
      <c r="V4" s="33">
        <v>0.0011313694106449097</v>
      </c>
      <c r="W4" s="33">
        <v>0.0014008012175730127</v>
      </c>
      <c r="X4" s="33">
        <v>0.013693961384115166</v>
      </c>
      <c r="Y4" s="33">
        <v>0.001048387038104862</v>
      </c>
      <c r="Z4" s="33">
        <v>0.0030674683365185364</v>
      </c>
      <c r="AA4" s="33">
        <v>0.0011432607027366066</v>
      </c>
      <c r="AB4" s="33">
        <v>0.0013516751111283896</v>
      </c>
      <c r="AC4" s="33">
        <v>0.004097057436367708</v>
      </c>
      <c r="AD4" s="33">
        <v>0.0007280919308538792</v>
      </c>
      <c r="AE4" s="33">
        <v>0.0011373797104686431</v>
      </c>
      <c r="AF4" s="33">
        <v>0.0008512229838977568</v>
      </c>
      <c r="AG4" s="33">
        <v>0.0008905685843698255</v>
      </c>
      <c r="AH4" s="33">
        <v>0.0004410029128347227</v>
      </c>
      <c r="AI4" s="33">
        <v>0.0006527717478561441</v>
      </c>
      <c r="AJ4" s="33">
        <v>0.0009232397775736839</v>
      </c>
      <c r="AK4" s="33">
        <v>0.0006621127777176337</v>
      </c>
      <c r="AL4" s="33">
        <v>0.0013682304197040129</v>
      </c>
      <c r="AM4" s="33">
        <v>0.00141606429585337</v>
      </c>
      <c r="AN4" s="33">
        <v>0.0013454591981994202</v>
      </c>
      <c r="AO4" s="33">
        <v>0.0007343075719971707</v>
      </c>
      <c r="AP4" s="33">
        <v>0.00046309671647205055</v>
      </c>
      <c r="AQ4" s="33">
        <v>0.00036835818872504823</v>
      </c>
      <c r="AR4" s="33">
        <v>0.0004680151741055758</v>
      </c>
      <c r="AS4" s="33">
        <v>0.0006010261735615748</v>
      </c>
      <c r="AT4" s="33">
        <v>0.000544445014670769</v>
      </c>
      <c r="AU4" s="33">
        <v>0.0006324346126026368</v>
      </c>
      <c r="AV4" s="33">
        <v>0.0009943143534716548</v>
      </c>
      <c r="AW4" s="33">
        <v>0.0005620935805870855</v>
      </c>
      <c r="AX4" s="33">
        <v>0.0013080357262257017</v>
      </c>
      <c r="AY4" s="33">
        <v>0.0012852596017118689</v>
      </c>
      <c r="AZ4" s="33">
        <v>0.0005896049435880189</v>
      </c>
      <c r="BA4" s="33">
        <v>0.0002777020994431287</v>
      </c>
      <c r="BB4" s="33">
        <v>0.000969234502453718</v>
      </c>
      <c r="BC4" s="33">
        <v>0.0016297491573150566</v>
      </c>
      <c r="BD4" s="33">
        <v>0.0007571412315784393</v>
      </c>
      <c r="BE4" s="33">
        <v>0.0004369920810207988</v>
      </c>
      <c r="BF4" s="33">
        <v>0.0007380886411078414</v>
      </c>
      <c r="BG4" s="33">
        <v>0.0006010450623975091</v>
      </c>
      <c r="BH4" s="33">
        <v>0.0013813214283083743</v>
      </c>
      <c r="BI4" s="33">
        <v>0.0012430008415891794</v>
      </c>
      <c r="BJ4" s="33">
        <v>0.0008756011635266832</v>
      </c>
      <c r="BK4" s="33">
        <v>0.0013742112785562598</v>
      </c>
      <c r="BL4" s="33">
        <v>0.001608313294500602</v>
      </c>
      <c r="BM4" s="33">
        <v>0</v>
      </c>
      <c r="BN4" s="33">
        <v>0</v>
      </c>
    </row>
    <row r="5" spans="1:66" x14ac:dyDescent="0.25">
      <c r="A5" s="30" t="s">
        <v>278</v>
      </c>
      <c r="B5" s="31" t="s">
        <v>279</v>
      </c>
      <c r="C5" s="33">
        <v>0.0004158452323917381</v>
      </c>
      <c r="D5" s="33">
        <v>0.00008739138216696507</v>
      </c>
      <c r="E5" s="33">
        <v>1.0329402146537383</v>
      </c>
      <c r="F5" s="33">
        <v>0.000048369242687726236</v>
      </c>
      <c r="G5" s="33">
        <v>0.002876727702017315</v>
      </c>
      <c r="H5" s="33">
        <v>0.00011207473542672322</v>
      </c>
      <c r="I5" s="33">
        <v>0.00007633460460280652</v>
      </c>
      <c r="J5" s="33">
        <v>0.00007127869365155514</v>
      </c>
      <c r="K5" s="33">
        <v>0.00006066402753209263</v>
      </c>
      <c r="L5" s="33">
        <v>0.00003367614700636266</v>
      </c>
      <c r="M5" s="33">
        <v>0.0001378304910308235</v>
      </c>
      <c r="N5" s="33">
        <v>0.00008345743325506675</v>
      </c>
      <c r="O5" s="33">
        <v>0.00006779824929271206</v>
      </c>
      <c r="P5" s="33">
        <v>0.00005953983202104974</v>
      </c>
      <c r="Q5" s="33">
        <v>0.00005208853683716598</v>
      </c>
      <c r="R5" s="33">
        <v>0.00004953074117581735</v>
      </c>
      <c r="S5" s="33">
        <v>0.00003578318017180313</v>
      </c>
      <c r="T5" s="33">
        <v>0.00004990444874523208</v>
      </c>
      <c r="U5" s="33">
        <v>0.00004699356272553697</v>
      </c>
      <c r="V5" s="33">
        <v>0.000044321819243724506</v>
      </c>
      <c r="W5" s="33">
        <v>0.00004456947329516626</v>
      </c>
      <c r="X5" s="33">
        <v>0.00007154556943494911</v>
      </c>
      <c r="Y5" s="33">
        <v>0.000058489943321649955</v>
      </c>
      <c r="Z5" s="33">
        <v>0.00006702541586663626</v>
      </c>
      <c r="AA5" s="33">
        <v>0.000058425243956215855</v>
      </c>
      <c r="AB5" s="33">
        <v>0.0000592484854696315</v>
      </c>
      <c r="AC5" s="33">
        <v>0.00007347342857683459</v>
      </c>
      <c r="AD5" s="33">
        <v>0.00004549483079144071</v>
      </c>
      <c r="AE5" s="33">
        <v>0.00009076011719448695</v>
      </c>
      <c r="AF5" s="33">
        <v>0.00005921219204151657</v>
      </c>
      <c r="AG5" s="33">
        <v>0.00006861994857859449</v>
      </c>
      <c r="AH5" s="33">
        <v>0.00007877800469950676</v>
      </c>
      <c r="AI5" s="33">
        <v>0.00012515886852030848</v>
      </c>
      <c r="AJ5" s="33">
        <v>0.00007596047890391915</v>
      </c>
      <c r="AK5" s="33">
        <v>0.000044747452420114064</v>
      </c>
      <c r="AL5" s="33">
        <v>0.0024801473206332394</v>
      </c>
      <c r="AM5" s="33">
        <v>0.000041071180109079974</v>
      </c>
      <c r="AN5" s="33">
        <v>0.0001055967207840652</v>
      </c>
      <c r="AO5" s="33">
        <v>0.00005818294897875021</v>
      </c>
      <c r="AP5" s="33">
        <v>0.00004663272165543196</v>
      </c>
      <c r="AQ5" s="33">
        <v>0.00003163419016206064</v>
      </c>
      <c r="AR5" s="33">
        <v>0.00003895297950664819</v>
      </c>
      <c r="AS5" s="33">
        <v>0.00005742487028271182</v>
      </c>
      <c r="AT5" s="33">
        <v>0.000015214044113419491</v>
      </c>
      <c r="AU5" s="33">
        <v>0.00005423387837154789</v>
      </c>
      <c r="AV5" s="33">
        <v>0.000048020966659306</v>
      </c>
      <c r="AW5" s="33">
        <v>0.00004618714635706143</v>
      </c>
      <c r="AX5" s="33">
        <v>0.00007004523248228697</v>
      </c>
      <c r="AY5" s="33">
        <v>0.0000727745849798678</v>
      </c>
      <c r="AZ5" s="33">
        <v>0.00005243418856295998</v>
      </c>
      <c r="BA5" s="33">
        <v>0.00002764663786005877</v>
      </c>
      <c r="BB5" s="33">
        <v>0.00045387972199389216</v>
      </c>
      <c r="BC5" s="33">
        <v>0.00007280175028356777</v>
      </c>
      <c r="BD5" s="33">
        <v>0.000057701583317054946</v>
      </c>
      <c r="BE5" s="33">
        <v>0.00005507029877579293</v>
      </c>
      <c r="BF5" s="33">
        <v>0.00009906623694669245</v>
      </c>
      <c r="BG5" s="33">
        <v>0.00016155904760547428</v>
      </c>
      <c r="BH5" s="33">
        <v>0.00010353791166092697</v>
      </c>
      <c r="BI5" s="33">
        <v>0.00019356552593038072</v>
      </c>
      <c r="BJ5" s="33">
        <v>0.00031227520381443407</v>
      </c>
      <c r="BK5" s="33">
        <v>0.000060016887044082084</v>
      </c>
      <c r="BL5" s="33">
        <v>0.00005706062942048539</v>
      </c>
      <c r="BM5" s="33">
        <v>0</v>
      </c>
      <c r="BN5" s="33">
        <v>0</v>
      </c>
    </row>
    <row r="6" spans="1:66" x14ac:dyDescent="0.25">
      <c r="A6" s="30" t="s">
        <v>280</v>
      </c>
      <c r="B6" s="31" t="s">
        <v>281</v>
      </c>
      <c r="C6" s="33">
        <v>0.005824026705590726</v>
      </c>
      <c r="D6" s="33">
        <v>0.004200617854309052</v>
      </c>
      <c r="E6" s="33">
        <v>0.007829523908692336</v>
      </c>
      <c r="F6" s="33">
        <v>1.0598142445758643</v>
      </c>
      <c r="G6" s="33">
        <v>0.0049609972672219034</v>
      </c>
      <c r="H6" s="33">
        <v>0.0034704059958271236</v>
      </c>
      <c r="I6" s="33">
        <v>0.00483312036240374</v>
      </c>
      <c r="J6" s="33">
        <v>0.007672580448425321</v>
      </c>
      <c r="K6" s="33">
        <v>0.004099680730505037</v>
      </c>
      <c r="L6" s="33">
        <v>0.049268344533993015</v>
      </c>
      <c r="M6" s="33">
        <v>0.014785792413421003</v>
      </c>
      <c r="N6" s="33">
        <v>0.0026402263019788463</v>
      </c>
      <c r="O6" s="33">
        <v>0.006600095293164768</v>
      </c>
      <c r="P6" s="33">
        <v>0.04635006153907464</v>
      </c>
      <c r="Q6" s="33">
        <v>0.030278733765894527</v>
      </c>
      <c r="R6" s="33">
        <v>0.01074632932707425</v>
      </c>
      <c r="S6" s="33">
        <v>0.0025700992782396958</v>
      </c>
      <c r="T6" s="33">
        <v>0.00714853041462562</v>
      </c>
      <c r="U6" s="33">
        <v>0.00556470643060073</v>
      </c>
      <c r="V6" s="33">
        <v>0.005577054665504727</v>
      </c>
      <c r="W6" s="33">
        <v>0.004267936282822207</v>
      </c>
      <c r="X6" s="33">
        <v>0.005895937713766539</v>
      </c>
      <c r="Y6" s="33">
        <v>0.004352201899137789</v>
      </c>
      <c r="Z6" s="33">
        <v>0.02158729905573661</v>
      </c>
      <c r="AA6" s="33">
        <v>0.006221936290124716</v>
      </c>
      <c r="AB6" s="33">
        <v>0.005948254285868625</v>
      </c>
      <c r="AC6" s="33">
        <v>0.01308757892997617</v>
      </c>
      <c r="AD6" s="33">
        <v>0.002518918636802446</v>
      </c>
      <c r="AE6" s="33">
        <v>0.002502142811625324</v>
      </c>
      <c r="AF6" s="33">
        <v>0.0020519775310473085</v>
      </c>
      <c r="AG6" s="33">
        <v>0.005531113194574405</v>
      </c>
      <c r="AH6" s="33">
        <v>0.005313882739583713</v>
      </c>
      <c r="AI6" s="33">
        <v>0.00753840544200093</v>
      </c>
      <c r="AJ6" s="33">
        <v>0.003665083797874929</v>
      </c>
      <c r="AK6" s="33">
        <v>0.002681117336472475</v>
      </c>
      <c r="AL6" s="33">
        <v>0.0028372734899279693</v>
      </c>
      <c r="AM6" s="33">
        <v>0.0013018369036077173</v>
      </c>
      <c r="AN6" s="33">
        <v>0.001842011629111542</v>
      </c>
      <c r="AO6" s="33">
        <v>0.0021658554723525117</v>
      </c>
      <c r="AP6" s="33">
        <v>0.001214871459026254</v>
      </c>
      <c r="AQ6" s="33">
        <v>0.0008360093243512705</v>
      </c>
      <c r="AR6" s="33">
        <v>0.0010888494656410622</v>
      </c>
      <c r="AS6" s="33">
        <v>0.0014169601595875327</v>
      </c>
      <c r="AT6" s="33">
        <v>0.001498172313340429</v>
      </c>
      <c r="AU6" s="33">
        <v>0.001594408745631365</v>
      </c>
      <c r="AV6" s="33">
        <v>0.0024732722473491905</v>
      </c>
      <c r="AW6" s="33">
        <v>0.0017352071358596028</v>
      </c>
      <c r="AX6" s="33">
        <v>0.0018851999741426905</v>
      </c>
      <c r="AY6" s="33">
        <v>0.0022801300757812077</v>
      </c>
      <c r="AZ6" s="33">
        <v>0.0017676707592691496</v>
      </c>
      <c r="BA6" s="33">
        <v>0.0008868471659467127</v>
      </c>
      <c r="BB6" s="33">
        <v>0.0028031082090793366</v>
      </c>
      <c r="BC6" s="33">
        <v>0.0029067756532815537</v>
      </c>
      <c r="BD6" s="33">
        <v>0.0020793289812054056</v>
      </c>
      <c r="BE6" s="33">
        <v>0.0011263323341696872</v>
      </c>
      <c r="BF6" s="33">
        <v>0.001718880949727558</v>
      </c>
      <c r="BG6" s="33">
        <v>0.0015469335948701288</v>
      </c>
      <c r="BH6" s="33">
        <v>0.002110423767300584</v>
      </c>
      <c r="BI6" s="33">
        <v>0.002843081314770516</v>
      </c>
      <c r="BJ6" s="33">
        <v>0.0020865883003092574</v>
      </c>
      <c r="BK6" s="33">
        <v>0.002155826372650959</v>
      </c>
      <c r="BL6" s="33">
        <v>0.0023594988590756065</v>
      </c>
      <c r="BM6" s="33">
        <v>0</v>
      </c>
      <c r="BN6" s="33">
        <v>0</v>
      </c>
    </row>
    <row r="7" spans="1:66" x14ac:dyDescent="0.25">
      <c r="A7" s="30" t="s">
        <v>282</v>
      </c>
      <c r="B7" s="31" t="s">
        <v>283</v>
      </c>
      <c r="C7" s="33">
        <v>0.1403490229564534</v>
      </c>
      <c r="D7" s="33">
        <v>0.008645096768522782</v>
      </c>
      <c r="E7" s="33">
        <v>0.058424382786378154</v>
      </c>
      <c r="F7" s="33">
        <v>0.007338837625241958</v>
      </c>
      <c r="G7" s="33">
        <v>1.2333517676064882</v>
      </c>
      <c r="H7" s="33">
        <v>0.021212274441214353</v>
      </c>
      <c r="I7" s="33">
        <v>0.010613988212084004</v>
      </c>
      <c r="J7" s="33">
        <v>0.013535199778798811</v>
      </c>
      <c r="K7" s="33">
        <v>0.00960749247824125</v>
      </c>
      <c r="L7" s="33">
        <v>0.006342337138369562</v>
      </c>
      <c r="M7" s="33">
        <v>0.03289558234455885</v>
      </c>
      <c r="N7" s="33">
        <v>0.016538231958619948</v>
      </c>
      <c r="O7" s="33">
        <v>0.01450868153169657</v>
      </c>
      <c r="P7" s="33">
        <v>0.01015095277677941</v>
      </c>
      <c r="Q7" s="33">
        <v>0.00965938824255361</v>
      </c>
      <c r="R7" s="33">
        <v>0.007653810384299872</v>
      </c>
      <c r="S7" s="33">
        <v>0.006097359791805375</v>
      </c>
      <c r="T7" s="33">
        <v>0.008144657622891188</v>
      </c>
      <c r="U7" s="33">
        <v>0.00744619989573546</v>
      </c>
      <c r="V7" s="33">
        <v>0.007696747556728089</v>
      </c>
      <c r="W7" s="33">
        <v>0.007101929090201984</v>
      </c>
      <c r="X7" s="33">
        <v>0.010969809301405311</v>
      </c>
      <c r="Y7" s="33">
        <v>0.00782273093983413</v>
      </c>
      <c r="Z7" s="33">
        <v>0.0069811713447392705</v>
      </c>
      <c r="AA7" s="33">
        <v>0.007750823335225261</v>
      </c>
      <c r="AB7" s="33">
        <v>0.010134637778642364</v>
      </c>
      <c r="AC7" s="33">
        <v>0.00844501533187534</v>
      </c>
      <c r="AD7" s="33">
        <v>0.007034406789724241</v>
      </c>
      <c r="AE7" s="33">
        <v>0.016038600037231284</v>
      </c>
      <c r="AF7" s="33">
        <v>0.01221643926937355</v>
      </c>
      <c r="AG7" s="33">
        <v>0.009211628140883764</v>
      </c>
      <c r="AH7" s="33">
        <v>0.008817354515405327</v>
      </c>
      <c r="AI7" s="33">
        <v>0.01445253446175841</v>
      </c>
      <c r="AJ7" s="33">
        <v>0.00911700698411521</v>
      </c>
      <c r="AK7" s="33">
        <v>0.006354284241753106</v>
      </c>
      <c r="AL7" s="33">
        <v>0.17283786902377135</v>
      </c>
      <c r="AM7" s="33">
        <v>0.006777949061153748</v>
      </c>
      <c r="AN7" s="33">
        <v>0.012450763009683449</v>
      </c>
      <c r="AO7" s="33">
        <v>0.008031684249147025</v>
      </c>
      <c r="AP7" s="33">
        <v>0.006618926847432055</v>
      </c>
      <c r="AQ7" s="33">
        <v>0.0038232144902342717</v>
      </c>
      <c r="AR7" s="33">
        <v>0.004775714966960592</v>
      </c>
      <c r="AS7" s="33">
        <v>0.006699862643101058</v>
      </c>
      <c r="AT7" s="33">
        <v>0.0020522541877103367</v>
      </c>
      <c r="AU7" s="33">
        <v>0.007748828504403738</v>
      </c>
      <c r="AV7" s="33">
        <v>0.00676472931934939</v>
      </c>
      <c r="AW7" s="33">
        <v>0.008447999444551976</v>
      </c>
      <c r="AX7" s="33">
        <v>0.010839813188778379</v>
      </c>
      <c r="AY7" s="33">
        <v>0.010724828744786743</v>
      </c>
      <c r="AZ7" s="33">
        <v>0.0074828720911953705</v>
      </c>
      <c r="BA7" s="33">
        <v>0.0038035517472938805</v>
      </c>
      <c r="BB7" s="33">
        <v>0.037466735771488534</v>
      </c>
      <c r="BC7" s="33">
        <v>0.010881754907730214</v>
      </c>
      <c r="BD7" s="33">
        <v>0.009393637666586194</v>
      </c>
      <c r="BE7" s="33">
        <v>0.010857062215767863</v>
      </c>
      <c r="BF7" s="33">
        <v>0.017865967940677237</v>
      </c>
      <c r="BG7" s="33">
        <v>0.02458991593840766</v>
      </c>
      <c r="BH7" s="33">
        <v>0.012028956383717553</v>
      </c>
      <c r="BI7" s="33">
        <v>0.028967228048491018</v>
      </c>
      <c r="BJ7" s="33">
        <v>0.01709668425169944</v>
      </c>
      <c r="BK7" s="33">
        <v>0.009225831170397379</v>
      </c>
      <c r="BL7" s="33">
        <v>0.008104930955296734</v>
      </c>
      <c r="BM7" s="33">
        <v>0</v>
      </c>
      <c r="BN7" s="33">
        <v>0</v>
      </c>
    </row>
    <row r="8" spans="1:66" x14ac:dyDescent="0.25">
      <c r="A8" s="30" t="s">
        <v>145</v>
      </c>
      <c r="B8" s="31" t="s">
        <v>285</v>
      </c>
      <c r="C8" s="33">
        <v>0.00284693547276399</v>
      </c>
      <c r="D8" s="33">
        <v>0.001899850022650985</v>
      </c>
      <c r="E8" s="33">
        <v>0.008886063443450706</v>
      </c>
      <c r="F8" s="33">
        <v>0.001772444049950164</v>
      </c>
      <c r="G8" s="33">
        <v>0.003094220403744759</v>
      </c>
      <c r="H8" s="33">
        <v>1.2207901319639387</v>
      </c>
      <c r="I8" s="33">
        <v>0.009099693200965686</v>
      </c>
      <c r="J8" s="33">
        <v>0.009688043940566488</v>
      </c>
      <c r="K8" s="33">
        <v>0.008264991704924148</v>
      </c>
      <c r="L8" s="33">
        <v>0.0010948504137223063</v>
      </c>
      <c r="M8" s="33">
        <v>0.0033319891208299143</v>
      </c>
      <c r="N8" s="33">
        <v>0.0023282244386717593</v>
      </c>
      <c r="O8" s="33">
        <v>0.008624626825826168</v>
      </c>
      <c r="P8" s="33">
        <v>0.003980183111613902</v>
      </c>
      <c r="Q8" s="33">
        <v>0.0025954254568283934</v>
      </c>
      <c r="R8" s="33">
        <v>0.0031153013522508166</v>
      </c>
      <c r="S8" s="33">
        <v>0.002025754038239706</v>
      </c>
      <c r="T8" s="33">
        <v>0.003128297873729076</v>
      </c>
      <c r="U8" s="33">
        <v>0.0029119675083596045</v>
      </c>
      <c r="V8" s="33">
        <v>0.007138359793655097</v>
      </c>
      <c r="W8" s="33">
        <v>0.004526723619587842</v>
      </c>
      <c r="X8" s="33">
        <v>0.01748421301143082</v>
      </c>
      <c r="Y8" s="33">
        <v>0.0035694711374291517</v>
      </c>
      <c r="Z8" s="33">
        <v>0.0016115054227668268</v>
      </c>
      <c r="AA8" s="33">
        <v>0.0020803299644053057</v>
      </c>
      <c r="AB8" s="33">
        <v>0.0032604209881295504</v>
      </c>
      <c r="AC8" s="33">
        <v>0.003358292132660108</v>
      </c>
      <c r="AD8" s="33">
        <v>0.002795774978585595</v>
      </c>
      <c r="AE8" s="33">
        <v>0.0038151860061002556</v>
      </c>
      <c r="AF8" s="33">
        <v>0.00281370580645127</v>
      </c>
      <c r="AG8" s="33">
        <v>0.0020695242147730133</v>
      </c>
      <c r="AH8" s="33">
        <v>0.0014515186428874932</v>
      </c>
      <c r="AI8" s="33">
        <v>0.001807430026367715</v>
      </c>
      <c r="AJ8" s="33">
        <v>0.0019577072267152554</v>
      </c>
      <c r="AK8" s="33">
        <v>0.0019507313470224713</v>
      </c>
      <c r="AL8" s="33">
        <v>0.003204230019394664</v>
      </c>
      <c r="AM8" s="33">
        <v>0.0017738780237420955</v>
      </c>
      <c r="AN8" s="33">
        <v>0.005374731797804203</v>
      </c>
      <c r="AO8" s="33">
        <v>0.002203931939154697</v>
      </c>
      <c r="AP8" s="33">
        <v>0.0012435285731875712</v>
      </c>
      <c r="AQ8" s="33">
        <v>0.0008098665656483229</v>
      </c>
      <c r="AR8" s="33">
        <v>0.0009455166809127394</v>
      </c>
      <c r="AS8" s="33">
        <v>0.0010827571445084867</v>
      </c>
      <c r="AT8" s="33">
        <v>0.0007071886047204662</v>
      </c>
      <c r="AU8" s="33">
        <v>0.0016852139498650435</v>
      </c>
      <c r="AV8" s="33">
        <v>0.0019942973447103773</v>
      </c>
      <c r="AW8" s="33">
        <v>0.0016024132387613289</v>
      </c>
      <c r="AX8" s="33">
        <v>0.0024168215401498268</v>
      </c>
      <c r="AY8" s="33">
        <v>0.00456618701037538</v>
      </c>
      <c r="AZ8" s="33">
        <v>0.0020156294335203807</v>
      </c>
      <c r="BA8" s="33">
        <v>0.0011172796498754528</v>
      </c>
      <c r="BB8" s="33">
        <v>0.002470890545763884</v>
      </c>
      <c r="BC8" s="33">
        <v>0.0037515055813105696</v>
      </c>
      <c r="BD8" s="33">
        <v>0.0017336949214874148</v>
      </c>
      <c r="BE8" s="33">
        <v>0.0009389282394246378</v>
      </c>
      <c r="BF8" s="33">
        <v>0.0036659926258107555</v>
      </c>
      <c r="BG8" s="33">
        <v>0.0026617352359775436</v>
      </c>
      <c r="BH8" s="33">
        <v>0.005186724727754732</v>
      </c>
      <c r="BI8" s="33">
        <v>0.004993356014870441</v>
      </c>
      <c r="BJ8" s="33">
        <v>0.0019370116118866544</v>
      </c>
      <c r="BK8" s="33">
        <v>0.009102908878748678</v>
      </c>
      <c r="BL8" s="33">
        <v>0.004854363508241494</v>
      </c>
      <c r="BM8" s="33">
        <v>0</v>
      </c>
      <c r="BN8" s="33">
        <v>0</v>
      </c>
    </row>
    <row r="9" spans="1:66" x14ac:dyDescent="0.25">
      <c r="A9" s="30" t="s">
        <v>85</v>
      </c>
      <c r="B9" s="31" t="s">
        <v>286</v>
      </c>
      <c r="C9" s="33">
        <v>0.005913253141898067</v>
      </c>
      <c r="D9" s="33">
        <v>0.013724667131362774</v>
      </c>
      <c r="E9" s="33">
        <v>0.008283135732287799</v>
      </c>
      <c r="F9" s="33">
        <v>0.003948865156540006</v>
      </c>
      <c r="G9" s="33">
        <v>0.007509111151768758</v>
      </c>
      <c r="H9" s="33">
        <v>0.0039997570574982245</v>
      </c>
      <c r="I9" s="33">
        <v>1.2109831752754268</v>
      </c>
      <c r="J9" s="33">
        <v>0.03362925944783231</v>
      </c>
      <c r="K9" s="33">
        <v>0.008999010762682681</v>
      </c>
      <c r="L9" s="33">
        <v>0.001501321716063553</v>
      </c>
      <c r="M9" s="33">
        <v>0.005138534821539352</v>
      </c>
      <c r="N9" s="33">
        <v>0.0027791484400897957</v>
      </c>
      <c r="O9" s="33">
        <v>0.006035667206647202</v>
      </c>
      <c r="P9" s="33">
        <v>0.009731467753181936</v>
      </c>
      <c r="Q9" s="33">
        <v>0.005433760436861868</v>
      </c>
      <c r="R9" s="33">
        <v>0.006773553453362042</v>
      </c>
      <c r="S9" s="33">
        <v>0.002719777080633496</v>
      </c>
      <c r="T9" s="33">
        <v>0.004803332167686666</v>
      </c>
      <c r="U9" s="33">
        <v>0.004682600502037506</v>
      </c>
      <c r="V9" s="33">
        <v>0.004721559198010292</v>
      </c>
      <c r="W9" s="33">
        <v>0.007730933632366322</v>
      </c>
      <c r="X9" s="33">
        <v>0.06418104893285441</v>
      </c>
      <c r="Y9" s="33">
        <v>0.004822288823143465</v>
      </c>
      <c r="Z9" s="33">
        <v>0.005862438750670046</v>
      </c>
      <c r="AA9" s="33">
        <v>0.004030333111474021</v>
      </c>
      <c r="AB9" s="33">
        <v>0.004812376003950689</v>
      </c>
      <c r="AC9" s="33">
        <v>0.025299397916780576</v>
      </c>
      <c r="AD9" s="33">
        <v>0.0026581600388965575</v>
      </c>
      <c r="AE9" s="33">
        <v>0.0035551670209761355</v>
      </c>
      <c r="AF9" s="33">
        <v>0.0027471936086263904</v>
      </c>
      <c r="AG9" s="33">
        <v>0.003281143114409739</v>
      </c>
      <c r="AH9" s="33">
        <v>0.0015731985593394166</v>
      </c>
      <c r="AI9" s="33">
        <v>0.0022718577882477175</v>
      </c>
      <c r="AJ9" s="33">
        <v>0.0037501164821846507</v>
      </c>
      <c r="AK9" s="33">
        <v>0.0022511851423555954</v>
      </c>
      <c r="AL9" s="33">
        <v>0.0037324425305018654</v>
      </c>
      <c r="AM9" s="33">
        <v>0.00242036601309694</v>
      </c>
      <c r="AN9" s="33">
        <v>0.005689121241630246</v>
      </c>
      <c r="AO9" s="33">
        <v>0.002837457120769031</v>
      </c>
      <c r="AP9" s="33">
        <v>0.001495684378736225</v>
      </c>
      <c r="AQ9" s="33">
        <v>0.0009993909646999633</v>
      </c>
      <c r="AR9" s="33">
        <v>0.0013158763334572823</v>
      </c>
      <c r="AS9" s="33">
        <v>0.0015639850258570333</v>
      </c>
      <c r="AT9" s="33">
        <v>0.002944594912135686</v>
      </c>
      <c r="AU9" s="33">
        <v>0.001874714387879941</v>
      </c>
      <c r="AV9" s="33">
        <v>0.002771163269066673</v>
      </c>
      <c r="AW9" s="33">
        <v>0.0016899022591979167</v>
      </c>
      <c r="AX9" s="33">
        <v>0.0035825097252451398</v>
      </c>
      <c r="AY9" s="33">
        <v>0.0038425675527378237</v>
      </c>
      <c r="AZ9" s="33">
        <v>0.002236431774532696</v>
      </c>
      <c r="BA9" s="33">
        <v>0.0009102080864231108</v>
      </c>
      <c r="BB9" s="33">
        <v>0.0025766320616937705</v>
      </c>
      <c r="BC9" s="33">
        <v>0.004930487175395553</v>
      </c>
      <c r="BD9" s="33">
        <v>0.0018989914833456162</v>
      </c>
      <c r="BE9" s="33">
        <v>0.0013966219174916944</v>
      </c>
      <c r="BF9" s="33">
        <v>0.0027588097017556177</v>
      </c>
      <c r="BG9" s="33">
        <v>0.0019049832442670305</v>
      </c>
      <c r="BH9" s="33">
        <v>0.0045553561305904785</v>
      </c>
      <c r="BI9" s="33">
        <v>0.004261741388798521</v>
      </c>
      <c r="BJ9" s="33">
        <v>0.0028251206659429145</v>
      </c>
      <c r="BK9" s="33">
        <v>0.00540936553279405</v>
      </c>
      <c r="BL9" s="33">
        <v>0.009043041811006255</v>
      </c>
      <c r="BM9" s="33">
        <v>0</v>
      </c>
      <c r="BN9" s="33">
        <v>0</v>
      </c>
    </row>
    <row r="10" spans="1:66" x14ac:dyDescent="0.25">
      <c r="A10" s="30" t="s">
        <v>87</v>
      </c>
      <c r="B10" s="31" t="s">
        <v>287</v>
      </c>
      <c r="C10" s="33">
        <v>0.007315804362798614</v>
      </c>
      <c r="D10" s="33">
        <v>0.009341116493950249</v>
      </c>
      <c r="E10" s="33">
        <v>0.006840473381371783</v>
      </c>
      <c r="F10" s="33">
        <v>0.004470022843070733</v>
      </c>
      <c r="G10" s="33">
        <v>0.025102365556628457</v>
      </c>
      <c r="H10" s="33">
        <v>0.011516772995575042</v>
      </c>
      <c r="I10" s="33">
        <v>0.022616775661654744</v>
      </c>
      <c r="J10" s="33">
        <v>1.2507168697676418</v>
      </c>
      <c r="K10" s="33">
        <v>0.1522822794450873</v>
      </c>
      <c r="L10" s="33">
        <v>0.0025874884177397796</v>
      </c>
      <c r="M10" s="33">
        <v>0.01493632349611859</v>
      </c>
      <c r="N10" s="33">
        <v>0.011739105663570037</v>
      </c>
      <c r="O10" s="33">
        <v>0.01598599307691388</v>
      </c>
      <c r="P10" s="33">
        <v>0.011433203563015422</v>
      </c>
      <c r="Q10" s="33">
        <v>0.007159711341496171</v>
      </c>
      <c r="R10" s="33">
        <v>0.007493443914691415</v>
      </c>
      <c r="S10" s="33">
        <v>0.006056114425939783</v>
      </c>
      <c r="T10" s="33">
        <v>0.010634369972495717</v>
      </c>
      <c r="U10" s="33">
        <v>0.007022751720868811</v>
      </c>
      <c r="V10" s="33">
        <v>0.006082790489749788</v>
      </c>
      <c r="W10" s="33">
        <v>0.0052586561988185974</v>
      </c>
      <c r="X10" s="33">
        <v>0.015893546687978256</v>
      </c>
      <c r="Y10" s="33">
        <v>0.0056504095379857015</v>
      </c>
      <c r="Z10" s="33">
        <v>0.004653155406728629</v>
      </c>
      <c r="AA10" s="33">
        <v>0.005318647237736554</v>
      </c>
      <c r="AB10" s="33">
        <v>0.010329968123132064</v>
      </c>
      <c r="AC10" s="33">
        <v>0.005993484085792492</v>
      </c>
      <c r="AD10" s="33">
        <v>0.004993741292908105</v>
      </c>
      <c r="AE10" s="33">
        <v>0.008102212690846721</v>
      </c>
      <c r="AF10" s="33">
        <v>0.0071201232386291224</v>
      </c>
      <c r="AG10" s="33">
        <v>0.004813609940491514</v>
      </c>
      <c r="AH10" s="33">
        <v>0.003002576166126328</v>
      </c>
      <c r="AI10" s="33">
        <v>0.004168331636709283</v>
      </c>
      <c r="AJ10" s="33">
        <v>0.005545068533840114</v>
      </c>
      <c r="AK10" s="33">
        <v>0.005346015800557887</v>
      </c>
      <c r="AL10" s="33">
        <v>0.009868309759652891</v>
      </c>
      <c r="AM10" s="33">
        <v>0.02375614815481654</v>
      </c>
      <c r="AN10" s="33">
        <v>0.010290759367906186</v>
      </c>
      <c r="AO10" s="33">
        <v>0.004779605564341682</v>
      </c>
      <c r="AP10" s="33">
        <v>0.003942852469763517</v>
      </c>
      <c r="AQ10" s="33">
        <v>0.004091960876316011</v>
      </c>
      <c r="AR10" s="33">
        <v>0.005226930911065546</v>
      </c>
      <c r="AS10" s="33">
        <v>0.007287421653408956</v>
      </c>
      <c r="AT10" s="33">
        <v>0.0016351345825841841</v>
      </c>
      <c r="AU10" s="33">
        <v>0.006622002653683667</v>
      </c>
      <c r="AV10" s="33">
        <v>0.008873954909098952</v>
      </c>
      <c r="AW10" s="33">
        <v>0.0043311806122766925</v>
      </c>
      <c r="AX10" s="33">
        <v>0.016190772742856494</v>
      </c>
      <c r="AY10" s="33">
        <v>0.014438718026342315</v>
      </c>
      <c r="AZ10" s="33">
        <v>0.004390864594582718</v>
      </c>
      <c r="BA10" s="33">
        <v>0.0021855729152106475</v>
      </c>
      <c r="BB10" s="33">
        <v>0.00974679089507226</v>
      </c>
      <c r="BC10" s="33">
        <v>0.012543878316766606</v>
      </c>
      <c r="BD10" s="33">
        <v>0.003958359848171736</v>
      </c>
      <c r="BE10" s="33">
        <v>0.0032547401285332005</v>
      </c>
      <c r="BF10" s="33">
        <v>0.003960215626293103</v>
      </c>
      <c r="BG10" s="33">
        <v>0.004619117287383229</v>
      </c>
      <c r="BH10" s="33">
        <v>0.011206699982286359</v>
      </c>
      <c r="BI10" s="33">
        <v>0.007162665943532712</v>
      </c>
      <c r="BJ10" s="33">
        <v>0.006207390814435041</v>
      </c>
      <c r="BK10" s="33">
        <v>0.005860931592131447</v>
      </c>
      <c r="BL10" s="33">
        <v>0.004103564586638945</v>
      </c>
      <c r="BM10" s="33">
        <v>0</v>
      </c>
      <c r="BN10" s="33">
        <v>0</v>
      </c>
    </row>
    <row r="11" spans="1:66" x14ac:dyDescent="0.25">
      <c r="A11" s="30" t="s">
        <v>89</v>
      </c>
      <c r="B11" s="31" t="s">
        <v>288</v>
      </c>
      <c r="C11" s="33">
        <v>0.0018273514496718185</v>
      </c>
      <c r="D11" s="33">
        <v>0.0013303946756043654</v>
      </c>
      <c r="E11" s="33">
        <v>0.0022187093773614656</v>
      </c>
      <c r="F11" s="33">
        <v>0.0015119355963647211</v>
      </c>
      <c r="G11" s="33">
        <v>0.0038264408266682143</v>
      </c>
      <c r="H11" s="33">
        <v>0.0035452682530088555</v>
      </c>
      <c r="I11" s="33">
        <v>0.005291223976416534</v>
      </c>
      <c r="J11" s="33">
        <v>0.016849824203877723</v>
      </c>
      <c r="K11" s="33">
        <v>1.0686041304604021</v>
      </c>
      <c r="L11" s="33">
        <v>0.0010259622014241589</v>
      </c>
      <c r="M11" s="33">
        <v>0.0030773414994918224</v>
      </c>
      <c r="N11" s="33">
        <v>0.0027399964146355617</v>
      </c>
      <c r="O11" s="33">
        <v>0.0035152764228346743</v>
      </c>
      <c r="P11" s="33">
        <v>0.0025306261569440487</v>
      </c>
      <c r="Q11" s="33">
        <v>0.002231272088850471</v>
      </c>
      <c r="R11" s="33">
        <v>0.0024300793433856653</v>
      </c>
      <c r="S11" s="33">
        <v>0.0019255742316886403</v>
      </c>
      <c r="T11" s="33">
        <v>0.0027741087202894682</v>
      </c>
      <c r="U11" s="33">
        <v>0.0025727601453808943</v>
      </c>
      <c r="V11" s="33">
        <v>0.0027809350303525603</v>
      </c>
      <c r="W11" s="33">
        <v>0.0021606735335501183</v>
      </c>
      <c r="X11" s="33">
        <v>0.0036809312773311595</v>
      </c>
      <c r="Y11" s="33">
        <v>0.001998729611569418</v>
      </c>
      <c r="Z11" s="33">
        <v>0.0017138086492916784</v>
      </c>
      <c r="AA11" s="33">
        <v>0.0024473035810483857</v>
      </c>
      <c r="AB11" s="33">
        <v>0.0031698917171843746</v>
      </c>
      <c r="AC11" s="33">
        <v>0.0021123063709252445</v>
      </c>
      <c r="AD11" s="33">
        <v>0.003480855112197986</v>
      </c>
      <c r="AE11" s="33">
        <v>0.003500187854164267</v>
      </c>
      <c r="AF11" s="33">
        <v>0.004834747248019708</v>
      </c>
      <c r="AG11" s="33">
        <v>0.002478196810405114</v>
      </c>
      <c r="AH11" s="33">
        <v>0.001391671553277657</v>
      </c>
      <c r="AI11" s="33">
        <v>0.002280848586811958</v>
      </c>
      <c r="AJ11" s="33">
        <v>0.002491231902986257</v>
      </c>
      <c r="AK11" s="33">
        <v>0.0055729787658267286</v>
      </c>
      <c r="AL11" s="33">
        <v>0.003037662236506397</v>
      </c>
      <c r="AM11" s="33">
        <v>0.03289435334944026</v>
      </c>
      <c r="AN11" s="33">
        <v>0.013074813383393773</v>
      </c>
      <c r="AO11" s="33">
        <v>0.00518877839925486</v>
      </c>
      <c r="AP11" s="33">
        <v>0.003042010666922498</v>
      </c>
      <c r="AQ11" s="33">
        <v>0.0038137074691177906</v>
      </c>
      <c r="AR11" s="33">
        <v>0.005365623504741492</v>
      </c>
      <c r="AS11" s="33">
        <v>0.006954291747926278</v>
      </c>
      <c r="AT11" s="33">
        <v>0.000920001549826623</v>
      </c>
      <c r="AU11" s="33">
        <v>0.003964158425609766</v>
      </c>
      <c r="AV11" s="33">
        <v>0.005225912226738779</v>
      </c>
      <c r="AW11" s="33">
        <v>0.003794879936952507</v>
      </c>
      <c r="AX11" s="33">
        <v>0.015056587354961862</v>
      </c>
      <c r="AY11" s="33">
        <v>0.009508498155965628</v>
      </c>
      <c r="AZ11" s="33">
        <v>0.0027381431106686975</v>
      </c>
      <c r="BA11" s="33">
        <v>0.001973179602078391</v>
      </c>
      <c r="BB11" s="33">
        <v>0.00831659106515197</v>
      </c>
      <c r="BC11" s="33">
        <v>0.007129656803429292</v>
      </c>
      <c r="BD11" s="33">
        <v>0.002612419081619276</v>
      </c>
      <c r="BE11" s="33">
        <v>0.0025627027230709343</v>
      </c>
      <c r="BF11" s="33">
        <v>0.0015977276727037015</v>
      </c>
      <c r="BG11" s="33">
        <v>0.0028063503009801154</v>
      </c>
      <c r="BH11" s="33">
        <v>0.009815965013691667</v>
      </c>
      <c r="BI11" s="33">
        <v>0.006773195142304664</v>
      </c>
      <c r="BJ11" s="33">
        <v>0.006891172408400904</v>
      </c>
      <c r="BK11" s="33">
        <v>0.003018978679528204</v>
      </c>
      <c r="BL11" s="33">
        <v>0.0023899762148306093</v>
      </c>
      <c r="BM11" s="33">
        <v>0</v>
      </c>
      <c r="BN11" s="33">
        <v>0</v>
      </c>
    </row>
    <row r="12" spans="1:66" x14ac:dyDescent="0.25">
      <c r="A12" s="30" t="s">
        <v>91</v>
      </c>
      <c r="B12" s="31" t="s">
        <v>289</v>
      </c>
      <c r="C12" s="33">
        <v>0.03702881483825269</v>
      </c>
      <c r="D12" s="33">
        <v>0.03362758884811817</v>
      </c>
      <c r="E12" s="33">
        <v>0.05517236327592526</v>
      </c>
      <c r="F12" s="33">
        <v>0.028973176868004033</v>
      </c>
      <c r="G12" s="33">
        <v>0.021257662659319932</v>
      </c>
      <c r="H12" s="33">
        <v>0.01575245319194155</v>
      </c>
      <c r="I12" s="33">
        <v>0.02178527478715518</v>
      </c>
      <c r="J12" s="33">
        <v>0.02227779759693379</v>
      </c>
      <c r="K12" s="33">
        <v>0.015885371179822944</v>
      </c>
      <c r="L12" s="33">
        <v>1.085201455040136</v>
      </c>
      <c r="M12" s="33">
        <v>0.08312216276032151</v>
      </c>
      <c r="N12" s="33">
        <v>0.01166855995579855</v>
      </c>
      <c r="O12" s="33">
        <v>0.028632498485269175</v>
      </c>
      <c r="P12" s="33">
        <v>0.03642322416421684</v>
      </c>
      <c r="Q12" s="33">
        <v>0.030299624008053683</v>
      </c>
      <c r="R12" s="33">
        <v>0.015291942743066349</v>
      </c>
      <c r="S12" s="33">
        <v>0.008301614838069822</v>
      </c>
      <c r="T12" s="33">
        <v>0.014442237391522166</v>
      </c>
      <c r="U12" s="33">
        <v>0.012220231218263423</v>
      </c>
      <c r="V12" s="33">
        <v>0.014576934949055724</v>
      </c>
      <c r="W12" s="33">
        <v>0.010858584585628838</v>
      </c>
      <c r="X12" s="33">
        <v>0.01533862701334169</v>
      </c>
      <c r="Y12" s="33">
        <v>0.012573964395234217</v>
      </c>
      <c r="Z12" s="33">
        <v>0.02125855272181367</v>
      </c>
      <c r="AA12" s="33">
        <v>0.012406716702670897</v>
      </c>
      <c r="AB12" s="33">
        <v>0.021324985004015116</v>
      </c>
      <c r="AC12" s="33">
        <v>0.02187410395940744</v>
      </c>
      <c r="AD12" s="33">
        <v>0.014122748975162648</v>
      </c>
      <c r="AE12" s="33">
        <v>0.014780316534612186</v>
      </c>
      <c r="AF12" s="33">
        <v>0.009288993054655746</v>
      </c>
      <c r="AG12" s="33">
        <v>0.07017854770002493</v>
      </c>
      <c r="AH12" s="33">
        <v>0.09313077895885212</v>
      </c>
      <c r="AI12" s="33">
        <v>0.13143480279699227</v>
      </c>
      <c r="AJ12" s="33">
        <v>0.02595921940850954</v>
      </c>
      <c r="AK12" s="33">
        <v>0.0254452650622213</v>
      </c>
      <c r="AL12" s="33">
        <v>0.010901355138951853</v>
      </c>
      <c r="AM12" s="33">
        <v>0.006144154424750789</v>
      </c>
      <c r="AN12" s="33">
        <v>0.010173209896084657</v>
      </c>
      <c r="AO12" s="33">
        <v>0.0076152286248828156</v>
      </c>
      <c r="AP12" s="33">
        <v>0.00513902722342028</v>
      </c>
      <c r="AQ12" s="33">
        <v>0.004094465680403269</v>
      </c>
      <c r="AR12" s="33">
        <v>0.007193307387922004</v>
      </c>
      <c r="AS12" s="33">
        <v>0.01111563700818308</v>
      </c>
      <c r="AT12" s="33">
        <v>0.0031188238704807536</v>
      </c>
      <c r="AU12" s="33">
        <v>0.007044843473153762</v>
      </c>
      <c r="AV12" s="33">
        <v>0.008319123541413016</v>
      </c>
      <c r="AW12" s="33">
        <v>0.00675735528940742</v>
      </c>
      <c r="AX12" s="33">
        <v>0.008795635386181047</v>
      </c>
      <c r="AY12" s="33">
        <v>0.009843978637769576</v>
      </c>
      <c r="AZ12" s="33">
        <v>0.013899493274771937</v>
      </c>
      <c r="BA12" s="33">
        <v>0.0034287578705467555</v>
      </c>
      <c r="BB12" s="33">
        <v>0.026277907584761957</v>
      </c>
      <c r="BC12" s="33">
        <v>0.011404746667144394</v>
      </c>
      <c r="BD12" s="33">
        <v>0.007937025131598465</v>
      </c>
      <c r="BE12" s="33">
        <v>0.00482019756053057</v>
      </c>
      <c r="BF12" s="33">
        <v>0.006703557795506168</v>
      </c>
      <c r="BG12" s="33">
        <v>0.0062557027394962725</v>
      </c>
      <c r="BH12" s="33">
        <v>0.008915332039317948</v>
      </c>
      <c r="BI12" s="33">
        <v>0.011640126927739382</v>
      </c>
      <c r="BJ12" s="33">
        <v>0.009588127563380353</v>
      </c>
      <c r="BK12" s="33">
        <v>0.00980217813997033</v>
      </c>
      <c r="BL12" s="33">
        <v>0.011731025360285155</v>
      </c>
      <c r="BM12" s="33">
        <v>0</v>
      </c>
      <c r="BN12" s="33">
        <v>0</v>
      </c>
    </row>
    <row r="13" spans="1:66" x14ac:dyDescent="0.25">
      <c r="A13" s="30" t="s">
        <v>93</v>
      </c>
      <c r="B13" s="31" t="s">
        <v>290</v>
      </c>
      <c r="C13" s="33">
        <v>0.0536931438739142</v>
      </c>
      <c r="D13" s="33">
        <v>0.012833309865044046</v>
      </c>
      <c r="E13" s="33">
        <v>0.02351277332645294</v>
      </c>
      <c r="F13" s="33">
        <v>0.017947540086131194</v>
      </c>
      <c r="G13" s="33">
        <v>0.03206572921728302</v>
      </c>
      <c r="H13" s="33">
        <v>0.053672881820237425</v>
      </c>
      <c r="I13" s="33">
        <v>0.04755921687302008</v>
      </c>
      <c r="J13" s="33">
        <v>0.05754741809585557</v>
      </c>
      <c r="K13" s="33">
        <v>0.04782549671639649</v>
      </c>
      <c r="L13" s="33">
        <v>0.03547346850532738</v>
      </c>
      <c r="M13" s="33">
        <v>1.2147119213523876</v>
      </c>
      <c r="N13" s="33">
        <v>0.049775009267649314</v>
      </c>
      <c r="O13" s="33">
        <v>0.16115146494790955</v>
      </c>
      <c r="P13" s="33">
        <v>0.045504695757793305</v>
      </c>
      <c r="Q13" s="33">
        <v>0.034418528322175984</v>
      </c>
      <c r="R13" s="33">
        <v>0.027657710445836915</v>
      </c>
      <c r="S13" s="33">
        <v>0.016713879048268477</v>
      </c>
      <c r="T13" s="33">
        <v>0.031345645972100544</v>
      </c>
      <c r="U13" s="33">
        <v>0.020451492472013357</v>
      </c>
      <c r="V13" s="33">
        <v>0.029067302003606365</v>
      </c>
      <c r="W13" s="33">
        <v>0.024045372523987855</v>
      </c>
      <c r="X13" s="33">
        <v>0.03724935179279091</v>
      </c>
      <c r="Y13" s="33">
        <v>0.018529753325893104</v>
      </c>
      <c r="Z13" s="33">
        <v>0.020865469728486248</v>
      </c>
      <c r="AA13" s="33">
        <v>0.0189480417769804</v>
      </c>
      <c r="AB13" s="33">
        <v>0.019508096896124268</v>
      </c>
      <c r="AC13" s="33">
        <v>0.025515234809656895</v>
      </c>
      <c r="AD13" s="33">
        <v>0.01437725801835169</v>
      </c>
      <c r="AE13" s="33">
        <v>0.01258413729945479</v>
      </c>
      <c r="AF13" s="33">
        <v>0.008127217908771358</v>
      </c>
      <c r="AG13" s="33">
        <v>0.01464480061959314</v>
      </c>
      <c r="AH13" s="33">
        <v>0.009253184070406881</v>
      </c>
      <c r="AI13" s="33">
        <v>0.017023564732353304</v>
      </c>
      <c r="AJ13" s="33">
        <v>0.009949618886424753</v>
      </c>
      <c r="AK13" s="33">
        <v>0.008370425379037715</v>
      </c>
      <c r="AL13" s="33">
        <v>0.013631400447087829</v>
      </c>
      <c r="AM13" s="33">
        <v>0.011320486945521634</v>
      </c>
      <c r="AN13" s="33">
        <v>0.010029282906075118</v>
      </c>
      <c r="AO13" s="33">
        <v>0.00797277940897905</v>
      </c>
      <c r="AP13" s="33">
        <v>0.006049767675808325</v>
      </c>
      <c r="AQ13" s="33">
        <v>0.0035153314635659972</v>
      </c>
      <c r="AR13" s="33">
        <v>0.0045830436922946445</v>
      </c>
      <c r="AS13" s="33">
        <v>0.005384923293278601</v>
      </c>
      <c r="AT13" s="33">
        <v>0.004318478952588409</v>
      </c>
      <c r="AU13" s="33">
        <v>0.006469273997037425</v>
      </c>
      <c r="AV13" s="33">
        <v>0.010622993287539267</v>
      </c>
      <c r="AW13" s="33">
        <v>0.015491871160217602</v>
      </c>
      <c r="AX13" s="33">
        <v>0.009345437956621145</v>
      </c>
      <c r="AY13" s="33">
        <v>0.013088723317130882</v>
      </c>
      <c r="AZ13" s="33">
        <v>0.00980632404185043</v>
      </c>
      <c r="BA13" s="33">
        <v>0.002845322473852314</v>
      </c>
      <c r="BB13" s="33">
        <v>0.010431056201351808</v>
      </c>
      <c r="BC13" s="33">
        <v>0.018249886348643905</v>
      </c>
      <c r="BD13" s="33">
        <v>0.006026093614902148</v>
      </c>
      <c r="BE13" s="33">
        <v>0.003963311452262893</v>
      </c>
      <c r="BF13" s="33">
        <v>0.01564162171874132</v>
      </c>
      <c r="BG13" s="33">
        <v>0.007426703929582416</v>
      </c>
      <c r="BH13" s="33">
        <v>0.009842965609762283</v>
      </c>
      <c r="BI13" s="33">
        <v>0.01021162553117266</v>
      </c>
      <c r="BJ13" s="33">
        <v>0.007791341379751513</v>
      </c>
      <c r="BK13" s="33">
        <v>0.009980965575360469</v>
      </c>
      <c r="BL13" s="33">
        <v>0.02102710927356057</v>
      </c>
      <c r="BM13" s="33">
        <v>0</v>
      </c>
      <c r="BN13" s="33">
        <v>0</v>
      </c>
    </row>
    <row r="14" spans="1:66" x14ac:dyDescent="0.25">
      <c r="A14" s="30" t="s">
        <v>95</v>
      </c>
      <c r="B14" s="31" t="s">
        <v>291</v>
      </c>
      <c r="C14" s="33">
        <v>0.005966104566937341</v>
      </c>
      <c r="D14" s="33">
        <v>0.0015524835386388667</v>
      </c>
      <c r="E14" s="33">
        <v>0.0033211845441424056</v>
      </c>
      <c r="F14" s="33">
        <v>0.0019751796666559918</v>
      </c>
      <c r="G14" s="33">
        <v>0.0060116620206566085</v>
      </c>
      <c r="H14" s="33">
        <v>0.004004453279966282</v>
      </c>
      <c r="I14" s="33">
        <v>0.003974485344751147</v>
      </c>
      <c r="J14" s="33">
        <v>0.00425770827295313</v>
      </c>
      <c r="K14" s="33">
        <v>0.004076755351118341</v>
      </c>
      <c r="L14" s="33">
        <v>0.0021305163798216414</v>
      </c>
      <c r="M14" s="33">
        <v>0.01210544238960673</v>
      </c>
      <c r="N14" s="33">
        <v>1.0600874252000998</v>
      </c>
      <c r="O14" s="33">
        <v>0.011316133469155788</v>
      </c>
      <c r="P14" s="33">
        <v>0.004318291746230561</v>
      </c>
      <c r="Q14" s="33">
        <v>0.003111746680759618</v>
      </c>
      <c r="R14" s="33">
        <v>0.0028980386759053663</v>
      </c>
      <c r="S14" s="33">
        <v>0.003228114398864304</v>
      </c>
      <c r="T14" s="33">
        <v>0.0035072677431044878</v>
      </c>
      <c r="U14" s="33">
        <v>0.0032876761266591396</v>
      </c>
      <c r="V14" s="33">
        <v>0.0035099694913573783</v>
      </c>
      <c r="W14" s="33">
        <v>0.002851030261304719</v>
      </c>
      <c r="X14" s="33">
        <v>0.004266517585617446</v>
      </c>
      <c r="Y14" s="33">
        <v>0.002541273024334691</v>
      </c>
      <c r="Z14" s="33">
        <v>0.002108862636635926</v>
      </c>
      <c r="AA14" s="33">
        <v>0.0023058832192146615</v>
      </c>
      <c r="AB14" s="33">
        <v>0.003196192378632034</v>
      </c>
      <c r="AC14" s="33">
        <v>0.003100712421302084</v>
      </c>
      <c r="AD14" s="33">
        <v>0.0022063873169325013</v>
      </c>
      <c r="AE14" s="33">
        <v>0.0047639917962486195</v>
      </c>
      <c r="AF14" s="33">
        <v>0.002401957391715789</v>
      </c>
      <c r="AG14" s="33">
        <v>0.0021584722294921</v>
      </c>
      <c r="AH14" s="33">
        <v>0.001923343236748027</v>
      </c>
      <c r="AI14" s="33">
        <v>0.0036429671134772467</v>
      </c>
      <c r="AJ14" s="33">
        <v>0.0021646069481745947</v>
      </c>
      <c r="AK14" s="33">
        <v>0.0019987422306837993</v>
      </c>
      <c r="AL14" s="33">
        <v>0.002832665086858927</v>
      </c>
      <c r="AM14" s="33">
        <v>0.004807839082172851</v>
      </c>
      <c r="AN14" s="33">
        <v>0.003359629330177669</v>
      </c>
      <c r="AO14" s="33">
        <v>0.0024823934116166664</v>
      </c>
      <c r="AP14" s="33">
        <v>0.0029853586133707206</v>
      </c>
      <c r="AQ14" s="33">
        <v>0.0012317896188953818</v>
      </c>
      <c r="AR14" s="33">
        <v>0.0015515769023599702</v>
      </c>
      <c r="AS14" s="33">
        <v>0.0018173167415456036</v>
      </c>
      <c r="AT14" s="33">
        <v>0.0007206724818027213</v>
      </c>
      <c r="AU14" s="33">
        <v>0.00280413092494236</v>
      </c>
      <c r="AV14" s="33">
        <v>0.0026305689233975514</v>
      </c>
      <c r="AW14" s="33">
        <v>0.007473183021297776</v>
      </c>
      <c r="AX14" s="33">
        <v>0.003261785835404056</v>
      </c>
      <c r="AY14" s="33">
        <v>0.007680534550114585</v>
      </c>
      <c r="AZ14" s="33">
        <v>0.004666040453540438</v>
      </c>
      <c r="BA14" s="33">
        <v>0.0009957404132949783</v>
      </c>
      <c r="BB14" s="33">
        <v>0.002722248738715635</v>
      </c>
      <c r="BC14" s="33">
        <v>0.003091740018420587</v>
      </c>
      <c r="BD14" s="33">
        <v>0.0020598441246577415</v>
      </c>
      <c r="BE14" s="33">
        <v>0.0012797858882150667</v>
      </c>
      <c r="BF14" s="33">
        <v>0.02413596578300016</v>
      </c>
      <c r="BG14" s="33">
        <v>0.005323728671860671</v>
      </c>
      <c r="BH14" s="33">
        <v>0.0022592598554886196</v>
      </c>
      <c r="BI14" s="33">
        <v>0.0026035030606302322</v>
      </c>
      <c r="BJ14" s="33">
        <v>0.001930294311929146</v>
      </c>
      <c r="BK14" s="33">
        <v>0.00184056860416266</v>
      </c>
      <c r="BL14" s="33">
        <v>0.0022892784258366286</v>
      </c>
      <c r="BM14" s="33">
        <v>0</v>
      </c>
      <c r="BN14" s="33">
        <v>0</v>
      </c>
    </row>
    <row r="15" spans="1:66" x14ac:dyDescent="0.25">
      <c r="A15" s="30" t="s">
        <v>97</v>
      </c>
      <c r="B15" s="31" t="s">
        <v>292</v>
      </c>
      <c r="C15" s="33">
        <v>0.011866656979634483</v>
      </c>
      <c r="D15" s="33">
        <v>0.00555556074812791</v>
      </c>
      <c r="E15" s="33">
        <v>0.010776635133613325</v>
      </c>
      <c r="F15" s="33">
        <v>0.007636566488097549</v>
      </c>
      <c r="G15" s="33">
        <v>0.023702524974102666</v>
      </c>
      <c r="H15" s="33">
        <v>0.019748508131800124</v>
      </c>
      <c r="I15" s="33">
        <v>0.017365851911245466</v>
      </c>
      <c r="J15" s="33">
        <v>0.02259813011402238</v>
      </c>
      <c r="K15" s="33">
        <v>0.02177997209557607</v>
      </c>
      <c r="L15" s="33">
        <v>0.00639362448054311</v>
      </c>
      <c r="M15" s="33">
        <v>0.023146173713162004</v>
      </c>
      <c r="N15" s="33">
        <v>0.01665931266551299</v>
      </c>
      <c r="O15" s="33">
        <v>1.1289036459656565</v>
      </c>
      <c r="P15" s="33">
        <v>0.021824488660060877</v>
      </c>
      <c r="Q15" s="33">
        <v>0.01455254947065697</v>
      </c>
      <c r="R15" s="33">
        <v>0.023661839336600668</v>
      </c>
      <c r="S15" s="33">
        <v>0.015013519017447585</v>
      </c>
      <c r="T15" s="33">
        <v>0.03513638447354697</v>
      </c>
      <c r="U15" s="33">
        <v>0.0277672765070543</v>
      </c>
      <c r="V15" s="33">
        <v>0.04882961617955442</v>
      </c>
      <c r="W15" s="33">
        <v>0.0196312806090538</v>
      </c>
      <c r="X15" s="33">
        <v>0.030828194986763438</v>
      </c>
      <c r="Y15" s="33">
        <v>0.018369101372832555</v>
      </c>
      <c r="Z15" s="33">
        <v>0.006124697771717849</v>
      </c>
      <c r="AA15" s="33">
        <v>0.00905450084446857</v>
      </c>
      <c r="AB15" s="33">
        <v>0.012793887959438713</v>
      </c>
      <c r="AC15" s="33">
        <v>0.03412341902287841</v>
      </c>
      <c r="AD15" s="33">
        <v>0.018409990239359488</v>
      </c>
      <c r="AE15" s="33">
        <v>0.008491177353467372</v>
      </c>
      <c r="AF15" s="33">
        <v>0.0074186001690105564</v>
      </c>
      <c r="AG15" s="33">
        <v>0.011881990602186965</v>
      </c>
      <c r="AH15" s="33">
        <v>0.004179491783168189</v>
      </c>
      <c r="AI15" s="33">
        <v>0.007016847866572181</v>
      </c>
      <c r="AJ15" s="33">
        <v>0.008136656399766734</v>
      </c>
      <c r="AK15" s="33">
        <v>0.006677244579387895</v>
      </c>
      <c r="AL15" s="33">
        <v>0.008104424977226863</v>
      </c>
      <c r="AM15" s="33">
        <v>0.005502202438324008</v>
      </c>
      <c r="AN15" s="33">
        <v>0.006476638918439033</v>
      </c>
      <c r="AO15" s="33">
        <v>0.007752805295155817</v>
      </c>
      <c r="AP15" s="33">
        <v>0.0037182564860472494</v>
      </c>
      <c r="AQ15" s="33">
        <v>0.0025332505346987977</v>
      </c>
      <c r="AR15" s="33">
        <v>0.00336627071753126</v>
      </c>
      <c r="AS15" s="33">
        <v>0.0036694128629819927</v>
      </c>
      <c r="AT15" s="33">
        <v>0.004064799081522733</v>
      </c>
      <c r="AU15" s="33">
        <v>0.004558895347954891</v>
      </c>
      <c r="AV15" s="33">
        <v>0.008673774990781102</v>
      </c>
      <c r="AW15" s="33">
        <v>0.005521495080104986</v>
      </c>
      <c r="AX15" s="33">
        <v>0.00782939581549696</v>
      </c>
      <c r="AY15" s="33">
        <v>0.008952451887543128</v>
      </c>
      <c r="AZ15" s="33">
        <v>0.006449420344678303</v>
      </c>
      <c r="BA15" s="33">
        <v>0.0018708459449763757</v>
      </c>
      <c r="BB15" s="33">
        <v>0.006274591478026438</v>
      </c>
      <c r="BC15" s="33">
        <v>0.010790188752223887</v>
      </c>
      <c r="BD15" s="33">
        <v>0.0038199882355570646</v>
      </c>
      <c r="BE15" s="33">
        <v>0.0022857239089198343</v>
      </c>
      <c r="BF15" s="33">
        <v>0.005652998399786398</v>
      </c>
      <c r="BG15" s="33">
        <v>0.004759702669043951</v>
      </c>
      <c r="BH15" s="33">
        <v>0.007181907613422754</v>
      </c>
      <c r="BI15" s="33">
        <v>0.006354315112096665</v>
      </c>
      <c r="BJ15" s="33">
        <v>0.004699348963955912</v>
      </c>
      <c r="BK15" s="33">
        <v>0.011644603776363846</v>
      </c>
      <c r="BL15" s="33">
        <v>0.006001932977326087</v>
      </c>
      <c r="BM15" s="33">
        <v>0</v>
      </c>
      <c r="BN15" s="33">
        <v>0</v>
      </c>
    </row>
    <row r="16" spans="1:66" x14ac:dyDescent="0.25">
      <c r="A16" s="30" t="s">
        <v>99</v>
      </c>
      <c r="B16" s="31" t="s">
        <v>293</v>
      </c>
      <c r="C16" s="33">
        <v>0.008285647634266187</v>
      </c>
      <c r="D16" s="33">
        <v>0.004424669654451999</v>
      </c>
      <c r="E16" s="33">
        <v>0.008650674606009393</v>
      </c>
      <c r="F16" s="33">
        <v>0.01282672499733568</v>
      </c>
      <c r="G16" s="33">
        <v>0.01168488969887554</v>
      </c>
      <c r="H16" s="33">
        <v>0.005953864430903453</v>
      </c>
      <c r="I16" s="33">
        <v>0.016934758776062757</v>
      </c>
      <c r="J16" s="33">
        <v>0.00664611250023922</v>
      </c>
      <c r="K16" s="33">
        <v>0.004932521267369216</v>
      </c>
      <c r="L16" s="33">
        <v>0.0046522198436697365</v>
      </c>
      <c r="M16" s="33">
        <v>0.010117834378637091</v>
      </c>
      <c r="N16" s="33">
        <v>0.006454784558769238</v>
      </c>
      <c r="O16" s="33">
        <v>0.012732321732154633</v>
      </c>
      <c r="P16" s="33">
        <v>1.113031602411685</v>
      </c>
      <c r="Q16" s="33">
        <v>0.016267122356502534</v>
      </c>
      <c r="R16" s="33">
        <v>0.012947317484447003</v>
      </c>
      <c r="S16" s="33">
        <v>0.0068603409120228664</v>
      </c>
      <c r="T16" s="33">
        <v>0.0126883922228298</v>
      </c>
      <c r="U16" s="33">
        <v>0.00851700193943662</v>
      </c>
      <c r="V16" s="33">
        <v>0.011272905999629898</v>
      </c>
      <c r="W16" s="33">
        <v>0.008113583216923459</v>
      </c>
      <c r="X16" s="33">
        <v>0.0119524077202358</v>
      </c>
      <c r="Y16" s="33">
        <v>0.007979914434949406</v>
      </c>
      <c r="Z16" s="33">
        <v>0.008113293616045665</v>
      </c>
      <c r="AA16" s="33">
        <v>0.011689918135137398</v>
      </c>
      <c r="AB16" s="33">
        <v>0.010228891273543404</v>
      </c>
      <c r="AC16" s="33">
        <v>0.06700577432170465</v>
      </c>
      <c r="AD16" s="33">
        <v>0.006145233106025399</v>
      </c>
      <c r="AE16" s="33">
        <v>0.004474818413400415</v>
      </c>
      <c r="AF16" s="33">
        <v>0.0036802955897710333</v>
      </c>
      <c r="AG16" s="33">
        <v>0.005100757349188386</v>
      </c>
      <c r="AH16" s="33">
        <v>0.002833548658562011</v>
      </c>
      <c r="AI16" s="33">
        <v>0.004456899651123454</v>
      </c>
      <c r="AJ16" s="33">
        <v>0.005821061534469184</v>
      </c>
      <c r="AK16" s="33">
        <v>0.0036129162358366556</v>
      </c>
      <c r="AL16" s="33">
        <v>0.006147346795632001</v>
      </c>
      <c r="AM16" s="33">
        <v>0.0022275735012315676</v>
      </c>
      <c r="AN16" s="33">
        <v>0.0032678885048230016</v>
      </c>
      <c r="AO16" s="33">
        <v>0.0050593406224586825</v>
      </c>
      <c r="AP16" s="33">
        <v>0.0022490982544642346</v>
      </c>
      <c r="AQ16" s="33">
        <v>0.0015666199923654962</v>
      </c>
      <c r="AR16" s="33">
        <v>0.00196524309446188</v>
      </c>
      <c r="AS16" s="33">
        <v>0.002301069041048334</v>
      </c>
      <c r="AT16" s="33">
        <v>0.006238030202994128</v>
      </c>
      <c r="AU16" s="33">
        <v>0.0027957046007032974</v>
      </c>
      <c r="AV16" s="33">
        <v>0.005111855826808502</v>
      </c>
      <c r="AW16" s="33">
        <v>0.004035851392402648</v>
      </c>
      <c r="AX16" s="33">
        <v>0.0037203860875924515</v>
      </c>
      <c r="AY16" s="33">
        <v>0.004661601227784687</v>
      </c>
      <c r="AZ16" s="33">
        <v>0.0034537088712587394</v>
      </c>
      <c r="BA16" s="33">
        <v>0.0014285375923099354</v>
      </c>
      <c r="BB16" s="33">
        <v>0.004049565686745243</v>
      </c>
      <c r="BC16" s="33">
        <v>0.006274376367625886</v>
      </c>
      <c r="BD16" s="33">
        <v>0.003881072170991766</v>
      </c>
      <c r="BE16" s="33">
        <v>0.002272406158154308</v>
      </c>
      <c r="BF16" s="33">
        <v>0.0036646533245862853</v>
      </c>
      <c r="BG16" s="33">
        <v>0.0028325214466595615</v>
      </c>
      <c r="BH16" s="33">
        <v>0.005500336290142387</v>
      </c>
      <c r="BI16" s="33">
        <v>0.005219759136456011</v>
      </c>
      <c r="BJ16" s="33">
        <v>0.004324260677370022</v>
      </c>
      <c r="BK16" s="33">
        <v>0.004868575637284973</v>
      </c>
      <c r="BL16" s="33">
        <v>0.004909536994007898</v>
      </c>
      <c r="BM16" s="33">
        <v>0</v>
      </c>
      <c r="BN16" s="33">
        <v>0</v>
      </c>
    </row>
    <row r="17" spans="1:66" x14ac:dyDescent="0.25">
      <c r="A17" s="30" t="s">
        <v>101</v>
      </c>
      <c r="B17" s="31" t="s">
        <v>294</v>
      </c>
      <c r="C17" s="33">
        <v>0.010140158223870875</v>
      </c>
      <c r="D17" s="33">
        <v>0.006319287435277506</v>
      </c>
      <c r="E17" s="33">
        <v>0.008886343232341864</v>
      </c>
      <c r="F17" s="33">
        <v>0.013717429257971024</v>
      </c>
      <c r="G17" s="33">
        <v>0.012657778556025004</v>
      </c>
      <c r="H17" s="33">
        <v>0.010897789154888201</v>
      </c>
      <c r="I17" s="33">
        <v>0.017363038717058982</v>
      </c>
      <c r="J17" s="33">
        <v>0.015220241612871568</v>
      </c>
      <c r="K17" s="33">
        <v>0.012923939760645766</v>
      </c>
      <c r="L17" s="33">
        <v>0.00707113440337682</v>
      </c>
      <c r="M17" s="33">
        <v>0.021881168538175257</v>
      </c>
      <c r="N17" s="33">
        <v>0.009616830589191197</v>
      </c>
      <c r="O17" s="33">
        <v>0.03114927225754293</v>
      </c>
      <c r="P17" s="33">
        <v>0.025169187094988273</v>
      </c>
      <c r="Q17" s="33">
        <v>1.3483370829391137</v>
      </c>
      <c r="R17" s="33">
        <v>0.20147323827073957</v>
      </c>
      <c r="S17" s="33">
        <v>0.025589071576988146</v>
      </c>
      <c r="T17" s="33">
        <v>0.09919002384615572</v>
      </c>
      <c r="U17" s="33">
        <v>0.09335632272947667</v>
      </c>
      <c r="V17" s="33">
        <v>0.08563362575487599</v>
      </c>
      <c r="W17" s="33">
        <v>0.05677385889180255</v>
      </c>
      <c r="X17" s="33">
        <v>0.0581755441439189</v>
      </c>
      <c r="Y17" s="33">
        <v>0.06009989707100563</v>
      </c>
      <c r="Z17" s="33">
        <v>0.010873327809316043</v>
      </c>
      <c r="AA17" s="33">
        <v>0.019502467196529226</v>
      </c>
      <c r="AB17" s="33">
        <v>0.037209155386606754</v>
      </c>
      <c r="AC17" s="33">
        <v>0.038166707619288046</v>
      </c>
      <c r="AD17" s="33">
        <v>0.01600947406702471</v>
      </c>
      <c r="AE17" s="33">
        <v>0.008620685911843446</v>
      </c>
      <c r="AF17" s="33">
        <v>0.005634762306989714</v>
      </c>
      <c r="AG17" s="33">
        <v>0.011578250911121198</v>
      </c>
      <c r="AH17" s="33">
        <v>0.005759202150666568</v>
      </c>
      <c r="AI17" s="33">
        <v>0.010602135788952204</v>
      </c>
      <c r="AJ17" s="33">
        <v>0.009990700200185748</v>
      </c>
      <c r="AK17" s="33">
        <v>0.006607065462419126</v>
      </c>
      <c r="AL17" s="33">
        <v>0.006591171226316335</v>
      </c>
      <c r="AM17" s="33">
        <v>0.00432069046325395</v>
      </c>
      <c r="AN17" s="33">
        <v>0.005719191349378367</v>
      </c>
      <c r="AO17" s="33">
        <v>0.008139316070533314</v>
      </c>
      <c r="AP17" s="33">
        <v>0.00460613916452696</v>
      </c>
      <c r="AQ17" s="33">
        <v>0.0023500456621443925</v>
      </c>
      <c r="AR17" s="33">
        <v>0.0030254889413060364</v>
      </c>
      <c r="AS17" s="33">
        <v>0.0034810070203384726</v>
      </c>
      <c r="AT17" s="33">
        <v>0.004414108001418178</v>
      </c>
      <c r="AU17" s="33">
        <v>0.0047664860684257</v>
      </c>
      <c r="AV17" s="33">
        <v>0.012736538793119161</v>
      </c>
      <c r="AW17" s="33">
        <v>0.006313147586278548</v>
      </c>
      <c r="AX17" s="33">
        <v>0.007904193179095813</v>
      </c>
      <c r="AY17" s="33">
        <v>0.009673338801120628</v>
      </c>
      <c r="AZ17" s="33">
        <v>0.007582923426073444</v>
      </c>
      <c r="BA17" s="33">
        <v>0.002083005743140599</v>
      </c>
      <c r="BB17" s="33">
        <v>0.006389584521089018</v>
      </c>
      <c r="BC17" s="33">
        <v>0.007677858457354994</v>
      </c>
      <c r="BD17" s="33">
        <v>0.0053957640971333525</v>
      </c>
      <c r="BE17" s="33">
        <v>0.002372560027289096</v>
      </c>
      <c r="BF17" s="33">
        <v>0.006212358643392054</v>
      </c>
      <c r="BG17" s="33">
        <v>0.0034900358007171318</v>
      </c>
      <c r="BH17" s="33">
        <v>0.0073381131894940796</v>
      </c>
      <c r="BI17" s="33">
        <v>0.006766353754590508</v>
      </c>
      <c r="BJ17" s="33">
        <v>0.004411301890671218</v>
      </c>
      <c r="BK17" s="33">
        <v>0.016217122439141637</v>
      </c>
      <c r="BL17" s="33">
        <v>0.0055183734083512</v>
      </c>
      <c r="BM17" s="33">
        <v>0</v>
      </c>
      <c r="BN17" s="33">
        <v>0</v>
      </c>
    </row>
    <row r="18" spans="1:66" x14ac:dyDescent="0.25">
      <c r="A18" s="30" t="s">
        <v>103</v>
      </c>
      <c r="B18" s="31" t="s">
        <v>295</v>
      </c>
      <c r="C18" s="33">
        <v>0.01817084911507718</v>
      </c>
      <c r="D18" s="33">
        <v>0.009646525265177201</v>
      </c>
      <c r="E18" s="33">
        <v>0.01706004062564094</v>
      </c>
      <c r="F18" s="33">
        <v>0.017698062216275994</v>
      </c>
      <c r="G18" s="33">
        <v>0.020793162202599743</v>
      </c>
      <c r="H18" s="33">
        <v>0.01504690838462368</v>
      </c>
      <c r="I18" s="33">
        <v>0.025869389357911304</v>
      </c>
      <c r="J18" s="33">
        <v>0.01754792692323509</v>
      </c>
      <c r="K18" s="33">
        <v>0.015614501782783785</v>
      </c>
      <c r="L18" s="33">
        <v>0.008690800095618149</v>
      </c>
      <c r="M18" s="33">
        <v>0.01832293110233242</v>
      </c>
      <c r="N18" s="33">
        <v>0.01062633475498071</v>
      </c>
      <c r="O18" s="33">
        <v>0.03143460769984704</v>
      </c>
      <c r="P18" s="33">
        <v>0.023906059578054417</v>
      </c>
      <c r="Q18" s="33">
        <v>0.0640975101088435</v>
      </c>
      <c r="R18" s="33">
        <v>1.194755600674395</v>
      </c>
      <c r="S18" s="33">
        <v>0.025938566414685178</v>
      </c>
      <c r="T18" s="33">
        <v>0.060535156065366316</v>
      </c>
      <c r="U18" s="33">
        <v>0.12247667075374702</v>
      </c>
      <c r="V18" s="33">
        <v>0.08230568101924009</v>
      </c>
      <c r="W18" s="33">
        <v>0.08510369326263169</v>
      </c>
      <c r="X18" s="33">
        <v>0.0427383919490251</v>
      </c>
      <c r="Y18" s="33">
        <v>0.0784628977767023</v>
      </c>
      <c r="Z18" s="33">
        <v>0.013869291687697214</v>
      </c>
      <c r="AA18" s="33">
        <v>0.023635575780405357</v>
      </c>
      <c r="AB18" s="33">
        <v>0.029254574479947736</v>
      </c>
      <c r="AC18" s="33">
        <v>0.063299826032134</v>
      </c>
      <c r="AD18" s="33">
        <v>0.0220069982957686</v>
      </c>
      <c r="AE18" s="33">
        <v>0.010330405743885204</v>
      </c>
      <c r="AF18" s="33">
        <v>0.007224325669517614</v>
      </c>
      <c r="AG18" s="33">
        <v>0.013728402277372341</v>
      </c>
      <c r="AH18" s="33">
        <v>0.008003770719436644</v>
      </c>
      <c r="AI18" s="33">
        <v>0.014763195295316119</v>
      </c>
      <c r="AJ18" s="33">
        <v>0.014720960177656036</v>
      </c>
      <c r="AK18" s="33">
        <v>0.008846460775455823</v>
      </c>
      <c r="AL18" s="33">
        <v>0.009886172794996385</v>
      </c>
      <c r="AM18" s="33">
        <v>0.005360992300253507</v>
      </c>
      <c r="AN18" s="33">
        <v>0.007544983824333528</v>
      </c>
      <c r="AO18" s="33">
        <v>0.011404136641344072</v>
      </c>
      <c r="AP18" s="33">
        <v>0.005642134820416987</v>
      </c>
      <c r="AQ18" s="33">
        <v>0.0031719046348952992</v>
      </c>
      <c r="AR18" s="33">
        <v>0.004041752143391008</v>
      </c>
      <c r="AS18" s="33">
        <v>0.004502499803428353</v>
      </c>
      <c r="AT18" s="33">
        <v>0.006209358186789196</v>
      </c>
      <c r="AU18" s="33">
        <v>0.006010980887234474</v>
      </c>
      <c r="AV18" s="33">
        <v>0.015643646347494964</v>
      </c>
      <c r="AW18" s="33">
        <v>0.00753356545419394</v>
      </c>
      <c r="AX18" s="33">
        <v>0.009989787693750519</v>
      </c>
      <c r="AY18" s="33">
        <v>0.01051308039770803</v>
      </c>
      <c r="AZ18" s="33">
        <v>0.010030637854336335</v>
      </c>
      <c r="BA18" s="33">
        <v>0.002871405783428517</v>
      </c>
      <c r="BB18" s="33">
        <v>0.008895765298070677</v>
      </c>
      <c r="BC18" s="33">
        <v>0.012514951714853862</v>
      </c>
      <c r="BD18" s="33">
        <v>0.007941852595935727</v>
      </c>
      <c r="BE18" s="33">
        <v>0.0032983250884001465</v>
      </c>
      <c r="BF18" s="33">
        <v>0.005937167706018601</v>
      </c>
      <c r="BG18" s="33">
        <v>0.004960921600800193</v>
      </c>
      <c r="BH18" s="33">
        <v>0.010822373991863199</v>
      </c>
      <c r="BI18" s="33">
        <v>0.009297473900788574</v>
      </c>
      <c r="BJ18" s="33">
        <v>0.006598386011294714</v>
      </c>
      <c r="BK18" s="33">
        <v>0.021483547511724547</v>
      </c>
      <c r="BL18" s="33">
        <v>0.007221352718492555</v>
      </c>
      <c r="BM18" s="33">
        <v>0</v>
      </c>
      <c r="BN18" s="33">
        <v>0</v>
      </c>
    </row>
    <row r="19" spans="1:66" x14ac:dyDescent="0.25">
      <c r="A19" s="30" t="s">
        <v>105</v>
      </c>
      <c r="B19" s="31" t="s">
        <v>296</v>
      </c>
      <c r="C19" s="33">
        <v>0.003134085955431865</v>
      </c>
      <c r="D19" s="33">
        <v>0.002518325091777216</v>
      </c>
      <c r="E19" s="33">
        <v>0.003460371226536821</v>
      </c>
      <c r="F19" s="33">
        <v>0.0031527667545082536</v>
      </c>
      <c r="G19" s="33">
        <v>0.003545993954124232</v>
      </c>
      <c r="H19" s="33">
        <v>0.0030045465386628906</v>
      </c>
      <c r="I19" s="33">
        <v>0.0038827539626922402</v>
      </c>
      <c r="J19" s="33">
        <v>0.0044129952804512484</v>
      </c>
      <c r="K19" s="33">
        <v>0.006712351580955735</v>
      </c>
      <c r="L19" s="33">
        <v>0.0019104741017598901</v>
      </c>
      <c r="M19" s="33">
        <v>0.004312858523835954</v>
      </c>
      <c r="N19" s="33">
        <v>0.004384053358694294</v>
      </c>
      <c r="O19" s="33">
        <v>0.0045913643047887365</v>
      </c>
      <c r="P19" s="33">
        <v>0.004639564083950326</v>
      </c>
      <c r="Q19" s="33">
        <v>0.005190780752722064</v>
      </c>
      <c r="R19" s="33">
        <v>0.006549124838964859</v>
      </c>
      <c r="S19" s="33">
        <v>1.077294288398302</v>
      </c>
      <c r="T19" s="33">
        <v>0.029568467229865194</v>
      </c>
      <c r="U19" s="33">
        <v>0.012571578492580282</v>
      </c>
      <c r="V19" s="33">
        <v>0.01450599427514611</v>
      </c>
      <c r="W19" s="33">
        <v>0.01911179306374992</v>
      </c>
      <c r="X19" s="33">
        <v>0.010684187740574776</v>
      </c>
      <c r="Y19" s="33">
        <v>0.019403747596010996</v>
      </c>
      <c r="Z19" s="33">
        <v>0.005599924779643677</v>
      </c>
      <c r="AA19" s="33">
        <v>0.005217735983554485</v>
      </c>
      <c r="AB19" s="33">
        <v>0.004134219951258145</v>
      </c>
      <c r="AC19" s="33">
        <v>0.006868598683210787</v>
      </c>
      <c r="AD19" s="33">
        <v>0.004521717974029406</v>
      </c>
      <c r="AE19" s="33">
        <v>0.004287896932499205</v>
      </c>
      <c r="AF19" s="33">
        <v>0.003036895690934459</v>
      </c>
      <c r="AG19" s="33">
        <v>0.003731481440570369</v>
      </c>
      <c r="AH19" s="33">
        <v>0.0027536200815184283</v>
      </c>
      <c r="AI19" s="33">
        <v>0.0057579014683283225</v>
      </c>
      <c r="AJ19" s="33">
        <v>0.003756616752367665</v>
      </c>
      <c r="AK19" s="33">
        <v>0.004696228308491263</v>
      </c>
      <c r="AL19" s="33">
        <v>0.002806431707493264</v>
      </c>
      <c r="AM19" s="33">
        <v>0.005907934427713659</v>
      </c>
      <c r="AN19" s="33">
        <v>0.008733671264485609</v>
      </c>
      <c r="AO19" s="33">
        <v>0.022212748724146504</v>
      </c>
      <c r="AP19" s="33">
        <v>0.011165763225987509</v>
      </c>
      <c r="AQ19" s="33">
        <v>0.0022455248599347446</v>
      </c>
      <c r="AR19" s="33">
        <v>0.0028875327903733912</v>
      </c>
      <c r="AS19" s="33">
        <v>0.0035836383393115056</v>
      </c>
      <c r="AT19" s="33">
        <v>0.0012154527411498588</v>
      </c>
      <c r="AU19" s="33">
        <v>0.003512334192415904</v>
      </c>
      <c r="AV19" s="33">
        <v>0.007828146792723149</v>
      </c>
      <c r="AW19" s="33">
        <v>0.00820295774630597</v>
      </c>
      <c r="AX19" s="33">
        <v>0.0064543108655423995</v>
      </c>
      <c r="AY19" s="33">
        <v>0.006782415628956986</v>
      </c>
      <c r="AZ19" s="33">
        <v>0.005001213779072381</v>
      </c>
      <c r="BA19" s="33">
        <v>0.001753943792099599</v>
      </c>
      <c r="BB19" s="33">
        <v>0.004033009655344839</v>
      </c>
      <c r="BC19" s="33">
        <v>0.005308102253033958</v>
      </c>
      <c r="BD19" s="33">
        <v>0.00298487943152492</v>
      </c>
      <c r="BE19" s="33">
        <v>0.0018636167488739516</v>
      </c>
      <c r="BF19" s="33">
        <v>0.004717067505759845</v>
      </c>
      <c r="BG19" s="33">
        <v>0.0028527714094170034</v>
      </c>
      <c r="BH19" s="33">
        <v>0.007732402803491992</v>
      </c>
      <c r="BI19" s="33">
        <v>0.004379811360574903</v>
      </c>
      <c r="BJ19" s="33">
        <v>0.0028391761516309015</v>
      </c>
      <c r="BK19" s="33">
        <v>0.0283484558441152</v>
      </c>
      <c r="BL19" s="33">
        <v>0.0025536244066331343</v>
      </c>
      <c r="BM19" s="33">
        <v>0</v>
      </c>
      <c r="BN19" s="33">
        <v>0</v>
      </c>
    </row>
    <row r="20" spans="1:66" x14ac:dyDescent="0.25">
      <c r="A20" s="30" t="s">
        <v>107</v>
      </c>
      <c r="B20" s="31" t="s">
        <v>297</v>
      </c>
      <c r="C20" s="33">
        <v>0.005359265186791839</v>
      </c>
      <c r="D20" s="33">
        <v>0.0037367408706162997</v>
      </c>
      <c r="E20" s="33">
        <v>0.006387321266343301</v>
      </c>
      <c r="F20" s="33">
        <v>0.006207679026992228</v>
      </c>
      <c r="G20" s="33">
        <v>0.006716511040407098</v>
      </c>
      <c r="H20" s="33">
        <v>0.00508119378546154</v>
      </c>
      <c r="I20" s="33">
        <v>0.006819513517366366</v>
      </c>
      <c r="J20" s="33">
        <v>0.007661196601564657</v>
      </c>
      <c r="K20" s="33">
        <v>0.006607343302467543</v>
      </c>
      <c r="L20" s="33">
        <v>0.003044501179167072</v>
      </c>
      <c r="M20" s="33">
        <v>0.006576309314245914</v>
      </c>
      <c r="N20" s="33">
        <v>0.004774025124561379</v>
      </c>
      <c r="O20" s="33">
        <v>0.008200537293503592</v>
      </c>
      <c r="P20" s="33">
        <v>0.007942379237907107</v>
      </c>
      <c r="Q20" s="33">
        <v>0.012599310758575356</v>
      </c>
      <c r="R20" s="33">
        <v>0.014298065393679041</v>
      </c>
      <c r="S20" s="33">
        <v>0.02884206353385721</v>
      </c>
      <c r="T20" s="33">
        <v>1.1132468481512825</v>
      </c>
      <c r="U20" s="33">
        <v>0.03125037373502998</v>
      </c>
      <c r="V20" s="33">
        <v>0.03129395730056774</v>
      </c>
      <c r="W20" s="33">
        <v>0.026301153155146285</v>
      </c>
      <c r="X20" s="33">
        <v>0.011903923430603047</v>
      </c>
      <c r="Y20" s="33">
        <v>0.02809154011145534</v>
      </c>
      <c r="Z20" s="33">
        <v>0.012871810954644862</v>
      </c>
      <c r="AA20" s="33">
        <v>0.010389692195135504</v>
      </c>
      <c r="AB20" s="33">
        <v>0.008233951210292726</v>
      </c>
      <c r="AC20" s="33">
        <v>0.022483961138366967</v>
      </c>
      <c r="AD20" s="33">
        <v>0.008631483808995487</v>
      </c>
      <c r="AE20" s="33">
        <v>0.005104962715671761</v>
      </c>
      <c r="AF20" s="33">
        <v>0.003841104519914699</v>
      </c>
      <c r="AG20" s="33">
        <v>0.006444964946501337</v>
      </c>
      <c r="AH20" s="33">
        <v>0.0038787275140220573</v>
      </c>
      <c r="AI20" s="33">
        <v>0.007745661135623583</v>
      </c>
      <c r="AJ20" s="33">
        <v>0.006263259389828999</v>
      </c>
      <c r="AK20" s="33">
        <v>0.0049090331994987545</v>
      </c>
      <c r="AL20" s="33">
        <v>0.005357554865626647</v>
      </c>
      <c r="AM20" s="33">
        <v>0.0032119894721125268</v>
      </c>
      <c r="AN20" s="33">
        <v>0.005660575116884906</v>
      </c>
      <c r="AO20" s="33">
        <v>0.010509870095905554</v>
      </c>
      <c r="AP20" s="33">
        <v>0.004759686461485241</v>
      </c>
      <c r="AQ20" s="33">
        <v>0.0017742375951186786</v>
      </c>
      <c r="AR20" s="33">
        <v>0.002257768564839789</v>
      </c>
      <c r="AS20" s="33">
        <v>0.002739143449117484</v>
      </c>
      <c r="AT20" s="33">
        <v>0.0028478605559803583</v>
      </c>
      <c r="AU20" s="33">
        <v>0.0035500316075893525</v>
      </c>
      <c r="AV20" s="33">
        <v>0.007469784380230879</v>
      </c>
      <c r="AW20" s="33">
        <v>0.005195146369794548</v>
      </c>
      <c r="AX20" s="33">
        <v>0.004770032985443843</v>
      </c>
      <c r="AY20" s="33">
        <v>0.00604055480810043</v>
      </c>
      <c r="AZ20" s="33">
        <v>0.005645785363680895</v>
      </c>
      <c r="BA20" s="33">
        <v>0.0015629525024919788</v>
      </c>
      <c r="BB20" s="33">
        <v>0.004872987029149348</v>
      </c>
      <c r="BC20" s="33">
        <v>0.005486459990936091</v>
      </c>
      <c r="BD20" s="33">
        <v>0.003162613314778181</v>
      </c>
      <c r="BE20" s="33">
        <v>0.0017538283959583213</v>
      </c>
      <c r="BF20" s="33">
        <v>0.002949068583334979</v>
      </c>
      <c r="BG20" s="33">
        <v>0.0026897065515563544</v>
      </c>
      <c r="BH20" s="33">
        <v>0.006846780784915794</v>
      </c>
      <c r="BI20" s="33">
        <v>0.005398197751094469</v>
      </c>
      <c r="BJ20" s="33">
        <v>0.0030642467140203937</v>
      </c>
      <c r="BK20" s="33">
        <v>0.016593142026186048</v>
      </c>
      <c r="BL20" s="33">
        <v>0.004977067619455464</v>
      </c>
      <c r="BM20" s="33">
        <v>0</v>
      </c>
      <c r="BN20" s="33">
        <v>0</v>
      </c>
    </row>
    <row r="21" spans="1:66" x14ac:dyDescent="0.25">
      <c r="A21" s="30" t="s">
        <v>109</v>
      </c>
      <c r="B21" s="31" t="s">
        <v>298</v>
      </c>
      <c r="C21" s="33">
        <v>0.013637617332186564</v>
      </c>
      <c r="D21" s="33">
        <v>0.01335366515731263</v>
      </c>
      <c r="E21" s="33">
        <v>0.0143469335239099</v>
      </c>
      <c r="F21" s="33">
        <v>0.016185425109434232</v>
      </c>
      <c r="G21" s="33">
        <v>0.013535083552900447</v>
      </c>
      <c r="H21" s="33">
        <v>0.010930181222993688</v>
      </c>
      <c r="I21" s="33">
        <v>0.014018747697821774</v>
      </c>
      <c r="J21" s="33">
        <v>0.01787935855803839</v>
      </c>
      <c r="K21" s="33">
        <v>0.014241540904751833</v>
      </c>
      <c r="L21" s="33">
        <v>0.006547024464459573</v>
      </c>
      <c r="M21" s="33">
        <v>0.012818319441634116</v>
      </c>
      <c r="N21" s="33">
        <v>0.008776314216197942</v>
      </c>
      <c r="O21" s="33">
        <v>0.016957496833710405</v>
      </c>
      <c r="P21" s="33">
        <v>0.016304946548150148</v>
      </c>
      <c r="Q21" s="33">
        <v>0.02765240498203066</v>
      </c>
      <c r="R21" s="33">
        <v>0.032266407100545104</v>
      </c>
      <c r="S21" s="33">
        <v>0.016974332220797046</v>
      </c>
      <c r="T21" s="33">
        <v>0.03364434927495818</v>
      </c>
      <c r="U21" s="33">
        <v>1.1491574455218572</v>
      </c>
      <c r="V21" s="33">
        <v>0.04644657558630751</v>
      </c>
      <c r="W21" s="33">
        <v>0.04730343363825801</v>
      </c>
      <c r="X21" s="33">
        <v>0.016238836542139014</v>
      </c>
      <c r="Y21" s="33">
        <v>0.06250695750778756</v>
      </c>
      <c r="Z21" s="33">
        <v>0.012120593648456626</v>
      </c>
      <c r="AA21" s="33">
        <v>0.01856364304923738</v>
      </c>
      <c r="AB21" s="33">
        <v>0.017664559732700317</v>
      </c>
      <c r="AC21" s="33">
        <v>0.02260696573612614</v>
      </c>
      <c r="AD21" s="33">
        <v>0.01658687087446904</v>
      </c>
      <c r="AE21" s="33">
        <v>0.007559823947877305</v>
      </c>
      <c r="AF21" s="33">
        <v>0.006072035755199893</v>
      </c>
      <c r="AG21" s="33">
        <v>0.010637392186320016</v>
      </c>
      <c r="AH21" s="33">
        <v>0.008879071913453674</v>
      </c>
      <c r="AI21" s="33">
        <v>0.017061149407544114</v>
      </c>
      <c r="AJ21" s="33">
        <v>0.012766269320896402</v>
      </c>
      <c r="AK21" s="33">
        <v>0.007996452084928619</v>
      </c>
      <c r="AL21" s="33">
        <v>0.007673245922984039</v>
      </c>
      <c r="AM21" s="33">
        <v>0.00545388362493786</v>
      </c>
      <c r="AN21" s="33">
        <v>0.007321446704545237</v>
      </c>
      <c r="AO21" s="33">
        <v>0.010509693550986578</v>
      </c>
      <c r="AP21" s="33">
        <v>0.006008239734653268</v>
      </c>
      <c r="AQ21" s="33">
        <v>0.0031819704317955035</v>
      </c>
      <c r="AR21" s="33">
        <v>0.004325029026065675</v>
      </c>
      <c r="AS21" s="33">
        <v>0.0043484831686908835</v>
      </c>
      <c r="AT21" s="33">
        <v>0.003164229871627196</v>
      </c>
      <c r="AU21" s="33">
        <v>0.0057968930051834275</v>
      </c>
      <c r="AV21" s="33">
        <v>0.010763032696645546</v>
      </c>
      <c r="AW21" s="33">
        <v>0.009193622206402623</v>
      </c>
      <c r="AX21" s="33">
        <v>0.006933232266662938</v>
      </c>
      <c r="AY21" s="33">
        <v>0.008671116837366419</v>
      </c>
      <c r="AZ21" s="33">
        <v>0.012031636970062267</v>
      </c>
      <c r="BA21" s="33">
        <v>0.0026263872234866216</v>
      </c>
      <c r="BB21" s="33">
        <v>0.008246783048817726</v>
      </c>
      <c r="BC21" s="33">
        <v>0.00937190238382213</v>
      </c>
      <c r="BD21" s="33">
        <v>0.004848154798322833</v>
      </c>
      <c r="BE21" s="33">
        <v>0.0024286095963231232</v>
      </c>
      <c r="BF21" s="33">
        <v>0.00494917046193744</v>
      </c>
      <c r="BG21" s="33">
        <v>0.004316515331230675</v>
      </c>
      <c r="BH21" s="33">
        <v>0.007469959785488481</v>
      </c>
      <c r="BI21" s="33">
        <v>0.007299596459120733</v>
      </c>
      <c r="BJ21" s="33">
        <v>0.00590149154214583</v>
      </c>
      <c r="BK21" s="33">
        <v>0.012640225705777702</v>
      </c>
      <c r="BL21" s="33">
        <v>0.0057011980854955345</v>
      </c>
      <c r="BM21" s="33">
        <v>0</v>
      </c>
      <c r="BN21" s="33">
        <v>0</v>
      </c>
    </row>
    <row r="22" spans="1:66" x14ac:dyDescent="0.25">
      <c r="A22" s="30" t="s">
        <v>111</v>
      </c>
      <c r="B22" s="31" t="s">
        <v>299</v>
      </c>
      <c r="C22" s="33">
        <v>0.008935076283574253</v>
      </c>
      <c r="D22" s="33">
        <v>0.00839282725306178</v>
      </c>
      <c r="E22" s="33">
        <v>0.008209048487215969</v>
      </c>
      <c r="F22" s="33">
        <v>0.008178078361548565</v>
      </c>
      <c r="G22" s="33">
        <v>0.009160667094049536</v>
      </c>
      <c r="H22" s="33">
        <v>0.007686003006388477</v>
      </c>
      <c r="I22" s="33">
        <v>0.010160384587705922</v>
      </c>
      <c r="J22" s="33">
        <v>0.010165400434311812</v>
      </c>
      <c r="K22" s="33">
        <v>0.009060403797722601</v>
      </c>
      <c r="L22" s="33">
        <v>0.004600284930527393</v>
      </c>
      <c r="M22" s="33">
        <v>0.010270549880755523</v>
      </c>
      <c r="N22" s="33">
        <v>0.006353355493498508</v>
      </c>
      <c r="O22" s="33">
        <v>0.013403030305119508</v>
      </c>
      <c r="P22" s="33">
        <v>0.01586922094999521</v>
      </c>
      <c r="Q22" s="33">
        <v>0.011703447753208834</v>
      </c>
      <c r="R22" s="33">
        <v>0.017325032151884277</v>
      </c>
      <c r="S22" s="33">
        <v>0.010980315618297723</v>
      </c>
      <c r="T22" s="33">
        <v>0.0237473781564505</v>
      </c>
      <c r="U22" s="33">
        <v>0.04259226247626271</v>
      </c>
      <c r="V22" s="33">
        <v>1.3089323852168733</v>
      </c>
      <c r="W22" s="33">
        <v>0.024867391280784825</v>
      </c>
      <c r="X22" s="33">
        <v>0.010513743065675223</v>
      </c>
      <c r="Y22" s="33">
        <v>0.02837523073985944</v>
      </c>
      <c r="Z22" s="33">
        <v>0.006856595704384892</v>
      </c>
      <c r="AA22" s="33">
        <v>0.009103065013634674</v>
      </c>
      <c r="AB22" s="33">
        <v>0.019780503240827314</v>
      </c>
      <c r="AC22" s="33">
        <v>0.012494905901204023</v>
      </c>
      <c r="AD22" s="33">
        <v>0.08310271577175657</v>
      </c>
      <c r="AE22" s="33">
        <v>0.008340918455117828</v>
      </c>
      <c r="AF22" s="33">
        <v>0.007278677823205159</v>
      </c>
      <c r="AG22" s="33">
        <v>0.029325104258178195</v>
      </c>
      <c r="AH22" s="33">
        <v>0.006697260503114378</v>
      </c>
      <c r="AI22" s="33">
        <v>0.013635039043107604</v>
      </c>
      <c r="AJ22" s="33">
        <v>0.016078266930214153</v>
      </c>
      <c r="AK22" s="33">
        <v>0.022967702468521253</v>
      </c>
      <c r="AL22" s="33">
        <v>0.005725497575921232</v>
      </c>
      <c r="AM22" s="33">
        <v>0.005038923606052067</v>
      </c>
      <c r="AN22" s="33">
        <v>0.007822462204778644</v>
      </c>
      <c r="AO22" s="33">
        <v>0.00808768050668288</v>
      </c>
      <c r="AP22" s="33">
        <v>0.006230254756198426</v>
      </c>
      <c r="AQ22" s="33">
        <v>0.003599280186590573</v>
      </c>
      <c r="AR22" s="33">
        <v>0.005596170757554885</v>
      </c>
      <c r="AS22" s="33">
        <v>0.005163491129588123</v>
      </c>
      <c r="AT22" s="33">
        <v>0.0022453762880610914</v>
      </c>
      <c r="AU22" s="33">
        <v>0.006120281027560049</v>
      </c>
      <c r="AV22" s="33">
        <v>0.007224226116524829</v>
      </c>
      <c r="AW22" s="33">
        <v>0.010342127210037954</v>
      </c>
      <c r="AX22" s="33">
        <v>0.007334333176531732</v>
      </c>
      <c r="AY22" s="33">
        <v>0.008180270057448421</v>
      </c>
      <c r="AZ22" s="33">
        <v>0.02073513153113572</v>
      </c>
      <c r="BA22" s="33">
        <v>0.0024449711817173076</v>
      </c>
      <c r="BB22" s="33">
        <v>0.010141282738525157</v>
      </c>
      <c r="BC22" s="33">
        <v>0.007743426932829549</v>
      </c>
      <c r="BD22" s="33">
        <v>0.004505166770309871</v>
      </c>
      <c r="BE22" s="33">
        <v>0.0024904349332108048</v>
      </c>
      <c r="BF22" s="33">
        <v>0.0038623120905119704</v>
      </c>
      <c r="BG22" s="33">
        <v>0.0035717140586485384</v>
      </c>
      <c r="BH22" s="33">
        <v>0.006096567143156895</v>
      </c>
      <c r="BI22" s="33">
        <v>0.007515618884689976</v>
      </c>
      <c r="BJ22" s="33">
        <v>0.005809233433827016</v>
      </c>
      <c r="BK22" s="33">
        <v>0.0075570744268471475</v>
      </c>
      <c r="BL22" s="33">
        <v>0.004636851861986624</v>
      </c>
      <c r="BM22" s="33">
        <v>0</v>
      </c>
      <c r="BN22" s="33">
        <v>0</v>
      </c>
    </row>
    <row r="23" spans="1:66" x14ac:dyDescent="0.25">
      <c r="A23" s="30" t="s">
        <v>113</v>
      </c>
      <c r="B23" s="31" t="s">
        <v>300</v>
      </c>
      <c r="C23" s="33">
        <v>0.002077942504950408</v>
      </c>
      <c r="D23" s="33">
        <v>0.001558518011602554</v>
      </c>
      <c r="E23" s="33">
        <v>0.011051297620236983</v>
      </c>
      <c r="F23" s="33">
        <v>0.003063800491421484</v>
      </c>
      <c r="G23" s="33">
        <v>0.002156151522000953</v>
      </c>
      <c r="H23" s="33">
        <v>0.0019446693859311993</v>
      </c>
      <c r="I23" s="33">
        <v>0.0023051983602173647</v>
      </c>
      <c r="J23" s="33">
        <v>0.0027862828874227904</v>
      </c>
      <c r="K23" s="33">
        <v>0.002325346477355757</v>
      </c>
      <c r="L23" s="33">
        <v>0.0011250580229733545</v>
      </c>
      <c r="M23" s="33">
        <v>0.0022692086624918344</v>
      </c>
      <c r="N23" s="33">
        <v>0.0013015826702507305</v>
      </c>
      <c r="O23" s="33">
        <v>0.0025682851329281967</v>
      </c>
      <c r="P23" s="33">
        <v>0.002747260031720459</v>
      </c>
      <c r="Q23" s="33">
        <v>0.0033794131871885597</v>
      </c>
      <c r="R23" s="33">
        <v>0.003635560547026038</v>
      </c>
      <c r="S23" s="33">
        <v>0.0023308740393349174</v>
      </c>
      <c r="T23" s="33">
        <v>0.00424507783719005</v>
      </c>
      <c r="U23" s="33">
        <v>0.003636123299168459</v>
      </c>
      <c r="V23" s="33">
        <v>0.003857068970469664</v>
      </c>
      <c r="W23" s="33">
        <v>1.2338068877321857</v>
      </c>
      <c r="X23" s="33">
        <v>0.0029596516379311786</v>
      </c>
      <c r="Y23" s="33">
        <v>0.025858811960909885</v>
      </c>
      <c r="Z23" s="33">
        <v>0.0030105051241120667</v>
      </c>
      <c r="AA23" s="33">
        <v>0.0031103242546642144</v>
      </c>
      <c r="AB23" s="33">
        <v>0.002538367920993831</v>
      </c>
      <c r="AC23" s="33">
        <v>0.002658130425411988</v>
      </c>
      <c r="AD23" s="33">
        <v>0.002537652521839091</v>
      </c>
      <c r="AE23" s="33">
        <v>0.0018769069275066696</v>
      </c>
      <c r="AF23" s="33">
        <v>0.0013936097956368735</v>
      </c>
      <c r="AG23" s="33">
        <v>0.005873906306599004</v>
      </c>
      <c r="AH23" s="33">
        <v>0.0034157460457995992</v>
      </c>
      <c r="AI23" s="33">
        <v>0.02575985813630544</v>
      </c>
      <c r="AJ23" s="33">
        <v>0.005323893938852439</v>
      </c>
      <c r="AK23" s="33">
        <v>0.0022208252543467048</v>
      </c>
      <c r="AL23" s="33">
        <v>0.0015541094348839705</v>
      </c>
      <c r="AM23" s="33">
        <v>0.0009773938934484832</v>
      </c>
      <c r="AN23" s="33">
        <v>0.0017042189103036553</v>
      </c>
      <c r="AO23" s="33">
        <v>0.0020308153625685516</v>
      </c>
      <c r="AP23" s="33">
        <v>0.0012406344416812246</v>
      </c>
      <c r="AQ23" s="33">
        <v>0.0006255931050890293</v>
      </c>
      <c r="AR23" s="33">
        <v>0.0008004257259578876</v>
      </c>
      <c r="AS23" s="33">
        <v>0.001042800400604909</v>
      </c>
      <c r="AT23" s="33">
        <v>0.0005203338324854459</v>
      </c>
      <c r="AU23" s="33">
        <v>0.0010998632364139864</v>
      </c>
      <c r="AV23" s="33">
        <v>0.0017206356339271823</v>
      </c>
      <c r="AW23" s="33">
        <v>0.0018024932959843818</v>
      </c>
      <c r="AX23" s="33">
        <v>0.0015365104813072723</v>
      </c>
      <c r="AY23" s="33">
        <v>0.002638069765194472</v>
      </c>
      <c r="AZ23" s="33">
        <v>0.0045098488245702666</v>
      </c>
      <c r="BA23" s="33">
        <v>0.0005443587468498177</v>
      </c>
      <c r="BB23" s="33">
        <v>0.003982819140487202</v>
      </c>
      <c r="BC23" s="33">
        <v>0.0017411253015063156</v>
      </c>
      <c r="BD23" s="33">
        <v>0.006486180594155978</v>
      </c>
      <c r="BE23" s="33">
        <v>0.0006116331604827846</v>
      </c>
      <c r="BF23" s="33">
        <v>0.0011585372477782058</v>
      </c>
      <c r="BG23" s="33">
        <v>0.000789742260941211</v>
      </c>
      <c r="BH23" s="33">
        <v>0.0015028153034747293</v>
      </c>
      <c r="BI23" s="33">
        <v>0.0022433540698036107</v>
      </c>
      <c r="BJ23" s="33">
        <v>0.0011660729234581504</v>
      </c>
      <c r="BK23" s="33">
        <v>0.001861801413204811</v>
      </c>
      <c r="BL23" s="33">
        <v>0.0012886776799745472</v>
      </c>
      <c r="BM23" s="33">
        <v>0</v>
      </c>
      <c r="BN23" s="33">
        <v>0</v>
      </c>
    </row>
    <row r="24" spans="1:66" x14ac:dyDescent="0.25">
      <c r="A24" s="30" t="s">
        <v>301</v>
      </c>
      <c r="B24" s="31" t="s">
        <v>302</v>
      </c>
      <c r="C24" s="33">
        <v>0.0023163848955903344</v>
      </c>
      <c r="D24" s="33">
        <v>0.0014656597355386164</v>
      </c>
      <c r="E24" s="33">
        <v>0.0029242277640367906</v>
      </c>
      <c r="F24" s="33">
        <v>0.001702417640757868</v>
      </c>
      <c r="G24" s="33">
        <v>0.0032493912329150283</v>
      </c>
      <c r="H24" s="33">
        <v>0.005368485685608606</v>
      </c>
      <c r="I24" s="33">
        <v>0.011929125392908954</v>
      </c>
      <c r="J24" s="33">
        <v>0.004262533223250877</v>
      </c>
      <c r="K24" s="33">
        <v>0.0036290116360081187</v>
      </c>
      <c r="L24" s="33">
        <v>0.0010843403859233651</v>
      </c>
      <c r="M24" s="33">
        <v>0.004028756902597427</v>
      </c>
      <c r="N24" s="33">
        <v>0.004098554229641606</v>
      </c>
      <c r="O24" s="33">
        <v>0.004342295767001406</v>
      </c>
      <c r="P24" s="33">
        <v>0.0034465164863757315</v>
      </c>
      <c r="Q24" s="33">
        <v>0.004294555702349754</v>
      </c>
      <c r="R24" s="33">
        <v>0.004324609917614995</v>
      </c>
      <c r="S24" s="33">
        <v>0.004820103084746565</v>
      </c>
      <c r="T24" s="33">
        <v>0.0038413681905878315</v>
      </c>
      <c r="U24" s="33">
        <v>0.00430673630062345</v>
      </c>
      <c r="V24" s="33">
        <v>0.0049445703311326765</v>
      </c>
      <c r="W24" s="33">
        <v>0.0040907675478393584</v>
      </c>
      <c r="X24" s="33">
        <v>1.0454119455959379</v>
      </c>
      <c r="Y24" s="33">
        <v>0.005348991943208299</v>
      </c>
      <c r="Z24" s="33">
        <v>0.0018277392212829712</v>
      </c>
      <c r="AA24" s="33">
        <v>0.002451470209261666</v>
      </c>
      <c r="AB24" s="33">
        <v>0.002783569859202523</v>
      </c>
      <c r="AC24" s="33">
        <v>0.006204555008945383</v>
      </c>
      <c r="AD24" s="33">
        <v>0.0029386502265897523</v>
      </c>
      <c r="AE24" s="33">
        <v>0.00259003803321393</v>
      </c>
      <c r="AF24" s="33">
        <v>0.0024298631486958243</v>
      </c>
      <c r="AG24" s="33">
        <v>0.0022476124084868567</v>
      </c>
      <c r="AH24" s="33">
        <v>0.0013773155750732916</v>
      </c>
      <c r="AI24" s="33">
        <v>0.002190160592210337</v>
      </c>
      <c r="AJ24" s="33">
        <v>0.0020542801076887203</v>
      </c>
      <c r="AK24" s="33">
        <v>0.0016042952870785547</v>
      </c>
      <c r="AL24" s="33">
        <v>0.003390006914709656</v>
      </c>
      <c r="AM24" s="33">
        <v>0.0020209297910090533</v>
      </c>
      <c r="AN24" s="33">
        <v>0.005661200157061983</v>
      </c>
      <c r="AO24" s="33">
        <v>0.0026197504448498806</v>
      </c>
      <c r="AP24" s="33">
        <v>0.0017932056693326578</v>
      </c>
      <c r="AQ24" s="33">
        <v>0.0009949394310449784</v>
      </c>
      <c r="AR24" s="33">
        <v>0.0011934745391770194</v>
      </c>
      <c r="AS24" s="33">
        <v>0.0013865793968797664</v>
      </c>
      <c r="AT24" s="33">
        <v>0.0012042347871438317</v>
      </c>
      <c r="AU24" s="33">
        <v>0.0018501863679149444</v>
      </c>
      <c r="AV24" s="33">
        <v>0.0024284289161901514</v>
      </c>
      <c r="AW24" s="33">
        <v>0.0025973537721964914</v>
      </c>
      <c r="AX24" s="33">
        <v>0.003621569046799542</v>
      </c>
      <c r="AY24" s="33">
        <v>0.004654972290701748</v>
      </c>
      <c r="AZ24" s="33">
        <v>0.0028415267880855517</v>
      </c>
      <c r="BA24" s="33">
        <v>0.0011172967617853818</v>
      </c>
      <c r="BB24" s="33">
        <v>0.0024092814420052402</v>
      </c>
      <c r="BC24" s="33">
        <v>0.0030285306783713007</v>
      </c>
      <c r="BD24" s="33">
        <v>0.0016618981449628189</v>
      </c>
      <c r="BE24" s="33">
        <v>0.0013535275991308228</v>
      </c>
      <c r="BF24" s="33">
        <v>0.015064298068749774</v>
      </c>
      <c r="BG24" s="33">
        <v>0.0037090736244416414</v>
      </c>
      <c r="BH24" s="33">
        <v>0.005853053306937826</v>
      </c>
      <c r="BI24" s="33">
        <v>0.0064385685245442375</v>
      </c>
      <c r="BJ24" s="33">
        <v>0.002764266468826989</v>
      </c>
      <c r="BK24" s="33">
        <v>0.004030806314653781</v>
      </c>
      <c r="BL24" s="33">
        <v>0.0025939934038476937</v>
      </c>
      <c r="BM24" s="33">
        <v>0</v>
      </c>
      <c r="BN24" s="33">
        <v>0</v>
      </c>
    </row>
    <row r="25" spans="1:66" x14ac:dyDescent="0.25">
      <c r="A25" s="30" t="s">
        <v>119</v>
      </c>
      <c r="B25" s="31" t="s">
        <v>303</v>
      </c>
      <c r="C25" s="33">
        <v>0.02043565621669614</v>
      </c>
      <c r="D25" s="33">
        <v>0.0071747649411483885</v>
      </c>
      <c r="E25" s="33">
        <v>0.01245399615928208</v>
      </c>
      <c r="F25" s="33">
        <v>0.018908975035514832</v>
      </c>
      <c r="G25" s="33">
        <v>0.012273147976492704</v>
      </c>
      <c r="H25" s="33">
        <v>0.007272314177354074</v>
      </c>
      <c r="I25" s="33">
        <v>0.0123000718009689</v>
      </c>
      <c r="J25" s="33">
        <v>0.014868970338699862</v>
      </c>
      <c r="K25" s="33">
        <v>0.010469733500353583</v>
      </c>
      <c r="L25" s="33">
        <v>0.005529356554098459</v>
      </c>
      <c r="M25" s="33">
        <v>0.012118636947992811</v>
      </c>
      <c r="N25" s="33">
        <v>0.00455150850075149</v>
      </c>
      <c r="O25" s="33">
        <v>0.009923696966586156</v>
      </c>
      <c r="P25" s="33">
        <v>0.014015604434356968</v>
      </c>
      <c r="Q25" s="33">
        <v>0.020930372254211904</v>
      </c>
      <c r="R25" s="33">
        <v>0.015861555406490188</v>
      </c>
      <c r="S25" s="33">
        <v>0.008095116194616675</v>
      </c>
      <c r="T25" s="33">
        <v>0.013018744102025342</v>
      </c>
      <c r="U25" s="33">
        <v>0.0182430375792414</v>
      </c>
      <c r="V25" s="33">
        <v>0.014109185651977134</v>
      </c>
      <c r="W25" s="33">
        <v>0.028060359139424066</v>
      </c>
      <c r="X25" s="33">
        <v>0.009441846144107847</v>
      </c>
      <c r="Y25" s="33">
        <v>1.0534318162486545</v>
      </c>
      <c r="Z25" s="33">
        <v>0.015706329957101146</v>
      </c>
      <c r="AA25" s="33">
        <v>0.014060385193233362</v>
      </c>
      <c r="AB25" s="33">
        <v>0.010715681040153474</v>
      </c>
      <c r="AC25" s="33">
        <v>0.00959755839023103</v>
      </c>
      <c r="AD25" s="33">
        <v>0.0060099515029607775</v>
      </c>
      <c r="AE25" s="33">
        <v>0.005437714299496995</v>
      </c>
      <c r="AF25" s="33">
        <v>0.004925023184469048</v>
      </c>
      <c r="AG25" s="33">
        <v>0.01278967059404405</v>
      </c>
      <c r="AH25" s="33">
        <v>0.016349397526013564</v>
      </c>
      <c r="AI25" s="33">
        <v>0.044700380876780424</v>
      </c>
      <c r="AJ25" s="33">
        <v>0.008771678295998253</v>
      </c>
      <c r="AK25" s="33">
        <v>0.005815912965406806</v>
      </c>
      <c r="AL25" s="33">
        <v>0.005944610773239154</v>
      </c>
      <c r="AM25" s="33">
        <v>0.0031635666186950176</v>
      </c>
      <c r="AN25" s="33">
        <v>0.004834978668589145</v>
      </c>
      <c r="AO25" s="33">
        <v>0.011549683702159416</v>
      </c>
      <c r="AP25" s="33">
        <v>0.0038728759745763606</v>
      </c>
      <c r="AQ25" s="33">
        <v>0.001895601359503876</v>
      </c>
      <c r="AR25" s="33">
        <v>0.0024608050310127192</v>
      </c>
      <c r="AS25" s="33">
        <v>0.0029258896824371898</v>
      </c>
      <c r="AT25" s="33">
        <v>0.002251634224984147</v>
      </c>
      <c r="AU25" s="33">
        <v>0.003373445809177152</v>
      </c>
      <c r="AV25" s="33">
        <v>0.004593635674849301</v>
      </c>
      <c r="AW25" s="33">
        <v>0.005409587918962291</v>
      </c>
      <c r="AX25" s="33">
        <v>0.004279389276672268</v>
      </c>
      <c r="AY25" s="33">
        <v>0.005853128923646306</v>
      </c>
      <c r="AZ25" s="33">
        <v>0.008241023785406438</v>
      </c>
      <c r="BA25" s="33">
        <v>0.0025899881611691476</v>
      </c>
      <c r="BB25" s="33">
        <v>0.008972349391788566</v>
      </c>
      <c r="BC25" s="33">
        <v>0.005518214416366126</v>
      </c>
      <c r="BD25" s="33">
        <v>0.005318390524694265</v>
      </c>
      <c r="BE25" s="33">
        <v>0.0018125471658204662</v>
      </c>
      <c r="BF25" s="33">
        <v>0.0046880288398268195</v>
      </c>
      <c r="BG25" s="33">
        <v>0.0031888846943598963</v>
      </c>
      <c r="BH25" s="33">
        <v>0.004490900577024507</v>
      </c>
      <c r="BI25" s="33">
        <v>0.006072970386058943</v>
      </c>
      <c r="BJ25" s="33">
        <v>0.0030875292741625957</v>
      </c>
      <c r="BK25" s="33">
        <v>0.005168488249659515</v>
      </c>
      <c r="BL25" s="33">
        <v>0.004074758176479263</v>
      </c>
      <c r="BM25" s="33">
        <v>0</v>
      </c>
      <c r="BN25" s="33">
        <v>0</v>
      </c>
    </row>
    <row r="26" spans="1:66" x14ac:dyDescent="0.25">
      <c r="A26" s="30" t="s">
        <v>304</v>
      </c>
      <c r="B26" s="31" t="s">
        <v>305</v>
      </c>
      <c r="C26" s="33">
        <v>0.05473476486870776</v>
      </c>
      <c r="D26" s="33">
        <v>0.02094880363103287</v>
      </c>
      <c r="E26" s="33">
        <v>0.04061594538601588</v>
      </c>
      <c r="F26" s="33">
        <v>0.09371684668789214</v>
      </c>
      <c r="G26" s="33">
        <v>0.06147855909532389</v>
      </c>
      <c r="H26" s="33">
        <v>0.045580605908565386</v>
      </c>
      <c r="I26" s="33">
        <v>0.06359122875586146</v>
      </c>
      <c r="J26" s="33">
        <v>0.1179107526408133</v>
      </c>
      <c r="K26" s="33">
        <v>0.06053971282588432</v>
      </c>
      <c r="L26" s="33">
        <v>0.04350721377698043</v>
      </c>
      <c r="M26" s="33">
        <v>0.08815817276617051</v>
      </c>
      <c r="N26" s="33">
        <v>0.025562953574159948</v>
      </c>
      <c r="O26" s="33">
        <v>0.07076933751836935</v>
      </c>
      <c r="P26" s="33">
        <v>0.11036802400734874</v>
      </c>
      <c r="Q26" s="33">
        <v>0.12552745902308995</v>
      </c>
      <c r="R26" s="33">
        <v>0.05921412520416071</v>
      </c>
      <c r="S26" s="33">
        <v>0.02469048787479484</v>
      </c>
      <c r="T26" s="33">
        <v>0.046263069278508116</v>
      </c>
      <c r="U26" s="33">
        <v>0.038000850507310405</v>
      </c>
      <c r="V26" s="33">
        <v>0.0457975898005475</v>
      </c>
      <c r="W26" s="33">
        <v>0.03176394144994048</v>
      </c>
      <c r="X26" s="33">
        <v>0.03992954038222237</v>
      </c>
      <c r="Y26" s="33">
        <v>0.0344453104958134</v>
      </c>
      <c r="Z26" s="33">
        <v>1.399871357085065</v>
      </c>
      <c r="AA26" s="33">
        <v>0.13169817241158546</v>
      </c>
      <c r="AB26" s="33">
        <v>0.05442686528723036</v>
      </c>
      <c r="AC26" s="33">
        <v>0.03733682838096104</v>
      </c>
      <c r="AD26" s="33">
        <v>0.03261388312887387</v>
      </c>
      <c r="AE26" s="33">
        <v>0.026145212821026588</v>
      </c>
      <c r="AF26" s="33">
        <v>0.04377656218498338</v>
      </c>
      <c r="AG26" s="33">
        <v>0.047951930349195246</v>
      </c>
      <c r="AH26" s="33">
        <v>0.01656006281263136</v>
      </c>
      <c r="AI26" s="33">
        <v>0.026758381144007973</v>
      </c>
      <c r="AJ26" s="33">
        <v>0.03617354838210237</v>
      </c>
      <c r="AK26" s="33">
        <v>0.03275340680163216</v>
      </c>
      <c r="AL26" s="33">
        <v>0.058414447740259945</v>
      </c>
      <c r="AM26" s="33">
        <v>0.019336160454834057</v>
      </c>
      <c r="AN26" s="33">
        <v>0.030193563386908446</v>
      </c>
      <c r="AO26" s="33">
        <v>0.04580595061636128</v>
      </c>
      <c r="AP26" s="33">
        <v>0.018653027462313464</v>
      </c>
      <c r="AQ26" s="33">
        <v>0.012873532887197395</v>
      </c>
      <c r="AR26" s="33">
        <v>0.014529039852436148</v>
      </c>
      <c r="AS26" s="33">
        <v>0.015393587616295223</v>
      </c>
      <c r="AT26" s="33">
        <v>0.01790649650377217</v>
      </c>
      <c r="AU26" s="33">
        <v>0.019988221477556332</v>
      </c>
      <c r="AV26" s="33">
        <v>0.023247433594630766</v>
      </c>
      <c r="AW26" s="33">
        <v>0.0231313558442503</v>
      </c>
      <c r="AX26" s="33">
        <v>0.02544842545318526</v>
      </c>
      <c r="AY26" s="33">
        <v>0.029417410260827004</v>
      </c>
      <c r="AZ26" s="33">
        <v>0.01711159076902966</v>
      </c>
      <c r="BA26" s="33">
        <v>0.013315220499116128</v>
      </c>
      <c r="BB26" s="33">
        <v>0.034623549175415984</v>
      </c>
      <c r="BC26" s="33">
        <v>0.02704149303433517</v>
      </c>
      <c r="BD26" s="33">
        <v>0.024686258663022088</v>
      </c>
      <c r="BE26" s="33">
        <v>0.021879071009373943</v>
      </c>
      <c r="BF26" s="33">
        <v>0.025274442703232057</v>
      </c>
      <c r="BG26" s="33">
        <v>0.029208421836723033</v>
      </c>
      <c r="BH26" s="33">
        <v>0.03623958300938897</v>
      </c>
      <c r="BI26" s="33">
        <v>0.06103470021528591</v>
      </c>
      <c r="BJ26" s="33">
        <v>0.03322929628529555</v>
      </c>
      <c r="BK26" s="33">
        <v>0.02764946844223599</v>
      </c>
      <c r="BL26" s="33">
        <v>0.04545832049812792</v>
      </c>
      <c r="BM26" s="33">
        <v>0</v>
      </c>
      <c r="BN26" s="33">
        <v>0</v>
      </c>
    </row>
    <row r="27" spans="1:66" x14ac:dyDescent="0.25">
      <c r="A27" s="30" t="s">
        <v>307</v>
      </c>
      <c r="B27" s="31" t="s">
        <v>308</v>
      </c>
      <c r="C27" s="33">
        <v>0.004528191819971825</v>
      </c>
      <c r="D27" s="33">
        <v>0.0009667490778334073</v>
      </c>
      <c r="E27" s="33">
        <v>0.003439344370209768</v>
      </c>
      <c r="F27" s="33">
        <v>0.0029946774748703378</v>
      </c>
      <c r="G27" s="33">
        <v>0.003475052652087314</v>
      </c>
      <c r="H27" s="33">
        <v>0.0024144482837244463</v>
      </c>
      <c r="I27" s="33">
        <v>0.0019041414435429344</v>
      </c>
      <c r="J27" s="33">
        <v>0.004448902490710101</v>
      </c>
      <c r="K27" s="33">
        <v>0.0023382548735536228</v>
      </c>
      <c r="L27" s="33">
        <v>0.0013053118509996939</v>
      </c>
      <c r="M27" s="33">
        <v>0.0031801480932538554</v>
      </c>
      <c r="N27" s="33">
        <v>0.0013023184033563167</v>
      </c>
      <c r="O27" s="33">
        <v>0.00274093658257446</v>
      </c>
      <c r="P27" s="33">
        <v>0.0027823679839914612</v>
      </c>
      <c r="Q27" s="33">
        <v>0.0057043208533587575</v>
      </c>
      <c r="R27" s="33">
        <v>0.0028517350747260008</v>
      </c>
      <c r="S27" s="33">
        <v>0.0010314757480978853</v>
      </c>
      <c r="T27" s="33">
        <v>0.002093688857231846</v>
      </c>
      <c r="U27" s="33">
        <v>0.0018420567251317293</v>
      </c>
      <c r="V27" s="33">
        <v>0.0018436976148463293</v>
      </c>
      <c r="W27" s="33">
        <v>0.001800879719551301</v>
      </c>
      <c r="X27" s="33">
        <v>0.0017201559320682072</v>
      </c>
      <c r="Y27" s="33">
        <v>0.001654083410144649</v>
      </c>
      <c r="Z27" s="33">
        <v>0.00265891164207041</v>
      </c>
      <c r="AA27" s="33">
        <v>1.0470666314322599</v>
      </c>
      <c r="AB27" s="33">
        <v>0.012807660826096452</v>
      </c>
      <c r="AC27" s="33">
        <v>0.002065260061484928</v>
      </c>
      <c r="AD27" s="33">
        <v>0.0012900094629629392</v>
      </c>
      <c r="AE27" s="33">
        <v>0.001205938056291376</v>
      </c>
      <c r="AF27" s="33">
        <v>0.0014985853240856745</v>
      </c>
      <c r="AG27" s="33">
        <v>0.0012565866101848539</v>
      </c>
      <c r="AH27" s="33">
        <v>0.0006933408216319215</v>
      </c>
      <c r="AI27" s="33">
        <v>0.0010703081144752952</v>
      </c>
      <c r="AJ27" s="33">
        <v>0.001298856190846445</v>
      </c>
      <c r="AK27" s="33">
        <v>0.0011720659500805157</v>
      </c>
      <c r="AL27" s="33">
        <v>0.0034125897883075626</v>
      </c>
      <c r="AM27" s="33">
        <v>0.000822414745423336</v>
      </c>
      <c r="AN27" s="33">
        <v>0.002238969646165728</v>
      </c>
      <c r="AO27" s="33">
        <v>0.0014026865568112798</v>
      </c>
      <c r="AP27" s="33">
        <v>0.0007230531813117499</v>
      </c>
      <c r="AQ27" s="33">
        <v>0.0006973495386012476</v>
      </c>
      <c r="AR27" s="33">
        <v>0.0008531301857123978</v>
      </c>
      <c r="AS27" s="33">
        <v>0.0012050014872344848</v>
      </c>
      <c r="AT27" s="33">
        <v>0.0014447370444410706</v>
      </c>
      <c r="AU27" s="33">
        <v>0.0009755054636170827</v>
      </c>
      <c r="AV27" s="33">
        <v>0.0024729236009684136</v>
      </c>
      <c r="AW27" s="33">
        <v>0.0012558342983765543</v>
      </c>
      <c r="AX27" s="33">
        <v>0.001289670313648746</v>
      </c>
      <c r="AY27" s="33">
        <v>0.0017449176488489955</v>
      </c>
      <c r="AZ27" s="33">
        <v>0.0009213848345677965</v>
      </c>
      <c r="BA27" s="33">
        <v>0.00047583744925634285</v>
      </c>
      <c r="BB27" s="33">
        <v>0.0016305368064780923</v>
      </c>
      <c r="BC27" s="33">
        <v>0.001600948605050841</v>
      </c>
      <c r="BD27" s="33">
        <v>0.0026412358509782354</v>
      </c>
      <c r="BE27" s="33">
        <v>0.0016404712856678656</v>
      </c>
      <c r="BF27" s="33">
        <v>0.0019363239537630085</v>
      </c>
      <c r="BG27" s="33">
        <v>0.0021616951185251267</v>
      </c>
      <c r="BH27" s="33">
        <v>0.0025556636367456242</v>
      </c>
      <c r="BI27" s="33">
        <v>0.0051325585212255425</v>
      </c>
      <c r="BJ27" s="33">
        <v>0.00239318174767638</v>
      </c>
      <c r="BK27" s="33">
        <v>0.0012746929484340988</v>
      </c>
      <c r="BL27" s="33">
        <v>0.0028942732270069407</v>
      </c>
      <c r="BM27" s="33">
        <v>0</v>
      </c>
      <c r="BN27" s="33">
        <v>0</v>
      </c>
    </row>
    <row r="28" spans="1:66" x14ac:dyDescent="0.25">
      <c r="A28" s="30" t="s">
        <v>310</v>
      </c>
      <c r="B28" s="31" t="s">
        <v>311</v>
      </c>
      <c r="C28" s="33">
        <v>0.010686780180156091</v>
      </c>
      <c r="D28" s="33">
        <v>0.00513040731855764</v>
      </c>
      <c r="E28" s="33">
        <v>0.00839208290759159</v>
      </c>
      <c r="F28" s="33">
        <v>0.021822164952564806</v>
      </c>
      <c r="G28" s="33">
        <v>0.014707192882331058</v>
      </c>
      <c r="H28" s="33">
        <v>0.013981456252731731</v>
      </c>
      <c r="I28" s="33">
        <v>0.01508009547624888</v>
      </c>
      <c r="J28" s="33">
        <v>0.049514473427665955</v>
      </c>
      <c r="K28" s="33">
        <v>0.01623681957418763</v>
      </c>
      <c r="L28" s="33">
        <v>0.008422798144449305</v>
      </c>
      <c r="M28" s="33">
        <v>0.01937554560215235</v>
      </c>
      <c r="N28" s="33">
        <v>0.007259437687796999</v>
      </c>
      <c r="O28" s="33">
        <v>0.02843064411958526</v>
      </c>
      <c r="P28" s="33">
        <v>0.020160567734927904</v>
      </c>
      <c r="Q28" s="33">
        <v>0.0701564381035568</v>
      </c>
      <c r="R28" s="33">
        <v>0.028054606285065623</v>
      </c>
      <c r="S28" s="33">
        <v>0.006281892371891684</v>
      </c>
      <c r="T28" s="33">
        <v>0.02540314147604923</v>
      </c>
      <c r="U28" s="33">
        <v>0.013840245410365595</v>
      </c>
      <c r="V28" s="33">
        <v>0.0130670376600017</v>
      </c>
      <c r="W28" s="33">
        <v>0.010598728445499951</v>
      </c>
      <c r="X28" s="33">
        <v>0.012915611282444556</v>
      </c>
      <c r="Y28" s="33">
        <v>0.010339292610876507</v>
      </c>
      <c r="Z28" s="33">
        <v>0.010485882129504236</v>
      </c>
      <c r="AA28" s="33">
        <v>0.058604816708135235</v>
      </c>
      <c r="AB28" s="33">
        <v>1.1886013314053856</v>
      </c>
      <c r="AC28" s="33">
        <v>0.015010877104345935</v>
      </c>
      <c r="AD28" s="33">
        <v>0.007772362637164283</v>
      </c>
      <c r="AE28" s="33">
        <v>0.006624721001058773</v>
      </c>
      <c r="AF28" s="33">
        <v>0.008283296894685365</v>
      </c>
      <c r="AG28" s="33">
        <v>0.006875379982752842</v>
      </c>
      <c r="AH28" s="33">
        <v>0.004172958954679263</v>
      </c>
      <c r="AI28" s="33">
        <v>0.00623049188437273</v>
      </c>
      <c r="AJ28" s="33">
        <v>0.006924370407638879</v>
      </c>
      <c r="AK28" s="33">
        <v>0.006206991149616708</v>
      </c>
      <c r="AL28" s="33">
        <v>0.011378387874951792</v>
      </c>
      <c r="AM28" s="33">
        <v>0.005169537031108971</v>
      </c>
      <c r="AN28" s="33">
        <v>0.006717281619179027</v>
      </c>
      <c r="AO28" s="33">
        <v>0.007236854663636006</v>
      </c>
      <c r="AP28" s="33">
        <v>0.004476488358659855</v>
      </c>
      <c r="AQ28" s="33">
        <v>0.002953707657550458</v>
      </c>
      <c r="AR28" s="33">
        <v>0.0036142235737466172</v>
      </c>
      <c r="AS28" s="33">
        <v>0.0039026938027588685</v>
      </c>
      <c r="AT28" s="33">
        <v>0.006133456531124452</v>
      </c>
      <c r="AU28" s="33">
        <v>0.005721577346272848</v>
      </c>
      <c r="AV28" s="33">
        <v>0.007083073647487746</v>
      </c>
      <c r="AW28" s="33">
        <v>0.005308427526576705</v>
      </c>
      <c r="AX28" s="33">
        <v>0.008801395047983225</v>
      </c>
      <c r="AY28" s="33">
        <v>0.01185678765953799</v>
      </c>
      <c r="AZ28" s="33">
        <v>0.00557743301205855</v>
      </c>
      <c r="BA28" s="33">
        <v>0.0023972406650246535</v>
      </c>
      <c r="BB28" s="33">
        <v>0.007411349999851761</v>
      </c>
      <c r="BC28" s="33">
        <v>0.010898978926680045</v>
      </c>
      <c r="BD28" s="33">
        <v>0.014993407670855628</v>
      </c>
      <c r="BE28" s="33">
        <v>0.0034141432979637467</v>
      </c>
      <c r="BF28" s="33">
        <v>0.006331367340378696</v>
      </c>
      <c r="BG28" s="33">
        <v>0.0067359635903828504</v>
      </c>
      <c r="BH28" s="33">
        <v>0.008811583001798932</v>
      </c>
      <c r="BI28" s="33">
        <v>0.010687479543386079</v>
      </c>
      <c r="BJ28" s="33">
        <v>0.005838454844082734</v>
      </c>
      <c r="BK28" s="33">
        <v>0.0069578434041290445</v>
      </c>
      <c r="BL28" s="33">
        <v>0.011166121031176712</v>
      </c>
      <c r="BM28" s="33">
        <v>0</v>
      </c>
      <c r="BN28" s="33">
        <v>0</v>
      </c>
    </row>
    <row r="29" spans="1:66" x14ac:dyDescent="0.25">
      <c r="A29" s="30" t="s">
        <v>312</v>
      </c>
      <c r="B29" s="31" t="s">
        <v>313</v>
      </c>
      <c r="C29" s="33">
        <v>0.02812712686002559</v>
      </c>
      <c r="D29" s="33">
        <v>0.023682720708173514</v>
      </c>
      <c r="E29" s="33">
        <v>0.03299136830320196</v>
      </c>
      <c r="F29" s="33">
        <v>0.02848855557880433</v>
      </c>
      <c r="G29" s="33">
        <v>0.02594390169596073</v>
      </c>
      <c r="H29" s="33">
        <v>0.021244205078434237</v>
      </c>
      <c r="I29" s="33">
        <v>0.03440092828316333</v>
      </c>
      <c r="J29" s="33">
        <v>0.02935174653793165</v>
      </c>
      <c r="K29" s="33">
        <v>0.02819952977705261</v>
      </c>
      <c r="L29" s="33">
        <v>0.014615372800353474</v>
      </c>
      <c r="M29" s="33">
        <v>0.02720885752724887</v>
      </c>
      <c r="N29" s="33">
        <v>0.020287711921959075</v>
      </c>
      <c r="O29" s="33">
        <v>0.02702346773735874</v>
      </c>
      <c r="P29" s="33">
        <v>0.03578908944259896</v>
      </c>
      <c r="Q29" s="33">
        <v>0.032180941302126564</v>
      </c>
      <c r="R29" s="33">
        <v>0.027813819000709582</v>
      </c>
      <c r="S29" s="33">
        <v>0.015694683751311486</v>
      </c>
      <c r="T29" s="33">
        <v>0.023875584935053488</v>
      </c>
      <c r="U29" s="33">
        <v>0.023050565465494118</v>
      </c>
      <c r="V29" s="33">
        <v>0.02320634297201484</v>
      </c>
      <c r="W29" s="33">
        <v>0.02143673663905522</v>
      </c>
      <c r="X29" s="33">
        <v>0.021949001399137358</v>
      </c>
      <c r="Y29" s="33">
        <v>0.03025841091670617</v>
      </c>
      <c r="Z29" s="33">
        <v>0.05081636328230799</v>
      </c>
      <c r="AA29" s="33">
        <v>0.07512119625244601</v>
      </c>
      <c r="AB29" s="33">
        <v>0.05687208632463901</v>
      </c>
      <c r="AC29" s="33">
        <v>1.2367757561085815</v>
      </c>
      <c r="AD29" s="33">
        <v>0.02170627759995947</v>
      </c>
      <c r="AE29" s="33">
        <v>0.021703441103519322</v>
      </c>
      <c r="AF29" s="33">
        <v>0.02509595103344428</v>
      </c>
      <c r="AG29" s="33">
        <v>0.03189427611585929</v>
      </c>
      <c r="AH29" s="33">
        <v>0.01943822529520784</v>
      </c>
      <c r="AI29" s="33">
        <v>0.025713369588706295</v>
      </c>
      <c r="AJ29" s="33">
        <v>0.050633120786285214</v>
      </c>
      <c r="AK29" s="33">
        <v>0.03046354374449544</v>
      </c>
      <c r="AL29" s="33">
        <v>0.03116790797504285</v>
      </c>
      <c r="AM29" s="33">
        <v>0.01436374423625858</v>
      </c>
      <c r="AN29" s="33">
        <v>0.02376870109049474</v>
      </c>
      <c r="AO29" s="33">
        <v>0.03773661499825589</v>
      </c>
      <c r="AP29" s="33">
        <v>0.014406054337951927</v>
      </c>
      <c r="AQ29" s="33">
        <v>0.012928911411436707</v>
      </c>
      <c r="AR29" s="33">
        <v>0.01754525538600854</v>
      </c>
      <c r="AS29" s="33">
        <v>0.019932740425949787</v>
      </c>
      <c r="AT29" s="33">
        <v>0.06849344316061068</v>
      </c>
      <c r="AU29" s="33">
        <v>0.020274189107605638</v>
      </c>
      <c r="AV29" s="33">
        <v>0.042884537139982346</v>
      </c>
      <c r="AW29" s="33">
        <v>0.019513861086364624</v>
      </c>
      <c r="AX29" s="33">
        <v>0.022673852132161956</v>
      </c>
      <c r="AY29" s="33">
        <v>0.026392983922043586</v>
      </c>
      <c r="AZ29" s="33">
        <v>0.018247320768087143</v>
      </c>
      <c r="BA29" s="33">
        <v>0.012545660909659341</v>
      </c>
      <c r="BB29" s="33">
        <v>0.025792166228681995</v>
      </c>
      <c r="BC29" s="33">
        <v>0.027292168620777817</v>
      </c>
      <c r="BD29" s="33">
        <v>0.038725228276864365</v>
      </c>
      <c r="BE29" s="33">
        <v>0.020628868446036546</v>
      </c>
      <c r="BF29" s="33">
        <v>0.019140426380093896</v>
      </c>
      <c r="BG29" s="33">
        <v>0.021989517679154035</v>
      </c>
      <c r="BH29" s="33">
        <v>0.032377844953044715</v>
      </c>
      <c r="BI29" s="33">
        <v>0.03711069505618261</v>
      </c>
      <c r="BJ29" s="33">
        <v>0.02753845542092304</v>
      </c>
      <c r="BK29" s="33">
        <v>0.022879949658020555</v>
      </c>
      <c r="BL29" s="33">
        <v>0.021334613020694813</v>
      </c>
      <c r="BM29" s="33">
        <v>0</v>
      </c>
      <c r="BN29" s="33">
        <v>0</v>
      </c>
    </row>
    <row r="30" spans="1:66" x14ac:dyDescent="0.25">
      <c r="A30" s="30" t="s">
        <v>314</v>
      </c>
      <c r="B30" s="31" t="s">
        <v>315</v>
      </c>
      <c r="C30" s="33">
        <v>0.011029548057356262</v>
      </c>
      <c r="D30" s="33">
        <v>0.01318553691933526</v>
      </c>
      <c r="E30" s="33">
        <v>0.01561766213983905</v>
      </c>
      <c r="F30" s="33">
        <v>0.009173846131200914</v>
      </c>
      <c r="G30" s="33">
        <v>0.012342456884445735</v>
      </c>
      <c r="H30" s="33">
        <v>0.010487810974225019</v>
      </c>
      <c r="I30" s="33">
        <v>0.012817928714849405</v>
      </c>
      <c r="J30" s="33">
        <v>0.01128360935453044</v>
      </c>
      <c r="K30" s="33">
        <v>0.01107580853214272</v>
      </c>
      <c r="L30" s="33">
        <v>0.005289271141526577</v>
      </c>
      <c r="M30" s="33">
        <v>0.009702389839006535</v>
      </c>
      <c r="N30" s="33">
        <v>0.006440403871179715</v>
      </c>
      <c r="O30" s="33">
        <v>0.010181685273867149</v>
      </c>
      <c r="P30" s="33">
        <v>0.013817180629284602</v>
      </c>
      <c r="Q30" s="33">
        <v>0.009753551496840703</v>
      </c>
      <c r="R30" s="33">
        <v>0.009676760543449485</v>
      </c>
      <c r="S30" s="33">
        <v>0.007301855758771881</v>
      </c>
      <c r="T30" s="33">
        <v>0.010479083781895427</v>
      </c>
      <c r="U30" s="33">
        <v>0.013298674459585151</v>
      </c>
      <c r="V30" s="33">
        <v>0.051935801573545375</v>
      </c>
      <c r="W30" s="33">
        <v>0.01622846680377549</v>
      </c>
      <c r="X30" s="33">
        <v>0.009842315063851538</v>
      </c>
      <c r="Y30" s="33">
        <v>0.013384685335945275</v>
      </c>
      <c r="Z30" s="33">
        <v>0.005693274777721905</v>
      </c>
      <c r="AA30" s="33">
        <v>0.009689886843523808</v>
      </c>
      <c r="AB30" s="33">
        <v>0.01619379676241531</v>
      </c>
      <c r="AC30" s="33">
        <v>0.01054062266205927</v>
      </c>
      <c r="AD30" s="33">
        <v>1.052436956665387</v>
      </c>
      <c r="AE30" s="33">
        <v>0.011142271718664613</v>
      </c>
      <c r="AF30" s="33">
        <v>0.01059456419703413</v>
      </c>
      <c r="AG30" s="33">
        <v>0.03640708792313587</v>
      </c>
      <c r="AH30" s="33">
        <v>0.007561374993475941</v>
      </c>
      <c r="AI30" s="33">
        <v>0.01541567984726008</v>
      </c>
      <c r="AJ30" s="33">
        <v>0.017858244589645383</v>
      </c>
      <c r="AK30" s="33">
        <v>0.04523831919623685</v>
      </c>
      <c r="AL30" s="33">
        <v>0.008617160222628385</v>
      </c>
      <c r="AM30" s="33">
        <v>0.00611616890278595</v>
      </c>
      <c r="AN30" s="33">
        <v>0.011238111766833047</v>
      </c>
      <c r="AO30" s="33">
        <v>0.00983059553352231</v>
      </c>
      <c r="AP30" s="33">
        <v>0.0052627020149742165</v>
      </c>
      <c r="AQ30" s="33">
        <v>0.003354798776816269</v>
      </c>
      <c r="AR30" s="33">
        <v>0.005089605118730069</v>
      </c>
      <c r="AS30" s="33">
        <v>0.006611260276034804</v>
      </c>
      <c r="AT30" s="33">
        <v>0.0018717449122589447</v>
      </c>
      <c r="AU30" s="33">
        <v>0.005691306656933038</v>
      </c>
      <c r="AV30" s="33">
        <v>0.006529018462646052</v>
      </c>
      <c r="AW30" s="33">
        <v>0.007051094415942719</v>
      </c>
      <c r="AX30" s="33">
        <v>0.00900254951766428</v>
      </c>
      <c r="AY30" s="33">
        <v>0.009320561835379515</v>
      </c>
      <c r="AZ30" s="33">
        <v>0.027237869078277722</v>
      </c>
      <c r="BA30" s="33">
        <v>0.003537637305597403</v>
      </c>
      <c r="BB30" s="33">
        <v>0.011879251026763453</v>
      </c>
      <c r="BC30" s="33">
        <v>0.007619266918019358</v>
      </c>
      <c r="BD30" s="33">
        <v>0.0050962446129253405</v>
      </c>
      <c r="BE30" s="33">
        <v>0.002985736887997962</v>
      </c>
      <c r="BF30" s="33">
        <v>0.0051485725877486775</v>
      </c>
      <c r="BG30" s="33">
        <v>0.004936403626400425</v>
      </c>
      <c r="BH30" s="33">
        <v>0.007134164934728235</v>
      </c>
      <c r="BI30" s="33">
        <v>0.009174410137117872</v>
      </c>
      <c r="BJ30" s="33">
        <v>0.00834921022667942</v>
      </c>
      <c r="BK30" s="33">
        <v>0.011705787214367384</v>
      </c>
      <c r="BL30" s="33">
        <v>0.006297202586797757</v>
      </c>
      <c r="BM30" s="33">
        <v>0</v>
      </c>
      <c r="BN30" s="33">
        <v>0</v>
      </c>
    </row>
    <row r="31" spans="1:66" x14ac:dyDescent="0.25">
      <c r="A31" s="30" t="s">
        <v>317</v>
      </c>
      <c r="B31" s="31" t="s">
        <v>318</v>
      </c>
      <c r="C31" s="33">
        <v>0.0829965584953352</v>
      </c>
      <c r="D31" s="33">
        <v>0.062192606682686946</v>
      </c>
      <c r="E31" s="33">
        <v>0.06855261212643127</v>
      </c>
      <c r="F31" s="33">
        <v>0.04030554620533591</v>
      </c>
      <c r="G31" s="33">
        <v>0.1236189100983732</v>
      </c>
      <c r="H31" s="33">
        <v>0.10671464596909949</v>
      </c>
      <c r="I31" s="33">
        <v>0.10520766074378363</v>
      </c>
      <c r="J31" s="33">
        <v>0.09341038441128097</v>
      </c>
      <c r="K31" s="33">
        <v>0.0787814551878516</v>
      </c>
      <c r="L31" s="33">
        <v>0.0386235050511379</v>
      </c>
      <c r="M31" s="33">
        <v>0.09427737731467022</v>
      </c>
      <c r="N31" s="33">
        <v>0.0667662711734947</v>
      </c>
      <c r="O31" s="33">
        <v>0.0878669713922135</v>
      </c>
      <c r="P31" s="33">
        <v>0.08901255454369685</v>
      </c>
      <c r="Q31" s="33">
        <v>0.08731560252658717</v>
      </c>
      <c r="R31" s="33">
        <v>0.08291449717723609</v>
      </c>
      <c r="S31" s="33">
        <v>0.07293564349603196</v>
      </c>
      <c r="T31" s="33">
        <v>0.09100808848392344</v>
      </c>
      <c r="U31" s="33">
        <v>0.08915638462379338</v>
      </c>
      <c r="V31" s="33">
        <v>0.08630613675699643</v>
      </c>
      <c r="W31" s="33">
        <v>0.08004139004191677</v>
      </c>
      <c r="X31" s="33">
        <v>0.10021391461948612</v>
      </c>
      <c r="Y31" s="33">
        <v>0.08520393713654423</v>
      </c>
      <c r="Z31" s="33">
        <v>0.04084647398128239</v>
      </c>
      <c r="AA31" s="33">
        <v>0.04190942686863207</v>
      </c>
      <c r="AB31" s="33">
        <v>0.06078287546335895</v>
      </c>
      <c r="AC31" s="33">
        <v>0.08084934285089823</v>
      </c>
      <c r="AD31" s="33">
        <v>0.05097578719223821</v>
      </c>
      <c r="AE31" s="33">
        <v>1.072970864294081</v>
      </c>
      <c r="AF31" s="33">
        <v>0.04103102260517701</v>
      </c>
      <c r="AG31" s="33">
        <v>0.04212934962112885</v>
      </c>
      <c r="AH31" s="33">
        <v>0.03672174368078146</v>
      </c>
      <c r="AI31" s="33">
        <v>0.054651040655134014</v>
      </c>
      <c r="AJ31" s="33">
        <v>0.03840552169702744</v>
      </c>
      <c r="AK31" s="33">
        <v>0.03465619760748252</v>
      </c>
      <c r="AL31" s="33">
        <v>0.07888973913746214</v>
      </c>
      <c r="AM31" s="33">
        <v>0.052659658339006384</v>
      </c>
      <c r="AN31" s="33">
        <v>0.046433515345242815</v>
      </c>
      <c r="AO31" s="33">
        <v>0.05100015512757388</v>
      </c>
      <c r="AP31" s="33">
        <v>0.03944458117822568</v>
      </c>
      <c r="AQ31" s="33">
        <v>0.01457397833557899</v>
      </c>
      <c r="AR31" s="33">
        <v>0.0204185307803213</v>
      </c>
      <c r="AS31" s="33">
        <v>0.034496525571783745</v>
      </c>
      <c r="AT31" s="33">
        <v>0.011817251765334304</v>
      </c>
      <c r="AU31" s="33">
        <v>0.02858373553971491</v>
      </c>
      <c r="AV31" s="33">
        <v>0.03492286133161221</v>
      </c>
      <c r="AW31" s="33">
        <v>0.028581557105048318</v>
      </c>
      <c r="AX31" s="33">
        <v>0.045815492041573265</v>
      </c>
      <c r="AY31" s="33">
        <v>0.04497170359763991</v>
      </c>
      <c r="AZ31" s="33">
        <v>0.03750687210766304</v>
      </c>
      <c r="BA31" s="33">
        <v>0.012472552782937926</v>
      </c>
      <c r="BB31" s="33">
        <v>0.04937339988591604</v>
      </c>
      <c r="BC31" s="33">
        <v>0.04100299756342124</v>
      </c>
      <c r="BD31" s="33">
        <v>0.02192998820838258</v>
      </c>
      <c r="BE31" s="33">
        <v>0.015410001182920708</v>
      </c>
      <c r="BF31" s="33">
        <v>0.05010916704940036</v>
      </c>
      <c r="BG31" s="33">
        <v>0.030279811138092395</v>
      </c>
      <c r="BH31" s="33">
        <v>0.039602559005113766</v>
      </c>
      <c r="BI31" s="33">
        <v>0.043417184666771996</v>
      </c>
      <c r="BJ31" s="33">
        <v>0.02968978027860133</v>
      </c>
      <c r="BK31" s="33">
        <v>0.060095675092555624</v>
      </c>
      <c r="BL31" s="33">
        <v>0.03297728650470103</v>
      </c>
      <c r="BM31" s="33">
        <v>0</v>
      </c>
      <c r="BN31" s="33">
        <v>0</v>
      </c>
    </row>
    <row r="32" spans="1:66" x14ac:dyDescent="0.25">
      <c r="A32" s="30" t="s">
        <v>319</v>
      </c>
      <c r="B32" s="31" t="s">
        <v>320</v>
      </c>
      <c r="C32" s="33">
        <v>0.0277777988194079</v>
      </c>
      <c r="D32" s="33">
        <v>0.018964201084893856</v>
      </c>
      <c r="E32" s="33">
        <v>0.03351289549228576</v>
      </c>
      <c r="F32" s="33">
        <v>0.014150748750207892</v>
      </c>
      <c r="G32" s="33">
        <v>0.037085943639617786</v>
      </c>
      <c r="H32" s="33">
        <v>0.02904260319655646</v>
      </c>
      <c r="I32" s="33">
        <v>0.028618274878280947</v>
      </c>
      <c r="J32" s="33">
        <v>0.02289490678189302</v>
      </c>
      <c r="K32" s="33">
        <v>0.024853296210369125</v>
      </c>
      <c r="L32" s="33">
        <v>0.008759088354964195</v>
      </c>
      <c r="M32" s="33">
        <v>0.023585276927679387</v>
      </c>
      <c r="N32" s="33">
        <v>0.014693512265088873</v>
      </c>
      <c r="O32" s="33">
        <v>0.023544627159296557</v>
      </c>
      <c r="P32" s="33">
        <v>0.02341693526278759</v>
      </c>
      <c r="Q32" s="33">
        <v>0.018261904513215136</v>
      </c>
      <c r="R32" s="33">
        <v>0.020038755316646208</v>
      </c>
      <c r="S32" s="33">
        <v>0.023252861272564363</v>
      </c>
      <c r="T32" s="33">
        <v>0.024484626858670436</v>
      </c>
      <c r="U32" s="33">
        <v>0.01943526441658292</v>
      </c>
      <c r="V32" s="33">
        <v>0.02373236387699247</v>
      </c>
      <c r="W32" s="33">
        <v>0.028377409400713094</v>
      </c>
      <c r="X32" s="33">
        <v>0.029002580406409864</v>
      </c>
      <c r="Y32" s="33">
        <v>0.02047695297460177</v>
      </c>
      <c r="Z32" s="33">
        <v>0.010917741047830854</v>
      </c>
      <c r="AA32" s="33">
        <v>0.014569714107276413</v>
      </c>
      <c r="AB32" s="33">
        <v>0.014379918257306517</v>
      </c>
      <c r="AC32" s="33">
        <v>0.01957346911422838</v>
      </c>
      <c r="AD32" s="33">
        <v>0.013561147695361273</v>
      </c>
      <c r="AE32" s="33">
        <v>0.01143251212739951</v>
      </c>
      <c r="AF32" s="33">
        <v>1.0103232801353517</v>
      </c>
      <c r="AG32" s="33">
        <v>0.014046395813353575</v>
      </c>
      <c r="AH32" s="33">
        <v>0.011715931195034822</v>
      </c>
      <c r="AI32" s="33">
        <v>0.017113751050229265</v>
      </c>
      <c r="AJ32" s="33">
        <v>0.01137562715251573</v>
      </c>
      <c r="AK32" s="33">
        <v>0.013769714074606157</v>
      </c>
      <c r="AL32" s="33">
        <v>0.028194528348343365</v>
      </c>
      <c r="AM32" s="33">
        <v>0.010116909794023663</v>
      </c>
      <c r="AN32" s="33">
        <v>0.01680696478224101</v>
      </c>
      <c r="AO32" s="33">
        <v>0.014846768396455592</v>
      </c>
      <c r="AP32" s="33">
        <v>0.008185892501356118</v>
      </c>
      <c r="AQ32" s="33">
        <v>0.004790683363984067</v>
      </c>
      <c r="AR32" s="33">
        <v>0.007090759301318712</v>
      </c>
      <c r="AS32" s="33">
        <v>0.00819052908085383</v>
      </c>
      <c r="AT32" s="33">
        <v>0.003414206435112744</v>
      </c>
      <c r="AU32" s="33">
        <v>0.00796644655109149</v>
      </c>
      <c r="AV32" s="33">
        <v>0.01032025867657967</v>
      </c>
      <c r="AW32" s="33">
        <v>0.00928486768419672</v>
      </c>
      <c r="AX32" s="33">
        <v>0.021646723388252718</v>
      </c>
      <c r="AY32" s="33">
        <v>0.016170244785797587</v>
      </c>
      <c r="AZ32" s="33">
        <v>0.009801733335678603</v>
      </c>
      <c r="BA32" s="33">
        <v>0.004969181680211279</v>
      </c>
      <c r="BB32" s="33">
        <v>0.020288193864151358</v>
      </c>
      <c r="BC32" s="33">
        <v>0.01130235735642466</v>
      </c>
      <c r="BD32" s="33">
        <v>0.007809926794706715</v>
      </c>
      <c r="BE32" s="33">
        <v>0.00555565290539656</v>
      </c>
      <c r="BF32" s="33">
        <v>0.02014873772754765</v>
      </c>
      <c r="BG32" s="33">
        <v>0.016184377982180018</v>
      </c>
      <c r="BH32" s="33">
        <v>0.015731334774694558</v>
      </c>
      <c r="BI32" s="33">
        <v>0.014120727113596456</v>
      </c>
      <c r="BJ32" s="33">
        <v>0.011503969507044402</v>
      </c>
      <c r="BK32" s="33">
        <v>0.025604664549946313</v>
      </c>
      <c r="BL32" s="33">
        <v>0.01405857899498642</v>
      </c>
      <c r="BM32" s="33">
        <v>0</v>
      </c>
      <c r="BN32" s="33">
        <v>0</v>
      </c>
    </row>
    <row r="33" spans="1:66" x14ac:dyDescent="0.25">
      <c r="A33" s="30" t="s">
        <v>321</v>
      </c>
      <c r="B33" s="31" t="s">
        <v>322</v>
      </c>
      <c r="C33" s="33">
        <v>0.02668840709031631</v>
      </c>
      <c r="D33" s="33">
        <v>0.06075591895295055</v>
      </c>
      <c r="E33" s="33">
        <v>0.02455162886690642</v>
      </c>
      <c r="F33" s="33">
        <v>0.04394174377266245</v>
      </c>
      <c r="G33" s="33">
        <v>0.05200474180315461</v>
      </c>
      <c r="H33" s="33">
        <v>0.03578047953393388</v>
      </c>
      <c r="I33" s="33">
        <v>0.058141270553011604</v>
      </c>
      <c r="J33" s="33">
        <v>0.06613915908438917</v>
      </c>
      <c r="K33" s="33">
        <v>0.03482172844379506</v>
      </c>
      <c r="L33" s="33">
        <v>0.04016108141814317</v>
      </c>
      <c r="M33" s="33">
        <v>0.046442795414340564</v>
      </c>
      <c r="N33" s="33">
        <v>0.018139215742823563</v>
      </c>
      <c r="O33" s="33">
        <v>0.04381994073199691</v>
      </c>
      <c r="P33" s="33">
        <v>0.06649714335965808</v>
      </c>
      <c r="Q33" s="33">
        <v>0.05346285370752256</v>
      </c>
      <c r="R33" s="33">
        <v>0.03374300056332072</v>
      </c>
      <c r="S33" s="33">
        <v>0.018774303944380483</v>
      </c>
      <c r="T33" s="33">
        <v>0.03322035042665768</v>
      </c>
      <c r="U33" s="33">
        <v>0.030203363331465286</v>
      </c>
      <c r="V33" s="33">
        <v>0.03857855270325639</v>
      </c>
      <c r="W33" s="33">
        <v>0.023834839207283274</v>
      </c>
      <c r="X33" s="33">
        <v>0.037500433761680836</v>
      </c>
      <c r="Y33" s="33">
        <v>0.022912652016881162</v>
      </c>
      <c r="Z33" s="33">
        <v>0.02912832579029661</v>
      </c>
      <c r="AA33" s="33">
        <v>0.016656832900655345</v>
      </c>
      <c r="AB33" s="33">
        <v>0.03214363155829589</v>
      </c>
      <c r="AC33" s="33">
        <v>0.028941608939879068</v>
      </c>
      <c r="AD33" s="33">
        <v>0.030581087578544656</v>
      </c>
      <c r="AE33" s="33">
        <v>0.05849854853289819</v>
      </c>
      <c r="AF33" s="33">
        <v>0.03144834153917947</v>
      </c>
      <c r="AG33" s="33">
        <v>1.127287369892061</v>
      </c>
      <c r="AH33" s="33">
        <v>0.037263118939928064</v>
      </c>
      <c r="AI33" s="33">
        <v>0.03869459829208383</v>
      </c>
      <c r="AJ33" s="33">
        <v>0.11976211771852512</v>
      </c>
      <c r="AK33" s="33">
        <v>0.06554496515704755</v>
      </c>
      <c r="AL33" s="33">
        <v>0.02115331478204908</v>
      </c>
      <c r="AM33" s="33">
        <v>0.017436883169270116</v>
      </c>
      <c r="AN33" s="33">
        <v>0.016504802560304514</v>
      </c>
      <c r="AO33" s="33">
        <v>0.01518316263840494</v>
      </c>
      <c r="AP33" s="33">
        <v>0.011196388073520573</v>
      </c>
      <c r="AQ33" s="33">
        <v>0.005813527798927785</v>
      </c>
      <c r="AR33" s="33">
        <v>0.00784143181335726</v>
      </c>
      <c r="AS33" s="33">
        <v>0.011021181135375214</v>
      </c>
      <c r="AT33" s="33">
        <v>0.004371150816087872</v>
      </c>
      <c r="AU33" s="33">
        <v>0.01055840120262428</v>
      </c>
      <c r="AV33" s="33">
        <v>0.011989190390694819</v>
      </c>
      <c r="AW33" s="33">
        <v>0.01157198170394024</v>
      </c>
      <c r="AX33" s="33">
        <v>0.01873844316121977</v>
      </c>
      <c r="AY33" s="33">
        <v>0.017501648743442122</v>
      </c>
      <c r="AZ33" s="33">
        <v>0.016953263314086187</v>
      </c>
      <c r="BA33" s="33">
        <v>0.0050631196115981806</v>
      </c>
      <c r="BB33" s="33">
        <v>0.0953685678804366</v>
      </c>
      <c r="BC33" s="33">
        <v>0.014043392336249072</v>
      </c>
      <c r="BD33" s="33">
        <v>0.014213789247027772</v>
      </c>
      <c r="BE33" s="33">
        <v>0.017125353710588872</v>
      </c>
      <c r="BF33" s="33">
        <v>0.011722619388687176</v>
      </c>
      <c r="BG33" s="33">
        <v>0.010658029141945692</v>
      </c>
      <c r="BH33" s="33">
        <v>0.01364393716267171</v>
      </c>
      <c r="BI33" s="33">
        <v>0.01721738804199604</v>
      </c>
      <c r="BJ33" s="33">
        <v>0.019885117067275027</v>
      </c>
      <c r="BK33" s="33">
        <v>0.021035150137625667</v>
      </c>
      <c r="BL33" s="33">
        <v>0.011794193101499565</v>
      </c>
      <c r="BM33" s="33">
        <v>0</v>
      </c>
      <c r="BN33" s="33">
        <v>0</v>
      </c>
    </row>
    <row r="34" spans="1:66" x14ac:dyDescent="0.25">
      <c r="A34" s="30" t="s">
        <v>134</v>
      </c>
      <c r="B34" s="31" t="s">
        <v>324</v>
      </c>
      <c r="C34" s="33">
        <v>0.002356721956843113</v>
      </c>
      <c r="D34" s="33">
        <v>0.005948536803957485</v>
      </c>
      <c r="E34" s="33">
        <v>0.005665268182714744</v>
      </c>
      <c r="F34" s="33">
        <v>0.005061548208200876</v>
      </c>
      <c r="G34" s="33">
        <v>0.004733434679717891</v>
      </c>
      <c r="H34" s="33">
        <v>0.003323842371103534</v>
      </c>
      <c r="I34" s="33">
        <v>0.005542776342823288</v>
      </c>
      <c r="J34" s="33">
        <v>0.007553903289637949</v>
      </c>
      <c r="K34" s="33">
        <v>0.0032021381018115086</v>
      </c>
      <c r="L34" s="33">
        <v>0.005932430935779459</v>
      </c>
      <c r="M34" s="33">
        <v>0.005928297176245447</v>
      </c>
      <c r="N34" s="33">
        <v>0.003013401502212465</v>
      </c>
      <c r="O34" s="33">
        <v>0.004135312401005329</v>
      </c>
      <c r="P34" s="33">
        <v>0.005518315789189507</v>
      </c>
      <c r="Q34" s="33">
        <v>0.006610742381868127</v>
      </c>
      <c r="R34" s="33">
        <v>0.003783895152739148</v>
      </c>
      <c r="S34" s="33">
        <v>0.0035713151161019334</v>
      </c>
      <c r="T34" s="33">
        <v>0.004303914299772206</v>
      </c>
      <c r="U34" s="33">
        <v>0.004124213662744175</v>
      </c>
      <c r="V34" s="33">
        <v>0.004288627951491194</v>
      </c>
      <c r="W34" s="33">
        <v>0.0027473358459036306</v>
      </c>
      <c r="X34" s="33">
        <v>0.0035190235512938942</v>
      </c>
      <c r="Y34" s="33">
        <v>0.0026182559955726117</v>
      </c>
      <c r="Z34" s="33">
        <v>0.002283505409311065</v>
      </c>
      <c r="AA34" s="33">
        <v>0.0017067654516578431</v>
      </c>
      <c r="AB34" s="33">
        <v>0.0030296001740038343</v>
      </c>
      <c r="AC34" s="33">
        <v>0.0026653240695411564</v>
      </c>
      <c r="AD34" s="33">
        <v>0.0028767550466581885</v>
      </c>
      <c r="AE34" s="33">
        <v>0.0064234391013994335</v>
      </c>
      <c r="AF34" s="33">
        <v>0.0018409406271207135</v>
      </c>
      <c r="AG34" s="33">
        <v>0.008521732247717174</v>
      </c>
      <c r="AH34" s="33">
        <v>1.1095946057258583</v>
      </c>
      <c r="AI34" s="33">
        <v>0.005630197949579137</v>
      </c>
      <c r="AJ34" s="33">
        <v>0.015188777428566658</v>
      </c>
      <c r="AK34" s="33">
        <v>0.005237247112834837</v>
      </c>
      <c r="AL34" s="33">
        <v>0.002127880545264942</v>
      </c>
      <c r="AM34" s="33">
        <v>0.0017380079774466952</v>
      </c>
      <c r="AN34" s="33">
        <v>0.0016151097024342251</v>
      </c>
      <c r="AO34" s="33">
        <v>0.0018994054720463194</v>
      </c>
      <c r="AP34" s="33">
        <v>0.00114985145635896</v>
      </c>
      <c r="AQ34" s="33">
        <v>0.000554548629003053</v>
      </c>
      <c r="AR34" s="33">
        <v>0.0007204640649395576</v>
      </c>
      <c r="AS34" s="33">
        <v>0.00102625845896929</v>
      </c>
      <c r="AT34" s="33">
        <v>0.00040750769586205796</v>
      </c>
      <c r="AU34" s="33">
        <v>0.0010914163988561519</v>
      </c>
      <c r="AV34" s="33">
        <v>0.0011874125781418476</v>
      </c>
      <c r="AW34" s="33">
        <v>0.0010106293807903301</v>
      </c>
      <c r="AX34" s="33">
        <v>0.0016606072543147719</v>
      </c>
      <c r="AY34" s="33">
        <v>0.001635649291586676</v>
      </c>
      <c r="AZ34" s="33">
        <v>0.002263374274221215</v>
      </c>
      <c r="BA34" s="33">
        <v>0.0005520579085632909</v>
      </c>
      <c r="BB34" s="33">
        <v>0.024599148103357112</v>
      </c>
      <c r="BC34" s="33">
        <v>0.0014805624950589172</v>
      </c>
      <c r="BD34" s="33">
        <v>0.001019799943453075</v>
      </c>
      <c r="BE34" s="33">
        <v>0.0007456672050436947</v>
      </c>
      <c r="BF34" s="33">
        <v>0.0013157697015789092</v>
      </c>
      <c r="BG34" s="33">
        <v>0.0010374490110944838</v>
      </c>
      <c r="BH34" s="33">
        <v>0.0013635253194693316</v>
      </c>
      <c r="BI34" s="33">
        <v>0.001637701336707392</v>
      </c>
      <c r="BJ34" s="33">
        <v>0.001186856812407155</v>
      </c>
      <c r="BK34" s="33">
        <v>0.0017335590182695577</v>
      </c>
      <c r="BL34" s="33">
        <v>0.0011011027513479423</v>
      </c>
      <c r="BM34" s="33">
        <v>0</v>
      </c>
      <c r="BN34" s="33">
        <v>0</v>
      </c>
    </row>
    <row r="35" spans="1:66" x14ac:dyDescent="0.25">
      <c r="A35" s="30" t="s">
        <v>137</v>
      </c>
      <c r="B35" s="31" t="s">
        <v>325</v>
      </c>
      <c r="C35" s="33">
        <v>0.00179393871630619</v>
      </c>
      <c r="D35" s="33">
        <v>0.0017122287541846731</v>
      </c>
      <c r="E35" s="33">
        <v>0.006061577946743247</v>
      </c>
      <c r="F35" s="33">
        <v>0.002075452865612403</v>
      </c>
      <c r="G35" s="33">
        <v>0.002758154903309272</v>
      </c>
      <c r="H35" s="33">
        <v>0.0026160471649711355</v>
      </c>
      <c r="I35" s="33">
        <v>0.002252659405079013</v>
      </c>
      <c r="J35" s="33">
        <v>0.0027353877878753333</v>
      </c>
      <c r="K35" s="33">
        <v>0.0032069212838871292</v>
      </c>
      <c r="L35" s="33">
        <v>0.0012832381133120639</v>
      </c>
      <c r="M35" s="33">
        <v>0.0034500040968059122</v>
      </c>
      <c r="N35" s="33">
        <v>0.002525772649487267</v>
      </c>
      <c r="O35" s="33">
        <v>0.0027172962627773</v>
      </c>
      <c r="P35" s="33">
        <v>0.0028337466039616353</v>
      </c>
      <c r="Q35" s="33">
        <v>0.0023691395787920106</v>
      </c>
      <c r="R35" s="33">
        <v>0.0031302298949498863</v>
      </c>
      <c r="S35" s="33">
        <v>0.008210614887180738</v>
      </c>
      <c r="T35" s="33">
        <v>0.005421352315040039</v>
      </c>
      <c r="U35" s="33">
        <v>0.005740705573772707</v>
      </c>
      <c r="V35" s="33">
        <v>0.004213400353833996</v>
      </c>
      <c r="W35" s="33">
        <v>0.004942044748433573</v>
      </c>
      <c r="X35" s="33">
        <v>0.0034958541357946768</v>
      </c>
      <c r="Y35" s="33">
        <v>0.004546567392225589</v>
      </c>
      <c r="Z35" s="33">
        <v>0.001977872168520216</v>
      </c>
      <c r="AA35" s="33">
        <v>0.00199761373977018</v>
      </c>
      <c r="AB35" s="33">
        <v>0.0021903048292814414</v>
      </c>
      <c r="AC35" s="33">
        <v>0.0021344949498276426</v>
      </c>
      <c r="AD35" s="33">
        <v>0.0020601641028850396</v>
      </c>
      <c r="AE35" s="33">
        <v>0.0028904813462205243</v>
      </c>
      <c r="AF35" s="33">
        <v>0.002352350696834989</v>
      </c>
      <c r="AG35" s="33">
        <v>0.0030623231159584065</v>
      </c>
      <c r="AH35" s="33">
        <v>0.004447290237754272</v>
      </c>
      <c r="AI35" s="33">
        <v>1.080121743092419</v>
      </c>
      <c r="AJ35" s="33">
        <v>0.007096359567682505</v>
      </c>
      <c r="AK35" s="33">
        <v>0.019791173844165</v>
      </c>
      <c r="AL35" s="33">
        <v>0.0020999871887510506</v>
      </c>
      <c r="AM35" s="33">
        <v>0.001985543180435481</v>
      </c>
      <c r="AN35" s="33">
        <v>0.004106526089556962</v>
      </c>
      <c r="AO35" s="33">
        <v>0.0028033854510857554</v>
      </c>
      <c r="AP35" s="33">
        <v>0.002189528920920463</v>
      </c>
      <c r="AQ35" s="33">
        <v>0.0031457477983369317</v>
      </c>
      <c r="AR35" s="33">
        <v>0.004874622750731034</v>
      </c>
      <c r="AS35" s="33">
        <v>0.007060547228620176</v>
      </c>
      <c r="AT35" s="33">
        <v>0.0005471239423580485</v>
      </c>
      <c r="AU35" s="33">
        <v>0.0030214646576092997</v>
      </c>
      <c r="AV35" s="33">
        <v>0.0029871891937665396</v>
      </c>
      <c r="AW35" s="33">
        <v>0.002770879097993597</v>
      </c>
      <c r="AX35" s="33">
        <v>0.0031426722545609153</v>
      </c>
      <c r="AY35" s="33">
        <v>0.002879310567103149</v>
      </c>
      <c r="AZ35" s="33">
        <v>0.002968048375679527</v>
      </c>
      <c r="BA35" s="33">
        <v>0.0011175928247017083</v>
      </c>
      <c r="BB35" s="33">
        <v>0.09660263341826368</v>
      </c>
      <c r="BC35" s="33">
        <v>0.0021864890963528517</v>
      </c>
      <c r="BD35" s="33">
        <v>0.002248648174974392</v>
      </c>
      <c r="BE35" s="33">
        <v>0.001223047972433741</v>
      </c>
      <c r="BF35" s="33">
        <v>0.001439164183351755</v>
      </c>
      <c r="BG35" s="33">
        <v>0.0012910185807825558</v>
      </c>
      <c r="BH35" s="33">
        <v>0.003148096039991424</v>
      </c>
      <c r="BI35" s="33">
        <v>0.0036173720934752347</v>
      </c>
      <c r="BJ35" s="33">
        <v>0.004996530791954284</v>
      </c>
      <c r="BK35" s="33">
        <v>0.0022584477822546706</v>
      </c>
      <c r="BL35" s="33">
        <v>0.0018031883033746974</v>
      </c>
      <c r="BM35" s="33">
        <v>0</v>
      </c>
      <c r="BN35" s="33">
        <v>0</v>
      </c>
    </row>
    <row r="36" spans="1:66" x14ac:dyDescent="0.25">
      <c r="A36" s="30" t="s">
        <v>326</v>
      </c>
      <c r="B36" s="31" t="s">
        <v>327</v>
      </c>
      <c r="C36" s="33">
        <v>0.0214853423034944</v>
      </c>
      <c r="D36" s="33">
        <v>0.027520974982333628</v>
      </c>
      <c r="E36" s="33">
        <v>0.03459623928179738</v>
      </c>
      <c r="F36" s="33">
        <v>0.03522249790726289</v>
      </c>
      <c r="G36" s="33">
        <v>0.049472082966152735</v>
      </c>
      <c r="H36" s="33">
        <v>0.03392689806009536</v>
      </c>
      <c r="I36" s="33">
        <v>0.04010261475391189</v>
      </c>
      <c r="J36" s="33">
        <v>0.05520610744750376</v>
      </c>
      <c r="K36" s="33">
        <v>0.03017823334935038</v>
      </c>
      <c r="L36" s="33">
        <v>0.03038643040280577</v>
      </c>
      <c r="M36" s="33">
        <v>0.04026981801094082</v>
      </c>
      <c r="N36" s="33">
        <v>0.017271354591158538</v>
      </c>
      <c r="O36" s="33">
        <v>0.0351704275159679</v>
      </c>
      <c r="P36" s="33">
        <v>0.04817726054168448</v>
      </c>
      <c r="Q36" s="33">
        <v>0.0379562708887781</v>
      </c>
      <c r="R36" s="33">
        <v>0.028160938990295165</v>
      </c>
      <c r="S36" s="33">
        <v>0.02093620912410489</v>
      </c>
      <c r="T36" s="33">
        <v>0.030191785403663445</v>
      </c>
      <c r="U36" s="33">
        <v>0.032653937302163066</v>
      </c>
      <c r="V36" s="33">
        <v>0.03589385571581083</v>
      </c>
      <c r="W36" s="33">
        <v>0.024243571890548946</v>
      </c>
      <c r="X36" s="33">
        <v>0.030952426747060124</v>
      </c>
      <c r="Y36" s="33">
        <v>0.02274287450158271</v>
      </c>
      <c r="Z36" s="33">
        <v>0.024310909386370514</v>
      </c>
      <c r="AA36" s="33">
        <v>0.016285781420020875</v>
      </c>
      <c r="AB36" s="33">
        <v>0.028673199407624438</v>
      </c>
      <c r="AC36" s="33">
        <v>0.023771212039124977</v>
      </c>
      <c r="AD36" s="33">
        <v>0.03089790595463313</v>
      </c>
      <c r="AE36" s="33">
        <v>0.07791665238405303</v>
      </c>
      <c r="AF36" s="33">
        <v>0.03574712088346079</v>
      </c>
      <c r="AG36" s="33">
        <v>0.14530329873214107</v>
      </c>
      <c r="AH36" s="33">
        <v>0.19221422822353998</v>
      </c>
      <c r="AI36" s="33">
        <v>0.1306348575891727</v>
      </c>
      <c r="AJ36" s="33">
        <v>1.258795934187547</v>
      </c>
      <c r="AK36" s="33">
        <v>0.17346450304753383</v>
      </c>
      <c r="AL36" s="33">
        <v>0.020050231586502005</v>
      </c>
      <c r="AM36" s="33">
        <v>0.020230972779442805</v>
      </c>
      <c r="AN36" s="33">
        <v>0.01472999515056319</v>
      </c>
      <c r="AO36" s="33">
        <v>0.019925208152243683</v>
      </c>
      <c r="AP36" s="33">
        <v>0.012427371301748088</v>
      </c>
      <c r="AQ36" s="33">
        <v>0.0062365919496521465</v>
      </c>
      <c r="AR36" s="33">
        <v>0.008536099494864079</v>
      </c>
      <c r="AS36" s="33">
        <v>0.012569882404482964</v>
      </c>
      <c r="AT36" s="33">
        <v>0.004201837981738125</v>
      </c>
      <c r="AU36" s="33">
        <v>0.012907062971226381</v>
      </c>
      <c r="AV36" s="33">
        <v>0.012296591171383302</v>
      </c>
      <c r="AW36" s="33">
        <v>0.009407393657560647</v>
      </c>
      <c r="AX36" s="33">
        <v>0.017991960029975555</v>
      </c>
      <c r="AY36" s="33">
        <v>0.0209532398606673</v>
      </c>
      <c r="AZ36" s="33">
        <v>0.01914083606746909</v>
      </c>
      <c r="BA36" s="33">
        <v>0.005949517051139907</v>
      </c>
      <c r="BB36" s="33">
        <v>0.047770190833042445</v>
      </c>
      <c r="BC36" s="33">
        <v>0.015735104230526837</v>
      </c>
      <c r="BD36" s="33">
        <v>0.010482147812325161</v>
      </c>
      <c r="BE36" s="33">
        <v>0.00712621180266436</v>
      </c>
      <c r="BF36" s="33">
        <v>0.009877554705318854</v>
      </c>
      <c r="BG36" s="33">
        <v>0.008188965019963615</v>
      </c>
      <c r="BH36" s="33">
        <v>0.012914630190548334</v>
      </c>
      <c r="BI36" s="33">
        <v>0.015236149293747933</v>
      </c>
      <c r="BJ36" s="33">
        <v>0.012294704563099343</v>
      </c>
      <c r="BK36" s="33">
        <v>0.02113470244235634</v>
      </c>
      <c r="BL36" s="33">
        <v>0.01126246771936519</v>
      </c>
      <c r="BM36" s="33">
        <v>0</v>
      </c>
      <c r="BN36" s="33">
        <v>0</v>
      </c>
    </row>
    <row r="37" spans="1:66" x14ac:dyDescent="0.25">
      <c r="A37" s="30" t="s">
        <v>328</v>
      </c>
      <c r="B37" s="31" t="s">
        <v>329</v>
      </c>
      <c r="C37" s="33">
        <v>0.003684459685152173</v>
      </c>
      <c r="D37" s="33">
        <v>0.003272170346225709</v>
      </c>
      <c r="E37" s="33">
        <v>0.0035882744929686436</v>
      </c>
      <c r="F37" s="33">
        <v>0.003671305588999712</v>
      </c>
      <c r="G37" s="33">
        <v>0.005561907493255123</v>
      </c>
      <c r="H37" s="33">
        <v>0.005926037526979384</v>
      </c>
      <c r="I37" s="33">
        <v>0.004837711883024816</v>
      </c>
      <c r="J37" s="33">
        <v>0.00583203873135764</v>
      </c>
      <c r="K37" s="33">
        <v>0.0094933801271812</v>
      </c>
      <c r="L37" s="33">
        <v>0.0029237695595583676</v>
      </c>
      <c r="M37" s="33">
        <v>0.009133860314920488</v>
      </c>
      <c r="N37" s="33">
        <v>0.0059260703856440795</v>
      </c>
      <c r="O37" s="33">
        <v>0.00619006695706989</v>
      </c>
      <c r="P37" s="33">
        <v>0.005288394795430703</v>
      </c>
      <c r="Q37" s="33">
        <v>0.0046592600966226996</v>
      </c>
      <c r="R37" s="33">
        <v>0.005426299072412575</v>
      </c>
      <c r="S37" s="33">
        <v>0.00718809047008735</v>
      </c>
      <c r="T37" s="33">
        <v>0.009233380941300445</v>
      </c>
      <c r="U37" s="33">
        <v>0.008492538470804703</v>
      </c>
      <c r="V37" s="33">
        <v>0.006362453517894496</v>
      </c>
      <c r="W37" s="33">
        <v>0.004318449242800346</v>
      </c>
      <c r="X37" s="33">
        <v>0.007604903041060191</v>
      </c>
      <c r="Y37" s="33">
        <v>0.005657889078372391</v>
      </c>
      <c r="Z37" s="33">
        <v>0.0045402110322030195</v>
      </c>
      <c r="AA37" s="33">
        <v>0.009577927743730362</v>
      </c>
      <c r="AB37" s="33">
        <v>0.006382730151295158</v>
      </c>
      <c r="AC37" s="33">
        <v>0.004371330171795134</v>
      </c>
      <c r="AD37" s="33">
        <v>0.006552978228819137</v>
      </c>
      <c r="AE37" s="33">
        <v>0.010305664496991569</v>
      </c>
      <c r="AF37" s="33">
        <v>0.019768495051887856</v>
      </c>
      <c r="AG37" s="33">
        <v>0.009216321927768294</v>
      </c>
      <c r="AH37" s="33">
        <v>0.004899338201025576</v>
      </c>
      <c r="AI37" s="33">
        <v>0.007012690484671673</v>
      </c>
      <c r="AJ37" s="33">
        <v>0.011062004972163753</v>
      </c>
      <c r="AK37" s="33">
        <v>1.105735017095567</v>
      </c>
      <c r="AL37" s="33">
        <v>0.006712072583333226</v>
      </c>
      <c r="AM37" s="33">
        <v>0.009657580643360711</v>
      </c>
      <c r="AN37" s="33">
        <v>0.006514729870010068</v>
      </c>
      <c r="AO37" s="33">
        <v>0.018586269144073932</v>
      </c>
      <c r="AP37" s="33">
        <v>0.004701516866405405</v>
      </c>
      <c r="AQ37" s="33">
        <v>0.006051252824971848</v>
      </c>
      <c r="AR37" s="33">
        <v>0.0074914279958447245</v>
      </c>
      <c r="AS37" s="33">
        <v>0.009348500116430037</v>
      </c>
      <c r="AT37" s="33">
        <v>0.0014244019247030908</v>
      </c>
      <c r="AU37" s="33">
        <v>0.007283650394840934</v>
      </c>
      <c r="AV37" s="33">
        <v>0.004871237804803017</v>
      </c>
      <c r="AW37" s="33">
        <v>0.0035359298837147266</v>
      </c>
      <c r="AX37" s="33">
        <v>0.008364866438519289</v>
      </c>
      <c r="AY37" s="33">
        <v>0.008306490023857398</v>
      </c>
      <c r="AZ37" s="33">
        <v>0.0046808316413458565</v>
      </c>
      <c r="BA37" s="33">
        <v>0.00774394317614249</v>
      </c>
      <c r="BB37" s="33">
        <v>0.00797839700113087</v>
      </c>
      <c r="BC37" s="33">
        <v>0.006603452301451216</v>
      </c>
      <c r="BD37" s="33">
        <v>0.007389026070520281</v>
      </c>
      <c r="BE37" s="33">
        <v>0.0022268145533501523</v>
      </c>
      <c r="BF37" s="33">
        <v>0.003324269271490982</v>
      </c>
      <c r="BG37" s="33">
        <v>0.004122843178691763</v>
      </c>
      <c r="BH37" s="33">
        <v>0.0073714478758602296</v>
      </c>
      <c r="BI37" s="33">
        <v>0.005949812557947997</v>
      </c>
      <c r="BJ37" s="33">
        <v>0.008005348436910182</v>
      </c>
      <c r="BK37" s="33">
        <v>0.0063415857718946145</v>
      </c>
      <c r="BL37" s="33">
        <v>0.004841107874454886</v>
      </c>
      <c r="BM37" s="33">
        <v>0</v>
      </c>
      <c r="BN37" s="33">
        <v>0</v>
      </c>
    </row>
    <row r="38" spans="1:66" x14ac:dyDescent="0.25">
      <c r="A38" s="30" t="s">
        <v>330</v>
      </c>
      <c r="B38" s="31" t="s">
        <v>331</v>
      </c>
      <c r="C38" s="33">
        <v>0.0057433264668983325</v>
      </c>
      <c r="D38" s="33">
        <v>0.004981593589703402</v>
      </c>
      <c r="E38" s="33">
        <v>0.008264384161832115</v>
      </c>
      <c r="F38" s="33">
        <v>0.007678950703390423</v>
      </c>
      <c r="G38" s="33">
        <v>0.008705603051842512</v>
      </c>
      <c r="H38" s="33">
        <v>0.009316213310014743</v>
      </c>
      <c r="I38" s="33">
        <v>0.011220470888177455</v>
      </c>
      <c r="J38" s="33">
        <v>0.008433956678453867</v>
      </c>
      <c r="K38" s="33">
        <v>0.009616207143822022</v>
      </c>
      <c r="L38" s="33">
        <v>0.00449245755757956</v>
      </c>
      <c r="M38" s="33">
        <v>0.008768780968374797</v>
      </c>
      <c r="N38" s="33">
        <v>0.0066766047493739015</v>
      </c>
      <c r="O38" s="33">
        <v>0.00745339673061684</v>
      </c>
      <c r="P38" s="33">
        <v>0.008506698884647071</v>
      </c>
      <c r="Q38" s="33">
        <v>0.007357361353200737</v>
      </c>
      <c r="R38" s="33">
        <v>0.008422915760179266</v>
      </c>
      <c r="S38" s="33">
        <v>0.0060765858107462625</v>
      </c>
      <c r="T38" s="33">
        <v>0.008267982101348997</v>
      </c>
      <c r="U38" s="33">
        <v>0.008784372515845112</v>
      </c>
      <c r="V38" s="33">
        <v>0.007032112129721012</v>
      </c>
      <c r="W38" s="33">
        <v>0.007925268077886216</v>
      </c>
      <c r="X38" s="33">
        <v>0.008327275928105667</v>
      </c>
      <c r="Y38" s="33">
        <v>0.012614245509060259</v>
      </c>
      <c r="Z38" s="33">
        <v>0.0067143299105017935</v>
      </c>
      <c r="AA38" s="33">
        <v>0.011635655164898688</v>
      </c>
      <c r="AB38" s="33">
        <v>0.008090208354601076</v>
      </c>
      <c r="AC38" s="33">
        <v>0.011735242032930871</v>
      </c>
      <c r="AD38" s="33">
        <v>0.009402738502671237</v>
      </c>
      <c r="AE38" s="33">
        <v>0.012751494885988101</v>
      </c>
      <c r="AF38" s="33">
        <v>0.007996819555335138</v>
      </c>
      <c r="AG38" s="33">
        <v>0.016623240446727687</v>
      </c>
      <c r="AH38" s="33">
        <v>0.008881180773320027</v>
      </c>
      <c r="AI38" s="33">
        <v>0.03715866304505868</v>
      </c>
      <c r="AJ38" s="33">
        <v>0.018822044219123014</v>
      </c>
      <c r="AK38" s="33">
        <v>0.009789328824695083</v>
      </c>
      <c r="AL38" s="33">
        <v>1.0152175285384377</v>
      </c>
      <c r="AM38" s="33">
        <v>0.00803131769411977</v>
      </c>
      <c r="AN38" s="33">
        <v>0.022997491788848187</v>
      </c>
      <c r="AO38" s="33">
        <v>0.011894024391626531</v>
      </c>
      <c r="AP38" s="33">
        <v>0.00980116397477146</v>
      </c>
      <c r="AQ38" s="33">
        <v>0.007742447628978714</v>
      </c>
      <c r="AR38" s="33">
        <v>0.009768162344258665</v>
      </c>
      <c r="AS38" s="33">
        <v>0.016688634548459445</v>
      </c>
      <c r="AT38" s="33">
        <v>0.002533046942556446</v>
      </c>
      <c r="AU38" s="33">
        <v>0.012438818011577127</v>
      </c>
      <c r="AV38" s="33">
        <v>0.009965762066802566</v>
      </c>
      <c r="AW38" s="33">
        <v>0.006596779772848904</v>
      </c>
      <c r="AX38" s="33">
        <v>0.013516119677193628</v>
      </c>
      <c r="AY38" s="33">
        <v>0.012200955211425552</v>
      </c>
      <c r="AZ38" s="33">
        <v>0.008365717353727826</v>
      </c>
      <c r="BA38" s="33">
        <v>0.00704332805007345</v>
      </c>
      <c r="BB38" s="33">
        <v>0.17224186161634894</v>
      </c>
      <c r="BC38" s="33">
        <v>0.014659240602146182</v>
      </c>
      <c r="BD38" s="33">
        <v>0.00853863877264567</v>
      </c>
      <c r="BE38" s="33">
        <v>0.007866299492946068</v>
      </c>
      <c r="BF38" s="33">
        <v>0.008199767449491227</v>
      </c>
      <c r="BG38" s="33">
        <v>0.014950514016233828</v>
      </c>
      <c r="BH38" s="33">
        <v>0.016499632422126716</v>
      </c>
      <c r="BI38" s="33">
        <v>0.02603003000777754</v>
      </c>
      <c r="BJ38" s="33">
        <v>0.027240626088682093</v>
      </c>
      <c r="BK38" s="33">
        <v>0.012430368338358954</v>
      </c>
      <c r="BL38" s="33">
        <v>0.011859228373728591</v>
      </c>
      <c r="BM38" s="33">
        <v>0</v>
      </c>
      <c r="BN38" s="33">
        <v>0</v>
      </c>
    </row>
    <row r="39" spans="1:66" x14ac:dyDescent="0.25">
      <c r="A39" s="30" t="s">
        <v>332</v>
      </c>
      <c r="B39" s="31" t="s">
        <v>333</v>
      </c>
      <c r="C39" s="33">
        <v>0.002421847548107552</v>
      </c>
      <c r="D39" s="33">
        <v>0.0018935115617011301</v>
      </c>
      <c r="E39" s="33">
        <v>0.0021478000074805666</v>
      </c>
      <c r="F39" s="33">
        <v>0.003484744961800611</v>
      </c>
      <c r="G39" s="33">
        <v>0.0037113029803241453</v>
      </c>
      <c r="H39" s="33">
        <v>0.003154510528527168</v>
      </c>
      <c r="I39" s="33">
        <v>0.0028591792463929177</v>
      </c>
      <c r="J39" s="33">
        <v>0.004580096549721329</v>
      </c>
      <c r="K39" s="33">
        <v>0.00843892628646678</v>
      </c>
      <c r="L39" s="33">
        <v>0.00176254744062451</v>
      </c>
      <c r="M39" s="33">
        <v>0.003773327910145686</v>
      </c>
      <c r="N39" s="33">
        <v>0.003521422690999306</v>
      </c>
      <c r="O39" s="33">
        <v>0.003160336381556147</v>
      </c>
      <c r="P39" s="33">
        <v>0.0030388171485182646</v>
      </c>
      <c r="Q39" s="33">
        <v>0.0028704223078289</v>
      </c>
      <c r="R39" s="33">
        <v>0.0030242774587847378</v>
      </c>
      <c r="S39" s="33">
        <v>0.003960658132849339</v>
      </c>
      <c r="T39" s="33">
        <v>0.004218728677995995</v>
      </c>
      <c r="U39" s="33">
        <v>0.0033194036551361145</v>
      </c>
      <c r="V39" s="33">
        <v>0.0035167511017684173</v>
      </c>
      <c r="W39" s="33">
        <v>0.00360858987092052</v>
      </c>
      <c r="X39" s="33">
        <v>0.003314329651778686</v>
      </c>
      <c r="Y39" s="33">
        <v>0.003035872830433956</v>
      </c>
      <c r="Z39" s="33">
        <v>0.002428258856470097</v>
      </c>
      <c r="AA39" s="33">
        <v>0.003136506064916474</v>
      </c>
      <c r="AB39" s="33">
        <v>0.0043250353434394736</v>
      </c>
      <c r="AC39" s="33">
        <v>0.0027396971929238294</v>
      </c>
      <c r="AD39" s="33">
        <v>0.0038243079698812403</v>
      </c>
      <c r="AE39" s="33">
        <v>0.004757957055131973</v>
      </c>
      <c r="AF39" s="33">
        <v>0.004715920132492136</v>
      </c>
      <c r="AG39" s="33">
        <v>0.0029139185829398892</v>
      </c>
      <c r="AH39" s="33">
        <v>0.002662268159179908</v>
      </c>
      <c r="AI39" s="33">
        <v>0.004396609044235916</v>
      </c>
      <c r="AJ39" s="33">
        <v>0.0031593842367462215</v>
      </c>
      <c r="AK39" s="33">
        <v>0.004586213635748866</v>
      </c>
      <c r="AL39" s="33">
        <v>0.0033246186426415044</v>
      </c>
      <c r="AM39" s="33">
        <v>1.0272992041864817</v>
      </c>
      <c r="AN39" s="33">
        <v>0.00945556586139021</v>
      </c>
      <c r="AO39" s="33">
        <v>0.0074896193139781</v>
      </c>
      <c r="AP39" s="33">
        <v>0.011894584134082628</v>
      </c>
      <c r="AQ39" s="33">
        <v>0.007027435203226384</v>
      </c>
      <c r="AR39" s="33">
        <v>0.008278973030297943</v>
      </c>
      <c r="AS39" s="33">
        <v>0.01251919288393081</v>
      </c>
      <c r="AT39" s="33">
        <v>0.001218119499720004</v>
      </c>
      <c r="AU39" s="33">
        <v>0.0071553686157609766</v>
      </c>
      <c r="AV39" s="33">
        <v>0.007187311814486534</v>
      </c>
      <c r="AW39" s="33">
        <v>0.006430061294529655</v>
      </c>
      <c r="AX39" s="33">
        <v>0.028194192535990446</v>
      </c>
      <c r="AY39" s="33">
        <v>0.007966683658181786</v>
      </c>
      <c r="AZ39" s="33">
        <v>0.004669835107953678</v>
      </c>
      <c r="BA39" s="33">
        <v>0.003337461828188307</v>
      </c>
      <c r="BB39" s="33">
        <v>0.007069590582454498</v>
      </c>
      <c r="BC39" s="33">
        <v>0.0061669294956631475</v>
      </c>
      <c r="BD39" s="33">
        <v>0.00486507648740939</v>
      </c>
      <c r="BE39" s="33">
        <v>0.005927785143199076</v>
      </c>
      <c r="BF39" s="33">
        <v>0.0031352226969774493</v>
      </c>
      <c r="BG39" s="33">
        <v>0.003723978674653889</v>
      </c>
      <c r="BH39" s="33">
        <v>0.012836576618727088</v>
      </c>
      <c r="BI39" s="33">
        <v>0.008963182125183355</v>
      </c>
      <c r="BJ39" s="33">
        <v>0.010878949462700849</v>
      </c>
      <c r="BK39" s="33">
        <v>0.0037963839616792874</v>
      </c>
      <c r="BL39" s="33">
        <v>0.0030691769273276572</v>
      </c>
      <c r="BM39" s="33">
        <v>0</v>
      </c>
      <c r="BN39" s="33">
        <v>0</v>
      </c>
    </row>
    <row r="40" spans="1:66" x14ac:dyDescent="0.25">
      <c r="A40" s="30" t="s">
        <v>335</v>
      </c>
      <c r="B40" s="31" t="s">
        <v>336</v>
      </c>
      <c r="C40" s="33">
        <v>0.0022755153069253424</v>
      </c>
      <c r="D40" s="33">
        <v>0.001591278469323706</v>
      </c>
      <c r="E40" s="33">
        <v>0.0026845850792449246</v>
      </c>
      <c r="F40" s="33">
        <v>0.0021669119890839147</v>
      </c>
      <c r="G40" s="33">
        <v>0.005612448401784281</v>
      </c>
      <c r="H40" s="33">
        <v>0.0036687577660621026</v>
      </c>
      <c r="I40" s="33">
        <v>0.002808306718119812</v>
      </c>
      <c r="J40" s="33">
        <v>0.0034795565524771157</v>
      </c>
      <c r="K40" s="33">
        <v>0.00426984816333225</v>
      </c>
      <c r="L40" s="33">
        <v>0.0015984137920610946</v>
      </c>
      <c r="M40" s="33">
        <v>0.004056143352984416</v>
      </c>
      <c r="N40" s="33">
        <v>0.0044925333664244645</v>
      </c>
      <c r="O40" s="33">
        <v>0.003051713919055089</v>
      </c>
      <c r="P40" s="33">
        <v>0.0030855518747506866</v>
      </c>
      <c r="Q40" s="33">
        <v>0.0024592253506966243</v>
      </c>
      <c r="R40" s="33">
        <v>0.002666790653380311</v>
      </c>
      <c r="S40" s="33">
        <v>0.0028556460860876113</v>
      </c>
      <c r="T40" s="33">
        <v>0.003195472229971148</v>
      </c>
      <c r="U40" s="33">
        <v>0.002755876448463833</v>
      </c>
      <c r="V40" s="33">
        <v>0.0032090678818962937</v>
      </c>
      <c r="W40" s="33">
        <v>0.004052358059057558</v>
      </c>
      <c r="X40" s="33">
        <v>0.003425002551776569</v>
      </c>
      <c r="Y40" s="33">
        <v>0.002981672757070691</v>
      </c>
      <c r="Z40" s="33">
        <v>0.0023224107760266783</v>
      </c>
      <c r="AA40" s="33">
        <v>0.0032951886605324973</v>
      </c>
      <c r="AB40" s="33">
        <v>0.003116309635698759</v>
      </c>
      <c r="AC40" s="33">
        <v>0.0028754603693937576</v>
      </c>
      <c r="AD40" s="33">
        <v>0.0046118853160135075</v>
      </c>
      <c r="AE40" s="33">
        <v>0.006077618187889419</v>
      </c>
      <c r="AF40" s="33">
        <v>0.006054733903809989</v>
      </c>
      <c r="AG40" s="33">
        <v>0.00307640322441477</v>
      </c>
      <c r="AH40" s="33">
        <v>0.0025424086421926765</v>
      </c>
      <c r="AI40" s="33">
        <v>0.0045166451875623065</v>
      </c>
      <c r="AJ40" s="33">
        <v>0.0030885300920387273</v>
      </c>
      <c r="AK40" s="33">
        <v>0.004379725343739227</v>
      </c>
      <c r="AL40" s="33">
        <v>0.005330305241997381</v>
      </c>
      <c r="AM40" s="33">
        <v>0.013119978971778003</v>
      </c>
      <c r="AN40" s="33">
        <v>1.1714709939621932</v>
      </c>
      <c r="AO40" s="33">
        <v>0.03457577616714895</v>
      </c>
      <c r="AP40" s="33">
        <v>0.010234164481913522</v>
      </c>
      <c r="AQ40" s="33">
        <v>0.0029308589093305624</v>
      </c>
      <c r="AR40" s="33">
        <v>0.0035239170823733496</v>
      </c>
      <c r="AS40" s="33">
        <v>0.0037506785928437154</v>
      </c>
      <c r="AT40" s="33">
        <v>0.000981622914501357</v>
      </c>
      <c r="AU40" s="33">
        <v>0.0070457830502485</v>
      </c>
      <c r="AV40" s="33">
        <v>0.0052845191794390215</v>
      </c>
      <c r="AW40" s="33">
        <v>0.004576273526136219</v>
      </c>
      <c r="AX40" s="33">
        <v>0.08468980670995098</v>
      </c>
      <c r="AY40" s="33">
        <v>0.007409819739274106</v>
      </c>
      <c r="AZ40" s="33">
        <v>0.007170802619212963</v>
      </c>
      <c r="BA40" s="33">
        <v>0.002555467445719932</v>
      </c>
      <c r="BB40" s="33">
        <v>0.008345391798774538</v>
      </c>
      <c r="BC40" s="33">
        <v>0.005765600632094004</v>
      </c>
      <c r="BD40" s="33">
        <v>0.0027214390345681196</v>
      </c>
      <c r="BE40" s="33">
        <v>0.0018067414051720796</v>
      </c>
      <c r="BF40" s="33">
        <v>0.002061483201736346</v>
      </c>
      <c r="BG40" s="33">
        <v>0.0020695934318714563</v>
      </c>
      <c r="BH40" s="33">
        <v>0.011029748214291675</v>
      </c>
      <c r="BI40" s="33">
        <v>0.01521068601488601</v>
      </c>
      <c r="BJ40" s="33">
        <v>0.0075788371867900085</v>
      </c>
      <c r="BK40" s="33">
        <v>0.003754343769845789</v>
      </c>
      <c r="BL40" s="33">
        <v>0.0034827555625295786</v>
      </c>
      <c r="BM40" s="33">
        <v>0</v>
      </c>
      <c r="BN40" s="33">
        <v>0</v>
      </c>
    </row>
    <row r="41" spans="1:66" x14ac:dyDescent="0.25">
      <c r="A41" s="30" t="s">
        <v>337</v>
      </c>
      <c r="B41" s="31" t="s">
        <v>338</v>
      </c>
      <c r="C41" s="33">
        <v>0.00546511804230713</v>
      </c>
      <c r="D41" s="33">
        <v>0.004616804438272047</v>
      </c>
      <c r="E41" s="33">
        <v>0.007469447380763993</v>
      </c>
      <c r="F41" s="33">
        <v>0.0066639951996086974</v>
      </c>
      <c r="G41" s="33">
        <v>0.008876174568874127</v>
      </c>
      <c r="H41" s="33">
        <v>0.010789023635732928</v>
      </c>
      <c r="I41" s="33">
        <v>0.007560496338427048</v>
      </c>
      <c r="J41" s="33">
        <v>0.009807820640512001</v>
      </c>
      <c r="K41" s="33">
        <v>0.010224433484512286</v>
      </c>
      <c r="L41" s="33">
        <v>0.0039239531161450415</v>
      </c>
      <c r="M41" s="33">
        <v>0.008509134000672592</v>
      </c>
      <c r="N41" s="33">
        <v>0.005763540260609283</v>
      </c>
      <c r="O41" s="33">
        <v>0.008874869006329875</v>
      </c>
      <c r="P41" s="33">
        <v>0.010815561498111826</v>
      </c>
      <c r="Q41" s="33">
        <v>0.009358893003656794</v>
      </c>
      <c r="R41" s="33">
        <v>0.009110663548751063</v>
      </c>
      <c r="S41" s="33">
        <v>0.007115908669542972</v>
      </c>
      <c r="T41" s="33">
        <v>0.008242584883516877</v>
      </c>
      <c r="U41" s="33">
        <v>0.008167620593173818</v>
      </c>
      <c r="V41" s="33">
        <v>0.007824120598297013</v>
      </c>
      <c r="W41" s="33">
        <v>0.00797955734560495</v>
      </c>
      <c r="X41" s="33">
        <v>0.007614842596458354</v>
      </c>
      <c r="Y41" s="33">
        <v>0.007982083529359647</v>
      </c>
      <c r="Z41" s="33">
        <v>0.006059348843242109</v>
      </c>
      <c r="AA41" s="33">
        <v>0.01329162893679879</v>
      </c>
      <c r="AB41" s="33">
        <v>0.0097631560854707</v>
      </c>
      <c r="AC41" s="33">
        <v>0.007735017833444984</v>
      </c>
      <c r="AD41" s="33">
        <v>0.009762421058191728</v>
      </c>
      <c r="AE41" s="33">
        <v>0.010759157444539008</v>
      </c>
      <c r="AF41" s="33">
        <v>0.010229741331820936</v>
      </c>
      <c r="AG41" s="33">
        <v>0.008781574946188817</v>
      </c>
      <c r="AH41" s="33">
        <v>0.005337740352671346</v>
      </c>
      <c r="AI41" s="33">
        <v>0.010262445413797954</v>
      </c>
      <c r="AJ41" s="33">
        <v>0.008980804100469439</v>
      </c>
      <c r="AK41" s="33">
        <v>0.03264240540861064</v>
      </c>
      <c r="AL41" s="33">
        <v>0.012048482155968376</v>
      </c>
      <c r="AM41" s="33">
        <v>0.01428907613254543</v>
      </c>
      <c r="AN41" s="33">
        <v>0.025356220212341664</v>
      </c>
      <c r="AO41" s="33">
        <v>1.1851149636781417</v>
      </c>
      <c r="AP41" s="33">
        <v>0.015291008266890846</v>
      </c>
      <c r="AQ41" s="33">
        <v>0.015466593422728143</v>
      </c>
      <c r="AR41" s="33">
        <v>0.01717448773961695</v>
      </c>
      <c r="AS41" s="33">
        <v>0.024909620627399653</v>
      </c>
      <c r="AT41" s="33">
        <v>0.0033884224761537587</v>
      </c>
      <c r="AU41" s="33">
        <v>0.013142775849564532</v>
      </c>
      <c r="AV41" s="33">
        <v>0.011483788247788848</v>
      </c>
      <c r="AW41" s="33">
        <v>0.008372282086419715</v>
      </c>
      <c r="AX41" s="33">
        <v>0.021223693556753152</v>
      </c>
      <c r="AY41" s="33">
        <v>0.015224511826548926</v>
      </c>
      <c r="AZ41" s="33">
        <v>0.009606957453240448</v>
      </c>
      <c r="BA41" s="33">
        <v>0.012696132466314309</v>
      </c>
      <c r="BB41" s="33">
        <v>0.034895524689459306</v>
      </c>
      <c r="BC41" s="33">
        <v>0.010863212207877981</v>
      </c>
      <c r="BD41" s="33">
        <v>0.009648352981299686</v>
      </c>
      <c r="BE41" s="33">
        <v>0.00459772001660306</v>
      </c>
      <c r="BF41" s="33">
        <v>0.006154605085325508</v>
      </c>
      <c r="BG41" s="33">
        <v>0.007665478516794358</v>
      </c>
      <c r="BH41" s="33">
        <v>0.01699041733423075</v>
      </c>
      <c r="BI41" s="33">
        <v>0.014907995226590953</v>
      </c>
      <c r="BJ41" s="33">
        <v>0.01270761233871411</v>
      </c>
      <c r="BK41" s="33">
        <v>0.010537726532522476</v>
      </c>
      <c r="BL41" s="33">
        <v>0.010613547749841747</v>
      </c>
      <c r="BM41" s="33">
        <v>0</v>
      </c>
      <c r="BN41" s="33">
        <v>0</v>
      </c>
    </row>
    <row r="42" spans="1:66" x14ac:dyDescent="0.25">
      <c r="A42" s="30" t="s">
        <v>339</v>
      </c>
      <c r="B42" s="31" t="s">
        <v>340</v>
      </c>
      <c r="C42" s="33">
        <v>0.01613139766891447</v>
      </c>
      <c r="D42" s="33">
        <v>0.012737393445707493</v>
      </c>
      <c r="E42" s="33">
        <v>0.016017195466836456</v>
      </c>
      <c r="F42" s="33">
        <v>0.019966902942851562</v>
      </c>
      <c r="G42" s="33">
        <v>0.025371077353214814</v>
      </c>
      <c r="H42" s="33">
        <v>0.026654401116543745</v>
      </c>
      <c r="I42" s="33">
        <v>0.021487273781173422</v>
      </c>
      <c r="J42" s="33">
        <v>0.030272807422270582</v>
      </c>
      <c r="K42" s="33">
        <v>0.03594695667206878</v>
      </c>
      <c r="L42" s="33">
        <v>0.01484189783756525</v>
      </c>
      <c r="M42" s="33">
        <v>0.03383921268942481</v>
      </c>
      <c r="N42" s="33">
        <v>0.02582025884509228</v>
      </c>
      <c r="O42" s="33">
        <v>0.026393798870097563</v>
      </c>
      <c r="P42" s="33">
        <v>0.02607108239958999</v>
      </c>
      <c r="Q42" s="33">
        <v>0.0259556318923801</v>
      </c>
      <c r="R42" s="33">
        <v>0.027874148998276185</v>
      </c>
      <c r="S42" s="33">
        <v>0.02855052345945199</v>
      </c>
      <c r="T42" s="33">
        <v>0.033293883456148775</v>
      </c>
      <c r="U42" s="33">
        <v>0.03202930851343787</v>
      </c>
      <c r="V42" s="33">
        <v>0.03316817862262597</v>
      </c>
      <c r="W42" s="33">
        <v>0.037337897449043055</v>
      </c>
      <c r="X42" s="33">
        <v>0.024952930066606094</v>
      </c>
      <c r="Y42" s="33">
        <v>0.029505914631667546</v>
      </c>
      <c r="Z42" s="33">
        <v>0.0253579316488887</v>
      </c>
      <c r="AA42" s="33">
        <v>0.029561929687695124</v>
      </c>
      <c r="AB42" s="33">
        <v>0.03563095029750419</v>
      </c>
      <c r="AC42" s="33">
        <v>0.022278201099779543</v>
      </c>
      <c r="AD42" s="33">
        <v>0.03092007671419425</v>
      </c>
      <c r="AE42" s="33">
        <v>0.03904117060666335</v>
      </c>
      <c r="AF42" s="33">
        <v>0.03231521001027372</v>
      </c>
      <c r="AG42" s="33">
        <v>0.026799119772274196</v>
      </c>
      <c r="AH42" s="33">
        <v>0.026647553025486905</v>
      </c>
      <c r="AI42" s="33">
        <v>0.041896116779985046</v>
      </c>
      <c r="AJ42" s="33">
        <v>0.032370646847772085</v>
      </c>
      <c r="AK42" s="33">
        <v>0.0536849872344887</v>
      </c>
      <c r="AL42" s="33">
        <v>0.02125147263540209</v>
      </c>
      <c r="AM42" s="33">
        <v>0.0698114399423809</v>
      </c>
      <c r="AN42" s="33">
        <v>0.056305482661078946</v>
      </c>
      <c r="AO42" s="33">
        <v>0.07623645456136803</v>
      </c>
      <c r="AP42" s="33">
        <v>1.2361919496655276</v>
      </c>
      <c r="AQ42" s="33">
        <v>0.048664871017207005</v>
      </c>
      <c r="AR42" s="33">
        <v>0.04770721317153855</v>
      </c>
      <c r="AS42" s="33">
        <v>0.05273878198877047</v>
      </c>
      <c r="AT42" s="33">
        <v>0.009160720540380642</v>
      </c>
      <c r="AU42" s="33">
        <v>0.06879585883641352</v>
      </c>
      <c r="AV42" s="33">
        <v>0.046409177866611674</v>
      </c>
      <c r="AW42" s="33">
        <v>0.04844834143885473</v>
      </c>
      <c r="AX42" s="33">
        <v>0.07126984950355543</v>
      </c>
      <c r="AY42" s="33">
        <v>0.04472007487145987</v>
      </c>
      <c r="AZ42" s="33">
        <v>0.03372106683311095</v>
      </c>
      <c r="BA42" s="33">
        <v>0.026558847782724406</v>
      </c>
      <c r="BB42" s="33">
        <v>0.045378991484382694</v>
      </c>
      <c r="BC42" s="33">
        <v>0.03969082200855064</v>
      </c>
      <c r="BD42" s="33">
        <v>0.026224459156122645</v>
      </c>
      <c r="BE42" s="33">
        <v>0.016798684715037603</v>
      </c>
      <c r="BF42" s="33">
        <v>0.019740184871346312</v>
      </c>
      <c r="BG42" s="33">
        <v>0.01896801479934403</v>
      </c>
      <c r="BH42" s="33">
        <v>0.05506628510619736</v>
      </c>
      <c r="BI42" s="33">
        <v>0.02673067866233406</v>
      </c>
      <c r="BJ42" s="33">
        <v>0.02862539310308876</v>
      </c>
      <c r="BK42" s="33">
        <v>0.03353916389788415</v>
      </c>
      <c r="BL42" s="33">
        <v>0.020820710098659056</v>
      </c>
      <c r="BM42" s="33">
        <v>0</v>
      </c>
      <c r="BN42" s="33">
        <v>0</v>
      </c>
    </row>
    <row r="43" spans="1:66" x14ac:dyDescent="0.25">
      <c r="A43" s="30" t="s">
        <v>341</v>
      </c>
      <c r="B43" s="31" t="s">
        <v>342</v>
      </c>
      <c r="C43" s="33">
        <v>0.03044333620379994</v>
      </c>
      <c r="D43" s="33">
        <v>0.02402416309483831</v>
      </c>
      <c r="E43" s="33">
        <v>0.031991880065938776</v>
      </c>
      <c r="F43" s="33">
        <v>0.020159217275724714</v>
      </c>
      <c r="G43" s="33">
        <v>0.02942334695844044</v>
      </c>
      <c r="H43" s="33">
        <v>0.028439283584637414</v>
      </c>
      <c r="I43" s="33">
        <v>0.025528355979445312</v>
      </c>
      <c r="J43" s="33">
        <v>0.02600120151719425</v>
      </c>
      <c r="K43" s="33">
        <v>0.028216503344001415</v>
      </c>
      <c r="L43" s="33">
        <v>0.01414082943981262</v>
      </c>
      <c r="M43" s="33">
        <v>0.02481310796906997</v>
      </c>
      <c r="N43" s="33">
        <v>0.015929183068767293</v>
      </c>
      <c r="O43" s="33">
        <v>0.0248879912835498</v>
      </c>
      <c r="P43" s="33">
        <v>0.02533544403583524</v>
      </c>
      <c r="Q43" s="33">
        <v>0.024315586342051814</v>
      </c>
      <c r="R43" s="33">
        <v>0.02473869461633744</v>
      </c>
      <c r="S43" s="33">
        <v>0.016283571305494845</v>
      </c>
      <c r="T43" s="33">
        <v>0.022739429456343288</v>
      </c>
      <c r="U43" s="33">
        <v>0.023430285870721948</v>
      </c>
      <c r="V43" s="33">
        <v>0.023088564477026428</v>
      </c>
      <c r="W43" s="33">
        <v>0.02049133858580783</v>
      </c>
      <c r="X43" s="33">
        <v>0.022811787888544495</v>
      </c>
      <c r="Y43" s="33">
        <v>0.02112268399116798</v>
      </c>
      <c r="Z43" s="33">
        <v>0.02186202865287357</v>
      </c>
      <c r="AA43" s="33">
        <v>0.02976751383165537</v>
      </c>
      <c r="AB43" s="33">
        <v>0.02390107579722583</v>
      </c>
      <c r="AC43" s="33">
        <v>0.02863233245552134</v>
      </c>
      <c r="AD43" s="33">
        <v>0.030589521413902438</v>
      </c>
      <c r="AE43" s="33">
        <v>0.030567005316513306</v>
      </c>
      <c r="AF43" s="33">
        <v>0.03465417644615839</v>
      </c>
      <c r="AG43" s="33">
        <v>0.027170985747803154</v>
      </c>
      <c r="AH43" s="33">
        <v>0.02560100131351743</v>
      </c>
      <c r="AI43" s="33">
        <v>0.030681944707794666</v>
      </c>
      <c r="AJ43" s="33">
        <v>0.029083084718487896</v>
      </c>
      <c r="AK43" s="33">
        <v>0.025287301111705265</v>
      </c>
      <c r="AL43" s="33">
        <v>0.03022997223203249</v>
      </c>
      <c r="AM43" s="33">
        <v>0.01959203261295393</v>
      </c>
      <c r="AN43" s="33">
        <v>0.02706257492459152</v>
      </c>
      <c r="AO43" s="33">
        <v>0.02870212811932326</v>
      </c>
      <c r="AP43" s="33">
        <v>0.025175798791681626</v>
      </c>
      <c r="AQ43" s="33">
        <v>1.1551870456634357</v>
      </c>
      <c r="AR43" s="33">
        <v>0.13952126892019073</v>
      </c>
      <c r="AS43" s="33">
        <v>0.10274941807609017</v>
      </c>
      <c r="AT43" s="33">
        <v>0.048754404154619645</v>
      </c>
      <c r="AU43" s="33">
        <v>0.03621043399277728</v>
      </c>
      <c r="AV43" s="33">
        <v>0.025245161625473404</v>
      </c>
      <c r="AW43" s="33">
        <v>0.012692280073453379</v>
      </c>
      <c r="AX43" s="33">
        <v>0.030425680833516575</v>
      </c>
      <c r="AY43" s="33">
        <v>0.02781080237024735</v>
      </c>
      <c r="AZ43" s="33">
        <v>0.03551224838352194</v>
      </c>
      <c r="BA43" s="33">
        <v>0.015390791361722108</v>
      </c>
      <c r="BB43" s="33">
        <v>0.03824498967145082</v>
      </c>
      <c r="BC43" s="33">
        <v>0.02438790992191125</v>
      </c>
      <c r="BD43" s="33">
        <v>0.025989468445694032</v>
      </c>
      <c r="BE43" s="33">
        <v>0.008977693000067571</v>
      </c>
      <c r="BF43" s="33">
        <v>0.015097924217149825</v>
      </c>
      <c r="BG43" s="33">
        <v>0.01549477419899356</v>
      </c>
      <c r="BH43" s="33">
        <v>0.024528369639793147</v>
      </c>
      <c r="BI43" s="33">
        <v>0.0261536609366336</v>
      </c>
      <c r="BJ43" s="33">
        <v>0.04076302345061016</v>
      </c>
      <c r="BK43" s="33">
        <v>0.024622928847957387</v>
      </c>
      <c r="BL43" s="33">
        <v>0.02904246052859893</v>
      </c>
      <c r="BM43" s="33">
        <v>0</v>
      </c>
      <c r="BN43" s="33">
        <v>0</v>
      </c>
    </row>
    <row r="44" spans="1:66" x14ac:dyDescent="0.25">
      <c r="A44" s="30" t="s">
        <v>344</v>
      </c>
      <c r="B44" s="31" t="s">
        <v>345</v>
      </c>
      <c r="C44" s="33">
        <v>0.011232312233819656</v>
      </c>
      <c r="D44" s="33">
        <v>0.00492719914998334</v>
      </c>
      <c r="E44" s="33">
        <v>0.008115383494768359</v>
      </c>
      <c r="F44" s="33">
        <v>0.005305975163626494</v>
      </c>
      <c r="G44" s="33">
        <v>0.008017906503576989</v>
      </c>
      <c r="H44" s="33">
        <v>0.005903417762733689</v>
      </c>
      <c r="I44" s="33">
        <v>0.007789096854457914</v>
      </c>
      <c r="J44" s="33">
        <v>0.00812503936316877</v>
      </c>
      <c r="K44" s="33">
        <v>0.008810000242638045</v>
      </c>
      <c r="L44" s="33">
        <v>0.003438640212361499</v>
      </c>
      <c r="M44" s="33">
        <v>0.0082020664321796</v>
      </c>
      <c r="N44" s="33">
        <v>0.004146509322791552</v>
      </c>
      <c r="O44" s="33">
        <v>0.007181021400764306</v>
      </c>
      <c r="P44" s="33">
        <v>0.007378802804989488</v>
      </c>
      <c r="Q44" s="33">
        <v>0.005940769008899628</v>
      </c>
      <c r="R44" s="33">
        <v>0.00585114790973789</v>
      </c>
      <c r="S44" s="33">
        <v>0.0037618354200736072</v>
      </c>
      <c r="T44" s="33">
        <v>0.005507873904227928</v>
      </c>
      <c r="U44" s="33">
        <v>0.005483858593777449</v>
      </c>
      <c r="V44" s="33">
        <v>0.005631089909649925</v>
      </c>
      <c r="W44" s="33">
        <v>0.005671383928152202</v>
      </c>
      <c r="X44" s="33">
        <v>0.006038106860435823</v>
      </c>
      <c r="Y44" s="33">
        <v>0.005516923922573765</v>
      </c>
      <c r="Z44" s="33">
        <v>0.0061886020659871754</v>
      </c>
      <c r="AA44" s="33">
        <v>0.008056376174307475</v>
      </c>
      <c r="AB44" s="33">
        <v>0.009458866629082652</v>
      </c>
      <c r="AC44" s="33">
        <v>0.0067767377769248766</v>
      </c>
      <c r="AD44" s="33">
        <v>0.00788534620313593</v>
      </c>
      <c r="AE44" s="33">
        <v>0.0067187610885797635</v>
      </c>
      <c r="AF44" s="33">
        <v>0.007778177765785675</v>
      </c>
      <c r="AG44" s="33">
        <v>0.015535869990706767</v>
      </c>
      <c r="AH44" s="33">
        <v>0.009498621144941573</v>
      </c>
      <c r="AI44" s="33">
        <v>0.009427049845567194</v>
      </c>
      <c r="AJ44" s="33">
        <v>0.011264094024052323</v>
      </c>
      <c r="AK44" s="33">
        <v>0.006891074032000293</v>
      </c>
      <c r="AL44" s="33">
        <v>0.0063429624841804776</v>
      </c>
      <c r="AM44" s="33">
        <v>0.004704218078930972</v>
      </c>
      <c r="AN44" s="33">
        <v>0.005940346881042599</v>
      </c>
      <c r="AO44" s="33">
        <v>0.007408746554762316</v>
      </c>
      <c r="AP44" s="33">
        <v>0.004418999602345055</v>
      </c>
      <c r="AQ44" s="33">
        <v>0.007568557532246314</v>
      </c>
      <c r="AR44" s="33">
        <v>1.0848511951331057</v>
      </c>
      <c r="AS44" s="33">
        <v>0.02140125668472213</v>
      </c>
      <c r="AT44" s="33">
        <v>0.005184173599142293</v>
      </c>
      <c r="AU44" s="33">
        <v>0.0068972051559344945</v>
      </c>
      <c r="AV44" s="33">
        <v>0.006137020159326407</v>
      </c>
      <c r="AW44" s="33">
        <v>0.0031322790700952607</v>
      </c>
      <c r="AX44" s="33">
        <v>0.0056902644021356065</v>
      </c>
      <c r="AY44" s="33">
        <v>0.006083959354370467</v>
      </c>
      <c r="AZ44" s="33">
        <v>0.015513461883694388</v>
      </c>
      <c r="BA44" s="33">
        <v>0.002791671363047238</v>
      </c>
      <c r="BB44" s="33">
        <v>0.008593243075553605</v>
      </c>
      <c r="BC44" s="33">
        <v>0.006595065302540319</v>
      </c>
      <c r="BD44" s="33">
        <v>0.005388010584013325</v>
      </c>
      <c r="BE44" s="33">
        <v>0.005097234860158665</v>
      </c>
      <c r="BF44" s="33">
        <v>0.003776560444717551</v>
      </c>
      <c r="BG44" s="33">
        <v>0.003909306194031433</v>
      </c>
      <c r="BH44" s="33">
        <v>0.0056994321813965436</v>
      </c>
      <c r="BI44" s="33">
        <v>0.005702577543055834</v>
      </c>
      <c r="BJ44" s="33">
        <v>0.006110953014766029</v>
      </c>
      <c r="BK44" s="33">
        <v>0.007097581634763289</v>
      </c>
      <c r="BL44" s="33">
        <v>0.004866832882288642</v>
      </c>
      <c r="BM44" s="33">
        <v>0</v>
      </c>
      <c r="BN44" s="33">
        <v>0</v>
      </c>
    </row>
    <row r="45" spans="1:66" x14ac:dyDescent="0.25">
      <c r="A45" s="30" t="s">
        <v>346</v>
      </c>
      <c r="B45" s="31" t="s">
        <v>347</v>
      </c>
      <c r="C45" s="33">
        <v>0.009675646324159605</v>
      </c>
      <c r="D45" s="33">
        <v>0.006380424037985385</v>
      </c>
      <c r="E45" s="33">
        <v>0.0112322137784329</v>
      </c>
      <c r="F45" s="33">
        <v>0.006080135314685229</v>
      </c>
      <c r="G45" s="33">
        <v>0.009975461536683767</v>
      </c>
      <c r="H45" s="33">
        <v>0.011360736673402969</v>
      </c>
      <c r="I45" s="33">
        <v>0.009431335060775568</v>
      </c>
      <c r="J45" s="33">
        <v>0.008804373944921447</v>
      </c>
      <c r="K45" s="33">
        <v>0.009857265487437296</v>
      </c>
      <c r="L45" s="33">
        <v>0.005361211929614786</v>
      </c>
      <c r="M45" s="33">
        <v>0.009805693639831812</v>
      </c>
      <c r="N45" s="33">
        <v>0.005484976631828642</v>
      </c>
      <c r="O45" s="33">
        <v>0.008512915839859563</v>
      </c>
      <c r="P45" s="33">
        <v>0.009652260165568766</v>
      </c>
      <c r="Q45" s="33">
        <v>0.007403932915686547</v>
      </c>
      <c r="R45" s="33">
        <v>0.007998394249696573</v>
      </c>
      <c r="S45" s="33">
        <v>0.005414364775641534</v>
      </c>
      <c r="T45" s="33">
        <v>0.007993178924908783</v>
      </c>
      <c r="U45" s="33">
        <v>0.00869032469337973</v>
      </c>
      <c r="V45" s="33">
        <v>0.0072229699442367635</v>
      </c>
      <c r="W45" s="33">
        <v>0.00924059073375209</v>
      </c>
      <c r="X45" s="33">
        <v>0.00955687464822077</v>
      </c>
      <c r="Y45" s="33">
        <v>0.007923893965919344</v>
      </c>
      <c r="Z45" s="33">
        <v>0.007568472658029877</v>
      </c>
      <c r="AA45" s="33">
        <v>0.009405663391274844</v>
      </c>
      <c r="AB45" s="33">
        <v>0.008506790910181488</v>
      </c>
      <c r="AC45" s="33">
        <v>0.009219628881831575</v>
      </c>
      <c r="AD45" s="33">
        <v>0.009722261757533648</v>
      </c>
      <c r="AE45" s="33">
        <v>0.011299060009010311</v>
      </c>
      <c r="AF45" s="33">
        <v>0.01023179853025322</v>
      </c>
      <c r="AG45" s="33">
        <v>0.01335869150026159</v>
      </c>
      <c r="AH45" s="33">
        <v>0.012264025275736239</v>
      </c>
      <c r="AI45" s="33">
        <v>0.012958169006324521</v>
      </c>
      <c r="AJ45" s="33">
        <v>0.009574662489645357</v>
      </c>
      <c r="AK45" s="33">
        <v>0.010020240064850958</v>
      </c>
      <c r="AL45" s="33">
        <v>0.009057280859360351</v>
      </c>
      <c r="AM45" s="33">
        <v>0.008818629073801</v>
      </c>
      <c r="AN45" s="33">
        <v>0.008468095716784271</v>
      </c>
      <c r="AO45" s="33">
        <v>0.018276568483395882</v>
      </c>
      <c r="AP45" s="33">
        <v>0.007688314711998608</v>
      </c>
      <c r="AQ45" s="33">
        <v>0.11700238510960814</v>
      </c>
      <c r="AR45" s="33">
        <v>0.29886608555369204</v>
      </c>
      <c r="AS45" s="33">
        <v>1.167141586152609</v>
      </c>
      <c r="AT45" s="33">
        <v>0.00805804426090386</v>
      </c>
      <c r="AU45" s="33">
        <v>0.012902559682162857</v>
      </c>
      <c r="AV45" s="33">
        <v>0.00980400838750075</v>
      </c>
      <c r="AW45" s="33">
        <v>0.004880924251069096</v>
      </c>
      <c r="AX45" s="33">
        <v>0.009296652227941656</v>
      </c>
      <c r="AY45" s="33">
        <v>0.00918183540545144</v>
      </c>
      <c r="AZ45" s="33">
        <v>0.016878478393863645</v>
      </c>
      <c r="BA45" s="33">
        <v>0.004489579875131026</v>
      </c>
      <c r="BB45" s="33">
        <v>0.013622286398794141</v>
      </c>
      <c r="BC45" s="33">
        <v>0.009742870982184541</v>
      </c>
      <c r="BD45" s="33">
        <v>0.005754422615825225</v>
      </c>
      <c r="BE45" s="33">
        <v>0.0035680594474721437</v>
      </c>
      <c r="BF45" s="33">
        <v>0.004324258710961574</v>
      </c>
      <c r="BG45" s="33">
        <v>0.004611312114522534</v>
      </c>
      <c r="BH45" s="33">
        <v>0.007557102033637673</v>
      </c>
      <c r="BI45" s="33">
        <v>0.008391554205123213</v>
      </c>
      <c r="BJ45" s="33">
        <v>0.010714593491775209</v>
      </c>
      <c r="BK45" s="33">
        <v>0.013896043796298</v>
      </c>
      <c r="BL45" s="33">
        <v>0.0071269922124103015</v>
      </c>
      <c r="BM45" s="33">
        <v>0</v>
      </c>
      <c r="BN45" s="33">
        <v>0</v>
      </c>
    </row>
    <row r="46" spans="1:66" x14ac:dyDescent="0.25">
      <c r="A46" s="30" t="s">
        <v>348</v>
      </c>
      <c r="B46" s="31" t="s">
        <v>349</v>
      </c>
      <c r="C46" s="33">
        <v>0.01803416546176787</v>
      </c>
      <c r="D46" s="33">
        <v>0.014025241507089996</v>
      </c>
      <c r="E46" s="33">
        <v>0.016846721415598724</v>
      </c>
      <c r="F46" s="33">
        <v>0.0178873741222757</v>
      </c>
      <c r="G46" s="33">
        <v>0.0273236744069771</v>
      </c>
      <c r="H46" s="33">
        <v>0.029475489215903605</v>
      </c>
      <c r="I46" s="33">
        <v>0.02653888028657712</v>
      </c>
      <c r="J46" s="33">
        <v>0.026505431142908587</v>
      </c>
      <c r="K46" s="33">
        <v>0.03649929667882988</v>
      </c>
      <c r="L46" s="33">
        <v>0.01063649255438607</v>
      </c>
      <c r="M46" s="33">
        <v>0.022758174188342115</v>
      </c>
      <c r="N46" s="33">
        <v>0.015566171789453463</v>
      </c>
      <c r="O46" s="33">
        <v>0.025641156056074144</v>
      </c>
      <c r="P46" s="33">
        <v>0.0258082845369568</v>
      </c>
      <c r="Q46" s="33">
        <v>0.020584396297970303</v>
      </c>
      <c r="R46" s="33">
        <v>0.027319015731721553</v>
      </c>
      <c r="S46" s="33">
        <v>0.019034422813210987</v>
      </c>
      <c r="T46" s="33">
        <v>0.02390442721572454</v>
      </c>
      <c r="U46" s="33">
        <v>0.02482100364316076</v>
      </c>
      <c r="V46" s="33">
        <v>0.027273928577143065</v>
      </c>
      <c r="W46" s="33">
        <v>0.02286253342573427</v>
      </c>
      <c r="X46" s="33">
        <v>0.0266374445988939</v>
      </c>
      <c r="Y46" s="33">
        <v>0.026741163290007898</v>
      </c>
      <c r="Z46" s="33">
        <v>0.021120167676809753</v>
      </c>
      <c r="AA46" s="33">
        <v>0.032732865249445034</v>
      </c>
      <c r="AB46" s="33">
        <v>0.026673436900908353</v>
      </c>
      <c r="AC46" s="33">
        <v>0.03673500948309683</v>
      </c>
      <c r="AD46" s="33">
        <v>0.053136593721483286</v>
      </c>
      <c r="AE46" s="33">
        <v>0.037358390061111454</v>
      </c>
      <c r="AF46" s="33">
        <v>0.08191742878679245</v>
      </c>
      <c r="AG46" s="33">
        <v>0.02796274118393227</v>
      </c>
      <c r="AH46" s="33">
        <v>0.01654468896732804</v>
      </c>
      <c r="AI46" s="33">
        <v>0.03004371656821297</v>
      </c>
      <c r="AJ46" s="33">
        <v>0.03659602297624637</v>
      </c>
      <c r="AK46" s="33">
        <v>0.032283006093751496</v>
      </c>
      <c r="AL46" s="33">
        <v>0.06581237523517747</v>
      </c>
      <c r="AM46" s="33">
        <v>0.022838341800366646</v>
      </c>
      <c r="AN46" s="33">
        <v>0.0363775013211975</v>
      </c>
      <c r="AO46" s="33">
        <v>0.053029725866694744</v>
      </c>
      <c r="AP46" s="33">
        <v>0.024951794739939862</v>
      </c>
      <c r="AQ46" s="33">
        <v>0.032303321353643874</v>
      </c>
      <c r="AR46" s="33">
        <v>0.0390984044733264</v>
      </c>
      <c r="AS46" s="33">
        <v>0.04181063713425784</v>
      </c>
      <c r="AT46" s="33">
        <v>1.026294659697915</v>
      </c>
      <c r="AU46" s="33">
        <v>0.044612981437889485</v>
      </c>
      <c r="AV46" s="33">
        <v>0.044950491055258</v>
      </c>
      <c r="AW46" s="33">
        <v>0.022607037366273446</v>
      </c>
      <c r="AX46" s="33">
        <v>0.04289021776602951</v>
      </c>
      <c r="AY46" s="33">
        <v>0.03927006713553198</v>
      </c>
      <c r="AZ46" s="33">
        <v>0.029032881164197354</v>
      </c>
      <c r="BA46" s="33">
        <v>0.02678467903054415</v>
      </c>
      <c r="BB46" s="33">
        <v>0.046115472964445216</v>
      </c>
      <c r="BC46" s="33">
        <v>0.04093120877903311</v>
      </c>
      <c r="BD46" s="33">
        <v>0.023906068725702473</v>
      </c>
      <c r="BE46" s="33">
        <v>0.016114943747444235</v>
      </c>
      <c r="BF46" s="33">
        <v>0.021315325261810028</v>
      </c>
      <c r="BG46" s="33">
        <v>0.031049263305961347</v>
      </c>
      <c r="BH46" s="33">
        <v>0.032464811281298224</v>
      </c>
      <c r="BI46" s="33">
        <v>0.04655616140890511</v>
      </c>
      <c r="BJ46" s="33">
        <v>0.0336364571465489</v>
      </c>
      <c r="BK46" s="33">
        <v>0.03813144880939386</v>
      </c>
      <c r="BL46" s="33">
        <v>0.044403101268520616</v>
      </c>
      <c r="BM46" s="33">
        <v>0</v>
      </c>
      <c r="BN46" s="33">
        <v>0</v>
      </c>
    </row>
    <row r="47" spans="1:66" x14ac:dyDescent="0.25">
      <c r="A47" s="30" t="s">
        <v>350</v>
      </c>
      <c r="B47" s="31" t="s">
        <v>351</v>
      </c>
      <c r="C47" s="33">
        <v>0.034977387521411024</v>
      </c>
      <c r="D47" s="33">
        <v>0.024059508162863223</v>
      </c>
      <c r="E47" s="33">
        <v>0.038770305334933065</v>
      </c>
      <c r="F47" s="33">
        <v>0.03729944611265025</v>
      </c>
      <c r="G47" s="33">
        <v>0.05788692953842949</v>
      </c>
      <c r="H47" s="33">
        <v>0.0493097989264346</v>
      </c>
      <c r="I47" s="33">
        <v>0.04414506314361002</v>
      </c>
      <c r="J47" s="33">
        <v>0.05528403572445972</v>
      </c>
      <c r="K47" s="33">
        <v>0.05928908315419957</v>
      </c>
      <c r="L47" s="33">
        <v>0.03252484017310208</v>
      </c>
      <c r="M47" s="33">
        <v>0.05966261272625287</v>
      </c>
      <c r="N47" s="33">
        <v>0.05055708219818504</v>
      </c>
      <c r="O47" s="33">
        <v>0.05165891681017729</v>
      </c>
      <c r="P47" s="33">
        <v>0.053200607838103785</v>
      </c>
      <c r="Q47" s="33">
        <v>0.049465220236792964</v>
      </c>
      <c r="R47" s="33">
        <v>0.05086398051073238</v>
      </c>
      <c r="S47" s="33">
        <v>0.04548869421384029</v>
      </c>
      <c r="T47" s="33">
        <v>0.05801709021646373</v>
      </c>
      <c r="U47" s="33">
        <v>0.060295223551497225</v>
      </c>
      <c r="V47" s="33">
        <v>0.05768831110067222</v>
      </c>
      <c r="W47" s="33">
        <v>0.05737836659527176</v>
      </c>
      <c r="X47" s="33">
        <v>0.04585991374990517</v>
      </c>
      <c r="Y47" s="33">
        <v>0.05384446719439721</v>
      </c>
      <c r="Z47" s="33">
        <v>0.039782949863430894</v>
      </c>
      <c r="AA47" s="33">
        <v>0.049340468571098334</v>
      </c>
      <c r="AB47" s="33">
        <v>0.0550595003100205</v>
      </c>
      <c r="AC47" s="33">
        <v>0.052953109882603225</v>
      </c>
      <c r="AD47" s="33">
        <v>0.05658304908529988</v>
      </c>
      <c r="AE47" s="33">
        <v>0.06947976825700052</v>
      </c>
      <c r="AF47" s="33">
        <v>0.058291017697702896</v>
      </c>
      <c r="AG47" s="33">
        <v>0.04731979125321836</v>
      </c>
      <c r="AH47" s="33">
        <v>0.04262388481141017</v>
      </c>
      <c r="AI47" s="33">
        <v>0.05547290804132143</v>
      </c>
      <c r="AJ47" s="33">
        <v>0.05725469042968243</v>
      </c>
      <c r="AK47" s="33">
        <v>0.06796133886642768</v>
      </c>
      <c r="AL47" s="33">
        <v>0.05027652845958048</v>
      </c>
      <c r="AM47" s="33">
        <v>0.06726585735658151</v>
      </c>
      <c r="AN47" s="33">
        <v>0.07133090831690599</v>
      </c>
      <c r="AO47" s="33">
        <v>0.07202199451328085</v>
      </c>
      <c r="AP47" s="33">
        <v>0.08125122177957723</v>
      </c>
      <c r="AQ47" s="33">
        <v>0.07015274506246177</v>
      </c>
      <c r="AR47" s="33">
        <v>0.07566168287904428</v>
      </c>
      <c r="AS47" s="33">
        <v>0.08751594022508409</v>
      </c>
      <c r="AT47" s="33">
        <v>0.028069329850922985</v>
      </c>
      <c r="AU47" s="33">
        <v>1.2459772832280784</v>
      </c>
      <c r="AV47" s="33">
        <v>0.1304471627095304</v>
      </c>
      <c r="AW47" s="33">
        <v>0.0479444469711457</v>
      </c>
      <c r="AX47" s="33">
        <v>0.09402074279848079</v>
      </c>
      <c r="AY47" s="33">
        <v>0.10138335050870242</v>
      </c>
      <c r="AZ47" s="33">
        <v>0.06940465211489086</v>
      </c>
      <c r="BA47" s="33">
        <v>0.049659362078222254</v>
      </c>
      <c r="BB47" s="33">
        <v>0.08460999537455748</v>
      </c>
      <c r="BC47" s="33">
        <v>0.10596988740743626</v>
      </c>
      <c r="BD47" s="33">
        <v>0.03352979311957422</v>
      </c>
      <c r="BE47" s="33">
        <v>0.01930492513510428</v>
      </c>
      <c r="BF47" s="33">
        <v>0.032874669550691585</v>
      </c>
      <c r="BG47" s="33">
        <v>0.031310976575313246</v>
      </c>
      <c r="BH47" s="33">
        <v>0.05636341829509739</v>
      </c>
      <c r="BI47" s="33">
        <v>0.057073385800077724</v>
      </c>
      <c r="BJ47" s="33">
        <v>0.059982190657108254</v>
      </c>
      <c r="BK47" s="33">
        <v>0.051393099102912086</v>
      </c>
      <c r="BL47" s="33">
        <v>0.044059204090988645</v>
      </c>
      <c r="BM47" s="33">
        <v>0</v>
      </c>
      <c r="BN47" s="33">
        <v>0</v>
      </c>
    </row>
    <row r="48" spans="1:66" x14ac:dyDescent="0.25">
      <c r="A48" s="30" t="s">
        <v>353</v>
      </c>
      <c r="B48" s="31" t="s">
        <v>354</v>
      </c>
      <c r="C48" s="33">
        <v>0.010599218127294743</v>
      </c>
      <c r="D48" s="33">
        <v>0.007404052942170386</v>
      </c>
      <c r="E48" s="33">
        <v>0.008679809831268065</v>
      </c>
      <c r="F48" s="33">
        <v>0.02075281110489145</v>
      </c>
      <c r="G48" s="33">
        <v>0.013262575369610861</v>
      </c>
      <c r="H48" s="33">
        <v>0.013108018294727108</v>
      </c>
      <c r="I48" s="33">
        <v>0.01449669501859458</v>
      </c>
      <c r="J48" s="33">
        <v>0.017318332383245535</v>
      </c>
      <c r="K48" s="33">
        <v>0.013608347112598037</v>
      </c>
      <c r="L48" s="33">
        <v>0.013395776169027818</v>
      </c>
      <c r="M48" s="33">
        <v>0.022124047661443907</v>
      </c>
      <c r="N48" s="33">
        <v>0.016029146271693873</v>
      </c>
      <c r="O48" s="33">
        <v>0.0212222442770549</v>
      </c>
      <c r="P48" s="33">
        <v>0.021093109030520602</v>
      </c>
      <c r="Q48" s="33">
        <v>0.017916030567624155</v>
      </c>
      <c r="R48" s="33">
        <v>0.018999051175574478</v>
      </c>
      <c r="S48" s="33">
        <v>0.017335928191547407</v>
      </c>
      <c r="T48" s="33">
        <v>0.024225435571451893</v>
      </c>
      <c r="U48" s="33">
        <v>0.019948143143524534</v>
      </c>
      <c r="V48" s="33">
        <v>0.020967146551244344</v>
      </c>
      <c r="W48" s="33">
        <v>0.03314469514162074</v>
      </c>
      <c r="X48" s="33">
        <v>0.012221245325103504</v>
      </c>
      <c r="Y48" s="33">
        <v>0.02156251911179686</v>
      </c>
      <c r="Z48" s="33">
        <v>0.017450590969838992</v>
      </c>
      <c r="AA48" s="33">
        <v>0.03291201243057538</v>
      </c>
      <c r="AB48" s="33">
        <v>0.03953297733173073</v>
      </c>
      <c r="AC48" s="33">
        <v>0.03858551807662263</v>
      </c>
      <c r="AD48" s="33">
        <v>0.01210348294935277</v>
      </c>
      <c r="AE48" s="33">
        <v>0.012270917951315198</v>
      </c>
      <c r="AF48" s="33">
        <v>0.010090632925197077</v>
      </c>
      <c r="AG48" s="33">
        <v>0.016792108723058637</v>
      </c>
      <c r="AH48" s="33">
        <v>0.011941593171725624</v>
      </c>
      <c r="AI48" s="33">
        <v>0.019881206451952627</v>
      </c>
      <c r="AJ48" s="33">
        <v>0.018896300681759685</v>
      </c>
      <c r="AK48" s="33">
        <v>0.01296113033794615</v>
      </c>
      <c r="AL48" s="33">
        <v>0.010534132404989752</v>
      </c>
      <c r="AM48" s="33">
        <v>0.011091539614785675</v>
      </c>
      <c r="AN48" s="33">
        <v>0.012763236519506907</v>
      </c>
      <c r="AO48" s="33">
        <v>0.02104337453697162</v>
      </c>
      <c r="AP48" s="33">
        <v>0.01629248487881323</v>
      </c>
      <c r="AQ48" s="33">
        <v>0.007868837536290125</v>
      </c>
      <c r="AR48" s="33">
        <v>0.010379553440812832</v>
      </c>
      <c r="AS48" s="33">
        <v>0.011604153749359882</v>
      </c>
      <c r="AT48" s="33">
        <v>0.008412788954331086</v>
      </c>
      <c r="AU48" s="33">
        <v>0.018805180857346497</v>
      </c>
      <c r="AV48" s="33">
        <v>1.1238065489161617</v>
      </c>
      <c r="AW48" s="33">
        <v>0.02139580537969736</v>
      </c>
      <c r="AX48" s="33">
        <v>0.024495243169220943</v>
      </c>
      <c r="AY48" s="33">
        <v>0.030544347233619793</v>
      </c>
      <c r="AZ48" s="33">
        <v>0.017217064994874305</v>
      </c>
      <c r="BA48" s="33">
        <v>0.010261691435855529</v>
      </c>
      <c r="BB48" s="33">
        <v>0.012524426371180801</v>
      </c>
      <c r="BC48" s="33">
        <v>0.02197940382367424</v>
      </c>
      <c r="BD48" s="33">
        <v>0.012223138469450045</v>
      </c>
      <c r="BE48" s="33">
        <v>0.005291688920589893</v>
      </c>
      <c r="BF48" s="33">
        <v>0.007073734224304547</v>
      </c>
      <c r="BG48" s="33">
        <v>0.005570954709237145</v>
      </c>
      <c r="BH48" s="33">
        <v>0.014734483049666763</v>
      </c>
      <c r="BI48" s="33">
        <v>0.014372252604097578</v>
      </c>
      <c r="BJ48" s="33">
        <v>0.010534379087067204</v>
      </c>
      <c r="BK48" s="33">
        <v>0.012190064144050775</v>
      </c>
      <c r="BL48" s="33">
        <v>0.012832825794451589</v>
      </c>
      <c r="BM48" s="33">
        <v>0</v>
      </c>
      <c r="BN48" s="33">
        <v>0</v>
      </c>
    </row>
    <row r="49" spans="1:66" x14ac:dyDescent="0.25">
      <c r="A49" s="30" t="s">
        <v>355</v>
      </c>
      <c r="B49" s="31" t="s">
        <v>356</v>
      </c>
      <c r="C49" s="33">
        <v>0.0020552627513795796</v>
      </c>
      <c r="D49" s="33">
        <v>0.0010805208580250483</v>
      </c>
      <c r="E49" s="33">
        <v>0.0011850056388177366</v>
      </c>
      <c r="F49" s="33">
        <v>0.0014675397005776262</v>
      </c>
      <c r="G49" s="33">
        <v>0.0020202965636777564</v>
      </c>
      <c r="H49" s="33">
        <v>0.0015987418429720024</v>
      </c>
      <c r="I49" s="33">
        <v>0.0018628294533444304</v>
      </c>
      <c r="J49" s="33">
        <v>0.0021386680851968494</v>
      </c>
      <c r="K49" s="33">
        <v>0.0029400162425013065</v>
      </c>
      <c r="L49" s="33">
        <v>0.000986613159075123</v>
      </c>
      <c r="M49" s="33">
        <v>0.0024593113762142907</v>
      </c>
      <c r="N49" s="33">
        <v>0.005959938041622842</v>
      </c>
      <c r="O49" s="33">
        <v>0.0025994224960415578</v>
      </c>
      <c r="P49" s="33">
        <v>0.002032094654301982</v>
      </c>
      <c r="Q49" s="33">
        <v>0.0016671779675998606</v>
      </c>
      <c r="R49" s="33">
        <v>0.0017902680656032793</v>
      </c>
      <c r="S49" s="33">
        <v>0.00306292103099602</v>
      </c>
      <c r="T49" s="33">
        <v>0.0023344216402484443</v>
      </c>
      <c r="U49" s="33">
        <v>0.0028951018612413926</v>
      </c>
      <c r="V49" s="33">
        <v>0.0034440865085043795</v>
      </c>
      <c r="W49" s="33">
        <v>0.0019331332809981807</v>
      </c>
      <c r="X49" s="33">
        <v>0.001715780720567848</v>
      </c>
      <c r="Y49" s="33">
        <v>0.0018531004373517972</v>
      </c>
      <c r="Z49" s="33">
        <v>0.0016202036420256479</v>
      </c>
      <c r="AA49" s="33">
        <v>0.0018907898621999682</v>
      </c>
      <c r="AB49" s="33">
        <v>0.0027734686038133893</v>
      </c>
      <c r="AC49" s="33">
        <v>0.00266514871847925</v>
      </c>
      <c r="AD49" s="33">
        <v>0.0018159245315291998</v>
      </c>
      <c r="AE49" s="33">
        <v>0.0023933144198349443</v>
      </c>
      <c r="AF49" s="33">
        <v>0.0018162771316053863</v>
      </c>
      <c r="AG49" s="33">
        <v>0.0019168495393795896</v>
      </c>
      <c r="AH49" s="33">
        <v>0.002114635743474456</v>
      </c>
      <c r="AI49" s="33">
        <v>0.004047266655798333</v>
      </c>
      <c r="AJ49" s="33">
        <v>0.002085974571029083</v>
      </c>
      <c r="AK49" s="33">
        <v>0.0020313339346417075</v>
      </c>
      <c r="AL49" s="33">
        <v>0.0015083520163060168</v>
      </c>
      <c r="AM49" s="33">
        <v>0.0019540692209787654</v>
      </c>
      <c r="AN49" s="33">
        <v>0.0038928309126983014</v>
      </c>
      <c r="AO49" s="33">
        <v>0.002334801504876932</v>
      </c>
      <c r="AP49" s="33">
        <v>0.002861047935553054</v>
      </c>
      <c r="AQ49" s="33">
        <v>0.0012368123839613088</v>
      </c>
      <c r="AR49" s="33">
        <v>0.0016393903402500127</v>
      </c>
      <c r="AS49" s="33">
        <v>0.0020127174891384097</v>
      </c>
      <c r="AT49" s="33">
        <v>0.0005780738599730409</v>
      </c>
      <c r="AU49" s="33">
        <v>0.002547473555715028</v>
      </c>
      <c r="AV49" s="33">
        <v>0.0025083216740158375</v>
      </c>
      <c r="AW49" s="33">
        <v>1.0291018262354483</v>
      </c>
      <c r="AX49" s="33">
        <v>0.0029973474463273844</v>
      </c>
      <c r="AY49" s="33">
        <v>0.0027490344397041342</v>
      </c>
      <c r="AZ49" s="33">
        <v>0.01041584727943089</v>
      </c>
      <c r="BA49" s="33">
        <v>0.000884163682448094</v>
      </c>
      <c r="BB49" s="33">
        <v>0.0024079239153814184</v>
      </c>
      <c r="BC49" s="33">
        <v>0.0022832703003810707</v>
      </c>
      <c r="BD49" s="33">
        <v>0.0013619141161162027</v>
      </c>
      <c r="BE49" s="33">
        <v>0.001993231783551072</v>
      </c>
      <c r="BF49" s="33">
        <v>0.0014028555044750131</v>
      </c>
      <c r="BG49" s="33">
        <v>0.0012914165997653358</v>
      </c>
      <c r="BH49" s="33">
        <v>0.001929796698372164</v>
      </c>
      <c r="BI49" s="33">
        <v>0.002229222704784138</v>
      </c>
      <c r="BJ49" s="33">
        <v>0.0018857742257554087</v>
      </c>
      <c r="BK49" s="33">
        <v>0.0014745128357655632</v>
      </c>
      <c r="BL49" s="33">
        <v>0.0015511409573972636</v>
      </c>
      <c r="BM49" s="33">
        <v>0</v>
      </c>
      <c r="BN49" s="33">
        <v>0</v>
      </c>
    </row>
    <row r="50" spans="1:66" x14ac:dyDescent="0.25">
      <c r="A50" s="30" t="s">
        <v>357</v>
      </c>
      <c r="B50" s="31" t="s">
        <v>358</v>
      </c>
      <c r="C50" s="33">
        <v>0.005865223626497025</v>
      </c>
      <c r="D50" s="33">
        <v>0.0036907356473401703</v>
      </c>
      <c r="E50" s="33">
        <v>0.005436628209955347</v>
      </c>
      <c r="F50" s="33">
        <v>0.004563591519818893</v>
      </c>
      <c r="G50" s="33">
        <v>0.019563465814050614</v>
      </c>
      <c r="H50" s="33">
        <v>0.01134135737715363</v>
      </c>
      <c r="I50" s="33">
        <v>0.006322314007937206</v>
      </c>
      <c r="J50" s="33">
        <v>0.009257464342678913</v>
      </c>
      <c r="K50" s="33">
        <v>0.007905096162704536</v>
      </c>
      <c r="L50" s="33">
        <v>0.004543072940142159</v>
      </c>
      <c r="M50" s="33">
        <v>0.01238063667528978</v>
      </c>
      <c r="N50" s="33">
        <v>0.017294901862632068</v>
      </c>
      <c r="O50" s="33">
        <v>0.00845595699910437</v>
      </c>
      <c r="P50" s="33">
        <v>0.0076445977186463555</v>
      </c>
      <c r="Q50" s="33">
        <v>0.005251957145085208</v>
      </c>
      <c r="R50" s="33">
        <v>0.006228290543212675</v>
      </c>
      <c r="S50" s="33">
        <v>0.006680385981349981</v>
      </c>
      <c r="T50" s="33">
        <v>0.00833016260029598</v>
      </c>
      <c r="U50" s="33">
        <v>0.006426767905824864</v>
      </c>
      <c r="V50" s="33">
        <v>0.009653757849546552</v>
      </c>
      <c r="W50" s="33">
        <v>0.005771649014679707</v>
      </c>
      <c r="X50" s="33">
        <v>0.010892181794888477</v>
      </c>
      <c r="Y50" s="33">
        <v>0.005697584898433406</v>
      </c>
      <c r="Z50" s="33">
        <v>0.004386978077896973</v>
      </c>
      <c r="AA50" s="33">
        <v>0.006045215274608443</v>
      </c>
      <c r="AB50" s="33">
        <v>0.0063738659773309005</v>
      </c>
      <c r="AC50" s="33">
        <v>0.005478094708143137</v>
      </c>
      <c r="AD50" s="33">
        <v>0.017113602361491734</v>
      </c>
      <c r="AE50" s="33">
        <v>0.014849274709770077</v>
      </c>
      <c r="AF50" s="33">
        <v>0.01524283623295668</v>
      </c>
      <c r="AG50" s="33">
        <v>0.005321337664413376</v>
      </c>
      <c r="AH50" s="33">
        <v>0.0036573644504021893</v>
      </c>
      <c r="AI50" s="33">
        <v>0.009320133754170195</v>
      </c>
      <c r="AJ50" s="33">
        <v>0.005624692960946949</v>
      </c>
      <c r="AK50" s="33">
        <v>0.008695750812643102</v>
      </c>
      <c r="AL50" s="33">
        <v>0.00874704447206699</v>
      </c>
      <c r="AM50" s="33">
        <v>0.013926916990593239</v>
      </c>
      <c r="AN50" s="33">
        <v>0.018440145299855965</v>
      </c>
      <c r="AO50" s="33">
        <v>0.01351953674500629</v>
      </c>
      <c r="AP50" s="33">
        <v>0.010165964396764942</v>
      </c>
      <c r="AQ50" s="33">
        <v>0.007541923730630279</v>
      </c>
      <c r="AR50" s="33">
        <v>0.010512462279145445</v>
      </c>
      <c r="AS50" s="33">
        <v>0.007847578536479697</v>
      </c>
      <c r="AT50" s="33">
        <v>0.0018562892348150167</v>
      </c>
      <c r="AU50" s="33">
        <v>0.009565932948859306</v>
      </c>
      <c r="AV50" s="33">
        <v>0.005922094580890801</v>
      </c>
      <c r="AW50" s="33">
        <v>0.004175968361131454</v>
      </c>
      <c r="AX50" s="33">
        <v>1.111730378642942</v>
      </c>
      <c r="AY50" s="33">
        <v>0.010124214462210368</v>
      </c>
      <c r="AZ50" s="33">
        <v>0.008126843592604823</v>
      </c>
      <c r="BA50" s="33">
        <v>0.006626248140150561</v>
      </c>
      <c r="BB50" s="33">
        <v>0.03149125026207987</v>
      </c>
      <c r="BC50" s="33">
        <v>0.007644493001141161</v>
      </c>
      <c r="BD50" s="33">
        <v>0.004250565370488282</v>
      </c>
      <c r="BE50" s="33">
        <v>0.002364353014682101</v>
      </c>
      <c r="BF50" s="33">
        <v>0.003845149120442526</v>
      </c>
      <c r="BG50" s="33">
        <v>0.0030306998619628314</v>
      </c>
      <c r="BH50" s="33">
        <v>0.013581267623926726</v>
      </c>
      <c r="BI50" s="33">
        <v>0.011780605409567182</v>
      </c>
      <c r="BJ50" s="33">
        <v>0.007836639576983403</v>
      </c>
      <c r="BK50" s="33">
        <v>0.00677867545796558</v>
      </c>
      <c r="BL50" s="33">
        <v>0.00562788697231251</v>
      </c>
      <c r="BM50" s="33">
        <v>0</v>
      </c>
      <c r="BN50" s="33">
        <v>0</v>
      </c>
    </row>
    <row r="51" spans="1:66" x14ac:dyDescent="0.25">
      <c r="A51" s="30" t="s">
        <v>359</v>
      </c>
      <c r="B51" s="31" t="s">
        <v>360</v>
      </c>
      <c r="C51" s="33">
        <v>0.017477644348560636</v>
      </c>
      <c r="D51" s="33">
        <v>0.004571959605405799</v>
      </c>
      <c r="E51" s="33">
        <v>0.006269062166834122</v>
      </c>
      <c r="F51" s="33">
        <v>0.00545146541895686</v>
      </c>
      <c r="G51" s="33">
        <v>0.009812322686056104</v>
      </c>
      <c r="H51" s="33">
        <v>0.012801631666469722</v>
      </c>
      <c r="I51" s="33">
        <v>0.005588518957252366</v>
      </c>
      <c r="J51" s="33">
        <v>0.006596955023845272</v>
      </c>
      <c r="K51" s="33">
        <v>0.00786210955359341</v>
      </c>
      <c r="L51" s="33">
        <v>0.0030932688761768296</v>
      </c>
      <c r="M51" s="33">
        <v>0.007128386944308044</v>
      </c>
      <c r="N51" s="33">
        <v>0.004975143144320011</v>
      </c>
      <c r="O51" s="33">
        <v>0.006468285668653382</v>
      </c>
      <c r="P51" s="33">
        <v>0.006331363293237403</v>
      </c>
      <c r="Q51" s="33">
        <v>0.005672777490571786</v>
      </c>
      <c r="R51" s="33">
        <v>0.00597953188748992</v>
      </c>
      <c r="S51" s="33">
        <v>0.00634592982238721</v>
      </c>
      <c r="T51" s="33">
        <v>0.007761592704023062</v>
      </c>
      <c r="U51" s="33">
        <v>0.007052306283910719</v>
      </c>
      <c r="V51" s="33">
        <v>0.007676524387796445</v>
      </c>
      <c r="W51" s="33">
        <v>0.006661514124797673</v>
      </c>
      <c r="X51" s="33">
        <v>0.008195380057324142</v>
      </c>
      <c r="Y51" s="33">
        <v>0.006001318281341899</v>
      </c>
      <c r="Z51" s="33">
        <v>0.004661101964680197</v>
      </c>
      <c r="AA51" s="33">
        <v>0.006894585268413419</v>
      </c>
      <c r="AB51" s="33">
        <v>0.008321150427857615</v>
      </c>
      <c r="AC51" s="33">
        <v>0.006345422621506903</v>
      </c>
      <c r="AD51" s="33">
        <v>0.007698480851590498</v>
      </c>
      <c r="AE51" s="33">
        <v>0.010367784371920053</v>
      </c>
      <c r="AF51" s="33">
        <v>0.006238756317868736</v>
      </c>
      <c r="AG51" s="33">
        <v>0.005540112687490512</v>
      </c>
      <c r="AH51" s="33">
        <v>0.003761031755053342</v>
      </c>
      <c r="AI51" s="33">
        <v>0.008359526820251349</v>
      </c>
      <c r="AJ51" s="33">
        <v>0.006419959024376524</v>
      </c>
      <c r="AK51" s="33">
        <v>0.006031610237218009</v>
      </c>
      <c r="AL51" s="33">
        <v>0.006823387073175786</v>
      </c>
      <c r="AM51" s="33">
        <v>0.01049474158749516</v>
      </c>
      <c r="AN51" s="33">
        <v>0.011678894026708015</v>
      </c>
      <c r="AO51" s="33">
        <v>0.010553761830002475</v>
      </c>
      <c r="AP51" s="33">
        <v>0.009477090745793839</v>
      </c>
      <c r="AQ51" s="33">
        <v>0.00782068022291666</v>
      </c>
      <c r="AR51" s="33">
        <v>0.012671554614452706</v>
      </c>
      <c r="AS51" s="33">
        <v>0.012622098538974965</v>
      </c>
      <c r="AT51" s="33">
        <v>0.0028115424634598428</v>
      </c>
      <c r="AU51" s="33">
        <v>0.013721414272224423</v>
      </c>
      <c r="AV51" s="33">
        <v>0.013439532624488834</v>
      </c>
      <c r="AW51" s="33">
        <v>0.006479658483655043</v>
      </c>
      <c r="AX51" s="33">
        <v>0.021771783289987672</v>
      </c>
      <c r="AY51" s="33">
        <v>1.0436017210459243</v>
      </c>
      <c r="AZ51" s="33">
        <v>0.008546946585986821</v>
      </c>
      <c r="BA51" s="33">
        <v>0.005407258033225086</v>
      </c>
      <c r="BB51" s="33">
        <v>0.009812402957287199</v>
      </c>
      <c r="BC51" s="33">
        <v>0.011511955679294106</v>
      </c>
      <c r="BD51" s="33">
        <v>0.005362710976850223</v>
      </c>
      <c r="BE51" s="33">
        <v>0.0037239217340415717</v>
      </c>
      <c r="BF51" s="33">
        <v>0.004173637303807017</v>
      </c>
      <c r="BG51" s="33">
        <v>0.004219925388312487</v>
      </c>
      <c r="BH51" s="33">
        <v>0.01199660554572224</v>
      </c>
      <c r="BI51" s="33">
        <v>0.013276430288515774</v>
      </c>
      <c r="BJ51" s="33">
        <v>0.008541451184942267</v>
      </c>
      <c r="BK51" s="33">
        <v>0.006569820434735593</v>
      </c>
      <c r="BL51" s="33">
        <v>0.006620500560452459</v>
      </c>
      <c r="BM51" s="33">
        <v>0</v>
      </c>
      <c r="BN51" s="33">
        <v>0</v>
      </c>
    </row>
    <row r="52" spans="1:66" x14ac:dyDescent="0.25">
      <c r="A52" s="30" t="s">
        <v>361</v>
      </c>
      <c r="B52" s="31" t="s">
        <v>362</v>
      </c>
      <c r="C52" s="33">
        <v>0.01502519838690515</v>
      </c>
      <c r="D52" s="33">
        <v>0.010425154090596727</v>
      </c>
      <c r="E52" s="33">
        <v>0.014027640512842249</v>
      </c>
      <c r="F52" s="33">
        <v>0.014232842634991586</v>
      </c>
      <c r="G52" s="33">
        <v>0.017346724092797954</v>
      </c>
      <c r="H52" s="33">
        <v>0.013822793077098406</v>
      </c>
      <c r="I52" s="33">
        <v>0.015255833426152358</v>
      </c>
      <c r="J52" s="33">
        <v>0.01775468739714746</v>
      </c>
      <c r="K52" s="33">
        <v>0.02422984798882079</v>
      </c>
      <c r="L52" s="33">
        <v>0.007924057588110262</v>
      </c>
      <c r="M52" s="33">
        <v>0.01951946571139548</v>
      </c>
      <c r="N52" s="33">
        <v>0.02626897595399695</v>
      </c>
      <c r="O52" s="33">
        <v>0.017333275748945904</v>
      </c>
      <c r="P52" s="33">
        <v>0.018791035811501492</v>
      </c>
      <c r="Q52" s="33">
        <v>0.0141894492831776</v>
      </c>
      <c r="R52" s="33">
        <v>0.014925667340330314</v>
      </c>
      <c r="S52" s="33">
        <v>0.01295178362930434</v>
      </c>
      <c r="T52" s="33">
        <v>0.015460698925680551</v>
      </c>
      <c r="U52" s="33">
        <v>0.014834817766870036</v>
      </c>
      <c r="V52" s="33">
        <v>0.015264267562819215</v>
      </c>
      <c r="W52" s="33">
        <v>0.01477119761970951</v>
      </c>
      <c r="X52" s="33">
        <v>0.014299281016447415</v>
      </c>
      <c r="Y52" s="33">
        <v>0.015296763735604284</v>
      </c>
      <c r="Z52" s="33">
        <v>0.01375980433589205</v>
      </c>
      <c r="AA52" s="33">
        <v>0.021892464098807785</v>
      </c>
      <c r="AB52" s="33">
        <v>0.0237008797752796</v>
      </c>
      <c r="AC52" s="33">
        <v>0.02285737148684958</v>
      </c>
      <c r="AD52" s="33">
        <v>0.014762930967694326</v>
      </c>
      <c r="AE52" s="33">
        <v>0.020912135287709705</v>
      </c>
      <c r="AF52" s="33">
        <v>0.016914306737944754</v>
      </c>
      <c r="AG52" s="33">
        <v>0.024711013896992505</v>
      </c>
      <c r="AH52" s="33">
        <v>0.028085852103390697</v>
      </c>
      <c r="AI52" s="33">
        <v>0.05477109807631037</v>
      </c>
      <c r="AJ52" s="33">
        <v>0.023426595682004912</v>
      </c>
      <c r="AK52" s="33">
        <v>0.018856920307812018</v>
      </c>
      <c r="AL52" s="33">
        <v>0.015919719544357246</v>
      </c>
      <c r="AM52" s="33">
        <v>0.016773091083061884</v>
      </c>
      <c r="AN52" s="33">
        <v>0.06014418113528778</v>
      </c>
      <c r="AO52" s="33">
        <v>0.030683005695321126</v>
      </c>
      <c r="AP52" s="33">
        <v>0.02567340138287774</v>
      </c>
      <c r="AQ52" s="33">
        <v>0.010486110000194544</v>
      </c>
      <c r="AR52" s="33">
        <v>0.01752638737656013</v>
      </c>
      <c r="AS52" s="33">
        <v>0.020480164483867185</v>
      </c>
      <c r="AT52" s="33">
        <v>0.003916570282801673</v>
      </c>
      <c r="AU52" s="33">
        <v>0.020878719369560518</v>
      </c>
      <c r="AV52" s="33">
        <v>0.016336842895325613</v>
      </c>
      <c r="AW52" s="33">
        <v>0.014776545494629636</v>
      </c>
      <c r="AX52" s="33">
        <v>0.0257944336955699</v>
      </c>
      <c r="AY52" s="33">
        <v>0.019179604494378725</v>
      </c>
      <c r="AZ52" s="33">
        <v>1.1040470301278562</v>
      </c>
      <c r="BA52" s="33">
        <v>0.0059300974000115305</v>
      </c>
      <c r="BB52" s="33">
        <v>0.025878112512978075</v>
      </c>
      <c r="BC52" s="33">
        <v>0.028752039457058322</v>
      </c>
      <c r="BD52" s="33">
        <v>0.010078617967673733</v>
      </c>
      <c r="BE52" s="33">
        <v>0.007518821339039528</v>
      </c>
      <c r="BF52" s="33">
        <v>0.009391524603079534</v>
      </c>
      <c r="BG52" s="33">
        <v>0.009905298592816013</v>
      </c>
      <c r="BH52" s="33">
        <v>0.01840744447511449</v>
      </c>
      <c r="BI52" s="33">
        <v>0.023465069341259834</v>
      </c>
      <c r="BJ52" s="33">
        <v>0.01362569317063826</v>
      </c>
      <c r="BK52" s="33">
        <v>0.014509961817194657</v>
      </c>
      <c r="BL52" s="33">
        <v>0.020232666889083803</v>
      </c>
      <c r="BM52" s="33">
        <v>0</v>
      </c>
      <c r="BN52" s="33">
        <v>0</v>
      </c>
    </row>
    <row r="53" spans="1:66" x14ac:dyDescent="0.25">
      <c r="A53" s="30" t="s">
        <v>364</v>
      </c>
      <c r="B53" s="31" t="s">
        <v>365</v>
      </c>
      <c r="C53" s="33">
        <v>0.013935762926996803</v>
      </c>
      <c r="D53" s="33">
        <v>0.007416435862759202</v>
      </c>
      <c r="E53" s="33">
        <v>0.007806611100112594</v>
      </c>
      <c r="F53" s="33">
        <v>0.010331036531799384</v>
      </c>
      <c r="G53" s="33">
        <v>0.020506522138121</v>
      </c>
      <c r="H53" s="33">
        <v>0.01190817483351548</v>
      </c>
      <c r="I53" s="33">
        <v>0.014484779361649498</v>
      </c>
      <c r="J53" s="33">
        <v>0.01561291923500185</v>
      </c>
      <c r="K53" s="33">
        <v>0.018059951091601915</v>
      </c>
      <c r="L53" s="33">
        <v>0.004557015183886115</v>
      </c>
      <c r="M53" s="33">
        <v>0.012973805924861038</v>
      </c>
      <c r="N53" s="33">
        <v>0.012978561251566293</v>
      </c>
      <c r="O53" s="33">
        <v>0.01764689483157198</v>
      </c>
      <c r="P53" s="33">
        <v>0.018209157653120332</v>
      </c>
      <c r="Q53" s="33">
        <v>0.013150322939810305</v>
      </c>
      <c r="R53" s="33">
        <v>0.018343601762588393</v>
      </c>
      <c r="S53" s="33">
        <v>0.012513047003412507</v>
      </c>
      <c r="T53" s="33">
        <v>0.017358232146974253</v>
      </c>
      <c r="U53" s="33">
        <v>0.01808385853205582</v>
      </c>
      <c r="V53" s="33">
        <v>0.01578820318849438</v>
      </c>
      <c r="W53" s="33">
        <v>0.02338890304319794</v>
      </c>
      <c r="X53" s="33">
        <v>0.014002791742678423</v>
      </c>
      <c r="Y53" s="33">
        <v>0.024460167684430836</v>
      </c>
      <c r="Z53" s="33">
        <v>0.008178901628094712</v>
      </c>
      <c r="AA53" s="33">
        <v>0.011855679350621326</v>
      </c>
      <c r="AB53" s="33">
        <v>0.01591492502693526</v>
      </c>
      <c r="AC53" s="33">
        <v>0.016660049828840187</v>
      </c>
      <c r="AD53" s="33">
        <v>0.010233372448235103</v>
      </c>
      <c r="AE53" s="33">
        <v>0.014708499974482188</v>
      </c>
      <c r="AF53" s="33">
        <v>0.011918659344870294</v>
      </c>
      <c r="AG53" s="33">
        <v>0.017813824867568114</v>
      </c>
      <c r="AH53" s="33">
        <v>0.017917204455521158</v>
      </c>
      <c r="AI53" s="33">
        <v>0.01691781938979127</v>
      </c>
      <c r="AJ53" s="33">
        <v>0.025753994963051755</v>
      </c>
      <c r="AK53" s="33">
        <v>0.028139860404655378</v>
      </c>
      <c r="AL53" s="33">
        <v>0.01286783604626007</v>
      </c>
      <c r="AM53" s="33">
        <v>0.008335263453503787</v>
      </c>
      <c r="AN53" s="33">
        <v>0.008857540406733694</v>
      </c>
      <c r="AO53" s="33">
        <v>0.013247605169865527</v>
      </c>
      <c r="AP53" s="33">
        <v>0.011248262814723664</v>
      </c>
      <c r="AQ53" s="33">
        <v>0.006956961274656052</v>
      </c>
      <c r="AR53" s="33">
        <v>0.007634264461909519</v>
      </c>
      <c r="AS53" s="33">
        <v>0.011044162052590891</v>
      </c>
      <c r="AT53" s="33">
        <v>0.0031291624309501926</v>
      </c>
      <c r="AU53" s="33">
        <v>0.012811808451718917</v>
      </c>
      <c r="AV53" s="33">
        <v>0.016176418997065713</v>
      </c>
      <c r="AW53" s="33">
        <v>0.009892266126481933</v>
      </c>
      <c r="AX53" s="33">
        <v>0.01239173934689566</v>
      </c>
      <c r="AY53" s="33">
        <v>0.013103013021092038</v>
      </c>
      <c r="AZ53" s="33">
        <v>0.01511394763271133</v>
      </c>
      <c r="BA53" s="33">
        <v>1.041903001810795</v>
      </c>
      <c r="BB53" s="33">
        <v>0.014446987125962703</v>
      </c>
      <c r="BC53" s="33">
        <v>0.0209487720355614</v>
      </c>
      <c r="BD53" s="33">
        <v>0.007008991698248687</v>
      </c>
      <c r="BE53" s="33">
        <v>0.005757280261491373</v>
      </c>
      <c r="BF53" s="33">
        <v>0.00941921619902135</v>
      </c>
      <c r="BG53" s="33">
        <v>0.011085344948706917</v>
      </c>
      <c r="BH53" s="33">
        <v>0.008177248088544854</v>
      </c>
      <c r="BI53" s="33">
        <v>0.00872134961921439</v>
      </c>
      <c r="BJ53" s="33">
        <v>0.008649295782489292</v>
      </c>
      <c r="BK53" s="33">
        <v>0.01232845995609215</v>
      </c>
      <c r="BL53" s="33">
        <v>0.007206390078335788</v>
      </c>
      <c r="BM53" s="33">
        <v>0</v>
      </c>
      <c r="BN53" s="33">
        <v>0</v>
      </c>
    </row>
    <row r="54" spans="1:66" x14ac:dyDescent="0.25">
      <c r="A54" s="30" t="s">
        <v>366</v>
      </c>
      <c r="B54" s="31" t="s">
        <v>367</v>
      </c>
      <c r="C54" s="33">
        <v>0.0006981592799174412</v>
      </c>
      <c r="D54" s="33">
        <v>0.0010375130075019937</v>
      </c>
      <c r="E54" s="33">
        <v>0.0017701280700970071</v>
      </c>
      <c r="F54" s="33">
        <v>0.0011357263557784179</v>
      </c>
      <c r="G54" s="33">
        <v>0.0011099438078681439</v>
      </c>
      <c r="H54" s="33">
        <v>0.001245709356225327</v>
      </c>
      <c r="I54" s="33">
        <v>0.0011963024648090125</v>
      </c>
      <c r="J54" s="33">
        <v>0.001290365856947707</v>
      </c>
      <c r="K54" s="33">
        <v>0.0013219473854887234</v>
      </c>
      <c r="L54" s="33">
        <v>0.0006036798955925179</v>
      </c>
      <c r="M54" s="33">
        <v>0.0012106284181984844</v>
      </c>
      <c r="N54" s="33">
        <v>0.0009445234711216508</v>
      </c>
      <c r="O54" s="33">
        <v>0.001057644055371311</v>
      </c>
      <c r="P54" s="33">
        <v>0.0015322166346518043</v>
      </c>
      <c r="Q54" s="33">
        <v>0.0010265200691336402</v>
      </c>
      <c r="R54" s="33">
        <v>0.001177153492066471</v>
      </c>
      <c r="S54" s="33">
        <v>0.0009747570721960024</v>
      </c>
      <c r="T54" s="33">
        <v>0.0018171070640053044</v>
      </c>
      <c r="U54" s="33">
        <v>0.0011901834370810448</v>
      </c>
      <c r="V54" s="33">
        <v>0.0013661575621701364</v>
      </c>
      <c r="W54" s="33">
        <v>0.0013393386929026769</v>
      </c>
      <c r="X54" s="33">
        <v>0.0011141498443390785</v>
      </c>
      <c r="Y54" s="33">
        <v>0.0012055203876501369</v>
      </c>
      <c r="Z54" s="33">
        <v>0.0009975667378136976</v>
      </c>
      <c r="AA54" s="33">
        <v>0.0013780171573166806</v>
      </c>
      <c r="AB54" s="33">
        <v>0.001177609683415707</v>
      </c>
      <c r="AC54" s="33">
        <v>0.0009853298846087967</v>
      </c>
      <c r="AD54" s="33">
        <v>0.0010138661786730908</v>
      </c>
      <c r="AE54" s="33">
        <v>0.0014887295946587355</v>
      </c>
      <c r="AF54" s="33">
        <v>0.000857395302116769</v>
      </c>
      <c r="AG54" s="33">
        <v>0.004193650166359547</v>
      </c>
      <c r="AH54" s="33">
        <v>0.002400567070460732</v>
      </c>
      <c r="AI54" s="33">
        <v>0.020452735828348695</v>
      </c>
      <c r="AJ54" s="33">
        <v>0.002833352928751735</v>
      </c>
      <c r="AK54" s="33">
        <v>0.0018007269059443355</v>
      </c>
      <c r="AL54" s="33">
        <v>0.0026101522539421695</v>
      </c>
      <c r="AM54" s="33">
        <v>0.0008720889191775221</v>
      </c>
      <c r="AN54" s="33">
        <v>0.002576571373921035</v>
      </c>
      <c r="AO54" s="33">
        <v>0.0025169960000119888</v>
      </c>
      <c r="AP54" s="33">
        <v>0.0011812917404339961</v>
      </c>
      <c r="AQ54" s="33">
        <v>0.0008476634365199274</v>
      </c>
      <c r="AR54" s="33">
        <v>0.0014173038659904926</v>
      </c>
      <c r="AS54" s="33">
        <v>0.001281076646361337</v>
      </c>
      <c r="AT54" s="33">
        <v>0.00027460032398070035</v>
      </c>
      <c r="AU54" s="33">
        <v>0.00130203866852035</v>
      </c>
      <c r="AV54" s="33">
        <v>0.0008994199804618621</v>
      </c>
      <c r="AW54" s="33">
        <v>0.0010332702122358632</v>
      </c>
      <c r="AX54" s="33">
        <v>0.0016666164504676793</v>
      </c>
      <c r="AY54" s="33">
        <v>0.0012052852339397857</v>
      </c>
      <c r="AZ54" s="33">
        <v>0.0016051816737028656</v>
      </c>
      <c r="BA54" s="33">
        <v>0.0005647365759077217</v>
      </c>
      <c r="BB54" s="33">
        <v>1.105489955368658</v>
      </c>
      <c r="BC54" s="33">
        <v>0.0010256289655923218</v>
      </c>
      <c r="BD54" s="33">
        <v>0.0009050137395198586</v>
      </c>
      <c r="BE54" s="33">
        <v>0.0007396436280440376</v>
      </c>
      <c r="BF54" s="33">
        <v>0.0005649810020131678</v>
      </c>
      <c r="BG54" s="33">
        <v>0.0006787458246646538</v>
      </c>
      <c r="BH54" s="33">
        <v>0.003632932470603955</v>
      </c>
      <c r="BI54" s="33">
        <v>0.00907477385750729</v>
      </c>
      <c r="BJ54" s="33">
        <v>0.001342275441506614</v>
      </c>
      <c r="BK54" s="33">
        <v>0.0017184999659943096</v>
      </c>
      <c r="BL54" s="33">
        <v>0.0007670360354997756</v>
      </c>
      <c r="BM54" s="33">
        <v>0</v>
      </c>
      <c r="BN54" s="33">
        <v>0</v>
      </c>
    </row>
    <row r="55" spans="1:66" x14ac:dyDescent="0.25">
      <c r="A55" s="30" t="s">
        <v>368</v>
      </c>
      <c r="B55" s="31" t="s">
        <v>369</v>
      </c>
      <c r="C55" s="33">
        <v>0.01886394593927017</v>
      </c>
      <c r="D55" s="33">
        <v>0.01513250772399724</v>
      </c>
      <c r="E55" s="33">
        <v>0.017056350277698314</v>
      </c>
      <c r="F55" s="33">
        <v>0.02436959053622781</v>
      </c>
      <c r="G55" s="33">
        <v>0.029095361123356644</v>
      </c>
      <c r="H55" s="33">
        <v>0.028401312469609627</v>
      </c>
      <c r="I55" s="33">
        <v>0.024498710854435578</v>
      </c>
      <c r="J55" s="33">
        <v>0.03129238955175439</v>
      </c>
      <c r="K55" s="33">
        <v>0.03255657106508392</v>
      </c>
      <c r="L55" s="33">
        <v>0.015459744941123123</v>
      </c>
      <c r="M55" s="33">
        <v>0.03407971870643863</v>
      </c>
      <c r="N55" s="33">
        <v>0.02430996003317904</v>
      </c>
      <c r="O55" s="33">
        <v>0.026449527264397203</v>
      </c>
      <c r="P55" s="33">
        <v>0.028405769988471472</v>
      </c>
      <c r="Q55" s="33">
        <v>0.02736071672110605</v>
      </c>
      <c r="R55" s="33">
        <v>0.025010797401177214</v>
      </c>
      <c r="S55" s="33">
        <v>0.01871955507791506</v>
      </c>
      <c r="T55" s="33">
        <v>0.026846842290809268</v>
      </c>
      <c r="U55" s="33">
        <v>0.02673063781139496</v>
      </c>
      <c r="V55" s="33">
        <v>0.027880215188503255</v>
      </c>
      <c r="W55" s="33">
        <v>0.02660200772624329</v>
      </c>
      <c r="X55" s="33">
        <v>0.02520198578069015</v>
      </c>
      <c r="Y55" s="33">
        <v>0.025798847696094813</v>
      </c>
      <c r="Z55" s="33">
        <v>0.026612321392146962</v>
      </c>
      <c r="AA55" s="33">
        <v>0.04511394371503277</v>
      </c>
      <c r="AB55" s="33">
        <v>0.04381742758893659</v>
      </c>
      <c r="AC55" s="33">
        <v>0.030894434104469657</v>
      </c>
      <c r="AD55" s="33">
        <v>0.029953321672511468</v>
      </c>
      <c r="AE55" s="33">
        <v>0.036814741037098295</v>
      </c>
      <c r="AF55" s="33">
        <v>0.03410941597961951</v>
      </c>
      <c r="AG55" s="33">
        <v>0.02982297719667243</v>
      </c>
      <c r="AH55" s="33">
        <v>0.029258392404221092</v>
      </c>
      <c r="AI55" s="33">
        <v>0.032829321210838903</v>
      </c>
      <c r="AJ55" s="33">
        <v>0.04215397462467542</v>
      </c>
      <c r="AK55" s="33">
        <v>0.03394036830391097</v>
      </c>
      <c r="AL55" s="33">
        <v>0.03079332064841423</v>
      </c>
      <c r="AM55" s="33">
        <v>0.03255126592483497</v>
      </c>
      <c r="AN55" s="33">
        <v>0.05416934804410105</v>
      </c>
      <c r="AO55" s="33">
        <v>0.03823008003845232</v>
      </c>
      <c r="AP55" s="33">
        <v>0.03110879214211458</v>
      </c>
      <c r="AQ55" s="33">
        <v>0.030212025394801566</v>
      </c>
      <c r="AR55" s="33">
        <v>0.04056515997230521</v>
      </c>
      <c r="AS55" s="33">
        <v>0.042232833280145474</v>
      </c>
      <c r="AT55" s="33">
        <v>0.01530205016092263</v>
      </c>
      <c r="AU55" s="33">
        <v>0.04157325397078019</v>
      </c>
      <c r="AV55" s="33">
        <v>0.03610407083465535</v>
      </c>
      <c r="AW55" s="33">
        <v>0.025212222198838504</v>
      </c>
      <c r="AX55" s="33">
        <v>0.04915021180127417</v>
      </c>
      <c r="AY55" s="33">
        <v>0.04330447670804667</v>
      </c>
      <c r="AZ55" s="33">
        <v>0.05496808003521107</v>
      </c>
      <c r="BA55" s="33">
        <v>0.01684919016911189</v>
      </c>
      <c r="BB55" s="33">
        <v>0.04736951619450171</v>
      </c>
      <c r="BC55" s="33">
        <v>1.0919323144505317</v>
      </c>
      <c r="BD55" s="33">
        <v>0.032423945490090526</v>
      </c>
      <c r="BE55" s="33">
        <v>0.01680621367186006</v>
      </c>
      <c r="BF55" s="33">
        <v>0.025243273583937152</v>
      </c>
      <c r="BG55" s="33">
        <v>0.025787522621656577</v>
      </c>
      <c r="BH55" s="33">
        <v>0.038222675237140895</v>
      </c>
      <c r="BI55" s="33">
        <v>0.04174027093835808</v>
      </c>
      <c r="BJ55" s="33">
        <v>0.03219002907410564</v>
      </c>
      <c r="BK55" s="33">
        <v>0.031327635178776445</v>
      </c>
      <c r="BL55" s="33">
        <v>0.026837125471553012</v>
      </c>
      <c r="BM55" s="33">
        <v>0</v>
      </c>
      <c r="BN55" s="33">
        <v>0</v>
      </c>
    </row>
    <row r="56" spans="1:66" x14ac:dyDescent="0.25">
      <c r="A56" s="30" t="s">
        <v>370</v>
      </c>
      <c r="B56" s="31" t="s">
        <v>371</v>
      </c>
      <c r="C56" s="33">
        <v>0.0077448809830668605</v>
      </c>
      <c r="D56" s="33">
        <v>0.011276157512496422</v>
      </c>
      <c r="E56" s="33">
        <v>0.010282493161031714</v>
      </c>
      <c r="F56" s="33">
        <v>0.01032998557700616</v>
      </c>
      <c r="G56" s="33">
        <v>0.010620465501179108</v>
      </c>
      <c r="H56" s="33">
        <v>0.0087051560707668</v>
      </c>
      <c r="I56" s="33">
        <v>0.01096540764808768</v>
      </c>
      <c r="J56" s="33">
        <v>0.014404854759519385</v>
      </c>
      <c r="K56" s="33">
        <v>0.012010968843687596</v>
      </c>
      <c r="L56" s="33">
        <v>0.006521545930832179</v>
      </c>
      <c r="M56" s="33">
        <v>0.011996424312042358</v>
      </c>
      <c r="N56" s="33">
        <v>0.006526511363302539</v>
      </c>
      <c r="O56" s="33">
        <v>0.010806754521428196</v>
      </c>
      <c r="P56" s="33">
        <v>0.0117627106415506</v>
      </c>
      <c r="Q56" s="33">
        <v>0.015858904912971716</v>
      </c>
      <c r="R56" s="33">
        <v>0.0099606653793957</v>
      </c>
      <c r="S56" s="33">
        <v>0.006149885867981233</v>
      </c>
      <c r="T56" s="33">
        <v>0.010048959157208664</v>
      </c>
      <c r="U56" s="33">
        <v>0.008198362398204819</v>
      </c>
      <c r="V56" s="33">
        <v>0.008988921828266879</v>
      </c>
      <c r="W56" s="33">
        <v>0.007759918941844921</v>
      </c>
      <c r="X56" s="33">
        <v>0.008202108440530799</v>
      </c>
      <c r="Y56" s="33">
        <v>0.007437075053260668</v>
      </c>
      <c r="Z56" s="33">
        <v>0.022291965723721604</v>
      </c>
      <c r="AA56" s="33">
        <v>0.022544207398589568</v>
      </c>
      <c r="AB56" s="33">
        <v>0.03337750585307385</v>
      </c>
      <c r="AC56" s="33">
        <v>0.012031000045004287</v>
      </c>
      <c r="AD56" s="33">
        <v>0.008049739410913607</v>
      </c>
      <c r="AE56" s="33">
        <v>0.007868934928893135</v>
      </c>
      <c r="AF56" s="33">
        <v>0.00788044140910555</v>
      </c>
      <c r="AG56" s="33">
        <v>0.011717207830885189</v>
      </c>
      <c r="AH56" s="33">
        <v>0.008159303409059852</v>
      </c>
      <c r="AI56" s="33">
        <v>0.010045622093896868</v>
      </c>
      <c r="AJ56" s="33">
        <v>0.015390610658533794</v>
      </c>
      <c r="AK56" s="33">
        <v>0.00867136577566974</v>
      </c>
      <c r="AL56" s="33">
        <v>0.008760223405782756</v>
      </c>
      <c r="AM56" s="33">
        <v>0.006320842424979688</v>
      </c>
      <c r="AN56" s="33">
        <v>0.010281273359220482</v>
      </c>
      <c r="AO56" s="33">
        <v>0.010504996625796958</v>
      </c>
      <c r="AP56" s="33">
        <v>0.0074104532946027875</v>
      </c>
      <c r="AQ56" s="33">
        <v>0.005351400141533574</v>
      </c>
      <c r="AR56" s="33">
        <v>0.0066394354203604495</v>
      </c>
      <c r="AS56" s="33">
        <v>0.007554283257640269</v>
      </c>
      <c r="AT56" s="33">
        <v>0.004254484022948924</v>
      </c>
      <c r="AU56" s="33">
        <v>0.01311961778947629</v>
      </c>
      <c r="AV56" s="33">
        <v>0.015667680815345083</v>
      </c>
      <c r="AW56" s="33">
        <v>0.0073809380021518075</v>
      </c>
      <c r="AX56" s="33">
        <v>0.016076443167951496</v>
      </c>
      <c r="AY56" s="33">
        <v>0.01582273158465568</v>
      </c>
      <c r="AZ56" s="33">
        <v>0.007805840281060703</v>
      </c>
      <c r="BA56" s="33">
        <v>0.0052766071627677125</v>
      </c>
      <c r="BB56" s="33">
        <v>0.009832827172209072</v>
      </c>
      <c r="BC56" s="33">
        <v>0.012721006183019537</v>
      </c>
      <c r="BD56" s="33">
        <v>1.0158967381644681</v>
      </c>
      <c r="BE56" s="33">
        <v>0.005630085596900321</v>
      </c>
      <c r="BF56" s="33">
        <v>0.005420435095597396</v>
      </c>
      <c r="BG56" s="33">
        <v>0.006371652422061389</v>
      </c>
      <c r="BH56" s="33">
        <v>0.013828477101325388</v>
      </c>
      <c r="BI56" s="33">
        <v>0.013426959312207177</v>
      </c>
      <c r="BJ56" s="33">
        <v>0.011926451801785516</v>
      </c>
      <c r="BK56" s="33">
        <v>0.006502680185628912</v>
      </c>
      <c r="BL56" s="33">
        <v>0.006048132016447584</v>
      </c>
      <c r="BM56" s="33">
        <v>0</v>
      </c>
      <c r="BN56" s="33">
        <v>0</v>
      </c>
    </row>
    <row r="57" spans="1:66" x14ac:dyDescent="0.25">
      <c r="A57" s="30" t="s">
        <v>373</v>
      </c>
      <c r="B57" s="31" t="s">
        <v>374</v>
      </c>
      <c r="C57" s="33">
        <v>0.0022465506081917</v>
      </c>
      <c r="D57" s="33">
        <v>0.002396154769819797</v>
      </c>
      <c r="E57" s="33">
        <v>0.0029905332899110423</v>
      </c>
      <c r="F57" s="33">
        <v>0.0026587154509001023</v>
      </c>
      <c r="G57" s="33">
        <v>0.0032944227422572045</v>
      </c>
      <c r="H57" s="33">
        <v>0.0034597392256274866</v>
      </c>
      <c r="I57" s="33">
        <v>0.0028360054361732823</v>
      </c>
      <c r="J57" s="33">
        <v>0.003139115753274593</v>
      </c>
      <c r="K57" s="33">
        <v>0.0031691623373000925</v>
      </c>
      <c r="L57" s="33">
        <v>0.0019195143766172072</v>
      </c>
      <c r="M57" s="33">
        <v>0.0036324456534784014</v>
      </c>
      <c r="N57" s="33">
        <v>0.00364096791603181</v>
      </c>
      <c r="O57" s="33">
        <v>0.002978093190841898</v>
      </c>
      <c r="P57" s="33">
        <v>0.003191312958559946</v>
      </c>
      <c r="Q57" s="33">
        <v>0.0027654818160108797</v>
      </c>
      <c r="R57" s="33">
        <v>0.0032859896538802134</v>
      </c>
      <c r="S57" s="33">
        <v>0.0036760854266511284</v>
      </c>
      <c r="T57" s="33">
        <v>0.0042270230367661</v>
      </c>
      <c r="U57" s="33">
        <v>0.003968190057481574</v>
      </c>
      <c r="V57" s="33">
        <v>0.005444637931599685</v>
      </c>
      <c r="W57" s="33">
        <v>0.004896360536193196</v>
      </c>
      <c r="X57" s="33">
        <v>0.0029504304582279196</v>
      </c>
      <c r="Y57" s="33">
        <v>0.004156187098632018</v>
      </c>
      <c r="Z57" s="33">
        <v>0.0025277125241938408</v>
      </c>
      <c r="AA57" s="33">
        <v>0.0036624901979216136</v>
      </c>
      <c r="AB57" s="33">
        <v>0.00386656600529208</v>
      </c>
      <c r="AC57" s="33">
        <v>0.0030549544206425992</v>
      </c>
      <c r="AD57" s="33">
        <v>0.003950132573667398</v>
      </c>
      <c r="AE57" s="33">
        <v>0.0037043984532581595</v>
      </c>
      <c r="AF57" s="33">
        <v>0.00325743224241388</v>
      </c>
      <c r="AG57" s="33">
        <v>0.004249420370042492</v>
      </c>
      <c r="AH57" s="33">
        <v>0.00585325083331567</v>
      </c>
      <c r="AI57" s="33">
        <v>0.006886983726089957</v>
      </c>
      <c r="AJ57" s="33">
        <v>0.004099011107229354</v>
      </c>
      <c r="AK57" s="33">
        <v>0.005529989180574538</v>
      </c>
      <c r="AL57" s="33">
        <v>0.0028031445446496258</v>
      </c>
      <c r="AM57" s="33">
        <v>0.0032067608280623777</v>
      </c>
      <c r="AN57" s="33">
        <v>0.004363013452886337</v>
      </c>
      <c r="AO57" s="33">
        <v>0.005752777147595173</v>
      </c>
      <c r="AP57" s="33">
        <v>0.0058033997978695715</v>
      </c>
      <c r="AQ57" s="33">
        <v>0.004521716066066012</v>
      </c>
      <c r="AR57" s="33">
        <v>0.004479370919086939</v>
      </c>
      <c r="AS57" s="33">
        <v>0.0038650145657904934</v>
      </c>
      <c r="AT57" s="33">
        <v>0.0013202495738252379</v>
      </c>
      <c r="AU57" s="33">
        <v>0.006456682511750422</v>
      </c>
      <c r="AV57" s="33">
        <v>0.004395482782373972</v>
      </c>
      <c r="AW57" s="33">
        <v>0.0169404914668136</v>
      </c>
      <c r="AX57" s="33">
        <v>0.006921428216635299</v>
      </c>
      <c r="AY57" s="33">
        <v>0.006572772905268213</v>
      </c>
      <c r="AZ57" s="33">
        <v>0.003376742016378246</v>
      </c>
      <c r="BA57" s="33">
        <v>0.0057699798943017955</v>
      </c>
      <c r="BB57" s="33">
        <v>0.0048954802022188664</v>
      </c>
      <c r="BC57" s="33">
        <v>0.004957622722105032</v>
      </c>
      <c r="BD57" s="33">
        <v>0.0072183656391207884</v>
      </c>
      <c r="BE57" s="33">
        <v>1.02834759279065</v>
      </c>
      <c r="BF57" s="33">
        <v>0.005345998767392899</v>
      </c>
      <c r="BG57" s="33">
        <v>0.005260504667742615</v>
      </c>
      <c r="BH57" s="33">
        <v>0.00558512945492816</v>
      </c>
      <c r="BI57" s="33">
        <v>0.008720923554824686</v>
      </c>
      <c r="BJ57" s="33">
        <v>0.009577544363580003</v>
      </c>
      <c r="BK57" s="33">
        <v>0.005407544962064541</v>
      </c>
      <c r="BL57" s="33">
        <v>0.0024692097344528137</v>
      </c>
      <c r="BM57" s="33">
        <v>0</v>
      </c>
      <c r="BN57" s="33">
        <v>0</v>
      </c>
    </row>
    <row r="58" spans="1:66" x14ac:dyDescent="0.25">
      <c r="A58" s="30" t="s">
        <v>376</v>
      </c>
      <c r="B58" s="31" t="s">
        <v>377</v>
      </c>
      <c r="C58" s="33">
        <v>0.0014667422111844686</v>
      </c>
      <c r="D58" s="33">
        <v>0.0013021750791752998</v>
      </c>
      <c r="E58" s="33">
        <v>0.0020315828344793607</v>
      </c>
      <c r="F58" s="33">
        <v>0.001904101469451052</v>
      </c>
      <c r="G58" s="33">
        <v>0.0018788820948500574</v>
      </c>
      <c r="H58" s="33">
        <v>0.001626979158679917</v>
      </c>
      <c r="I58" s="33">
        <v>0.001568685932837712</v>
      </c>
      <c r="J58" s="33">
        <v>0.0017337020026674235</v>
      </c>
      <c r="K58" s="33">
        <v>0.0018502826351050486</v>
      </c>
      <c r="L58" s="33">
        <v>0.0009230860792854761</v>
      </c>
      <c r="M58" s="33">
        <v>0.001718243581175255</v>
      </c>
      <c r="N58" s="33">
        <v>0.002637333731538918</v>
      </c>
      <c r="O58" s="33">
        <v>0.0016200490871375677</v>
      </c>
      <c r="P58" s="33">
        <v>0.0016521712909858233</v>
      </c>
      <c r="Q58" s="33">
        <v>0.001619915287720367</v>
      </c>
      <c r="R58" s="33">
        <v>0.0015074777271923514</v>
      </c>
      <c r="S58" s="33">
        <v>0.0012006670831112146</v>
      </c>
      <c r="T58" s="33">
        <v>0.0017429216385853638</v>
      </c>
      <c r="U58" s="33">
        <v>0.0015675781784744607</v>
      </c>
      <c r="V58" s="33">
        <v>0.0018213210817894065</v>
      </c>
      <c r="W58" s="33">
        <v>0.0018121333014509422</v>
      </c>
      <c r="X58" s="33">
        <v>0.001994783835250231</v>
      </c>
      <c r="Y58" s="33">
        <v>0.0017352948765318602</v>
      </c>
      <c r="Z58" s="33">
        <v>0.0012761222320876882</v>
      </c>
      <c r="AA58" s="33">
        <v>0.002477842808815057</v>
      </c>
      <c r="AB58" s="33">
        <v>0.0033129901551243695</v>
      </c>
      <c r="AC58" s="33">
        <v>0.0016009488716716468</v>
      </c>
      <c r="AD58" s="33">
        <v>0.0017467234167650037</v>
      </c>
      <c r="AE58" s="33">
        <v>0.002202403112716515</v>
      </c>
      <c r="AF58" s="33">
        <v>0.0016360049275086818</v>
      </c>
      <c r="AG58" s="33">
        <v>0.0019789209340558655</v>
      </c>
      <c r="AH58" s="33">
        <v>0.0015048618483123714</v>
      </c>
      <c r="AI58" s="33">
        <v>0.0028818358515401844</v>
      </c>
      <c r="AJ58" s="33">
        <v>0.0022988664545371567</v>
      </c>
      <c r="AK58" s="33">
        <v>0.002018120127134989</v>
      </c>
      <c r="AL58" s="33">
        <v>0.0018602750897099643</v>
      </c>
      <c r="AM58" s="33">
        <v>0.0015947699831427473</v>
      </c>
      <c r="AN58" s="33">
        <v>0.002162848985413139</v>
      </c>
      <c r="AO58" s="33">
        <v>0.0023168856816223617</v>
      </c>
      <c r="AP58" s="33">
        <v>0.0020688914171188948</v>
      </c>
      <c r="AQ58" s="33">
        <v>0.0016137993495303072</v>
      </c>
      <c r="AR58" s="33">
        <v>0.002568822235130132</v>
      </c>
      <c r="AS58" s="33">
        <v>0.0024931389091025547</v>
      </c>
      <c r="AT58" s="33">
        <v>0.0005290148808005719</v>
      </c>
      <c r="AU58" s="33">
        <v>0.0020088863262796366</v>
      </c>
      <c r="AV58" s="33">
        <v>0.002061523279433141</v>
      </c>
      <c r="AW58" s="33">
        <v>0.00392939912772719</v>
      </c>
      <c r="AX58" s="33">
        <v>0.013404053516200902</v>
      </c>
      <c r="AY58" s="33">
        <v>0.007123706686408698</v>
      </c>
      <c r="AZ58" s="33">
        <v>0.0021010500639770187</v>
      </c>
      <c r="BA58" s="33">
        <v>0.0024957058875176566</v>
      </c>
      <c r="BB58" s="33">
        <v>0.0032029369215965686</v>
      </c>
      <c r="BC58" s="33">
        <v>0.006060212736575411</v>
      </c>
      <c r="BD58" s="33">
        <v>0.012925509656379348</v>
      </c>
      <c r="BE58" s="33">
        <v>0.002494698596292859</v>
      </c>
      <c r="BF58" s="33">
        <v>1.0503830906339318</v>
      </c>
      <c r="BG58" s="33">
        <v>0.017284766199109198</v>
      </c>
      <c r="BH58" s="33">
        <v>0.002455767274076934</v>
      </c>
      <c r="BI58" s="33">
        <v>0.004674115431896502</v>
      </c>
      <c r="BJ58" s="33">
        <v>0.003298654373843344</v>
      </c>
      <c r="BK58" s="33">
        <v>0.0022083319222643413</v>
      </c>
      <c r="BL58" s="33">
        <v>0.0017686113557761338</v>
      </c>
      <c r="BM58" s="33">
        <v>0</v>
      </c>
      <c r="BN58" s="33">
        <v>0</v>
      </c>
    </row>
    <row r="59" spans="1:66" x14ac:dyDescent="0.25">
      <c r="A59" s="30" t="s">
        <v>379</v>
      </c>
      <c r="B59" s="31" t="s">
        <v>380</v>
      </c>
      <c r="C59" s="33">
        <v>0.0003414311007753961</v>
      </c>
      <c r="D59" s="33">
        <v>0.0002537661531173484</v>
      </c>
      <c r="E59" s="33">
        <v>0.0003159100941406448</v>
      </c>
      <c r="F59" s="33">
        <v>0.00029319818690069506</v>
      </c>
      <c r="G59" s="33">
        <v>0.0005749613139002134</v>
      </c>
      <c r="H59" s="33">
        <v>0.00045231575535323277</v>
      </c>
      <c r="I59" s="33">
        <v>0.0004347956311255919</v>
      </c>
      <c r="J59" s="33">
        <v>0.00042952252697619976</v>
      </c>
      <c r="K59" s="33">
        <v>0.00043865845120741743</v>
      </c>
      <c r="L59" s="33">
        <v>0.0001902041107602149</v>
      </c>
      <c r="M59" s="33">
        <v>0.0004313337458088042</v>
      </c>
      <c r="N59" s="33">
        <v>0.0004178998279033293</v>
      </c>
      <c r="O59" s="33">
        <v>0.0003649118431776769</v>
      </c>
      <c r="P59" s="33">
        <v>0.0003701074915788435</v>
      </c>
      <c r="Q59" s="33">
        <v>0.00032827721914244966</v>
      </c>
      <c r="R59" s="33">
        <v>0.0003386605015345407</v>
      </c>
      <c r="S59" s="33">
        <v>0.0003016494605147646</v>
      </c>
      <c r="T59" s="33">
        <v>0.00037662080601800265</v>
      </c>
      <c r="U59" s="33">
        <v>0.0003497246723616687</v>
      </c>
      <c r="V59" s="33">
        <v>0.0004298617335212603</v>
      </c>
      <c r="W59" s="33">
        <v>0.00043004844992886737</v>
      </c>
      <c r="X59" s="33">
        <v>0.00041542962078415394</v>
      </c>
      <c r="Y59" s="33">
        <v>0.0003852961615071456</v>
      </c>
      <c r="Z59" s="33">
        <v>0.0003015296358094717</v>
      </c>
      <c r="AA59" s="33">
        <v>0.0004915604767857417</v>
      </c>
      <c r="AB59" s="33">
        <v>0.0004962964010793325</v>
      </c>
      <c r="AC59" s="33">
        <v>0.00039607806077596966</v>
      </c>
      <c r="AD59" s="33">
        <v>0.0005154246279792321</v>
      </c>
      <c r="AE59" s="33">
        <v>0.0005362585926563403</v>
      </c>
      <c r="AF59" s="33">
        <v>0.0005082744075382834</v>
      </c>
      <c r="AG59" s="33">
        <v>0.00038560309204448715</v>
      </c>
      <c r="AH59" s="33">
        <v>0.0003494325736276144</v>
      </c>
      <c r="AI59" s="33">
        <v>0.0005164239246877412</v>
      </c>
      <c r="AJ59" s="33">
        <v>0.00046682430648177395</v>
      </c>
      <c r="AK59" s="33">
        <v>0.00042768906895769907</v>
      </c>
      <c r="AL59" s="33">
        <v>0.0004842641890911007</v>
      </c>
      <c r="AM59" s="33">
        <v>0.000495213342276902</v>
      </c>
      <c r="AN59" s="33">
        <v>0.0007833201666284549</v>
      </c>
      <c r="AO59" s="33">
        <v>0.0005567746739398357</v>
      </c>
      <c r="AP59" s="33">
        <v>0.0005051869033930569</v>
      </c>
      <c r="AQ59" s="33">
        <v>0.0003947592693667802</v>
      </c>
      <c r="AR59" s="33">
        <v>0.0005095892011725705</v>
      </c>
      <c r="AS59" s="33">
        <v>0.000534126299124689</v>
      </c>
      <c r="AT59" s="33">
        <v>0.0001628591160317397</v>
      </c>
      <c r="AU59" s="33">
        <v>0.0005743891261380816</v>
      </c>
      <c r="AV59" s="33">
        <v>0.0004224923817851698</v>
      </c>
      <c r="AW59" s="33">
        <v>0.0005719275215367566</v>
      </c>
      <c r="AX59" s="33">
        <v>0.012319160076112907</v>
      </c>
      <c r="AY59" s="33">
        <v>0.002934287493028917</v>
      </c>
      <c r="AZ59" s="33">
        <v>0.000595727029215245</v>
      </c>
      <c r="BA59" s="33">
        <v>0.00038783544117487485</v>
      </c>
      <c r="BB59" s="33">
        <v>0.0012777340825338736</v>
      </c>
      <c r="BC59" s="33">
        <v>0.0037084794515795856</v>
      </c>
      <c r="BD59" s="33">
        <v>0.0010907113908040994</v>
      </c>
      <c r="BE59" s="33">
        <v>0.0007113408174882744</v>
      </c>
      <c r="BF59" s="33">
        <v>0.003133165033559049</v>
      </c>
      <c r="BG59" s="33">
        <v>1.0104871936577933</v>
      </c>
      <c r="BH59" s="33">
        <v>0.003631986803712378</v>
      </c>
      <c r="BI59" s="33">
        <v>0.0009014403126524237</v>
      </c>
      <c r="BJ59" s="33">
        <v>0.0008599027754138219</v>
      </c>
      <c r="BK59" s="33">
        <v>0.0005082818743479856</v>
      </c>
      <c r="BL59" s="33">
        <v>0.000508200964650498</v>
      </c>
      <c r="BM59" s="33">
        <v>0</v>
      </c>
      <c r="BN59" s="33">
        <v>0</v>
      </c>
    </row>
    <row r="60" spans="1:66" x14ac:dyDescent="0.25">
      <c r="A60" s="30" t="s">
        <v>381</v>
      </c>
      <c r="B60" s="31" t="s">
        <v>382</v>
      </c>
      <c r="C60" s="33">
        <v>0.0010696854744610333</v>
      </c>
      <c r="D60" s="33">
        <v>0.0006521043739102829</v>
      </c>
      <c r="E60" s="33">
        <v>0.0019770747140143655</v>
      </c>
      <c r="F60" s="33">
        <v>0.0009587727382382688</v>
      </c>
      <c r="G60" s="33">
        <v>0.002003112882110317</v>
      </c>
      <c r="H60" s="33">
        <v>0.002570193476654513</v>
      </c>
      <c r="I60" s="33">
        <v>0.001233329478339307</v>
      </c>
      <c r="J60" s="33">
        <v>0.0020499090339123685</v>
      </c>
      <c r="K60" s="33">
        <v>0.0041342819783343155</v>
      </c>
      <c r="L60" s="33">
        <v>0.0007405442595060023</v>
      </c>
      <c r="M60" s="33">
        <v>0.0013484774489768685</v>
      </c>
      <c r="N60" s="33">
        <v>0.0015154886533361642</v>
      </c>
      <c r="O60" s="33">
        <v>0.0012465149465016913</v>
      </c>
      <c r="P60" s="33">
        <v>0.0012346165519573722</v>
      </c>
      <c r="Q60" s="33">
        <v>0.0012103163168859991</v>
      </c>
      <c r="R60" s="33">
        <v>0.0011158101154818097</v>
      </c>
      <c r="S60" s="33">
        <v>0.000834706246115255</v>
      </c>
      <c r="T60" s="33">
        <v>0.0012587723765330545</v>
      </c>
      <c r="U60" s="33">
        <v>0.0010270074481362732</v>
      </c>
      <c r="V60" s="33">
        <v>0.0010701829603025892</v>
      </c>
      <c r="W60" s="33">
        <v>0.0013326505722595968</v>
      </c>
      <c r="X60" s="33">
        <v>0.0015215086237524308</v>
      </c>
      <c r="Y60" s="33">
        <v>0.0013607688822222794</v>
      </c>
      <c r="Z60" s="33">
        <v>0.0009143595657604522</v>
      </c>
      <c r="AA60" s="33">
        <v>0.0012763604288511653</v>
      </c>
      <c r="AB60" s="33">
        <v>0.0013836980170388454</v>
      </c>
      <c r="AC60" s="33">
        <v>0.0014635546800546855</v>
      </c>
      <c r="AD60" s="33">
        <v>0.001702148670115945</v>
      </c>
      <c r="AE60" s="33">
        <v>0.001339367388733292</v>
      </c>
      <c r="AF60" s="33">
        <v>0.0013397081903277488</v>
      </c>
      <c r="AG60" s="33">
        <v>0.0013198616872083662</v>
      </c>
      <c r="AH60" s="33">
        <v>0.0010767077707751437</v>
      </c>
      <c r="AI60" s="33">
        <v>0.0031869505265489663</v>
      </c>
      <c r="AJ60" s="33">
        <v>0.0017523134489103892</v>
      </c>
      <c r="AK60" s="33">
        <v>0.0013884628997655913</v>
      </c>
      <c r="AL60" s="33">
        <v>0.00700774017982173</v>
      </c>
      <c r="AM60" s="33">
        <v>0.009996139267281677</v>
      </c>
      <c r="AN60" s="33">
        <v>0.027931750590854867</v>
      </c>
      <c r="AO60" s="33">
        <v>0.0029290206767870384</v>
      </c>
      <c r="AP60" s="33">
        <v>0.0017938648261086293</v>
      </c>
      <c r="AQ60" s="33">
        <v>0.0012811009023053774</v>
      </c>
      <c r="AR60" s="33">
        <v>0.0010608704792915585</v>
      </c>
      <c r="AS60" s="33">
        <v>0.0012814962564187825</v>
      </c>
      <c r="AT60" s="33">
        <v>0.0004267878353045297</v>
      </c>
      <c r="AU60" s="33">
        <v>0.002037135567107193</v>
      </c>
      <c r="AV60" s="33">
        <v>0.0013691158206802123</v>
      </c>
      <c r="AW60" s="33">
        <v>0.0012479605517539143</v>
      </c>
      <c r="AX60" s="33">
        <v>0.006527547644604275</v>
      </c>
      <c r="AY60" s="33">
        <v>0.004415380040675184</v>
      </c>
      <c r="AZ60" s="33">
        <v>0.0014980903811868355</v>
      </c>
      <c r="BA60" s="33">
        <v>0.0012667618900164947</v>
      </c>
      <c r="BB60" s="33">
        <v>0.008020591438494852</v>
      </c>
      <c r="BC60" s="33">
        <v>0.002738352630352751</v>
      </c>
      <c r="BD60" s="33">
        <v>0.0018316302849944116</v>
      </c>
      <c r="BE60" s="33">
        <v>0.001743688811539213</v>
      </c>
      <c r="BF60" s="33">
        <v>0.0007324958971682485</v>
      </c>
      <c r="BG60" s="33">
        <v>0.0011556348231490311</v>
      </c>
      <c r="BH60" s="33">
        <v>1.0944550470685095</v>
      </c>
      <c r="BI60" s="33">
        <v>0.0223310339423422</v>
      </c>
      <c r="BJ60" s="33">
        <v>0.005650756556734085</v>
      </c>
      <c r="BK60" s="33">
        <v>0.002697952792842764</v>
      </c>
      <c r="BL60" s="33">
        <v>0.0017350266693025875</v>
      </c>
      <c r="BM60" s="33">
        <v>0</v>
      </c>
      <c r="BN60" s="33">
        <v>0</v>
      </c>
    </row>
    <row r="61" spans="1:66" x14ac:dyDescent="0.25">
      <c r="A61" s="30" t="s">
        <v>384</v>
      </c>
      <c r="B61" s="31" t="s">
        <v>385</v>
      </c>
      <c r="C61" s="33">
        <v>0.0011254225728416533</v>
      </c>
      <c r="D61" s="33">
        <v>0.0013084172654642375</v>
      </c>
      <c r="E61" s="33">
        <v>0.0023106885004000885</v>
      </c>
      <c r="F61" s="33">
        <v>0.0013216433446034655</v>
      </c>
      <c r="G61" s="33">
        <v>0.0022700639476386578</v>
      </c>
      <c r="H61" s="33">
        <v>0.0020606839269042185</v>
      </c>
      <c r="I61" s="33">
        <v>0.0015716877252297601</v>
      </c>
      <c r="J61" s="33">
        <v>0.0018606352629301944</v>
      </c>
      <c r="K61" s="33">
        <v>0.0025593583917826986</v>
      </c>
      <c r="L61" s="33">
        <v>0.0008351116242428013</v>
      </c>
      <c r="M61" s="33">
        <v>0.0015058931253600111</v>
      </c>
      <c r="N61" s="33">
        <v>0.001445254011623347</v>
      </c>
      <c r="O61" s="33">
        <v>0.001402951128154615</v>
      </c>
      <c r="P61" s="33">
        <v>0.001489426739905301</v>
      </c>
      <c r="Q61" s="33">
        <v>0.001395961513311781</v>
      </c>
      <c r="R61" s="33">
        <v>0.0013278342899219725</v>
      </c>
      <c r="S61" s="33">
        <v>0.001062679543932399</v>
      </c>
      <c r="T61" s="33">
        <v>0.0014447442755394554</v>
      </c>
      <c r="U61" s="33">
        <v>0.0013930852488742763</v>
      </c>
      <c r="V61" s="33">
        <v>0.001453855698625387</v>
      </c>
      <c r="W61" s="33">
        <v>0.001738842623849306</v>
      </c>
      <c r="X61" s="33">
        <v>0.0016475156386459946</v>
      </c>
      <c r="Y61" s="33">
        <v>0.001633860050806265</v>
      </c>
      <c r="Z61" s="33">
        <v>0.0012005002389855325</v>
      </c>
      <c r="AA61" s="33">
        <v>0.0020029712456332326</v>
      </c>
      <c r="AB61" s="33">
        <v>0.0018563691979974154</v>
      </c>
      <c r="AC61" s="33">
        <v>0.001739848402603023</v>
      </c>
      <c r="AD61" s="33">
        <v>0.0017383611287443658</v>
      </c>
      <c r="AE61" s="33">
        <v>0.0034325561995988477</v>
      </c>
      <c r="AF61" s="33">
        <v>0.0017430864219987333</v>
      </c>
      <c r="AG61" s="33">
        <v>0.0017313601612015095</v>
      </c>
      <c r="AH61" s="33">
        <v>0.0015643934400280343</v>
      </c>
      <c r="AI61" s="33">
        <v>0.002123690784129707</v>
      </c>
      <c r="AJ61" s="33">
        <v>0.0021096152347861484</v>
      </c>
      <c r="AK61" s="33">
        <v>0.0017539930520031203</v>
      </c>
      <c r="AL61" s="33">
        <v>0.005777866688654846</v>
      </c>
      <c r="AM61" s="33">
        <v>0.0019187124001238873</v>
      </c>
      <c r="AN61" s="33">
        <v>0.012113805973766602</v>
      </c>
      <c r="AO61" s="33">
        <v>0.0029593992223509785</v>
      </c>
      <c r="AP61" s="33">
        <v>0.0017132121258521017</v>
      </c>
      <c r="AQ61" s="33">
        <v>0.0017538988391538983</v>
      </c>
      <c r="AR61" s="33">
        <v>0.0015071798326991165</v>
      </c>
      <c r="AS61" s="33">
        <v>0.001572306523082638</v>
      </c>
      <c r="AT61" s="33">
        <v>0.0005376115311204323</v>
      </c>
      <c r="AU61" s="33">
        <v>0.0019739563289231606</v>
      </c>
      <c r="AV61" s="33">
        <v>0.0015936079323630196</v>
      </c>
      <c r="AW61" s="33">
        <v>0.001179599720348298</v>
      </c>
      <c r="AX61" s="33">
        <v>0.006775456407466685</v>
      </c>
      <c r="AY61" s="33">
        <v>0.0026388242632003067</v>
      </c>
      <c r="AZ61" s="33">
        <v>0.002339425747382469</v>
      </c>
      <c r="BA61" s="33">
        <v>0.0011231770140694573</v>
      </c>
      <c r="BB61" s="33">
        <v>0.008627090193402513</v>
      </c>
      <c r="BC61" s="33">
        <v>0.002763410532735923</v>
      </c>
      <c r="BD61" s="33">
        <v>0.00529286524919617</v>
      </c>
      <c r="BE61" s="33">
        <v>0.0027026452505617047</v>
      </c>
      <c r="BF61" s="33">
        <v>0.001220928285835896</v>
      </c>
      <c r="BG61" s="33">
        <v>0.001724221083434017</v>
      </c>
      <c r="BH61" s="33">
        <v>0.027101959530376155</v>
      </c>
      <c r="BI61" s="33">
        <v>1.1115584682217163</v>
      </c>
      <c r="BJ61" s="33">
        <v>0.011027927802330997</v>
      </c>
      <c r="BK61" s="33">
        <v>0.002147246853527953</v>
      </c>
      <c r="BL61" s="33">
        <v>0.004632971533674544</v>
      </c>
      <c r="BM61" s="33">
        <v>0</v>
      </c>
      <c r="BN61" s="33">
        <v>0</v>
      </c>
    </row>
    <row r="62" spans="1:66" x14ac:dyDescent="0.25">
      <c r="A62" s="30" t="s">
        <v>386</v>
      </c>
      <c r="B62" s="31" t="s">
        <v>387</v>
      </c>
      <c r="C62" s="33">
        <v>0.003021659877424093</v>
      </c>
      <c r="D62" s="33">
        <v>0.001527588263662711</v>
      </c>
      <c r="E62" s="33">
        <v>0.018966107815332745</v>
      </c>
      <c r="F62" s="33">
        <v>0.002181691827531097</v>
      </c>
      <c r="G62" s="33">
        <v>0.0030813480692316064</v>
      </c>
      <c r="H62" s="33">
        <v>0.0027278768520815674</v>
      </c>
      <c r="I62" s="33">
        <v>0.0022029936411267293</v>
      </c>
      <c r="J62" s="33">
        <v>0.002859698867550295</v>
      </c>
      <c r="K62" s="33">
        <v>0.0036899836382781217</v>
      </c>
      <c r="L62" s="33">
        <v>0.002177634307704616</v>
      </c>
      <c r="M62" s="33">
        <v>0.0026839882914920623</v>
      </c>
      <c r="N62" s="33">
        <v>0.0019494559231306244</v>
      </c>
      <c r="O62" s="33">
        <v>0.0022374797069841744</v>
      </c>
      <c r="P62" s="33">
        <v>0.0025611472655446975</v>
      </c>
      <c r="Q62" s="33">
        <v>0.0025361896684165035</v>
      </c>
      <c r="R62" s="33">
        <v>0.0022312584982716126</v>
      </c>
      <c r="S62" s="33">
        <v>0.0016152854194455702</v>
      </c>
      <c r="T62" s="33">
        <v>0.002183288403534333</v>
      </c>
      <c r="U62" s="33">
        <v>0.002008903880058363</v>
      </c>
      <c r="V62" s="33">
        <v>0.0020380837253932004</v>
      </c>
      <c r="W62" s="33">
        <v>0.0021104669773346113</v>
      </c>
      <c r="X62" s="33">
        <v>0.002282034014069205</v>
      </c>
      <c r="Y62" s="33">
        <v>0.002198618069926448</v>
      </c>
      <c r="Z62" s="33">
        <v>0.0020287024305199416</v>
      </c>
      <c r="AA62" s="33">
        <v>0.003757099242854659</v>
      </c>
      <c r="AB62" s="33">
        <v>0.0037075995550744693</v>
      </c>
      <c r="AC62" s="33">
        <v>0.0027041200990543714</v>
      </c>
      <c r="AD62" s="33">
        <v>0.0034726473119316955</v>
      </c>
      <c r="AE62" s="33">
        <v>0.002936620285476303</v>
      </c>
      <c r="AF62" s="33">
        <v>0.0035209766139177013</v>
      </c>
      <c r="AG62" s="33">
        <v>0.0027802212205741525</v>
      </c>
      <c r="AH62" s="33">
        <v>0.0018172903260869817</v>
      </c>
      <c r="AI62" s="33">
        <v>0.0023156754449224185</v>
      </c>
      <c r="AJ62" s="33">
        <v>0.0034949336967624277</v>
      </c>
      <c r="AK62" s="33">
        <v>0.0025335072823900245</v>
      </c>
      <c r="AL62" s="33">
        <v>0.002945738185591389</v>
      </c>
      <c r="AM62" s="33">
        <v>0.003361500061266261</v>
      </c>
      <c r="AN62" s="33">
        <v>0.0033797625191952442</v>
      </c>
      <c r="AO62" s="33">
        <v>0.005394388929502725</v>
      </c>
      <c r="AP62" s="33">
        <v>0.002720243677922283</v>
      </c>
      <c r="AQ62" s="33">
        <v>0.002579653476144035</v>
      </c>
      <c r="AR62" s="33">
        <v>0.003268712312924415</v>
      </c>
      <c r="AS62" s="33">
        <v>0.004681659308893263</v>
      </c>
      <c r="AT62" s="33">
        <v>0.0008230866208040592</v>
      </c>
      <c r="AU62" s="33">
        <v>0.005703459114476506</v>
      </c>
      <c r="AV62" s="33">
        <v>0.0037925457101199993</v>
      </c>
      <c r="AW62" s="33">
        <v>0.002938977908284616</v>
      </c>
      <c r="AX62" s="33">
        <v>0.0053181620096261414</v>
      </c>
      <c r="AY62" s="33">
        <v>0.004094401241620772</v>
      </c>
      <c r="AZ62" s="33">
        <v>0.0024078951381385494</v>
      </c>
      <c r="BA62" s="33">
        <v>0.0023687682719661417</v>
      </c>
      <c r="BB62" s="33">
        <v>0.004368921553251393</v>
      </c>
      <c r="BC62" s="33">
        <v>0.0041245497585958475</v>
      </c>
      <c r="BD62" s="33">
        <v>0.0015232696948931598</v>
      </c>
      <c r="BE62" s="33">
        <v>0.0019553771013004176</v>
      </c>
      <c r="BF62" s="33">
        <v>0.0027790771610677932</v>
      </c>
      <c r="BG62" s="33">
        <v>0.003143918222285361</v>
      </c>
      <c r="BH62" s="33">
        <v>0.004916941934750156</v>
      </c>
      <c r="BI62" s="33">
        <v>0.005385214730590506</v>
      </c>
      <c r="BJ62" s="33">
        <v>1.013446348827458</v>
      </c>
      <c r="BK62" s="33">
        <v>0.0025538913115644045</v>
      </c>
      <c r="BL62" s="33">
        <v>0.0035768992844507695</v>
      </c>
      <c r="BM62" s="33">
        <v>0</v>
      </c>
      <c r="BN62" s="33">
        <v>0</v>
      </c>
    </row>
    <row r="63" spans="1:66" x14ac:dyDescent="0.25">
      <c r="A63" s="30" t="s">
        <v>389</v>
      </c>
      <c r="B63" s="31" t="s">
        <v>390</v>
      </c>
      <c r="C63" s="33">
        <v>0.0005932100778419841</v>
      </c>
      <c r="D63" s="33">
        <v>0.0009104443028434861</v>
      </c>
      <c r="E63" s="33">
        <v>0.005077154006208921</v>
      </c>
      <c r="F63" s="33">
        <v>0.0007418100613646184</v>
      </c>
      <c r="G63" s="33">
        <v>0.0009644851306684186</v>
      </c>
      <c r="H63" s="33">
        <v>0.0009154069921566776</v>
      </c>
      <c r="I63" s="33">
        <v>0.000997134668341077</v>
      </c>
      <c r="J63" s="33">
        <v>0.0011399538840079278</v>
      </c>
      <c r="K63" s="33">
        <v>0.0011855583559937856</v>
      </c>
      <c r="L63" s="33">
        <v>0.0005730273706644598</v>
      </c>
      <c r="M63" s="33">
        <v>0.0008260639595790453</v>
      </c>
      <c r="N63" s="33">
        <v>0.0006343744575432591</v>
      </c>
      <c r="O63" s="33">
        <v>0.0008251864422290533</v>
      </c>
      <c r="P63" s="33">
        <v>0.0010926802101625629</v>
      </c>
      <c r="Q63" s="33">
        <v>0.0007980943267202614</v>
      </c>
      <c r="R63" s="33">
        <v>0.0008463708430957904</v>
      </c>
      <c r="S63" s="33">
        <v>0.0013247523959581124</v>
      </c>
      <c r="T63" s="33">
        <v>0.0010873399099015867</v>
      </c>
      <c r="U63" s="33">
        <v>0.0009246821170179749</v>
      </c>
      <c r="V63" s="33">
        <v>0.0009614010841126086</v>
      </c>
      <c r="W63" s="33">
        <v>0.0014265169031494375</v>
      </c>
      <c r="X63" s="33">
        <v>0.0014090448682101023</v>
      </c>
      <c r="Y63" s="33">
        <v>0.0017403940250532049</v>
      </c>
      <c r="Z63" s="33">
        <v>0.0007257504393375824</v>
      </c>
      <c r="AA63" s="33">
        <v>0.00161551969326616</v>
      </c>
      <c r="AB63" s="33">
        <v>0.0009239062028382189</v>
      </c>
      <c r="AC63" s="33">
        <v>0.0007445324590656617</v>
      </c>
      <c r="AD63" s="33">
        <v>0.0007153821914556093</v>
      </c>
      <c r="AE63" s="33">
        <v>0.0009353575465772031</v>
      </c>
      <c r="AF63" s="33">
        <v>0.0013324071614992782</v>
      </c>
      <c r="AG63" s="33">
        <v>0.0007992043225455777</v>
      </c>
      <c r="AH63" s="33">
        <v>0.0007763801708077071</v>
      </c>
      <c r="AI63" s="33">
        <v>0.001482304790575046</v>
      </c>
      <c r="AJ63" s="33">
        <v>0.0008759619178773268</v>
      </c>
      <c r="AK63" s="33">
        <v>0.0010514422959965709</v>
      </c>
      <c r="AL63" s="33">
        <v>0.0011945957990113026</v>
      </c>
      <c r="AM63" s="33">
        <v>0.0008282777725883208</v>
      </c>
      <c r="AN63" s="33">
        <v>0.0026075605390490915</v>
      </c>
      <c r="AO63" s="33">
        <v>0.0030803159550598113</v>
      </c>
      <c r="AP63" s="33">
        <v>0.0014894996229389461</v>
      </c>
      <c r="AQ63" s="33">
        <v>0.0012137163410974009</v>
      </c>
      <c r="AR63" s="33">
        <v>0.0012476601083238339</v>
      </c>
      <c r="AS63" s="33">
        <v>0.0013843124825292023</v>
      </c>
      <c r="AT63" s="33">
        <v>0.0004014435377339727</v>
      </c>
      <c r="AU63" s="33">
        <v>0.0017034831818746455</v>
      </c>
      <c r="AV63" s="33">
        <v>0.0012206449080106525</v>
      </c>
      <c r="AW63" s="33">
        <v>0.0007016395511225289</v>
      </c>
      <c r="AX63" s="33">
        <v>0.001543045228617512</v>
      </c>
      <c r="AY63" s="33">
        <v>0.002580435916000795</v>
      </c>
      <c r="AZ63" s="33">
        <v>0.0015261214119071385</v>
      </c>
      <c r="BA63" s="33">
        <v>0.00036322730516028293</v>
      </c>
      <c r="BB63" s="33">
        <v>0.0015814308874475085</v>
      </c>
      <c r="BC63" s="33">
        <v>0.001331973607516269</v>
      </c>
      <c r="BD63" s="33">
        <v>0.0008706516651242333</v>
      </c>
      <c r="BE63" s="33">
        <v>0.00048628821582629746</v>
      </c>
      <c r="BF63" s="33">
        <v>0.0006432744095597999</v>
      </c>
      <c r="BG63" s="33">
        <v>0.00057131939672359</v>
      </c>
      <c r="BH63" s="33">
        <v>0.000942649712745825</v>
      </c>
      <c r="BI63" s="33">
        <v>0.0011586419991598275</v>
      </c>
      <c r="BJ63" s="33">
        <v>0.0012893602585090946</v>
      </c>
      <c r="BK63" s="33">
        <v>1.0366657494038696</v>
      </c>
      <c r="BL63" s="33">
        <v>0.0005837053673077806</v>
      </c>
      <c r="BM63" s="33">
        <v>0</v>
      </c>
      <c r="BN63" s="33">
        <v>0</v>
      </c>
    </row>
    <row r="64" spans="1:66" x14ac:dyDescent="0.25">
      <c r="A64" s="30" t="s">
        <v>391</v>
      </c>
      <c r="B64" s="31" t="s">
        <v>392</v>
      </c>
      <c r="C64" s="33">
        <v>0.0008063259229231259</v>
      </c>
      <c r="D64" s="33">
        <v>0.0006713287761805081</v>
      </c>
      <c r="E64" s="33">
        <v>0.0020834214961232725</v>
      </c>
      <c r="F64" s="33">
        <v>0.0010609581888381648</v>
      </c>
      <c r="G64" s="33">
        <v>0.0011845248570625411</v>
      </c>
      <c r="H64" s="33">
        <v>0.001353489219110072</v>
      </c>
      <c r="I64" s="33">
        <v>0.0017337386897514878</v>
      </c>
      <c r="J64" s="33">
        <v>0.0014279041332967677</v>
      </c>
      <c r="K64" s="33">
        <v>0.001554768671332421</v>
      </c>
      <c r="L64" s="33">
        <v>0.0006266796606020709</v>
      </c>
      <c r="M64" s="33">
        <v>0.0015045090307755314</v>
      </c>
      <c r="N64" s="33">
        <v>0.0010793106525993125</v>
      </c>
      <c r="O64" s="33">
        <v>0.0011975645435181599</v>
      </c>
      <c r="P64" s="33">
        <v>0.001296036062673375</v>
      </c>
      <c r="Q64" s="33">
        <v>0.0010885407130834391</v>
      </c>
      <c r="R64" s="33">
        <v>0.0010637771477979327</v>
      </c>
      <c r="S64" s="33">
        <v>0.0009151518728901344</v>
      </c>
      <c r="T64" s="33">
        <v>0.0012004084790266621</v>
      </c>
      <c r="U64" s="33">
        <v>0.0010729266439436606</v>
      </c>
      <c r="V64" s="33">
        <v>0.0010379868109375316</v>
      </c>
      <c r="W64" s="33">
        <v>0.0011223501379244247</v>
      </c>
      <c r="X64" s="33">
        <v>0.002053111664798355</v>
      </c>
      <c r="Y64" s="33">
        <v>0.000884768121283339</v>
      </c>
      <c r="Z64" s="33">
        <v>0.0008269468321875498</v>
      </c>
      <c r="AA64" s="33">
        <v>0.001692043738541134</v>
      </c>
      <c r="AB64" s="33">
        <v>0.0025249624866745665</v>
      </c>
      <c r="AC64" s="33">
        <v>0.0010131973365306317</v>
      </c>
      <c r="AD64" s="33">
        <v>0.0009098671772640312</v>
      </c>
      <c r="AE64" s="33">
        <v>0.0009538589305796807</v>
      </c>
      <c r="AF64" s="33">
        <v>0.001003163955257085</v>
      </c>
      <c r="AG64" s="33">
        <v>0.0013003759625519243</v>
      </c>
      <c r="AH64" s="33">
        <v>0.0008031623223619153</v>
      </c>
      <c r="AI64" s="33">
        <v>0.002114606323129153</v>
      </c>
      <c r="AJ64" s="33">
        <v>0.001403814323567432</v>
      </c>
      <c r="AK64" s="33">
        <v>0.0013611161772732676</v>
      </c>
      <c r="AL64" s="33">
        <v>0.0035635255175054314</v>
      </c>
      <c r="AM64" s="33">
        <v>0.0008683886950324277</v>
      </c>
      <c r="AN64" s="33">
        <v>0.0027997807832959233</v>
      </c>
      <c r="AO64" s="33">
        <v>0.0015067765668609642</v>
      </c>
      <c r="AP64" s="33">
        <v>0.0010755348316552101</v>
      </c>
      <c r="AQ64" s="33">
        <v>0.0006554749263282842</v>
      </c>
      <c r="AR64" s="33">
        <v>0.0008065959761123996</v>
      </c>
      <c r="AS64" s="33">
        <v>0.00081033452230909</v>
      </c>
      <c r="AT64" s="33">
        <v>0.0003359842805492158</v>
      </c>
      <c r="AU64" s="33">
        <v>0.0024749874469095277</v>
      </c>
      <c r="AV64" s="33">
        <v>0.0017139778812773885</v>
      </c>
      <c r="AW64" s="33">
        <v>0.0011551302689701783</v>
      </c>
      <c r="AX64" s="33">
        <v>0.003273737741447867</v>
      </c>
      <c r="AY64" s="33">
        <v>0.0024023247265698494</v>
      </c>
      <c r="AZ64" s="33">
        <v>0.003565145901682927</v>
      </c>
      <c r="BA64" s="33">
        <v>0.0018041953444275108</v>
      </c>
      <c r="BB64" s="33">
        <v>0.002690624433408654</v>
      </c>
      <c r="BC64" s="33">
        <v>0.002028681882421112</v>
      </c>
      <c r="BD64" s="33">
        <v>0.0010423518563857088</v>
      </c>
      <c r="BE64" s="33">
        <v>0.0008562233419321387</v>
      </c>
      <c r="BF64" s="33">
        <v>0.0034091301620691695</v>
      </c>
      <c r="BG64" s="33">
        <v>0.004014730272721062</v>
      </c>
      <c r="BH64" s="33">
        <v>0.004095217589168178</v>
      </c>
      <c r="BI64" s="33">
        <v>0.004964150907156563</v>
      </c>
      <c r="BJ64" s="33">
        <v>0.003241960476926817</v>
      </c>
      <c r="BK64" s="33">
        <v>0.001013026121831514</v>
      </c>
      <c r="BL64" s="33">
        <v>1.0812697510153944</v>
      </c>
      <c r="BM64" s="33">
        <v>0</v>
      </c>
      <c r="BN64" s="33">
        <v>0</v>
      </c>
    </row>
    <row r="65" spans="1:66" x14ac:dyDescent="0.25">
      <c r="A65" s="30" t="s">
        <v>393</v>
      </c>
      <c r="B65" s="31" t="s">
        <v>394</v>
      </c>
      <c r="C65" s="33">
        <v>0.00003588844472655553</v>
      </c>
      <c r="D65" s="33">
        <v>0.00003457356607302362</v>
      </c>
      <c r="E65" s="33">
        <v>0.001423082208334311</v>
      </c>
      <c r="F65" s="33">
        <v>0.000004651484696276627</v>
      </c>
      <c r="G65" s="33">
        <v>0.000059698937766970315</v>
      </c>
      <c r="H65" s="33">
        <v>0.00000547670677772566</v>
      </c>
      <c r="I65" s="33">
        <v>0.000008646110977775956</v>
      </c>
      <c r="J65" s="33">
        <v>0.00000783571801360262</v>
      </c>
      <c r="K65" s="33">
        <v>0.000005482841962754049</v>
      </c>
      <c r="L65" s="33">
        <v>0.000003219732090180415</v>
      </c>
      <c r="M65" s="33">
        <v>0.000006843082580023233</v>
      </c>
      <c r="N65" s="33">
        <v>0.0000039458809415446235</v>
      </c>
      <c r="O65" s="33">
        <v>0.000005372455495847597</v>
      </c>
      <c r="P65" s="33">
        <v>0.0000056989424152118014</v>
      </c>
      <c r="Q65" s="33">
        <v>0.000005977536709450666</v>
      </c>
      <c r="R65" s="33">
        <v>0.0000045326158944263454</v>
      </c>
      <c r="S65" s="33">
        <v>0.0000032617835631630463</v>
      </c>
      <c r="T65" s="33">
        <v>0.000004765857037648082</v>
      </c>
      <c r="U65" s="33">
        <v>0.000004357655511393684</v>
      </c>
      <c r="V65" s="33">
        <v>0.000004773248348192892</v>
      </c>
      <c r="W65" s="33">
        <v>0.000004308194342906913</v>
      </c>
      <c r="X65" s="33">
        <v>0.000004636887512676835</v>
      </c>
      <c r="Y65" s="33">
        <v>0.000004533877692091078</v>
      </c>
      <c r="Z65" s="33">
        <v>0.000006739521236795627</v>
      </c>
      <c r="AA65" s="33">
        <v>0.000007204634021604423</v>
      </c>
      <c r="AB65" s="33">
        <v>0.000009847808039754315</v>
      </c>
      <c r="AC65" s="33">
        <v>0.000009604128530218237</v>
      </c>
      <c r="AD65" s="33">
        <v>0.000004261965097925773</v>
      </c>
      <c r="AE65" s="33">
        <v>0.000006239748160981611</v>
      </c>
      <c r="AF65" s="33">
        <v>0.000004723802896981017</v>
      </c>
      <c r="AG65" s="33">
        <v>0.000008542014771296003</v>
      </c>
      <c r="AH65" s="33">
        <v>0.000011005400637729512</v>
      </c>
      <c r="AI65" s="33">
        <v>0.000008631097358879499</v>
      </c>
      <c r="AJ65" s="33">
        <v>0.000041841768524399076</v>
      </c>
      <c r="AK65" s="33">
        <v>0.00000879303709546054</v>
      </c>
      <c r="AL65" s="33">
        <v>0.000017770993325047837</v>
      </c>
      <c r="AM65" s="33">
        <v>0.000003755069868776249</v>
      </c>
      <c r="AN65" s="33">
        <v>0.000006287264783138751</v>
      </c>
      <c r="AO65" s="33">
        <v>0.0000050251598594163615</v>
      </c>
      <c r="AP65" s="33">
        <v>0.000003686662198225723</v>
      </c>
      <c r="AQ65" s="33">
        <v>0.0000026562885420505827</v>
      </c>
      <c r="AR65" s="33">
        <v>0.0000032359041987836253</v>
      </c>
      <c r="AS65" s="33">
        <v>0.0000037099140143223507</v>
      </c>
      <c r="AT65" s="33">
        <v>0.000005180255842571139</v>
      </c>
      <c r="AU65" s="33">
        <v>0.0000051899130308448375</v>
      </c>
      <c r="AV65" s="33">
        <v>0.000015810966452033036</v>
      </c>
      <c r="AW65" s="33">
        <v>0.000010558857881107701</v>
      </c>
      <c r="AX65" s="33">
        <v>0.000008730558568438743</v>
      </c>
      <c r="AY65" s="33">
        <v>0.000006969430447336891</v>
      </c>
      <c r="AZ65" s="33">
        <v>0.000004114890950151967</v>
      </c>
      <c r="BA65" s="33">
        <v>0.000013767814110106415</v>
      </c>
      <c r="BB65" s="33">
        <v>0.000011929004787129805</v>
      </c>
      <c r="BC65" s="33">
        <v>0.000013779239802036274</v>
      </c>
      <c r="BD65" s="33">
        <v>0.00020183017565127774</v>
      </c>
      <c r="BE65" s="33">
        <v>0.00009120823662710383</v>
      </c>
      <c r="BF65" s="33">
        <v>0.000057289438280525885</v>
      </c>
      <c r="BG65" s="33">
        <v>0.0001395850151102758</v>
      </c>
      <c r="BH65" s="33">
        <v>0.0000543207152488083</v>
      </c>
      <c r="BI65" s="33">
        <v>0.00004152857986662859</v>
      </c>
      <c r="BJ65" s="33">
        <v>0.000012720665944083544</v>
      </c>
      <c r="BK65" s="33">
        <v>0.000003997944444291665</v>
      </c>
      <c r="BL65" s="33">
        <v>0.000003285363279312617</v>
      </c>
      <c r="BM65" s="33">
        <v>1</v>
      </c>
      <c r="BN65" s="33">
        <v>0</v>
      </c>
    </row>
    <row r="66" spans="1:66" x14ac:dyDescent="0.25">
      <c r="A66" s="30" t="s">
        <v>395</v>
      </c>
      <c r="B66" s="31" t="s">
        <v>396</v>
      </c>
      <c r="C66" s="33">
        <v>0</v>
      </c>
      <c r="D66" s="33">
        <v>0</v>
      </c>
      <c r="E66" s="33">
        <v>0</v>
      </c>
      <c r="F66" s="33">
        <v>0</v>
      </c>
      <c r="G66" s="33">
        <v>0</v>
      </c>
      <c r="H66" s="33">
        <v>0</v>
      </c>
      <c r="I66" s="33">
        <v>0</v>
      </c>
      <c r="J66" s="33">
        <v>0</v>
      </c>
      <c r="K66" s="33">
        <v>0</v>
      </c>
      <c r="L66" s="33">
        <v>0</v>
      </c>
      <c r="M66" s="33">
        <v>0</v>
      </c>
      <c r="N66" s="33">
        <v>0</v>
      </c>
      <c r="O66" s="33">
        <v>0</v>
      </c>
      <c r="P66" s="33">
        <v>0</v>
      </c>
      <c r="Q66" s="33">
        <v>0</v>
      </c>
      <c r="R66" s="33">
        <v>0</v>
      </c>
      <c r="S66" s="33">
        <v>0</v>
      </c>
      <c r="T66" s="33">
        <v>0</v>
      </c>
      <c r="U66" s="33">
        <v>0</v>
      </c>
      <c r="V66" s="33">
        <v>0</v>
      </c>
      <c r="W66" s="33">
        <v>0</v>
      </c>
      <c r="X66" s="33">
        <v>0</v>
      </c>
      <c r="Y66" s="33">
        <v>0</v>
      </c>
      <c r="Z66" s="33">
        <v>0</v>
      </c>
      <c r="AA66" s="33">
        <v>0</v>
      </c>
      <c r="AB66" s="33">
        <v>0</v>
      </c>
      <c r="AC66" s="33">
        <v>0</v>
      </c>
      <c r="AD66" s="33">
        <v>0</v>
      </c>
      <c r="AE66" s="33">
        <v>0</v>
      </c>
      <c r="AF66" s="33">
        <v>0</v>
      </c>
      <c r="AG66" s="33">
        <v>0</v>
      </c>
      <c r="AH66" s="33">
        <v>0</v>
      </c>
      <c r="AI66" s="33">
        <v>0</v>
      </c>
      <c r="AJ66" s="33">
        <v>0</v>
      </c>
      <c r="AK66" s="33">
        <v>0</v>
      </c>
      <c r="AL66" s="33">
        <v>0</v>
      </c>
      <c r="AM66" s="33">
        <v>0</v>
      </c>
      <c r="AN66" s="33">
        <v>0</v>
      </c>
      <c r="AO66" s="33">
        <v>0</v>
      </c>
      <c r="AP66" s="33">
        <v>0</v>
      </c>
      <c r="AQ66" s="33">
        <v>0</v>
      </c>
      <c r="AR66" s="33">
        <v>0</v>
      </c>
      <c r="AS66" s="33">
        <v>0</v>
      </c>
      <c r="AT66" s="33">
        <v>0</v>
      </c>
      <c r="AU66" s="33">
        <v>0</v>
      </c>
      <c r="AV66" s="33">
        <v>0</v>
      </c>
      <c r="AW66" s="33">
        <v>0</v>
      </c>
      <c r="AX66" s="33">
        <v>0</v>
      </c>
      <c r="AY66" s="33">
        <v>0</v>
      </c>
      <c r="AZ66" s="33">
        <v>0</v>
      </c>
      <c r="BA66" s="33">
        <v>0</v>
      </c>
      <c r="BB66" s="33">
        <v>0</v>
      </c>
      <c r="BC66" s="33">
        <v>0</v>
      </c>
      <c r="BD66" s="33">
        <v>0</v>
      </c>
      <c r="BE66" s="33">
        <v>0</v>
      </c>
      <c r="BF66" s="33">
        <v>0</v>
      </c>
      <c r="BG66" s="33">
        <v>0</v>
      </c>
      <c r="BH66" s="33">
        <v>0</v>
      </c>
      <c r="BI66" s="33">
        <v>0</v>
      </c>
      <c r="BJ66" s="33">
        <v>0</v>
      </c>
      <c r="BK66" s="33">
        <v>0</v>
      </c>
      <c r="BL66" s="33">
        <v>0</v>
      </c>
      <c r="BM66" s="33">
        <v>0</v>
      </c>
      <c r="BN66" s="33">
        <v>1</v>
      </c>
    </row>
  </sheetData>
  <mergeCells count="1">
    <mergeCell ref="A1:B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BN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34" customWidth="1"/>
    <col min="3" max="66" width="10" customWidth="1"/>
  </cols>
  <sheetData>
    <row r="1" spans="1:66" x14ac:dyDescent="0.25">
      <c r="A1" s="27" t="s">
        <v>426</v>
      </c>
      <c r="B1" s="27"/>
      <c r="C1" s="34" t="s">
        <v>273</v>
      </c>
      <c r="D1" s="34" t="s">
        <v>276</v>
      </c>
      <c r="E1" s="34" t="s">
        <v>278</v>
      </c>
      <c r="F1" s="34" t="s">
        <v>280</v>
      </c>
      <c r="G1" s="34" t="s">
        <v>282</v>
      </c>
      <c r="H1" s="34" t="s">
        <v>145</v>
      </c>
      <c r="I1" s="34" t="s">
        <v>85</v>
      </c>
      <c r="J1" s="34" t="s">
        <v>87</v>
      </c>
      <c r="K1" s="34" t="s">
        <v>89</v>
      </c>
      <c r="L1" s="34" t="s">
        <v>91</v>
      </c>
      <c r="M1" s="34" t="s">
        <v>93</v>
      </c>
      <c r="N1" s="34" t="s">
        <v>95</v>
      </c>
      <c r="O1" s="34" t="s">
        <v>97</v>
      </c>
      <c r="P1" s="34" t="s">
        <v>99</v>
      </c>
      <c r="Q1" s="34" t="s">
        <v>101</v>
      </c>
      <c r="R1" s="34" t="s">
        <v>103</v>
      </c>
      <c r="S1" s="34" t="s">
        <v>105</v>
      </c>
      <c r="T1" s="34" t="s">
        <v>107</v>
      </c>
      <c r="U1" s="34" t="s">
        <v>109</v>
      </c>
      <c r="V1" s="34" t="s">
        <v>111</v>
      </c>
      <c r="W1" s="34" t="s">
        <v>113</v>
      </c>
      <c r="X1" s="34" t="s">
        <v>301</v>
      </c>
      <c r="Y1" s="34" t="s">
        <v>119</v>
      </c>
      <c r="Z1" s="34" t="s">
        <v>304</v>
      </c>
      <c r="AA1" s="34" t="s">
        <v>307</v>
      </c>
      <c r="AB1" s="34" t="s">
        <v>310</v>
      </c>
      <c r="AC1" s="34" t="s">
        <v>312</v>
      </c>
      <c r="AD1" s="34" t="s">
        <v>314</v>
      </c>
      <c r="AE1" s="34" t="s">
        <v>317</v>
      </c>
      <c r="AF1" s="34" t="s">
        <v>319</v>
      </c>
      <c r="AG1" s="34" t="s">
        <v>321</v>
      </c>
      <c r="AH1" s="34" t="s">
        <v>134</v>
      </c>
      <c r="AI1" s="34" t="s">
        <v>137</v>
      </c>
      <c r="AJ1" s="34" t="s">
        <v>326</v>
      </c>
      <c r="AK1" s="34" t="s">
        <v>328</v>
      </c>
      <c r="AL1" s="34" t="s">
        <v>330</v>
      </c>
      <c r="AM1" s="34" t="s">
        <v>332</v>
      </c>
      <c r="AN1" s="34" t="s">
        <v>335</v>
      </c>
      <c r="AO1" s="34" t="s">
        <v>337</v>
      </c>
      <c r="AP1" s="34" t="s">
        <v>339</v>
      </c>
      <c r="AQ1" s="34" t="s">
        <v>341</v>
      </c>
      <c r="AR1" s="34" t="s">
        <v>344</v>
      </c>
      <c r="AS1" s="34" t="s">
        <v>346</v>
      </c>
      <c r="AT1" s="34" t="s">
        <v>348</v>
      </c>
      <c r="AU1" s="34" t="s">
        <v>350</v>
      </c>
      <c r="AV1" s="34" t="s">
        <v>353</v>
      </c>
      <c r="AW1" s="34" t="s">
        <v>355</v>
      </c>
      <c r="AX1" s="34" t="s">
        <v>357</v>
      </c>
      <c r="AY1" s="34" t="s">
        <v>359</v>
      </c>
      <c r="AZ1" s="34" t="s">
        <v>361</v>
      </c>
      <c r="BA1" s="34" t="s">
        <v>364</v>
      </c>
      <c r="BB1" s="34" t="s">
        <v>366</v>
      </c>
      <c r="BC1" s="34" t="s">
        <v>368</v>
      </c>
      <c r="BD1" s="34" t="s">
        <v>370</v>
      </c>
      <c r="BE1" s="34" t="s">
        <v>373</v>
      </c>
      <c r="BF1" s="34" t="s">
        <v>376</v>
      </c>
      <c r="BG1" s="34" t="s">
        <v>379</v>
      </c>
      <c r="BH1" s="34" t="s">
        <v>381</v>
      </c>
      <c r="BI1" s="34" t="s">
        <v>384</v>
      </c>
      <c r="BJ1" s="34" t="s">
        <v>386</v>
      </c>
      <c r="BK1" s="34" t="s">
        <v>389</v>
      </c>
      <c r="BL1" s="34" t="s">
        <v>391</v>
      </c>
      <c r="BM1" s="34" t="s">
        <v>393</v>
      </c>
      <c r="BN1" s="34" t="s">
        <v>395</v>
      </c>
    </row>
    <row r="2" ht="46" customHeight="1" spans="1:66" x14ac:dyDescent="0.25">
      <c r="A2" s="27"/>
      <c r="B2" s="27"/>
      <c r="C2" s="29" t="s">
        <v>274</v>
      </c>
      <c r="D2" s="29" t="s">
        <v>277</v>
      </c>
      <c r="E2" s="29" t="s">
        <v>279</v>
      </c>
      <c r="F2" s="29" t="s">
        <v>281</v>
      </c>
      <c r="G2" s="29" t="s">
        <v>283</v>
      </c>
      <c r="H2" s="29" t="s">
        <v>285</v>
      </c>
      <c r="I2" s="29" t="s">
        <v>286</v>
      </c>
      <c r="J2" s="29" t="s">
        <v>287</v>
      </c>
      <c r="K2" s="29" t="s">
        <v>288</v>
      </c>
      <c r="L2" s="29" t="s">
        <v>289</v>
      </c>
      <c r="M2" s="29" t="s">
        <v>290</v>
      </c>
      <c r="N2" s="29" t="s">
        <v>291</v>
      </c>
      <c r="O2" s="29" t="s">
        <v>292</v>
      </c>
      <c r="P2" s="29" t="s">
        <v>293</v>
      </c>
      <c r="Q2" s="29" t="s">
        <v>294</v>
      </c>
      <c r="R2" s="29" t="s">
        <v>295</v>
      </c>
      <c r="S2" s="29" t="s">
        <v>296</v>
      </c>
      <c r="T2" s="29" t="s">
        <v>297</v>
      </c>
      <c r="U2" s="29" t="s">
        <v>298</v>
      </c>
      <c r="V2" s="29" t="s">
        <v>299</v>
      </c>
      <c r="W2" s="29" t="s">
        <v>300</v>
      </c>
      <c r="X2" s="29" t="s">
        <v>302</v>
      </c>
      <c r="Y2" s="29" t="s">
        <v>303</v>
      </c>
      <c r="Z2" s="29" t="s">
        <v>305</v>
      </c>
      <c r="AA2" s="29" t="s">
        <v>308</v>
      </c>
      <c r="AB2" s="29" t="s">
        <v>311</v>
      </c>
      <c r="AC2" s="29" t="s">
        <v>313</v>
      </c>
      <c r="AD2" s="29" t="s">
        <v>315</v>
      </c>
      <c r="AE2" s="29" t="s">
        <v>318</v>
      </c>
      <c r="AF2" s="29" t="s">
        <v>320</v>
      </c>
      <c r="AG2" s="29" t="s">
        <v>322</v>
      </c>
      <c r="AH2" s="29" t="s">
        <v>324</v>
      </c>
      <c r="AI2" s="29" t="s">
        <v>325</v>
      </c>
      <c r="AJ2" s="29" t="s">
        <v>327</v>
      </c>
      <c r="AK2" s="29" t="s">
        <v>329</v>
      </c>
      <c r="AL2" s="29" t="s">
        <v>331</v>
      </c>
      <c r="AM2" s="29" t="s">
        <v>333</v>
      </c>
      <c r="AN2" s="29" t="s">
        <v>336</v>
      </c>
      <c r="AO2" s="29" t="s">
        <v>338</v>
      </c>
      <c r="AP2" s="29" t="s">
        <v>340</v>
      </c>
      <c r="AQ2" s="29" t="s">
        <v>342</v>
      </c>
      <c r="AR2" s="29" t="s">
        <v>345</v>
      </c>
      <c r="AS2" s="29" t="s">
        <v>347</v>
      </c>
      <c r="AT2" s="29" t="s">
        <v>349</v>
      </c>
      <c r="AU2" s="29" t="s">
        <v>351</v>
      </c>
      <c r="AV2" s="29" t="s">
        <v>354</v>
      </c>
      <c r="AW2" s="29" t="s">
        <v>356</v>
      </c>
      <c r="AX2" s="29" t="s">
        <v>358</v>
      </c>
      <c r="AY2" s="29" t="s">
        <v>360</v>
      </c>
      <c r="AZ2" s="29" t="s">
        <v>362</v>
      </c>
      <c r="BA2" s="29" t="s">
        <v>365</v>
      </c>
      <c r="BB2" s="29" t="s">
        <v>367</v>
      </c>
      <c r="BC2" s="29" t="s">
        <v>369</v>
      </c>
      <c r="BD2" s="29" t="s">
        <v>371</v>
      </c>
      <c r="BE2" s="29" t="s">
        <v>374</v>
      </c>
      <c r="BF2" s="29" t="s">
        <v>377</v>
      </c>
      <c r="BG2" s="29" t="s">
        <v>380</v>
      </c>
      <c r="BH2" s="29" t="s">
        <v>382</v>
      </c>
      <c r="BI2" s="29" t="s">
        <v>385</v>
      </c>
      <c r="BJ2" s="29" t="s">
        <v>387</v>
      </c>
      <c r="BK2" s="29" t="s">
        <v>390</v>
      </c>
      <c r="BL2" s="29" t="s">
        <v>392</v>
      </c>
      <c r="BM2" s="29" t="s">
        <v>394</v>
      </c>
      <c r="BN2" s="29" t="s">
        <v>396</v>
      </c>
    </row>
    <row r="3" spans="1:66" x14ac:dyDescent="0.25">
      <c r="A3" s="30" t="s">
        <v>273</v>
      </c>
      <c r="B3" s="31" t="s">
        <v>274</v>
      </c>
      <c r="C3" s="33">
        <f t="array" ref="C3:BN66">MMULT('A import'!C3:BN66,'Leontief inverse'!C3:BN66)</f>
        <v>0.009507299954786592</v>
      </c>
      <c r="D3" s="33">
        <v>0.0010642841450433232</v>
      </c>
      <c r="E3" s="33">
        <v>0.0015246387150132756</v>
      </c>
      <c r="F3" s="33">
        <v>0.00021009001158594438</v>
      </c>
      <c r="G3" s="33">
        <v>0.023457160209365037</v>
      </c>
      <c r="H3" s="33">
        <v>0.002250372092939139</v>
      </c>
      <c r="I3" s="33">
        <v>0.000711582608034095</v>
      </c>
      <c r="J3" s="33">
        <v>0.0006399714714024857</v>
      </c>
      <c r="K3" s="33">
        <v>0.0003305293981219362</v>
      </c>
      <c r="L3" s="33">
        <v>0.00020471385124829378</v>
      </c>
      <c r="M3" s="33">
        <v>0.0013886780726590094</v>
      </c>
      <c r="N3" s="33">
        <v>0.000597513292719165</v>
      </c>
      <c r="O3" s="33">
        <v>0.0014976549057788137</v>
      </c>
      <c r="P3" s="33">
        <v>0.00032146965207521246</v>
      </c>
      <c r="Q3" s="33">
        <v>0.00028765834247908035</v>
      </c>
      <c r="R3" s="33">
        <v>0.00024318567281533452</v>
      </c>
      <c r="S3" s="33">
        <v>0.00018575724305385324</v>
      </c>
      <c r="T3" s="33">
        <v>0.0002676279730888061</v>
      </c>
      <c r="U3" s="33">
        <v>0.00023711984110884725</v>
      </c>
      <c r="V3" s="33">
        <v>0.0002737375765777695</v>
      </c>
      <c r="W3" s="33">
        <v>0.00022460912549697562</v>
      </c>
      <c r="X3" s="33">
        <v>0.0004461860248445681</v>
      </c>
      <c r="Y3" s="33">
        <v>0.00023452239653622077</v>
      </c>
      <c r="Z3" s="33">
        <v>0.00028706017552396245</v>
      </c>
      <c r="AA3" s="33">
        <v>0.00023403327922132662</v>
      </c>
      <c r="AB3" s="33">
        <v>0.00030484630507543687</v>
      </c>
      <c r="AC3" s="33">
        <v>0.0002827498337530741</v>
      </c>
      <c r="AD3" s="33">
        <v>0.0002065863496092457</v>
      </c>
      <c r="AE3" s="33">
        <v>0.0005086791838820703</v>
      </c>
      <c r="AF3" s="33">
        <v>0.00033509451070469227</v>
      </c>
      <c r="AG3" s="33">
        <v>0.0002583391374886984</v>
      </c>
      <c r="AH3" s="33">
        <v>0.0002780565837774738</v>
      </c>
      <c r="AI3" s="33">
        <v>0.00038102782428104856</v>
      </c>
      <c r="AJ3" s="33">
        <v>0.000253741857763648</v>
      </c>
      <c r="AK3" s="33">
        <v>0.00017769714820350084</v>
      </c>
      <c r="AL3" s="33">
        <v>0.004220758288974587</v>
      </c>
      <c r="AM3" s="33">
        <v>0.00019195661912306127</v>
      </c>
      <c r="AN3" s="33">
        <v>0.0003466291108711952</v>
      </c>
      <c r="AO3" s="33">
        <v>0.00021839039737806635</v>
      </c>
      <c r="AP3" s="33">
        <v>0.0001797919994402248</v>
      </c>
      <c r="AQ3" s="33">
        <v>0.00010541784597958448</v>
      </c>
      <c r="AR3" s="33">
        <v>0.0001341886773348385</v>
      </c>
      <c r="AS3" s="33">
        <v>0.00018217081425905143</v>
      </c>
      <c r="AT3" s="33">
        <v>0.00006470168866305401</v>
      </c>
      <c r="AU3" s="33">
        <v>0.00020934440569769783</v>
      </c>
      <c r="AV3" s="33">
        <v>0.00019276683631862517</v>
      </c>
      <c r="AW3" s="33">
        <v>0.00023945555016610486</v>
      </c>
      <c r="AX3" s="33">
        <v>0.000303773755307699</v>
      </c>
      <c r="AY3" s="33">
        <v>0.00030449625466010807</v>
      </c>
      <c r="AZ3" s="33">
        <v>0.00020620580050989315</v>
      </c>
      <c r="BA3" s="33">
        <v>0.0001005761444202033</v>
      </c>
      <c r="BB3" s="33">
        <v>0.0009570478115449661</v>
      </c>
      <c r="BC3" s="33">
        <v>0.0005754132944390833</v>
      </c>
      <c r="BD3" s="33">
        <v>0.00029699723345260747</v>
      </c>
      <c r="BE3" s="33">
        <v>0.00027660947272407124</v>
      </c>
      <c r="BF3" s="33">
        <v>0.00048528542667267735</v>
      </c>
      <c r="BG3" s="33">
        <v>0.0006709304075737921</v>
      </c>
      <c r="BH3" s="33">
        <v>0.0003637715325573544</v>
      </c>
      <c r="BI3" s="33">
        <v>0.000684026318076492</v>
      </c>
      <c r="BJ3" s="33">
        <v>0.0004268110784181339</v>
      </c>
      <c r="BK3" s="33">
        <v>0.00025215609809678093</v>
      </c>
      <c r="BL3" s="33">
        <v>0.00027916564307367125</v>
      </c>
      <c r="BM3" s="33">
        <v>0</v>
      </c>
      <c r="BN3" s="33">
        <v>0</v>
      </c>
    </row>
    <row r="4" spans="1:66" x14ac:dyDescent="0.25">
      <c r="A4" s="30" t="s">
        <v>276</v>
      </c>
      <c r="B4" s="31" t="s">
        <v>277</v>
      </c>
      <c r="C4" s="33">
        <v>0.00007999931667407897</v>
      </c>
      <c r="D4" s="33">
        <v>0.0017439988228658526</v>
      </c>
      <c r="E4" s="33">
        <v>0.000044751485886533576</v>
      </c>
      <c r="F4" s="33">
        <v>0.000022910146339329393</v>
      </c>
      <c r="G4" s="33">
        <v>0.00013718034283606077</v>
      </c>
      <c r="H4" s="33">
        <v>0.00004255622906522867</v>
      </c>
      <c r="I4" s="33">
        <v>0.0036921451342409317</v>
      </c>
      <c r="J4" s="33">
        <v>0.0013662797734328043</v>
      </c>
      <c r="K4" s="33">
        <v>0.00018854563162345507</v>
      </c>
      <c r="L4" s="33">
        <v>0.000013785293968044818</v>
      </c>
      <c r="M4" s="33">
        <v>0.00011058572737198842</v>
      </c>
      <c r="N4" s="33">
        <v>0.00003362394460007118</v>
      </c>
      <c r="O4" s="33">
        <v>0.00006353908877984582</v>
      </c>
      <c r="P4" s="33">
        <v>0.00005055422086438892</v>
      </c>
      <c r="Q4" s="33">
        <v>0.000031864732884403744</v>
      </c>
      <c r="R4" s="33">
        <v>0.00003589772998821678</v>
      </c>
      <c r="S4" s="33">
        <v>0.00001848740938273532</v>
      </c>
      <c r="T4" s="33">
        <v>0.000030891386051816945</v>
      </c>
      <c r="U4" s="33">
        <v>0.00002659497420306856</v>
      </c>
      <c r="V4" s="33">
        <v>0.00002678495310340677</v>
      </c>
      <c r="W4" s="33">
        <v>0.000033333187129933945</v>
      </c>
      <c r="X4" s="33">
        <v>0.0003047654159019518</v>
      </c>
      <c r="Y4" s="33">
        <v>0.000024803670218685725</v>
      </c>
      <c r="Z4" s="33">
        <v>0.000044611762738882156</v>
      </c>
      <c r="AA4" s="33">
        <v>0.000025012733582941202</v>
      </c>
      <c r="AB4" s="33">
        <v>0.00003064910541691398</v>
      </c>
      <c r="AC4" s="33">
        <v>0.00010092177791567135</v>
      </c>
      <c r="AD4" s="33">
        <v>0.00001666341351257506</v>
      </c>
      <c r="AE4" s="33">
        <v>0.000025758128916104408</v>
      </c>
      <c r="AF4" s="33">
        <v>0.000020913911578098106</v>
      </c>
      <c r="AG4" s="33">
        <v>0.00002011303554869398</v>
      </c>
      <c r="AH4" s="33">
        <v>0.0000111841913194778</v>
      </c>
      <c r="AI4" s="33">
        <v>0.00003683291738966665</v>
      </c>
      <c r="AJ4" s="33">
        <v>0.00002143750428244241</v>
      </c>
      <c r="AK4" s="33">
        <v>0.00001556972430120479</v>
      </c>
      <c r="AL4" s="33">
        <v>0.00004226217879089079</v>
      </c>
      <c r="AM4" s="33">
        <v>0.00003512483504189862</v>
      </c>
      <c r="AN4" s="33">
        <v>0.000032356101506126204</v>
      </c>
      <c r="AO4" s="33">
        <v>0.000016952788921083202</v>
      </c>
      <c r="AP4" s="33">
        <v>0.000012092737802132857</v>
      </c>
      <c r="AQ4" s="33">
        <v>0.000008705717675454757</v>
      </c>
      <c r="AR4" s="33">
        <v>0.000011217790897280833</v>
      </c>
      <c r="AS4" s="33">
        <v>0.000014481513894708799</v>
      </c>
      <c r="AT4" s="33">
        <v>0.000012520369783299888</v>
      </c>
      <c r="AU4" s="33">
        <v>0.000015436164809659856</v>
      </c>
      <c r="AV4" s="33">
        <v>0.0000227353762899461</v>
      </c>
      <c r="AW4" s="33">
        <v>0.000013561122639192637</v>
      </c>
      <c r="AX4" s="33">
        <v>0.00003095727944333832</v>
      </c>
      <c r="AY4" s="33">
        <v>0.00003027862686396076</v>
      </c>
      <c r="AZ4" s="33">
        <v>0.000014732088761697783</v>
      </c>
      <c r="BA4" s="33">
        <v>0.000006321189157826074</v>
      </c>
      <c r="BB4" s="33">
        <v>0.00002698682988213709</v>
      </c>
      <c r="BC4" s="33">
        <v>0.00003834858161274714</v>
      </c>
      <c r="BD4" s="33">
        <v>0.000022894231807374014</v>
      </c>
      <c r="BE4" s="33">
        <v>0.00001005071467092227</v>
      </c>
      <c r="BF4" s="33">
        <v>0.000018398116443786924</v>
      </c>
      <c r="BG4" s="33">
        <v>0.000016271436957030658</v>
      </c>
      <c r="BH4" s="33">
        <v>0.000059387179473555205</v>
      </c>
      <c r="BI4" s="33">
        <v>0.00002794899563954793</v>
      </c>
      <c r="BJ4" s="33">
        <v>0.000024040656010406472</v>
      </c>
      <c r="BK4" s="33">
        <v>0.000026116936773374866</v>
      </c>
      <c r="BL4" s="33">
        <v>0.00004122880516891638</v>
      </c>
      <c r="BM4" s="33">
        <v>0</v>
      </c>
      <c r="BN4" s="33">
        <v>0</v>
      </c>
    </row>
    <row r="5" spans="1:66" x14ac:dyDescent="0.25">
      <c r="A5" s="30" t="s">
        <v>278</v>
      </c>
      <c r="B5" s="31" t="s">
        <v>279</v>
      </c>
      <c r="C5" s="33">
        <v>0.00038308623015056027</v>
      </c>
      <c r="D5" s="33">
        <v>0.00004526319436531582</v>
      </c>
      <c r="E5" s="33">
        <v>0.004786147535352259</v>
      </c>
      <c r="F5" s="33">
        <v>0.00003096330767028238</v>
      </c>
      <c r="G5" s="33">
        <v>0.0030990910408017066</v>
      </c>
      <c r="H5" s="33">
        <v>0.00007416172928156573</v>
      </c>
      <c r="I5" s="33">
        <v>0.00004681102534176227</v>
      </c>
      <c r="J5" s="33">
        <v>0.0000498520935996444</v>
      </c>
      <c r="K5" s="33">
        <v>0.00003997520924173718</v>
      </c>
      <c r="L5" s="33">
        <v>0.000030459882604930575</v>
      </c>
      <c r="M5" s="33">
        <v>0.00013460840705511125</v>
      </c>
      <c r="N5" s="33">
        <v>0.0001920486828106696</v>
      </c>
      <c r="O5" s="33">
        <v>0.00005446241045783436</v>
      </c>
      <c r="P5" s="33">
        <v>0.000040624889579367054</v>
      </c>
      <c r="Q5" s="33">
        <v>0.00003884727692960755</v>
      </c>
      <c r="R5" s="33">
        <v>0.00003268244410085172</v>
      </c>
      <c r="S5" s="33">
        <v>0.0000262058588661461</v>
      </c>
      <c r="T5" s="33">
        <v>0.00003419950089028571</v>
      </c>
      <c r="U5" s="33">
        <v>0.00003266913319404409</v>
      </c>
      <c r="V5" s="33">
        <v>0.00003202067716881593</v>
      </c>
      <c r="W5" s="33">
        <v>0.000030450914437213168</v>
      </c>
      <c r="X5" s="33">
        <v>0.00004594499690208574</v>
      </c>
      <c r="Y5" s="33">
        <v>0.000036481461162196916</v>
      </c>
      <c r="Z5" s="33">
        <v>0.00003141183196097622</v>
      </c>
      <c r="AA5" s="33">
        <v>0.000037391242547490334</v>
      </c>
      <c r="AB5" s="33">
        <v>0.0000403491413758883</v>
      </c>
      <c r="AC5" s="33">
        <v>0.00004264461224242874</v>
      </c>
      <c r="AD5" s="33">
        <v>0.00003177264766188368</v>
      </c>
      <c r="AE5" s="33">
        <v>0.00006433351222425361</v>
      </c>
      <c r="AF5" s="33">
        <v>0.00005747459935144819</v>
      </c>
      <c r="AG5" s="33">
        <v>0.000046986664678258736</v>
      </c>
      <c r="AH5" s="33">
        <v>0.00005748805045573356</v>
      </c>
      <c r="AI5" s="33">
        <v>0.00008127478203402825</v>
      </c>
      <c r="AJ5" s="33">
        <v>0.00005785072432625897</v>
      </c>
      <c r="AK5" s="33">
        <v>0.00003124273073764698</v>
      </c>
      <c r="AL5" s="33">
        <v>0.0014347151169704449</v>
      </c>
      <c r="AM5" s="33">
        <v>0.000030181045632110715</v>
      </c>
      <c r="AN5" s="33">
        <v>0.00006510123767860018</v>
      </c>
      <c r="AO5" s="33">
        <v>0.00004028655815011194</v>
      </c>
      <c r="AP5" s="33">
        <v>0.00003602031781777798</v>
      </c>
      <c r="AQ5" s="33">
        <v>0.000020928416920447375</v>
      </c>
      <c r="AR5" s="33">
        <v>0.000026841356847865262</v>
      </c>
      <c r="AS5" s="33">
        <v>0.00003792217516089645</v>
      </c>
      <c r="AT5" s="33">
        <v>0.000010097045456244636</v>
      </c>
      <c r="AU5" s="33">
        <v>0.000043171666673909326</v>
      </c>
      <c r="AV5" s="33">
        <v>0.00003533192849858906</v>
      </c>
      <c r="AW5" s="33">
        <v>0.00003855481663606225</v>
      </c>
      <c r="AX5" s="33">
        <v>0.000050665659067206236</v>
      </c>
      <c r="AY5" s="33">
        <v>0.000049307832323409665</v>
      </c>
      <c r="AZ5" s="33">
        <v>0.00005197703486329884</v>
      </c>
      <c r="BA5" s="33">
        <v>0.000018897701919685006</v>
      </c>
      <c r="BB5" s="33">
        <v>0.00027169599092315974</v>
      </c>
      <c r="BC5" s="33">
        <v>0.00006658474124226842</v>
      </c>
      <c r="BD5" s="33">
        <v>0.00003796466697646287</v>
      </c>
      <c r="BE5" s="33">
        <v>0.00004438842864561886</v>
      </c>
      <c r="BF5" s="33">
        <v>0.00008047405129314344</v>
      </c>
      <c r="BG5" s="33">
        <v>0.00013991536769202793</v>
      </c>
      <c r="BH5" s="33">
        <v>0.00011712366569387039</v>
      </c>
      <c r="BI5" s="33">
        <v>0.00018469622596992106</v>
      </c>
      <c r="BJ5" s="33">
        <v>0.00010981383046075136</v>
      </c>
      <c r="BK5" s="33">
        <v>0.00003942450530782693</v>
      </c>
      <c r="BL5" s="33">
        <v>0.00003832545088756654</v>
      </c>
      <c r="BM5" s="33">
        <v>0</v>
      </c>
      <c r="BN5" s="33">
        <v>0</v>
      </c>
    </row>
    <row r="6" spans="1:66" x14ac:dyDescent="0.25">
      <c r="A6" s="30" t="s">
        <v>280</v>
      </c>
      <c r="B6" s="31" t="s">
        <v>281</v>
      </c>
      <c r="C6" s="33">
        <v>0.027135784817390773</v>
      </c>
      <c r="D6" s="33">
        <v>0.019206092354156958</v>
      </c>
      <c r="E6" s="33">
        <v>0.032243780138404024</v>
      </c>
      <c r="F6" s="33">
        <v>0.03744339483087758</v>
      </c>
      <c r="G6" s="33">
        <v>0.01988245551160408</v>
      </c>
      <c r="H6" s="33">
        <v>0.015297177194847883</v>
      </c>
      <c r="I6" s="33">
        <v>0.018704418235895418</v>
      </c>
      <c r="J6" s="33">
        <v>0.031069004900067962</v>
      </c>
      <c r="K6" s="33">
        <v>0.016757707750169604</v>
      </c>
      <c r="L6" s="33">
        <v>0.5317108642974835</v>
      </c>
      <c r="M6" s="33">
        <v>0.07494198967926893</v>
      </c>
      <c r="N6" s="33">
        <v>0.010940520942329456</v>
      </c>
      <c r="O6" s="33">
        <v>0.026810252094186252</v>
      </c>
      <c r="P6" s="33">
        <v>0.05349851930204382</v>
      </c>
      <c r="Q6" s="33">
        <v>0.12228694200872953</v>
      </c>
      <c r="R6" s="33">
        <v>0.029567603032930507</v>
      </c>
      <c r="S6" s="33">
        <v>0.008844028643258907</v>
      </c>
      <c r="T6" s="33">
        <v>0.02006835223275688</v>
      </c>
      <c r="U6" s="33">
        <v>0.0179869614608322</v>
      </c>
      <c r="V6" s="33">
        <v>0.018506669866472165</v>
      </c>
      <c r="W6" s="33">
        <v>0.014078967959257576</v>
      </c>
      <c r="X6" s="33">
        <v>0.01824125529468623</v>
      </c>
      <c r="Y6" s="33">
        <v>0.014393426850299278</v>
      </c>
      <c r="Z6" s="33">
        <v>0.10623524930717133</v>
      </c>
      <c r="AA6" s="33">
        <v>0.018480041758662587</v>
      </c>
      <c r="AB6" s="33">
        <v>0.01869877735863272</v>
      </c>
      <c r="AC6" s="33">
        <v>0.020905549398190167</v>
      </c>
      <c r="AD6" s="33">
        <v>0.011296760699661467</v>
      </c>
      <c r="AE6" s="33">
        <v>0.011256779062804704</v>
      </c>
      <c r="AF6" s="33">
        <v>0.008824038829395078</v>
      </c>
      <c r="AG6" s="33">
        <v>0.039951978303816714</v>
      </c>
      <c r="AH6" s="33">
        <v>0.048301061246982135</v>
      </c>
      <c r="AI6" s="33">
        <v>0.06830711289498549</v>
      </c>
      <c r="AJ6" s="33">
        <v>0.017293910665860324</v>
      </c>
      <c r="AK6" s="33">
        <v>0.016099486308106425</v>
      </c>
      <c r="AL6" s="33">
        <v>0.011697496622216808</v>
      </c>
      <c r="AM6" s="33">
        <v>0.005520348579171444</v>
      </c>
      <c r="AN6" s="33">
        <v>0.008283221101195472</v>
      </c>
      <c r="AO6" s="33">
        <v>0.008283919922595426</v>
      </c>
      <c r="AP6" s="33">
        <v>0.0047123940419800305</v>
      </c>
      <c r="AQ6" s="33">
        <v>0.0034355025055179205</v>
      </c>
      <c r="AR6" s="33">
        <v>0.005199967831304445</v>
      </c>
      <c r="AS6" s="33">
        <v>0.007311928965036314</v>
      </c>
      <c r="AT6" s="33">
        <v>0.003592857461358591</v>
      </c>
      <c r="AU6" s="33">
        <v>0.007275697766966544</v>
      </c>
      <c r="AV6" s="33">
        <v>0.00821850978244497</v>
      </c>
      <c r="AW6" s="33">
        <v>0.00625288806556481</v>
      </c>
      <c r="AX6" s="33">
        <v>0.007492088946204319</v>
      </c>
      <c r="AY6" s="33">
        <v>0.008514705894057213</v>
      </c>
      <c r="AZ6" s="33">
        <v>0.009269386763020896</v>
      </c>
      <c r="BA6" s="33">
        <v>0.003081897654314749</v>
      </c>
      <c r="BB6" s="33">
        <v>0.016756969221730002</v>
      </c>
      <c r="BC6" s="33">
        <v>0.009427477697616185</v>
      </c>
      <c r="BD6" s="33">
        <v>0.0068660949491494766</v>
      </c>
      <c r="BE6" s="33">
        <v>0.0045470509970489525</v>
      </c>
      <c r="BF6" s="33">
        <v>0.006600387004016003</v>
      </c>
      <c r="BG6" s="33">
        <v>0.006293629131566596</v>
      </c>
      <c r="BH6" s="33">
        <v>0.008329089602445171</v>
      </c>
      <c r="BI6" s="33">
        <v>0.011494027102547634</v>
      </c>
      <c r="BJ6" s="33">
        <v>0.008337585281895368</v>
      </c>
      <c r="BK6" s="33">
        <v>0.008701084301608493</v>
      </c>
      <c r="BL6" s="33">
        <v>0.010467434975455592</v>
      </c>
      <c r="BM6" s="33">
        <v>0</v>
      </c>
      <c r="BN6" s="33">
        <v>0</v>
      </c>
    </row>
    <row r="7" spans="1:66" x14ac:dyDescent="0.25">
      <c r="A7" s="30" t="s">
        <v>282</v>
      </c>
      <c r="B7" s="31" t="s">
        <v>283</v>
      </c>
      <c r="C7" s="33">
        <v>0.00605141783165996</v>
      </c>
      <c r="D7" s="33">
        <v>0.0005683041948211412</v>
      </c>
      <c r="E7" s="33">
        <v>0.004741680409307988</v>
      </c>
      <c r="F7" s="33">
        <v>0.00048552141233401387</v>
      </c>
      <c r="G7" s="33">
        <v>0.019511745192729447</v>
      </c>
      <c r="H7" s="33">
        <v>0.00219845248921603</v>
      </c>
      <c r="I7" s="33">
        <v>0.0007873749760132046</v>
      </c>
      <c r="J7" s="33">
        <v>0.0011780785973406257</v>
      </c>
      <c r="K7" s="33">
        <v>0.0007755264623424466</v>
      </c>
      <c r="L7" s="33">
        <v>0.0006279831191724526</v>
      </c>
      <c r="M7" s="33">
        <v>0.003678542427193456</v>
      </c>
      <c r="N7" s="33">
        <v>0.002208492974900049</v>
      </c>
      <c r="O7" s="33">
        <v>0.0014033304615726234</v>
      </c>
      <c r="P7" s="33">
        <v>0.0007072386245334989</v>
      </c>
      <c r="Q7" s="33">
        <v>0.0006857846949790181</v>
      </c>
      <c r="R7" s="33">
        <v>0.0005701538899242302</v>
      </c>
      <c r="S7" s="33">
        <v>0.0005820781144030308</v>
      </c>
      <c r="T7" s="33">
        <v>0.0006397116601387445</v>
      </c>
      <c r="U7" s="33">
        <v>0.0006034196189476099</v>
      </c>
      <c r="V7" s="33">
        <v>0.0005792055584207366</v>
      </c>
      <c r="W7" s="33">
        <v>0.0006096365364600394</v>
      </c>
      <c r="X7" s="33">
        <v>0.001013297064970877</v>
      </c>
      <c r="Y7" s="33">
        <v>0.0006160214197055305</v>
      </c>
      <c r="Z7" s="33">
        <v>0.0005170297707826147</v>
      </c>
      <c r="AA7" s="33">
        <v>0.0005101612231741047</v>
      </c>
      <c r="AB7" s="33">
        <v>0.0008647729657666207</v>
      </c>
      <c r="AC7" s="33">
        <v>0.0005436099143992913</v>
      </c>
      <c r="AD7" s="33">
        <v>0.00044654228030885905</v>
      </c>
      <c r="AE7" s="33">
        <v>0.001011898971258293</v>
      </c>
      <c r="AF7" s="33">
        <v>0.0007724799513084169</v>
      </c>
      <c r="AG7" s="33">
        <v>0.0005588305759704202</v>
      </c>
      <c r="AH7" s="33">
        <v>0.0009297699417292957</v>
      </c>
      <c r="AI7" s="33">
        <v>0.0012473773984960927</v>
      </c>
      <c r="AJ7" s="33">
        <v>0.0005559842903846914</v>
      </c>
      <c r="AK7" s="33">
        <v>0.0004405236850238715</v>
      </c>
      <c r="AL7" s="33">
        <v>0.009184699058514469</v>
      </c>
      <c r="AM7" s="33">
        <v>0.0007698691071734444</v>
      </c>
      <c r="AN7" s="33">
        <v>0.0007652633773693104</v>
      </c>
      <c r="AO7" s="33">
        <v>0.0005137046834918234</v>
      </c>
      <c r="AP7" s="33">
        <v>0.0005850016694017477</v>
      </c>
      <c r="AQ7" s="33">
        <v>0.00021604851799412124</v>
      </c>
      <c r="AR7" s="33">
        <v>0.00030295234025556786</v>
      </c>
      <c r="AS7" s="33">
        <v>0.00041681412128043735</v>
      </c>
      <c r="AT7" s="33">
        <v>0.00011789233028053005</v>
      </c>
      <c r="AU7" s="33">
        <v>0.00044028427521872453</v>
      </c>
      <c r="AV7" s="33">
        <v>0.00042161129022267154</v>
      </c>
      <c r="AW7" s="33">
        <v>0.0006076463142366693</v>
      </c>
      <c r="AX7" s="33">
        <v>0.0006540708175569203</v>
      </c>
      <c r="AY7" s="33">
        <v>0.0006228699295544704</v>
      </c>
      <c r="AZ7" s="33">
        <v>0.0004902586737644119</v>
      </c>
      <c r="BA7" s="33">
        <v>0.00024599858026511253</v>
      </c>
      <c r="BB7" s="33">
        <v>0.0021169993873687114</v>
      </c>
      <c r="BC7" s="33">
        <v>0.000624571842266527</v>
      </c>
      <c r="BD7" s="33">
        <v>0.0004969686831719614</v>
      </c>
      <c r="BE7" s="33">
        <v>0.0005547052617536219</v>
      </c>
      <c r="BF7" s="33">
        <v>0.001147903407527612</v>
      </c>
      <c r="BG7" s="33">
        <v>0.0014304217132737008</v>
      </c>
      <c r="BH7" s="33">
        <v>0.0006695647356876728</v>
      </c>
      <c r="BI7" s="33">
        <v>0.0015387564499041468</v>
      </c>
      <c r="BJ7" s="33">
        <v>0.0009284508245561357</v>
      </c>
      <c r="BK7" s="33">
        <v>0.0006374249074851675</v>
      </c>
      <c r="BL7" s="33">
        <v>0.0005584359570076609</v>
      </c>
      <c r="BM7" s="33">
        <v>0</v>
      </c>
      <c r="BN7" s="33">
        <v>0</v>
      </c>
    </row>
    <row r="8" spans="1:66" x14ac:dyDescent="0.25">
      <c r="A8" s="30" t="s">
        <v>145</v>
      </c>
      <c r="B8" s="31" t="s">
        <v>285</v>
      </c>
      <c r="C8" s="33">
        <v>0.0010818260628653496</v>
      </c>
      <c r="D8" s="33">
        <v>0.0008732540848303166</v>
      </c>
      <c r="E8" s="33">
        <v>0.002354413166108324</v>
      </c>
      <c r="F8" s="33">
        <v>0.0007666817787318688</v>
      </c>
      <c r="G8" s="33">
        <v>0.0013156691564348726</v>
      </c>
      <c r="H8" s="33">
        <v>0.07432293513252286</v>
      </c>
      <c r="I8" s="33">
        <v>0.001700077838369214</v>
      </c>
      <c r="J8" s="33">
        <v>0.004309986006735464</v>
      </c>
      <c r="K8" s="33">
        <v>0.0047885323063829805</v>
      </c>
      <c r="L8" s="33">
        <v>0.000478636999594658</v>
      </c>
      <c r="M8" s="33">
        <v>0.0018549775997919213</v>
      </c>
      <c r="N8" s="33">
        <v>0.0012446703340224595</v>
      </c>
      <c r="O8" s="33">
        <v>0.00552620010685535</v>
      </c>
      <c r="P8" s="33">
        <v>0.0018295284462128698</v>
      </c>
      <c r="Q8" s="33">
        <v>0.0010955664336169983</v>
      </c>
      <c r="R8" s="33">
        <v>0.0014854988324127243</v>
      </c>
      <c r="S8" s="33">
        <v>0.0009423085239144159</v>
      </c>
      <c r="T8" s="33">
        <v>0.0013822815371109878</v>
      </c>
      <c r="U8" s="33">
        <v>0.0013989504782250773</v>
      </c>
      <c r="V8" s="33">
        <v>0.0036946704325503035</v>
      </c>
      <c r="W8" s="33">
        <v>0.002133178449466632</v>
      </c>
      <c r="X8" s="33">
        <v>0.008323098194602698</v>
      </c>
      <c r="Y8" s="33">
        <v>0.0016893659415642185</v>
      </c>
      <c r="Z8" s="33">
        <v>0.0006974809515836048</v>
      </c>
      <c r="AA8" s="33">
        <v>0.0007991416896798082</v>
      </c>
      <c r="AB8" s="33">
        <v>0.0013241291951910281</v>
      </c>
      <c r="AC8" s="33">
        <v>0.0013986855030469817</v>
      </c>
      <c r="AD8" s="33">
        <v>0.00128423988992521</v>
      </c>
      <c r="AE8" s="33">
        <v>0.0014565542103410906</v>
      </c>
      <c r="AF8" s="33">
        <v>0.001218843639669645</v>
      </c>
      <c r="AG8" s="33">
        <v>0.000942816656005901</v>
      </c>
      <c r="AH8" s="33">
        <v>0.000829937067276722</v>
      </c>
      <c r="AI8" s="33">
        <v>0.0009512043139701504</v>
      </c>
      <c r="AJ8" s="33">
        <v>0.0009228731394926004</v>
      </c>
      <c r="AK8" s="33">
        <v>0.0010843367482213095</v>
      </c>
      <c r="AL8" s="33">
        <v>0.0013973015239531247</v>
      </c>
      <c r="AM8" s="33">
        <v>0.0007745642824137639</v>
      </c>
      <c r="AN8" s="33">
        <v>0.002851600327508412</v>
      </c>
      <c r="AO8" s="33">
        <v>0.0010170849661877415</v>
      </c>
      <c r="AP8" s="33">
        <v>0.0005598316765613125</v>
      </c>
      <c r="AQ8" s="33">
        <v>0.000307534098543569</v>
      </c>
      <c r="AR8" s="33">
        <v>0.00039510210586298975</v>
      </c>
      <c r="AS8" s="33">
        <v>0.0004712190898033005</v>
      </c>
      <c r="AT8" s="33">
        <v>0.00025698045572203375</v>
      </c>
      <c r="AU8" s="33">
        <v>0.0007251984923069065</v>
      </c>
      <c r="AV8" s="33">
        <v>0.000776324003110285</v>
      </c>
      <c r="AW8" s="33">
        <v>0.000744414474226628</v>
      </c>
      <c r="AX8" s="33">
        <v>0.0010004692855715984</v>
      </c>
      <c r="AY8" s="33">
        <v>0.0017567261291261715</v>
      </c>
      <c r="AZ8" s="33">
        <v>0.0009596615171018195</v>
      </c>
      <c r="BA8" s="33">
        <v>0.0005284990294350984</v>
      </c>
      <c r="BB8" s="33">
        <v>0.0011187979514407328</v>
      </c>
      <c r="BC8" s="33">
        <v>0.0013778456912284338</v>
      </c>
      <c r="BD8" s="33">
        <v>0.0008346819180115136</v>
      </c>
      <c r="BE8" s="33">
        <v>0.0005217182311018275</v>
      </c>
      <c r="BF8" s="33">
        <v>0.001975901509591524</v>
      </c>
      <c r="BG8" s="33">
        <v>0.0014129662128412525</v>
      </c>
      <c r="BH8" s="33">
        <v>0.0020106671373293743</v>
      </c>
      <c r="BI8" s="33">
        <v>0.0019402655357320263</v>
      </c>
      <c r="BJ8" s="33">
        <v>0.0009395414102719295</v>
      </c>
      <c r="BK8" s="33">
        <v>0.0037848963718543713</v>
      </c>
      <c r="BL8" s="33">
        <v>0.0014784203961026457</v>
      </c>
      <c r="BM8" s="33">
        <v>0</v>
      </c>
      <c r="BN8" s="33">
        <v>0</v>
      </c>
    </row>
    <row r="9" spans="1:66" x14ac:dyDescent="0.25">
      <c r="A9" s="30" t="s">
        <v>85</v>
      </c>
      <c r="B9" s="31" t="s">
        <v>286</v>
      </c>
      <c r="C9" s="33">
        <v>0.0007893964705244194</v>
      </c>
      <c r="D9" s="33">
        <v>0.0008767501066036076</v>
      </c>
      <c r="E9" s="33">
        <v>0.0007743240028656727</v>
      </c>
      <c r="F9" s="33">
        <v>0.0003944668324859069</v>
      </c>
      <c r="G9" s="33">
        <v>0.0009312571923747154</v>
      </c>
      <c r="H9" s="33">
        <v>0.0004824374297990992</v>
      </c>
      <c r="I9" s="33">
        <v>0.027617082667457913</v>
      </c>
      <c r="J9" s="33">
        <v>0.002622929920648654</v>
      </c>
      <c r="K9" s="33">
        <v>0.0008214056641112571</v>
      </c>
      <c r="L9" s="33">
        <v>0.00016101356608501282</v>
      </c>
      <c r="M9" s="33">
        <v>0.000605274819452431</v>
      </c>
      <c r="N9" s="33">
        <v>0.00035760879144362817</v>
      </c>
      <c r="O9" s="33">
        <v>0.0007052623906044218</v>
      </c>
      <c r="P9" s="33">
        <v>0.0010674090875516945</v>
      </c>
      <c r="Q9" s="33">
        <v>0.000639433030732714</v>
      </c>
      <c r="R9" s="33">
        <v>0.000910183607790445</v>
      </c>
      <c r="S9" s="33">
        <v>0.00034994453003083154</v>
      </c>
      <c r="T9" s="33">
        <v>0.0006043864692538751</v>
      </c>
      <c r="U9" s="33">
        <v>0.0005482803245256144</v>
      </c>
      <c r="V9" s="33">
        <v>0.0006204657782597974</v>
      </c>
      <c r="W9" s="33">
        <v>0.0009157548512895659</v>
      </c>
      <c r="X9" s="33">
        <v>0.008565091247185106</v>
      </c>
      <c r="Y9" s="33">
        <v>0.0006257146047691838</v>
      </c>
      <c r="Z9" s="33">
        <v>0.0006837061970720196</v>
      </c>
      <c r="AA9" s="33">
        <v>0.00040769490115506117</v>
      </c>
      <c r="AB9" s="33">
        <v>0.0005048391145763357</v>
      </c>
      <c r="AC9" s="33">
        <v>0.0030910835958574937</v>
      </c>
      <c r="AD9" s="33">
        <v>0.000294135865126366</v>
      </c>
      <c r="AE9" s="33">
        <v>0.0003716439563101929</v>
      </c>
      <c r="AF9" s="33">
        <v>0.00029899725014849004</v>
      </c>
      <c r="AG9" s="33">
        <v>0.00034551934349936087</v>
      </c>
      <c r="AH9" s="33">
        <v>0.00023833781222640487</v>
      </c>
      <c r="AI9" s="33">
        <v>0.0003222177737098972</v>
      </c>
      <c r="AJ9" s="33">
        <v>0.00041499936435589023</v>
      </c>
      <c r="AK9" s="33">
        <v>0.0002483831068117018</v>
      </c>
      <c r="AL9" s="33">
        <v>0.0004605457246261089</v>
      </c>
      <c r="AM9" s="33">
        <v>0.0002914843114097528</v>
      </c>
      <c r="AN9" s="33">
        <v>0.0007348594142475499</v>
      </c>
      <c r="AO9" s="33">
        <v>0.00033984715876896266</v>
      </c>
      <c r="AP9" s="33">
        <v>0.00020713456508456704</v>
      </c>
      <c r="AQ9" s="33">
        <v>0.00010644678635909336</v>
      </c>
      <c r="AR9" s="33">
        <v>0.00014047450032708835</v>
      </c>
      <c r="AS9" s="33">
        <v>0.0001697761820759042</v>
      </c>
      <c r="AT9" s="33">
        <v>0.0003054365133316787</v>
      </c>
      <c r="AU9" s="33">
        <v>0.0001966333649607027</v>
      </c>
      <c r="AV9" s="33">
        <v>0.0003184565722795847</v>
      </c>
      <c r="AW9" s="33">
        <v>0.00018619077137461444</v>
      </c>
      <c r="AX9" s="33">
        <v>0.0003871312680922128</v>
      </c>
      <c r="AY9" s="33">
        <v>0.00039655276522588564</v>
      </c>
      <c r="AZ9" s="33">
        <v>0.0002913899910769277</v>
      </c>
      <c r="BA9" s="33">
        <v>0.0000946362700232053</v>
      </c>
      <c r="BB9" s="33">
        <v>0.00029033506355512586</v>
      </c>
      <c r="BC9" s="33">
        <v>0.0005652065861229581</v>
      </c>
      <c r="BD9" s="33">
        <v>0.0002149009719288486</v>
      </c>
      <c r="BE9" s="33">
        <v>0.00016294469050637294</v>
      </c>
      <c r="BF9" s="33">
        <v>0.0003475961103106385</v>
      </c>
      <c r="BG9" s="33">
        <v>0.00021877427228282942</v>
      </c>
      <c r="BH9" s="33">
        <v>0.0004585251688623876</v>
      </c>
      <c r="BI9" s="33">
        <v>0.0004367673121151755</v>
      </c>
      <c r="BJ9" s="33">
        <v>0.00029467612580850956</v>
      </c>
      <c r="BK9" s="33">
        <v>0.0005622725009517409</v>
      </c>
      <c r="BL9" s="33">
        <v>0.0005920889010102726</v>
      </c>
      <c r="BM9" s="33">
        <v>0</v>
      </c>
      <c r="BN9" s="33">
        <v>0</v>
      </c>
    </row>
    <row r="10" spans="1:66" x14ac:dyDescent="0.25">
      <c r="A10" s="30" t="s">
        <v>87</v>
      </c>
      <c r="B10" s="31" t="s">
        <v>287</v>
      </c>
      <c r="C10" s="33">
        <v>0.0006461901094735065</v>
      </c>
      <c r="D10" s="33">
        <v>0.000691192521627089</v>
      </c>
      <c r="E10" s="33">
        <v>0.0004999229828924691</v>
      </c>
      <c r="F10" s="33">
        <v>0.0003474260947749193</v>
      </c>
      <c r="G10" s="33">
        <v>0.0022786558665961083</v>
      </c>
      <c r="H10" s="33">
        <v>0.0009764512638756882</v>
      </c>
      <c r="I10" s="33">
        <v>0.0021743377029208445</v>
      </c>
      <c r="J10" s="33">
        <v>0.034837372998687735</v>
      </c>
      <c r="K10" s="33">
        <v>0.02073548206710505</v>
      </c>
      <c r="L10" s="33">
        <v>0.00022894088520966348</v>
      </c>
      <c r="M10" s="33">
        <v>0.0014799806191727603</v>
      </c>
      <c r="N10" s="33">
        <v>0.0014604859050564689</v>
      </c>
      <c r="O10" s="33">
        <v>0.0018979738088320314</v>
      </c>
      <c r="P10" s="33">
        <v>0.0010521255804116089</v>
      </c>
      <c r="Q10" s="33">
        <v>0.0005672745756718297</v>
      </c>
      <c r="R10" s="33">
        <v>0.0006360693306709206</v>
      </c>
      <c r="S10" s="33">
        <v>0.000549624806880851</v>
      </c>
      <c r="T10" s="33">
        <v>0.0008705596966805147</v>
      </c>
      <c r="U10" s="33">
        <v>0.000567777301499449</v>
      </c>
      <c r="V10" s="33">
        <v>0.0006048383735643701</v>
      </c>
      <c r="W10" s="33">
        <v>0.0004509749715326894</v>
      </c>
      <c r="X10" s="33">
        <v>0.001737569212472845</v>
      </c>
      <c r="Y10" s="33">
        <v>0.0004911115306182344</v>
      </c>
      <c r="Z10" s="33">
        <v>0.0003952152809457524</v>
      </c>
      <c r="AA10" s="33">
        <v>0.0003898161299406327</v>
      </c>
      <c r="AB10" s="33">
        <v>0.0007725390278056622</v>
      </c>
      <c r="AC10" s="33">
        <v>0.0005634771555780672</v>
      </c>
      <c r="AD10" s="33">
        <v>0.00045345450169739587</v>
      </c>
      <c r="AE10" s="33">
        <v>0.0006900528117343423</v>
      </c>
      <c r="AF10" s="33">
        <v>0.0006165072684923326</v>
      </c>
      <c r="AG10" s="33">
        <v>0.0003986580440735157</v>
      </c>
      <c r="AH10" s="33">
        <v>0.00026450791233893837</v>
      </c>
      <c r="AI10" s="33">
        <v>0.00041379414833147546</v>
      </c>
      <c r="AJ10" s="33">
        <v>0.00043093598068217974</v>
      </c>
      <c r="AK10" s="33">
        <v>0.0004748016622421173</v>
      </c>
      <c r="AL10" s="33">
        <v>0.0008033466284358878</v>
      </c>
      <c r="AM10" s="33">
        <v>0.00323205146339824</v>
      </c>
      <c r="AN10" s="33">
        <v>0.0010166592944877233</v>
      </c>
      <c r="AO10" s="33">
        <v>0.0004667471337946244</v>
      </c>
      <c r="AP10" s="33">
        <v>0.0007082591142904822</v>
      </c>
      <c r="AQ10" s="33">
        <v>0.000367016109037909</v>
      </c>
      <c r="AR10" s="33">
        <v>0.0005031373222257379</v>
      </c>
      <c r="AS10" s="33">
        <v>0.0006467988414382916</v>
      </c>
      <c r="AT10" s="33">
        <v>0.00013908500872900735</v>
      </c>
      <c r="AU10" s="33">
        <v>0.0006119447861212778</v>
      </c>
      <c r="AV10" s="33">
        <v>0.0006504657814091446</v>
      </c>
      <c r="AW10" s="33">
        <v>0.00039850918489619104</v>
      </c>
      <c r="AX10" s="33">
        <v>0.0014165038647219522</v>
      </c>
      <c r="AY10" s="33">
        <v>0.0010261709213241635</v>
      </c>
      <c r="AZ10" s="33">
        <v>0.00044328520985749387</v>
      </c>
      <c r="BA10" s="33">
        <v>0.0002145235009218697</v>
      </c>
      <c r="BB10" s="33">
        <v>0.0007987330647767017</v>
      </c>
      <c r="BC10" s="33">
        <v>0.0009017405704261807</v>
      </c>
      <c r="BD10" s="33">
        <v>0.00036512472396881354</v>
      </c>
      <c r="BE10" s="33">
        <v>0.0002856190023917679</v>
      </c>
      <c r="BF10" s="33">
        <v>0.0004919771907382534</v>
      </c>
      <c r="BG10" s="33">
        <v>0.0004491637647753828</v>
      </c>
      <c r="BH10" s="33">
        <v>0.0007609114538482341</v>
      </c>
      <c r="BI10" s="33">
        <v>0.0006191480013639746</v>
      </c>
      <c r="BJ10" s="33">
        <v>0.000594172993702095</v>
      </c>
      <c r="BK10" s="33">
        <v>0.0004381965695916736</v>
      </c>
      <c r="BL10" s="33">
        <v>0.0004751448760165509</v>
      </c>
      <c r="BM10" s="33">
        <v>0</v>
      </c>
      <c r="BN10" s="33">
        <v>0</v>
      </c>
    </row>
    <row r="11" spans="1:66" x14ac:dyDescent="0.25">
      <c r="A11" s="30" t="s">
        <v>89</v>
      </c>
      <c r="B11" s="31" t="s">
        <v>288</v>
      </c>
      <c r="C11" s="33">
        <v>0.00018925202004779637</v>
      </c>
      <c r="D11" s="33">
        <v>0.00013918456918473273</v>
      </c>
      <c r="E11" s="33">
        <v>0.0002232767569992781</v>
      </c>
      <c r="F11" s="33">
        <v>0.00014060920705966432</v>
      </c>
      <c r="G11" s="33">
        <v>0.0003827672175327666</v>
      </c>
      <c r="H11" s="33">
        <v>0.00035977154507986004</v>
      </c>
      <c r="I11" s="33">
        <v>0.00031185648665468183</v>
      </c>
      <c r="J11" s="33">
        <v>0.0027177162589106718</v>
      </c>
      <c r="K11" s="33">
        <v>0.010125091495520103</v>
      </c>
      <c r="L11" s="33">
        <v>0.00010785120379344419</v>
      </c>
      <c r="M11" s="33">
        <v>0.0005420006322165059</v>
      </c>
      <c r="N11" s="33">
        <v>0.0004096880095773081</v>
      </c>
      <c r="O11" s="33">
        <v>0.0010505014717781672</v>
      </c>
      <c r="P11" s="33">
        <v>0.00026973088332539664</v>
      </c>
      <c r="Q11" s="33">
        <v>0.00026050850796886034</v>
      </c>
      <c r="R11" s="33">
        <v>0.00035478702962111103</v>
      </c>
      <c r="S11" s="33">
        <v>0.0002459748635656339</v>
      </c>
      <c r="T11" s="33">
        <v>0.0002926128578865852</v>
      </c>
      <c r="U11" s="33">
        <v>0.00044428647741400265</v>
      </c>
      <c r="V11" s="33">
        <v>0.00031770498820427533</v>
      </c>
      <c r="W11" s="33">
        <v>0.0002348323972779078</v>
      </c>
      <c r="X11" s="33">
        <v>0.00037703706459316755</v>
      </c>
      <c r="Y11" s="33">
        <v>0.000236093372457164</v>
      </c>
      <c r="Z11" s="33">
        <v>0.00017390825516794674</v>
      </c>
      <c r="AA11" s="33">
        <v>0.00019519132503892548</v>
      </c>
      <c r="AB11" s="33">
        <v>0.0002731736739800566</v>
      </c>
      <c r="AC11" s="33">
        <v>0.00023688008527050384</v>
      </c>
      <c r="AD11" s="33">
        <v>0.00032598949310580987</v>
      </c>
      <c r="AE11" s="33">
        <v>0.00043141953807670445</v>
      </c>
      <c r="AF11" s="33">
        <v>0.0004156794536060236</v>
      </c>
      <c r="AG11" s="33">
        <v>0.0003695222002143988</v>
      </c>
      <c r="AH11" s="33">
        <v>0.00013236996438055845</v>
      </c>
      <c r="AI11" s="33">
        <v>0.00023665352974466464</v>
      </c>
      <c r="AJ11" s="33">
        <v>0.0002159192344612721</v>
      </c>
      <c r="AK11" s="33">
        <v>0.0007845373488745367</v>
      </c>
      <c r="AL11" s="33">
        <v>0.0002536255781406811</v>
      </c>
      <c r="AM11" s="33">
        <v>0.0026230160200002854</v>
      </c>
      <c r="AN11" s="33">
        <v>0.0012053985107717165</v>
      </c>
      <c r="AO11" s="33">
        <v>0.00043994375670989335</v>
      </c>
      <c r="AP11" s="33">
        <v>0.0004755940418349548</v>
      </c>
      <c r="AQ11" s="33">
        <v>0.0003608514526481073</v>
      </c>
      <c r="AR11" s="33">
        <v>0.0005580661363026559</v>
      </c>
      <c r="AS11" s="33">
        <v>0.0006557632330631419</v>
      </c>
      <c r="AT11" s="33">
        <v>0.00007952903298500762</v>
      </c>
      <c r="AU11" s="33">
        <v>0.0005389861293400149</v>
      </c>
      <c r="AV11" s="33">
        <v>0.00035950662324460203</v>
      </c>
      <c r="AW11" s="33">
        <v>0.00030734498586988646</v>
      </c>
      <c r="AX11" s="33">
        <v>0.0019829840858911103</v>
      </c>
      <c r="AY11" s="33">
        <v>0.000626580199813166</v>
      </c>
      <c r="AZ11" s="33">
        <v>0.0002756701382439967</v>
      </c>
      <c r="BA11" s="33">
        <v>0.0001975476878397966</v>
      </c>
      <c r="BB11" s="33">
        <v>0.0005575171973256321</v>
      </c>
      <c r="BC11" s="33">
        <v>0.00046327502684871344</v>
      </c>
      <c r="BD11" s="33">
        <v>0.00029988233587754937</v>
      </c>
      <c r="BE11" s="33">
        <v>0.00022113720792510765</v>
      </c>
      <c r="BF11" s="33">
        <v>0.00016929745850935687</v>
      </c>
      <c r="BG11" s="33">
        <v>0.00018530412796989294</v>
      </c>
      <c r="BH11" s="33">
        <v>0.0004715773086548099</v>
      </c>
      <c r="BI11" s="33">
        <v>0.00048604595051833846</v>
      </c>
      <c r="BJ11" s="33">
        <v>0.00045715395645053674</v>
      </c>
      <c r="BK11" s="33">
        <v>0.00024056326630494764</v>
      </c>
      <c r="BL11" s="33">
        <v>0.00016917146394130505</v>
      </c>
      <c r="BM11" s="33">
        <v>0</v>
      </c>
      <c r="BN11" s="33">
        <v>0</v>
      </c>
    </row>
    <row r="12" spans="1:66" x14ac:dyDescent="0.25">
      <c r="A12" s="30" t="s">
        <v>91</v>
      </c>
      <c r="B12" s="31" t="s">
        <v>289</v>
      </c>
      <c r="C12" s="33">
        <v>0.004742814715170747</v>
      </c>
      <c r="D12" s="33">
        <v>0.003080056216369926</v>
      </c>
      <c r="E12" s="33">
        <v>0.005038162559485734</v>
      </c>
      <c r="F12" s="33">
        <v>0.0027613607819692403</v>
      </c>
      <c r="G12" s="33">
        <v>0.002859328647655616</v>
      </c>
      <c r="H12" s="33">
        <v>0.0020662135164499465</v>
      </c>
      <c r="I12" s="33">
        <v>0.0027173212448366054</v>
      </c>
      <c r="J12" s="33">
        <v>0.0030538427960793953</v>
      </c>
      <c r="K12" s="33">
        <v>0.001986118418384091</v>
      </c>
      <c r="L12" s="33">
        <v>0.016122457938829847</v>
      </c>
      <c r="M12" s="33">
        <v>0.016218992334485035</v>
      </c>
      <c r="N12" s="33">
        <v>0.0019284169325757188</v>
      </c>
      <c r="O12" s="33">
        <v>0.004553407379093662</v>
      </c>
      <c r="P12" s="33">
        <v>0.005668085567839502</v>
      </c>
      <c r="Q12" s="33">
        <v>0.005299071812599129</v>
      </c>
      <c r="R12" s="33">
        <v>0.0023788539791937302</v>
      </c>
      <c r="S12" s="33">
        <v>0.0012685658193908424</v>
      </c>
      <c r="T12" s="33">
        <v>0.002472124279386549</v>
      </c>
      <c r="U12" s="33">
        <v>0.0018828618598786817</v>
      </c>
      <c r="V12" s="33">
        <v>0.0019756867264238615</v>
      </c>
      <c r="W12" s="33">
        <v>0.0015626026656625064</v>
      </c>
      <c r="X12" s="33">
        <v>0.0023212527887055603</v>
      </c>
      <c r="Y12" s="33">
        <v>0.0017569901324229356</v>
      </c>
      <c r="Z12" s="33">
        <v>0.0039578770085783015</v>
      </c>
      <c r="AA12" s="33">
        <v>0.0016035009216769822</v>
      </c>
      <c r="AB12" s="33">
        <v>0.0028184443432415713</v>
      </c>
      <c r="AC12" s="33">
        <v>0.002633601417921376</v>
      </c>
      <c r="AD12" s="33">
        <v>0.001708760522678981</v>
      </c>
      <c r="AE12" s="33">
        <v>0.0018704260560071172</v>
      </c>
      <c r="AF12" s="33">
        <v>0.0012436866708252093</v>
      </c>
      <c r="AG12" s="33">
        <v>0.009337229048237748</v>
      </c>
      <c r="AH12" s="33">
        <v>0.03596419506371147</v>
      </c>
      <c r="AI12" s="33">
        <v>0.0329322088882502</v>
      </c>
      <c r="AJ12" s="33">
        <v>0.0036188765080588745</v>
      </c>
      <c r="AK12" s="33">
        <v>0.002800382307416442</v>
      </c>
      <c r="AL12" s="33">
        <v>0.001373958046335282</v>
      </c>
      <c r="AM12" s="33">
        <v>0.0009403601671150797</v>
      </c>
      <c r="AN12" s="33">
        <v>0.0012574816575430822</v>
      </c>
      <c r="AO12" s="33">
        <v>0.0010054913441732295</v>
      </c>
      <c r="AP12" s="33">
        <v>0.0007025709815108809</v>
      </c>
      <c r="AQ12" s="33">
        <v>0.0004358806641806457</v>
      </c>
      <c r="AR12" s="33">
        <v>0.0007067605371927119</v>
      </c>
      <c r="AS12" s="33">
        <v>0.0008350719160639843</v>
      </c>
      <c r="AT12" s="33">
        <v>0.000363637926806317</v>
      </c>
      <c r="AU12" s="33">
        <v>0.0007495337608421892</v>
      </c>
      <c r="AV12" s="33">
        <v>0.001023973853763048</v>
      </c>
      <c r="AW12" s="33">
        <v>0.0008846019038275534</v>
      </c>
      <c r="AX12" s="33">
        <v>0.0010363488253601017</v>
      </c>
      <c r="AY12" s="33">
        <v>0.0011409725997386846</v>
      </c>
      <c r="AZ12" s="33">
        <v>0.001955896367946909</v>
      </c>
      <c r="BA12" s="33">
        <v>0.0003658684520825909</v>
      </c>
      <c r="BB12" s="33">
        <v>0.005112717797767986</v>
      </c>
      <c r="BC12" s="33">
        <v>0.0013021085096844931</v>
      </c>
      <c r="BD12" s="33">
        <v>0.0009500043288138686</v>
      </c>
      <c r="BE12" s="33">
        <v>0.0005691003948310212</v>
      </c>
      <c r="BF12" s="33">
        <v>0.0008895077546271897</v>
      </c>
      <c r="BG12" s="33">
        <v>0.0007139214510592544</v>
      </c>
      <c r="BH12" s="33">
        <v>0.0009888142600544447</v>
      </c>
      <c r="BI12" s="33">
        <v>0.001278877941917176</v>
      </c>
      <c r="BJ12" s="33">
        <v>0.0010665336233145629</v>
      </c>
      <c r="BK12" s="33">
        <v>0.0010822029185819804</v>
      </c>
      <c r="BL12" s="33">
        <v>0.0011662740686089114</v>
      </c>
      <c r="BM12" s="33">
        <v>0</v>
      </c>
      <c r="BN12" s="33">
        <v>0</v>
      </c>
    </row>
    <row r="13" spans="1:66" x14ac:dyDescent="0.25">
      <c r="A13" s="30" t="s">
        <v>93</v>
      </c>
      <c r="B13" s="31" t="s">
        <v>290</v>
      </c>
      <c r="C13" s="33">
        <v>0.013741033440430626</v>
      </c>
      <c r="D13" s="33">
        <v>0.00308536384448038</v>
      </c>
      <c r="E13" s="33">
        <v>0.005888487448216699</v>
      </c>
      <c r="F13" s="33">
        <v>0.003720167652921094</v>
      </c>
      <c r="G13" s="33">
        <v>0.008746425700978635</v>
      </c>
      <c r="H13" s="33">
        <v>0.014222780669611666</v>
      </c>
      <c r="I13" s="33">
        <v>0.009731277359987337</v>
      </c>
      <c r="J13" s="33">
        <v>0.015794710892259943</v>
      </c>
      <c r="K13" s="33">
        <v>0.011769641335451613</v>
      </c>
      <c r="L13" s="33">
        <v>0.008950826166487985</v>
      </c>
      <c r="M13" s="33">
        <v>0.07548642142082079</v>
      </c>
      <c r="N13" s="33">
        <v>0.025776086180751223</v>
      </c>
      <c r="O13" s="33">
        <v>0.054098784315600695</v>
      </c>
      <c r="P13" s="33">
        <v>0.010926099454328386</v>
      </c>
      <c r="Q13" s="33">
        <v>0.00781530266062432</v>
      </c>
      <c r="R13" s="33">
        <v>0.007528007695137371</v>
      </c>
      <c r="S13" s="33">
        <v>0.005558511144006958</v>
      </c>
      <c r="T13" s="33">
        <v>0.010645136274910738</v>
      </c>
      <c r="U13" s="33">
        <v>0.005544474968379409</v>
      </c>
      <c r="V13" s="33">
        <v>0.0077345025206061535</v>
      </c>
      <c r="W13" s="33">
        <v>0.006169540523176262</v>
      </c>
      <c r="X13" s="33">
        <v>0.009418459811915861</v>
      </c>
      <c r="Y13" s="33">
        <v>0.005575719704414735</v>
      </c>
      <c r="Z13" s="33">
        <v>0.0046817997784938835</v>
      </c>
      <c r="AA13" s="33">
        <v>0.0035294111360225024</v>
      </c>
      <c r="AB13" s="33">
        <v>0.004305318833584091</v>
      </c>
      <c r="AC13" s="33">
        <v>0.006496024437299242</v>
      </c>
      <c r="AD13" s="33">
        <v>0.0036093964222676735</v>
      </c>
      <c r="AE13" s="33">
        <v>0.003253988629370182</v>
      </c>
      <c r="AF13" s="33">
        <v>0.001952328020285133</v>
      </c>
      <c r="AG13" s="33">
        <v>0.0031893701824338393</v>
      </c>
      <c r="AH13" s="33">
        <v>0.002339360766955386</v>
      </c>
      <c r="AI13" s="33">
        <v>0.0038089434668446913</v>
      </c>
      <c r="AJ13" s="33">
        <v>0.002283447725146627</v>
      </c>
      <c r="AK13" s="33">
        <v>0.0017855319126211468</v>
      </c>
      <c r="AL13" s="33">
        <v>0.0032890427270271987</v>
      </c>
      <c r="AM13" s="33">
        <v>0.0068255650192704746</v>
      </c>
      <c r="AN13" s="33">
        <v>0.002350809110287043</v>
      </c>
      <c r="AO13" s="33">
        <v>0.001846380471373725</v>
      </c>
      <c r="AP13" s="33">
        <v>0.001420781344059061</v>
      </c>
      <c r="AQ13" s="33">
        <v>0.0007358034292616717</v>
      </c>
      <c r="AR13" s="33">
        <v>0.0009751514237431719</v>
      </c>
      <c r="AS13" s="33">
        <v>0.001192971765996866</v>
      </c>
      <c r="AT13" s="33">
        <v>0.000983615960935823</v>
      </c>
      <c r="AU13" s="33">
        <v>0.0013656001915923889</v>
      </c>
      <c r="AV13" s="33">
        <v>0.002529384510488549</v>
      </c>
      <c r="AW13" s="33">
        <v>0.003537454149964352</v>
      </c>
      <c r="AX13" s="33">
        <v>0.002244910376587712</v>
      </c>
      <c r="AY13" s="33">
        <v>0.002989478602636114</v>
      </c>
      <c r="AZ13" s="33">
        <v>0.002101592696091645</v>
      </c>
      <c r="BA13" s="33">
        <v>0.0006124915776103176</v>
      </c>
      <c r="BB13" s="33">
        <v>0.0023369316410779303</v>
      </c>
      <c r="BC13" s="33">
        <v>0.0035462489250300314</v>
      </c>
      <c r="BD13" s="33">
        <v>0.0013579265998103765</v>
      </c>
      <c r="BE13" s="33">
        <v>0.0009252795357735312</v>
      </c>
      <c r="BF13" s="33">
        <v>0.004831968263948093</v>
      </c>
      <c r="BG13" s="33">
        <v>0.001785610553629599</v>
      </c>
      <c r="BH13" s="33">
        <v>0.0022716590785850995</v>
      </c>
      <c r="BI13" s="33">
        <v>0.0022976682929817674</v>
      </c>
      <c r="BJ13" s="33">
        <v>0.0018741401079627401</v>
      </c>
      <c r="BK13" s="33">
        <v>0.0023149053337238254</v>
      </c>
      <c r="BL13" s="33">
        <v>0.0050732231340237955</v>
      </c>
      <c r="BM13" s="33">
        <v>0</v>
      </c>
      <c r="BN13" s="33">
        <v>0</v>
      </c>
    </row>
    <row r="14" spans="1:66" x14ac:dyDescent="0.25">
      <c r="A14" s="30" t="s">
        <v>95</v>
      </c>
      <c r="B14" s="31" t="s">
        <v>291</v>
      </c>
      <c r="C14" s="33">
        <v>0.0016039493041603576</v>
      </c>
      <c r="D14" s="33">
        <v>0.00030506015495102674</v>
      </c>
      <c r="E14" s="33">
        <v>0.0009323370945389216</v>
      </c>
      <c r="F14" s="33">
        <v>0.0003114656634151561</v>
      </c>
      <c r="G14" s="33">
        <v>0.0016649301056324967</v>
      </c>
      <c r="H14" s="33">
        <v>0.0007788852105053319</v>
      </c>
      <c r="I14" s="33">
        <v>0.0006478473093868357</v>
      </c>
      <c r="J14" s="33">
        <v>0.0007290181452990006</v>
      </c>
      <c r="K14" s="33">
        <v>0.0006124544094719404</v>
      </c>
      <c r="L14" s="33">
        <v>0.0003408298256065455</v>
      </c>
      <c r="M14" s="33">
        <v>0.002804979913586406</v>
      </c>
      <c r="N14" s="33">
        <v>0.04627451014065945</v>
      </c>
      <c r="O14" s="33">
        <v>0.001599320743335112</v>
      </c>
      <c r="P14" s="33">
        <v>0.0007017284150973559</v>
      </c>
      <c r="Q14" s="33">
        <v>0.0005367198496317388</v>
      </c>
      <c r="R14" s="33">
        <v>0.0005003387842380452</v>
      </c>
      <c r="S14" s="33">
        <v>0.0005558509800019004</v>
      </c>
      <c r="T14" s="33">
        <v>0.0006261423934847254</v>
      </c>
      <c r="U14" s="33">
        <v>0.0005462621542519334</v>
      </c>
      <c r="V14" s="33">
        <v>0.000584729290078911</v>
      </c>
      <c r="W14" s="33">
        <v>0.0005129666788692008</v>
      </c>
      <c r="X14" s="33">
        <v>0.0009573278612366922</v>
      </c>
      <c r="Y14" s="33">
        <v>0.00048393190578431214</v>
      </c>
      <c r="Z14" s="33">
        <v>0.0003378263882956252</v>
      </c>
      <c r="AA14" s="33">
        <v>0.00035335531548440246</v>
      </c>
      <c r="AB14" s="33">
        <v>0.0005134013598209416</v>
      </c>
      <c r="AC14" s="33">
        <v>0.0005063509520521132</v>
      </c>
      <c r="AD14" s="33">
        <v>0.0003512567505385338</v>
      </c>
      <c r="AE14" s="33">
        <v>0.0023105675654929805</v>
      </c>
      <c r="AF14" s="33">
        <v>0.0004335081360942952</v>
      </c>
      <c r="AG14" s="33">
        <v>0.00032098687031727413</v>
      </c>
      <c r="AH14" s="33">
        <v>0.000313499988685232</v>
      </c>
      <c r="AI14" s="33">
        <v>0.0005200780298583293</v>
      </c>
      <c r="AJ14" s="33">
        <v>0.00032470533600271556</v>
      </c>
      <c r="AK14" s="33">
        <v>0.00028213518269289264</v>
      </c>
      <c r="AL14" s="33">
        <v>0.0005742524313571826</v>
      </c>
      <c r="AM14" s="33">
        <v>0.0006176157015063385</v>
      </c>
      <c r="AN14" s="33">
        <v>0.00041962503809476163</v>
      </c>
      <c r="AO14" s="33">
        <v>0.0003941100429494382</v>
      </c>
      <c r="AP14" s="33">
        <v>0.0004245946840043845</v>
      </c>
      <c r="AQ14" s="33">
        <v>0.00017183559013762053</v>
      </c>
      <c r="AR14" s="33">
        <v>0.00023569778735462038</v>
      </c>
      <c r="AS14" s="33">
        <v>0.00028284650471868753</v>
      </c>
      <c r="AT14" s="33">
        <v>0.00010227806808700001</v>
      </c>
      <c r="AU14" s="33">
        <v>0.00042031648146528643</v>
      </c>
      <c r="AV14" s="33">
        <v>0.0004158726074770815</v>
      </c>
      <c r="AW14" s="33">
        <v>0.001952111266745611</v>
      </c>
      <c r="AX14" s="33">
        <v>0.0006477770453770047</v>
      </c>
      <c r="AY14" s="33">
        <v>0.002987534452345637</v>
      </c>
      <c r="AZ14" s="33">
        <v>0.0004449809533853804</v>
      </c>
      <c r="BA14" s="33">
        <v>0.00015230019467233995</v>
      </c>
      <c r="BB14" s="33">
        <v>0.0004483191207579829</v>
      </c>
      <c r="BC14" s="33">
        <v>0.0006733045052435797</v>
      </c>
      <c r="BD14" s="33">
        <v>0.0008984576295076156</v>
      </c>
      <c r="BE14" s="33">
        <v>0.0003650616643793106</v>
      </c>
      <c r="BF14" s="33">
        <v>0.01388498957226479</v>
      </c>
      <c r="BG14" s="33">
        <v>0.0026750256160136972</v>
      </c>
      <c r="BH14" s="33">
        <v>0.0004219228686951714</v>
      </c>
      <c r="BI14" s="33">
        <v>0.0005356002506950473</v>
      </c>
      <c r="BJ14" s="33">
        <v>0.000371972185761406</v>
      </c>
      <c r="BK14" s="33">
        <v>0.00035321967276982005</v>
      </c>
      <c r="BL14" s="33">
        <v>0.000335772500056229</v>
      </c>
      <c r="BM14" s="33">
        <v>0</v>
      </c>
      <c r="BN14" s="33">
        <v>0</v>
      </c>
    </row>
    <row r="15" spans="1:66" x14ac:dyDescent="0.25">
      <c r="A15" s="30" t="s">
        <v>97</v>
      </c>
      <c r="B15" s="31" t="s">
        <v>292</v>
      </c>
      <c r="C15" s="33">
        <v>0.0020308095342694253</v>
      </c>
      <c r="D15" s="33">
        <v>0.0008621572847891237</v>
      </c>
      <c r="E15" s="33">
        <v>0.0016867893679255396</v>
      </c>
      <c r="F15" s="33">
        <v>0.0012273285239451765</v>
      </c>
      <c r="G15" s="33">
        <v>0.004588372810516723</v>
      </c>
      <c r="H15" s="33">
        <v>0.0030136803607109268</v>
      </c>
      <c r="I15" s="33">
        <v>0.0026894943843171672</v>
      </c>
      <c r="J15" s="33">
        <v>0.004685657193217628</v>
      </c>
      <c r="K15" s="33">
        <v>0.0037661320160971064</v>
      </c>
      <c r="L15" s="33">
        <v>0.001082547789151882</v>
      </c>
      <c r="M15" s="33">
        <v>0.004782349451392875</v>
      </c>
      <c r="N15" s="33">
        <v>0.005743743335388399</v>
      </c>
      <c r="O15" s="33">
        <v>0.02290311695131198</v>
      </c>
      <c r="P15" s="33">
        <v>0.0033214232742879643</v>
      </c>
      <c r="Q15" s="33">
        <v>0.0021129615648346157</v>
      </c>
      <c r="R15" s="33">
        <v>0.0030931373958929136</v>
      </c>
      <c r="S15" s="33">
        <v>0.0026180232422438623</v>
      </c>
      <c r="T15" s="33">
        <v>0.005169711176378884</v>
      </c>
      <c r="U15" s="33">
        <v>0.0036189761030060684</v>
      </c>
      <c r="V15" s="33">
        <v>0.007345505180544621</v>
      </c>
      <c r="W15" s="33">
        <v>0.003218932468281512</v>
      </c>
      <c r="X15" s="33">
        <v>0.005269598938409582</v>
      </c>
      <c r="Y15" s="33">
        <v>0.002738221832518595</v>
      </c>
      <c r="Z15" s="33">
        <v>0.0009617025224048761</v>
      </c>
      <c r="AA15" s="33">
        <v>0.001172449570294366</v>
      </c>
      <c r="AB15" s="33">
        <v>0.0020256426967303386</v>
      </c>
      <c r="AC15" s="33">
        <v>0.005064376530859583</v>
      </c>
      <c r="AD15" s="33">
        <v>0.0033988947262253385</v>
      </c>
      <c r="AE15" s="33">
        <v>0.001353064656470224</v>
      </c>
      <c r="AF15" s="33">
        <v>0.0011844508529464692</v>
      </c>
      <c r="AG15" s="33">
        <v>0.0022602598265193783</v>
      </c>
      <c r="AH15" s="33">
        <v>0.0007198547394217582</v>
      </c>
      <c r="AI15" s="33">
        <v>0.0012112713341557591</v>
      </c>
      <c r="AJ15" s="33">
        <v>0.0013354917809735016</v>
      </c>
      <c r="AK15" s="33">
        <v>0.0010823072984510692</v>
      </c>
      <c r="AL15" s="33">
        <v>0.0013045741818261771</v>
      </c>
      <c r="AM15" s="33">
        <v>0.0009191742455646371</v>
      </c>
      <c r="AN15" s="33">
        <v>0.0009414329964272329</v>
      </c>
      <c r="AO15" s="33">
        <v>0.001312593138802712</v>
      </c>
      <c r="AP15" s="33">
        <v>0.0007026048544628724</v>
      </c>
      <c r="AQ15" s="33">
        <v>0.000343735722052517</v>
      </c>
      <c r="AR15" s="33">
        <v>0.0004929234238176847</v>
      </c>
      <c r="AS15" s="33">
        <v>0.0005408193697180799</v>
      </c>
      <c r="AT15" s="33">
        <v>0.0005784253535675507</v>
      </c>
      <c r="AU15" s="33">
        <v>0.0006144392288210258</v>
      </c>
      <c r="AV15" s="33">
        <v>0.0011595821344299216</v>
      </c>
      <c r="AW15" s="33">
        <v>0.000917964287446073</v>
      </c>
      <c r="AX15" s="33">
        <v>0.0010961789152462177</v>
      </c>
      <c r="AY15" s="33">
        <v>0.0012114437002976462</v>
      </c>
      <c r="AZ15" s="33">
        <v>0.0010708962647503154</v>
      </c>
      <c r="BA15" s="33">
        <v>0.0002728131657242998</v>
      </c>
      <c r="BB15" s="33">
        <v>0.000996239411268745</v>
      </c>
      <c r="BC15" s="33">
        <v>0.0013914480662404853</v>
      </c>
      <c r="BD15" s="33">
        <v>0.0006296451565035214</v>
      </c>
      <c r="BE15" s="33">
        <v>0.000369123056884231</v>
      </c>
      <c r="BF15" s="33">
        <v>0.0012892288731249015</v>
      </c>
      <c r="BG15" s="33">
        <v>0.0007387534637346187</v>
      </c>
      <c r="BH15" s="33">
        <v>0.0009085637881723265</v>
      </c>
      <c r="BI15" s="33">
        <v>0.0009234075024518065</v>
      </c>
      <c r="BJ15" s="33">
        <v>0.0006679619086632576</v>
      </c>
      <c r="BK15" s="33">
        <v>0.0014984660118893204</v>
      </c>
      <c r="BL15" s="33">
        <v>0.0008259608928079873</v>
      </c>
      <c r="BM15" s="33">
        <v>0</v>
      </c>
      <c r="BN15" s="33">
        <v>0</v>
      </c>
    </row>
    <row r="16" spans="1:66" x14ac:dyDescent="0.25">
      <c r="A16" s="30" t="s">
        <v>99</v>
      </c>
      <c r="B16" s="31" t="s">
        <v>293</v>
      </c>
      <c r="C16" s="33">
        <v>0.0010029048205426345</v>
      </c>
      <c r="D16" s="33">
        <v>0.0004086272749964097</v>
      </c>
      <c r="E16" s="33">
        <v>0.0009299119094206487</v>
      </c>
      <c r="F16" s="33">
        <v>0.000973404846941048</v>
      </c>
      <c r="G16" s="33">
        <v>0.001834167839768213</v>
      </c>
      <c r="H16" s="33">
        <v>0.0010612974727745533</v>
      </c>
      <c r="I16" s="33">
        <v>0.0021962362812250995</v>
      </c>
      <c r="J16" s="33">
        <v>0.0007801536440074565</v>
      </c>
      <c r="K16" s="33">
        <v>0.000583061435170228</v>
      </c>
      <c r="L16" s="33">
        <v>0.0007931903096362769</v>
      </c>
      <c r="M16" s="33">
        <v>0.002414411826492829</v>
      </c>
      <c r="N16" s="33">
        <v>0.001423304929871213</v>
      </c>
      <c r="O16" s="33">
        <v>0.0024264038796408226</v>
      </c>
      <c r="P16" s="33">
        <v>0.015709037456501703</v>
      </c>
      <c r="Q16" s="33">
        <v>0.002466796873662948</v>
      </c>
      <c r="R16" s="33">
        <v>0.00200012104001681</v>
      </c>
      <c r="S16" s="33">
        <v>0.0012230679784074009</v>
      </c>
      <c r="T16" s="33">
        <v>0.002782286956586604</v>
      </c>
      <c r="U16" s="33">
        <v>0.0015567430464670544</v>
      </c>
      <c r="V16" s="33">
        <v>0.00285305457614582</v>
      </c>
      <c r="W16" s="33">
        <v>0.00219430994232183</v>
      </c>
      <c r="X16" s="33">
        <v>0.00226279545070587</v>
      </c>
      <c r="Y16" s="33">
        <v>0.0013242734623552263</v>
      </c>
      <c r="Z16" s="33">
        <v>0.0007518985535919377</v>
      </c>
      <c r="AA16" s="33">
        <v>0.0008451065483908872</v>
      </c>
      <c r="AB16" s="33">
        <v>0.0010787478262604185</v>
      </c>
      <c r="AC16" s="33">
        <v>0.0063356651456026635</v>
      </c>
      <c r="AD16" s="33">
        <v>0.0010370452764275919</v>
      </c>
      <c r="AE16" s="33">
        <v>0.0004509993030204759</v>
      </c>
      <c r="AF16" s="33">
        <v>0.0003823453218337592</v>
      </c>
      <c r="AG16" s="33">
        <v>0.0005849781832377566</v>
      </c>
      <c r="AH16" s="33">
        <v>0.00037610311559036153</v>
      </c>
      <c r="AI16" s="33">
        <v>0.0006200303027018723</v>
      </c>
      <c r="AJ16" s="33">
        <v>0.0006014093015556668</v>
      </c>
      <c r="AK16" s="33">
        <v>0.0003965588087092113</v>
      </c>
      <c r="AL16" s="33">
        <v>0.0008568239796341607</v>
      </c>
      <c r="AM16" s="33">
        <v>0.0003043419718433181</v>
      </c>
      <c r="AN16" s="33">
        <v>0.00035700645119841803</v>
      </c>
      <c r="AO16" s="33">
        <v>0.0004936208527132584</v>
      </c>
      <c r="AP16" s="33">
        <v>0.0002735320504276442</v>
      </c>
      <c r="AQ16" s="33">
        <v>0.00015740049577391644</v>
      </c>
      <c r="AR16" s="33">
        <v>0.00020091419824185846</v>
      </c>
      <c r="AS16" s="33">
        <v>0.00023771643758346744</v>
      </c>
      <c r="AT16" s="33">
        <v>0.0005558963482493008</v>
      </c>
      <c r="AU16" s="33">
        <v>0.0002859128126505934</v>
      </c>
      <c r="AV16" s="33">
        <v>0.0005357469911324334</v>
      </c>
      <c r="AW16" s="33">
        <v>0.0005605809301483638</v>
      </c>
      <c r="AX16" s="33">
        <v>0.00036691060841020066</v>
      </c>
      <c r="AY16" s="33">
        <v>0.0004590524380763098</v>
      </c>
      <c r="AZ16" s="33">
        <v>0.00041000886815488783</v>
      </c>
      <c r="BA16" s="33">
        <v>0.00014300036529169374</v>
      </c>
      <c r="BB16" s="33">
        <v>0.0004652253127332275</v>
      </c>
      <c r="BC16" s="33">
        <v>0.0005804916069060086</v>
      </c>
      <c r="BD16" s="33">
        <v>0.000366616518244011</v>
      </c>
      <c r="BE16" s="33">
        <v>0.00023412048395814427</v>
      </c>
      <c r="BF16" s="33">
        <v>0.0004879415907051572</v>
      </c>
      <c r="BG16" s="33">
        <v>0.0002995940331019709</v>
      </c>
      <c r="BH16" s="33">
        <v>0.0005192600439168317</v>
      </c>
      <c r="BI16" s="33">
        <v>0.0004892871911206769</v>
      </c>
      <c r="BJ16" s="33">
        <v>0.00041937910103061616</v>
      </c>
      <c r="BK16" s="33">
        <v>0.0005876143622458555</v>
      </c>
      <c r="BL16" s="33">
        <v>0.0006979980787895137</v>
      </c>
      <c r="BM16" s="33">
        <v>0</v>
      </c>
      <c r="BN16" s="33">
        <v>0</v>
      </c>
    </row>
    <row r="17" spans="1:66" x14ac:dyDescent="0.25">
      <c r="A17" s="30" t="s">
        <v>101</v>
      </c>
      <c r="B17" s="31" t="s">
        <v>294</v>
      </c>
      <c r="C17" s="33">
        <v>0.001639344950411584</v>
      </c>
      <c r="D17" s="33">
        <v>0.0009723246048057937</v>
      </c>
      <c r="E17" s="33">
        <v>0.0014313992959837576</v>
      </c>
      <c r="F17" s="33">
        <v>0.0020753480338644905</v>
      </c>
      <c r="G17" s="33">
        <v>0.002104242302766397</v>
      </c>
      <c r="H17" s="33">
        <v>0.0017048542018874898</v>
      </c>
      <c r="I17" s="33">
        <v>0.0027061995572364357</v>
      </c>
      <c r="J17" s="33">
        <v>0.00245706256655742</v>
      </c>
      <c r="K17" s="33">
        <v>0.0018978716004008482</v>
      </c>
      <c r="L17" s="33">
        <v>0.0011746940922925824</v>
      </c>
      <c r="M17" s="33">
        <v>0.004721383265339546</v>
      </c>
      <c r="N17" s="33">
        <v>0.0018698346913687386</v>
      </c>
      <c r="O17" s="33">
        <v>0.005198021506708381</v>
      </c>
      <c r="P17" s="33">
        <v>0.004376720432724456</v>
      </c>
      <c r="Q17" s="33">
        <v>0.07282169666814524</v>
      </c>
      <c r="R17" s="33">
        <v>0.034654960025932824</v>
      </c>
      <c r="S17" s="33">
        <v>0.004465142752283357</v>
      </c>
      <c r="T17" s="33">
        <v>0.019070710701838238</v>
      </c>
      <c r="U17" s="33">
        <v>0.016087639946313657</v>
      </c>
      <c r="V17" s="33">
        <v>0.011973744205499988</v>
      </c>
      <c r="W17" s="33">
        <v>0.009522578238543926</v>
      </c>
      <c r="X17" s="33">
        <v>0.01101906088945611</v>
      </c>
      <c r="Y17" s="33">
        <v>0.008505214374134202</v>
      </c>
      <c r="Z17" s="33">
        <v>0.0016758038944744513</v>
      </c>
      <c r="AA17" s="33">
        <v>0.0024565686327886384</v>
      </c>
      <c r="AB17" s="33">
        <v>0.005398535585870361</v>
      </c>
      <c r="AC17" s="33">
        <v>0.006305332791050421</v>
      </c>
      <c r="AD17" s="33">
        <v>0.0021649995245966785</v>
      </c>
      <c r="AE17" s="33">
        <v>0.001229556221336619</v>
      </c>
      <c r="AF17" s="33">
        <v>0.0008161952952090325</v>
      </c>
      <c r="AG17" s="33">
        <v>0.001665012318093164</v>
      </c>
      <c r="AH17" s="33">
        <v>0.0009670662982612433</v>
      </c>
      <c r="AI17" s="33">
        <v>0.0017227254290285803</v>
      </c>
      <c r="AJ17" s="33">
        <v>0.0015225836688127323</v>
      </c>
      <c r="AK17" s="33">
        <v>0.000978809684735439</v>
      </c>
      <c r="AL17" s="33">
        <v>0.0010093354543051424</v>
      </c>
      <c r="AM17" s="33">
        <v>0.0007058727431833523</v>
      </c>
      <c r="AN17" s="33">
        <v>0.0008918043169207014</v>
      </c>
      <c r="AO17" s="33">
        <v>0.0013424505446353794</v>
      </c>
      <c r="AP17" s="33">
        <v>0.0006841061952234375</v>
      </c>
      <c r="AQ17" s="33">
        <v>0.00034065646041359825</v>
      </c>
      <c r="AR17" s="33">
        <v>0.0004423039712159977</v>
      </c>
      <c r="AS17" s="33">
        <v>0.000505048741247164</v>
      </c>
      <c r="AT17" s="33">
        <v>0.0006341716225402346</v>
      </c>
      <c r="AU17" s="33">
        <v>0.0006505790458053901</v>
      </c>
      <c r="AV17" s="33">
        <v>0.0016899290130915389</v>
      </c>
      <c r="AW17" s="33">
        <v>0.0009716616970398319</v>
      </c>
      <c r="AX17" s="33">
        <v>0.0011089015221161249</v>
      </c>
      <c r="AY17" s="33">
        <v>0.0012041070341535962</v>
      </c>
      <c r="AZ17" s="33">
        <v>0.0011609073259887099</v>
      </c>
      <c r="BA17" s="33">
        <v>0.00030234812198533755</v>
      </c>
      <c r="BB17" s="33">
        <v>0.00096393477386845</v>
      </c>
      <c r="BC17" s="33">
        <v>0.0011915822300541093</v>
      </c>
      <c r="BD17" s="33">
        <v>0.0007814653819559503</v>
      </c>
      <c r="BE17" s="33">
        <v>0.0003652265157070124</v>
      </c>
      <c r="BF17" s="33">
        <v>0.0008849578472831724</v>
      </c>
      <c r="BG17" s="33">
        <v>0.0005409532306119997</v>
      </c>
      <c r="BH17" s="33">
        <v>0.0010732844585204819</v>
      </c>
      <c r="BI17" s="33">
        <v>0.0010012634553555216</v>
      </c>
      <c r="BJ17" s="33">
        <v>0.0006809598226019324</v>
      </c>
      <c r="BK17" s="33">
        <v>0.0023655090608837655</v>
      </c>
      <c r="BL17" s="33">
        <v>0.0008119862155883709</v>
      </c>
      <c r="BM17" s="33">
        <v>0</v>
      </c>
      <c r="BN17" s="33">
        <v>0</v>
      </c>
    </row>
    <row r="18" spans="1:66" x14ac:dyDescent="0.25">
      <c r="A18" s="30" t="s">
        <v>103</v>
      </c>
      <c r="B18" s="31" t="s">
        <v>295</v>
      </c>
      <c r="C18" s="33">
        <v>0.002028520930808231</v>
      </c>
      <c r="D18" s="33">
        <v>0.0010801063939406765</v>
      </c>
      <c r="E18" s="33">
        <v>0.0015664852395101186</v>
      </c>
      <c r="F18" s="33">
        <v>0.002004639910327988</v>
      </c>
      <c r="G18" s="33">
        <v>0.0027210460461255907</v>
      </c>
      <c r="H18" s="33">
        <v>0.0021778846145354153</v>
      </c>
      <c r="I18" s="33">
        <v>0.0036718009532484574</v>
      </c>
      <c r="J18" s="33">
        <v>0.001971764039862721</v>
      </c>
      <c r="K18" s="33">
        <v>0.0013763063375426454</v>
      </c>
      <c r="L18" s="33">
        <v>0.0009047384225249119</v>
      </c>
      <c r="M18" s="33">
        <v>0.002428522664485505</v>
      </c>
      <c r="N18" s="33">
        <v>0.0016591687736026007</v>
      </c>
      <c r="O18" s="33">
        <v>0.004685426746608592</v>
      </c>
      <c r="P18" s="33">
        <v>0.002795314366518039</v>
      </c>
      <c r="Q18" s="33">
        <v>0.005582740008549335</v>
      </c>
      <c r="R18" s="33">
        <v>0.016398863996000098</v>
      </c>
      <c r="S18" s="33">
        <v>0.002857426131866406</v>
      </c>
      <c r="T18" s="33">
        <v>0.007040757468139949</v>
      </c>
      <c r="U18" s="33">
        <v>0.008652669107016467</v>
      </c>
      <c r="V18" s="33">
        <v>0.008359826483116825</v>
      </c>
      <c r="W18" s="33">
        <v>0.008157423606836281</v>
      </c>
      <c r="X18" s="33">
        <v>0.006054353355978236</v>
      </c>
      <c r="Y18" s="33">
        <v>0.007047526292768226</v>
      </c>
      <c r="Z18" s="33">
        <v>0.0013592373177967717</v>
      </c>
      <c r="AA18" s="33">
        <v>0.0015863333520747577</v>
      </c>
      <c r="AB18" s="33">
        <v>0.0023860821755187795</v>
      </c>
      <c r="AC18" s="33">
        <v>0.006402801047717047</v>
      </c>
      <c r="AD18" s="33">
        <v>0.002189392300509341</v>
      </c>
      <c r="AE18" s="33">
        <v>0.0010303053910681443</v>
      </c>
      <c r="AF18" s="33">
        <v>0.0007238943472028822</v>
      </c>
      <c r="AG18" s="33">
        <v>0.001330637729660671</v>
      </c>
      <c r="AH18" s="33">
        <v>0.001061625823665489</v>
      </c>
      <c r="AI18" s="33">
        <v>0.0017185337925973154</v>
      </c>
      <c r="AJ18" s="33">
        <v>0.0013797635859332993</v>
      </c>
      <c r="AK18" s="33">
        <v>0.0009066242593170077</v>
      </c>
      <c r="AL18" s="33">
        <v>0.0011736427205218869</v>
      </c>
      <c r="AM18" s="33">
        <v>0.0006749917569166114</v>
      </c>
      <c r="AN18" s="33">
        <v>0.000772596088466413</v>
      </c>
      <c r="AO18" s="33">
        <v>0.001098172448206115</v>
      </c>
      <c r="AP18" s="33">
        <v>0.0006567728896735224</v>
      </c>
      <c r="AQ18" s="33">
        <v>0.00030799402835726474</v>
      </c>
      <c r="AR18" s="33">
        <v>0.000396077336737607</v>
      </c>
      <c r="AS18" s="33">
        <v>0.00045394981028911715</v>
      </c>
      <c r="AT18" s="33">
        <v>0.000582935415703449</v>
      </c>
      <c r="AU18" s="33">
        <v>0.0005526091584622571</v>
      </c>
      <c r="AV18" s="33">
        <v>0.002030453681481487</v>
      </c>
      <c r="AW18" s="33">
        <v>0.0006969098789828197</v>
      </c>
      <c r="AX18" s="33">
        <v>0.0010476982754818135</v>
      </c>
      <c r="AY18" s="33">
        <v>0.0008777920434777245</v>
      </c>
      <c r="AZ18" s="33">
        <v>0.0011262191257797839</v>
      </c>
      <c r="BA18" s="33">
        <v>0.0002681074708096484</v>
      </c>
      <c r="BB18" s="33">
        <v>0.0009438444100980178</v>
      </c>
      <c r="BC18" s="33">
        <v>0.0011203076852540229</v>
      </c>
      <c r="BD18" s="33">
        <v>0.0009372774957149111</v>
      </c>
      <c r="BE18" s="33">
        <v>0.00035196884346333897</v>
      </c>
      <c r="BF18" s="33">
        <v>0.0006781449185420476</v>
      </c>
      <c r="BG18" s="33">
        <v>0.0005043888526351273</v>
      </c>
      <c r="BH18" s="33">
        <v>0.0008563923425153093</v>
      </c>
      <c r="BI18" s="33">
        <v>0.0009186217223190746</v>
      </c>
      <c r="BJ18" s="33">
        <v>0.0006302997895203825</v>
      </c>
      <c r="BK18" s="33">
        <v>0.001956249947316393</v>
      </c>
      <c r="BL18" s="33">
        <v>0.000748168542841715</v>
      </c>
      <c r="BM18" s="33">
        <v>0</v>
      </c>
      <c r="BN18" s="33">
        <v>0</v>
      </c>
    </row>
    <row r="19" spans="1:66" x14ac:dyDescent="0.25">
      <c r="A19" s="30" t="s">
        <v>105</v>
      </c>
      <c r="B19" s="31" t="s">
        <v>296</v>
      </c>
      <c r="C19" s="33">
        <v>0.0013373364309901181</v>
      </c>
      <c r="D19" s="33">
        <v>0.0010259415832951616</v>
      </c>
      <c r="E19" s="33">
        <v>0.001563931088446581</v>
      </c>
      <c r="F19" s="33">
        <v>0.0015622653435370067</v>
      </c>
      <c r="G19" s="33">
        <v>0.0016427985615549685</v>
      </c>
      <c r="H19" s="33">
        <v>0.0013963726516489391</v>
      </c>
      <c r="I19" s="33">
        <v>0.0015738371163502203</v>
      </c>
      <c r="J19" s="33">
        <v>0.0018215914548726925</v>
      </c>
      <c r="K19" s="33">
        <v>0.002917540198179783</v>
      </c>
      <c r="L19" s="33">
        <v>0.0009257007333465186</v>
      </c>
      <c r="M19" s="33">
        <v>0.001992732669826853</v>
      </c>
      <c r="N19" s="33">
        <v>0.0021553598491220742</v>
      </c>
      <c r="O19" s="33">
        <v>0.002253660942105754</v>
      </c>
      <c r="P19" s="33">
        <v>0.0023837274072972775</v>
      </c>
      <c r="Q19" s="33">
        <v>0.0023395837587225628</v>
      </c>
      <c r="R19" s="33">
        <v>0.003430522646935751</v>
      </c>
      <c r="S19" s="33">
        <v>0.0720435602678216</v>
      </c>
      <c r="T19" s="33">
        <v>0.02003367486690836</v>
      </c>
      <c r="U19" s="33">
        <v>0.008298088080025702</v>
      </c>
      <c r="V19" s="33">
        <v>0.008027567012568545</v>
      </c>
      <c r="W19" s="33">
        <v>0.012318283070400044</v>
      </c>
      <c r="X19" s="33">
        <v>0.0048863963523878085</v>
      </c>
      <c r="Y19" s="33">
        <v>0.011501774009686952</v>
      </c>
      <c r="Z19" s="33">
        <v>0.0022238133042826883</v>
      </c>
      <c r="AA19" s="33">
        <v>0.0026563033611352867</v>
      </c>
      <c r="AB19" s="33">
        <v>0.0021258414272750047</v>
      </c>
      <c r="AC19" s="33">
        <v>0.00342068006353224</v>
      </c>
      <c r="AD19" s="33">
        <v>0.0022756962090339345</v>
      </c>
      <c r="AE19" s="33">
        <v>0.0023083334328903226</v>
      </c>
      <c r="AF19" s="33">
        <v>0.0014358557710351227</v>
      </c>
      <c r="AG19" s="33">
        <v>0.001721898904587268</v>
      </c>
      <c r="AH19" s="33">
        <v>0.0014546953868502422</v>
      </c>
      <c r="AI19" s="33">
        <v>0.0029120671762093396</v>
      </c>
      <c r="AJ19" s="33">
        <v>0.0018610191888450214</v>
      </c>
      <c r="AK19" s="33">
        <v>0.0024020077218307716</v>
      </c>
      <c r="AL19" s="33">
        <v>0.0013660956328840805</v>
      </c>
      <c r="AM19" s="33">
        <v>0.004174152578872934</v>
      </c>
      <c r="AN19" s="33">
        <v>0.004843833474321388</v>
      </c>
      <c r="AO19" s="33">
        <v>0.012679049311111894</v>
      </c>
      <c r="AP19" s="33">
        <v>0.0075942716408880385</v>
      </c>
      <c r="AQ19" s="33">
        <v>0.0011337925297295274</v>
      </c>
      <c r="AR19" s="33">
        <v>0.001473895754652951</v>
      </c>
      <c r="AS19" s="33">
        <v>0.0017124134164629625</v>
      </c>
      <c r="AT19" s="33">
        <v>0.000566432405699899</v>
      </c>
      <c r="AU19" s="33">
        <v>0.0017960606888368371</v>
      </c>
      <c r="AV19" s="33">
        <v>0.004511297386506465</v>
      </c>
      <c r="AW19" s="33">
        <v>0.0039054965750275417</v>
      </c>
      <c r="AX19" s="33">
        <v>0.003789679915249503</v>
      </c>
      <c r="AY19" s="33">
        <v>0.0028080045170683337</v>
      </c>
      <c r="AZ19" s="33">
        <v>0.002487770035214701</v>
      </c>
      <c r="BA19" s="33">
        <v>0.000951767254827756</v>
      </c>
      <c r="BB19" s="33">
        <v>0.0020709948125898687</v>
      </c>
      <c r="BC19" s="33">
        <v>0.0029435957019373544</v>
      </c>
      <c r="BD19" s="33">
        <v>0.0017359845330272702</v>
      </c>
      <c r="BE19" s="33">
        <v>0.0009280456022254159</v>
      </c>
      <c r="BF19" s="33">
        <v>0.0021274316589731217</v>
      </c>
      <c r="BG19" s="33">
        <v>0.0012801080545679826</v>
      </c>
      <c r="BH19" s="33">
        <v>0.003947778331812914</v>
      </c>
      <c r="BI19" s="33">
        <v>0.0023989075767797763</v>
      </c>
      <c r="BJ19" s="33">
        <v>0.0018175746724593085</v>
      </c>
      <c r="BK19" s="33">
        <v>0.016786246910070537</v>
      </c>
      <c r="BL19" s="33">
        <v>0.0012175753794427945</v>
      </c>
      <c r="BM19" s="33">
        <v>0</v>
      </c>
      <c r="BN19" s="33">
        <v>0</v>
      </c>
    </row>
    <row r="20" spans="1:66" x14ac:dyDescent="0.25">
      <c r="A20" s="30" t="s">
        <v>107</v>
      </c>
      <c r="B20" s="31" t="s">
        <v>297</v>
      </c>
      <c r="C20" s="33">
        <v>0.0015254924256256027</v>
      </c>
      <c r="D20" s="33">
        <v>0.0010452473666635828</v>
      </c>
      <c r="E20" s="33">
        <v>0.0014580194292889515</v>
      </c>
      <c r="F20" s="33">
        <v>0.0018557674585701336</v>
      </c>
      <c r="G20" s="33">
        <v>0.0019369520134617845</v>
      </c>
      <c r="H20" s="33">
        <v>0.0012713022120238663</v>
      </c>
      <c r="I20" s="33">
        <v>0.0018632839739030692</v>
      </c>
      <c r="J20" s="33">
        <v>0.002113043807299334</v>
      </c>
      <c r="K20" s="33">
        <v>0.001751252316512627</v>
      </c>
      <c r="L20" s="33">
        <v>0.0009429501728266756</v>
      </c>
      <c r="M20" s="33">
        <v>0.0019780037014158545</v>
      </c>
      <c r="N20" s="33">
        <v>0.0015980393496736263</v>
      </c>
      <c r="O20" s="33">
        <v>0.0026948772993892066</v>
      </c>
      <c r="P20" s="33">
        <v>0.0023658555416522405</v>
      </c>
      <c r="Q20" s="33">
        <v>0.004223217155061094</v>
      </c>
      <c r="R20" s="33">
        <v>0.0048483963728197955</v>
      </c>
      <c r="S20" s="33">
        <v>0.012475013065663235</v>
      </c>
      <c r="T20" s="33">
        <v>0.051114908589206844</v>
      </c>
      <c r="U20" s="33">
        <v>0.011825964616089205</v>
      </c>
      <c r="V20" s="33">
        <v>0.013559347600674851</v>
      </c>
      <c r="W20" s="33">
        <v>0.010926583447398731</v>
      </c>
      <c r="X20" s="33">
        <v>0.003969111637680766</v>
      </c>
      <c r="Y20" s="33">
        <v>0.010681984597267977</v>
      </c>
      <c r="Z20" s="33">
        <v>0.004234641511621599</v>
      </c>
      <c r="AA20" s="33">
        <v>0.00267133864474692</v>
      </c>
      <c r="AB20" s="33">
        <v>0.0027024506128921827</v>
      </c>
      <c r="AC20" s="33">
        <v>0.008394407019268904</v>
      </c>
      <c r="AD20" s="33">
        <v>0.0031044614268123574</v>
      </c>
      <c r="AE20" s="33">
        <v>0.0014546333124072657</v>
      </c>
      <c r="AF20" s="33">
        <v>0.0011340326694100678</v>
      </c>
      <c r="AG20" s="33">
        <v>0.001997070307951938</v>
      </c>
      <c r="AH20" s="33">
        <v>0.0010896397590006658</v>
      </c>
      <c r="AI20" s="33">
        <v>0.002132794391440252</v>
      </c>
      <c r="AJ20" s="33">
        <v>0.0018685573066808958</v>
      </c>
      <c r="AK20" s="33">
        <v>0.0016061046928356531</v>
      </c>
      <c r="AL20" s="33">
        <v>0.0014991181319779397</v>
      </c>
      <c r="AM20" s="33">
        <v>0.0009546920148127759</v>
      </c>
      <c r="AN20" s="33">
        <v>0.001724780548972081</v>
      </c>
      <c r="AO20" s="33">
        <v>0.004149746815826373</v>
      </c>
      <c r="AP20" s="33">
        <v>0.001558270514597715</v>
      </c>
      <c r="AQ20" s="33">
        <v>0.0004742091107987631</v>
      </c>
      <c r="AR20" s="33">
        <v>0.0006249192171879326</v>
      </c>
      <c r="AS20" s="33">
        <v>0.0007322112400438439</v>
      </c>
      <c r="AT20" s="33">
        <v>0.0009253729493486488</v>
      </c>
      <c r="AU20" s="33">
        <v>0.0009834137645039597</v>
      </c>
      <c r="AV20" s="33">
        <v>0.0023258505823822782</v>
      </c>
      <c r="AW20" s="33">
        <v>0.0014252394464664348</v>
      </c>
      <c r="AX20" s="33">
        <v>0.0012996534468968507</v>
      </c>
      <c r="AY20" s="33">
        <v>0.0016173118474966536</v>
      </c>
      <c r="AZ20" s="33">
        <v>0.0017574696283244515</v>
      </c>
      <c r="BA20" s="33">
        <v>0.0004371992691684446</v>
      </c>
      <c r="BB20" s="33">
        <v>0.001333428980517077</v>
      </c>
      <c r="BC20" s="33">
        <v>0.0014530503267977998</v>
      </c>
      <c r="BD20" s="33">
        <v>0.0009973307418059709</v>
      </c>
      <c r="BE20" s="33">
        <v>0.0005522558902205749</v>
      </c>
      <c r="BF20" s="33">
        <v>0.0008937750073794122</v>
      </c>
      <c r="BG20" s="33">
        <v>0.0007405544201457022</v>
      </c>
      <c r="BH20" s="33">
        <v>0.0016387510448143347</v>
      </c>
      <c r="BI20" s="33">
        <v>0.00150731829468219</v>
      </c>
      <c r="BJ20" s="33">
        <v>0.0009026414655180272</v>
      </c>
      <c r="BK20" s="33">
        <v>0.00672187446344298</v>
      </c>
      <c r="BL20" s="33">
        <v>0.0019390156491226047</v>
      </c>
      <c r="BM20" s="33">
        <v>0</v>
      </c>
      <c r="BN20" s="33">
        <v>0</v>
      </c>
    </row>
    <row r="21" spans="1:66" x14ac:dyDescent="0.25">
      <c r="A21" s="30" t="s">
        <v>109</v>
      </c>
      <c r="B21" s="31" t="s">
        <v>298</v>
      </c>
      <c r="C21" s="33">
        <v>0.002656162999247893</v>
      </c>
      <c r="D21" s="33">
        <v>0.0018281706910617387</v>
      </c>
      <c r="E21" s="33">
        <v>0.002298188186187638</v>
      </c>
      <c r="F21" s="33">
        <v>0.00352712361692179</v>
      </c>
      <c r="G21" s="33">
        <v>0.002381874985836426</v>
      </c>
      <c r="H21" s="33">
        <v>0.001909130189070247</v>
      </c>
      <c r="I21" s="33">
        <v>0.002379520345540513</v>
      </c>
      <c r="J21" s="33">
        <v>0.0032700410120734273</v>
      </c>
      <c r="K21" s="33">
        <v>0.0027888507063706515</v>
      </c>
      <c r="L21" s="33">
        <v>0.0015170019403898045</v>
      </c>
      <c r="M21" s="33">
        <v>0.0030476347310116852</v>
      </c>
      <c r="N21" s="33">
        <v>0.0019163638049986503</v>
      </c>
      <c r="O21" s="33">
        <v>0.004528481189071559</v>
      </c>
      <c r="P21" s="33">
        <v>0.0031318046948327974</v>
      </c>
      <c r="Q21" s="33">
        <v>0.004809503825291733</v>
      </c>
      <c r="R21" s="33">
        <v>0.005950224285848835</v>
      </c>
      <c r="S21" s="33">
        <v>0.005086972734119916</v>
      </c>
      <c r="T21" s="33">
        <v>0.007748276422841734</v>
      </c>
      <c r="U21" s="33">
        <v>0.03035646012817893</v>
      </c>
      <c r="V21" s="33">
        <v>0.013358638512874589</v>
      </c>
      <c r="W21" s="33">
        <v>0.013283333715570264</v>
      </c>
      <c r="X21" s="33">
        <v>0.002897530981414425</v>
      </c>
      <c r="Y21" s="33">
        <v>0.014319988621189777</v>
      </c>
      <c r="Z21" s="33">
        <v>0.0021940537850700216</v>
      </c>
      <c r="AA21" s="33">
        <v>0.002866463841296683</v>
      </c>
      <c r="AB21" s="33">
        <v>0.0035172883928346063</v>
      </c>
      <c r="AC21" s="33">
        <v>0.004436540790782931</v>
      </c>
      <c r="AD21" s="33">
        <v>0.00341722816037175</v>
      </c>
      <c r="AE21" s="33">
        <v>0.0012227386779983076</v>
      </c>
      <c r="AF21" s="33">
        <v>0.0009509253003677458</v>
      </c>
      <c r="AG21" s="33">
        <v>0.0018442891633434076</v>
      </c>
      <c r="AH21" s="33">
        <v>0.0017788431454787896</v>
      </c>
      <c r="AI21" s="33">
        <v>0.0030793818170340975</v>
      </c>
      <c r="AJ21" s="33">
        <v>0.002344892260998752</v>
      </c>
      <c r="AK21" s="33">
        <v>0.0013286333061701908</v>
      </c>
      <c r="AL21" s="33">
        <v>0.0011586259544090886</v>
      </c>
      <c r="AM21" s="33">
        <v>0.0010680410399055026</v>
      </c>
      <c r="AN21" s="33">
        <v>0.0011862410197131786</v>
      </c>
      <c r="AO21" s="33">
        <v>0.0018708355938373993</v>
      </c>
      <c r="AP21" s="33">
        <v>0.0010630794177260224</v>
      </c>
      <c r="AQ21" s="33">
        <v>0.0004158672175263556</v>
      </c>
      <c r="AR21" s="33">
        <v>0.0005611885404440668</v>
      </c>
      <c r="AS21" s="33">
        <v>0.0006037334843681147</v>
      </c>
      <c r="AT21" s="33">
        <v>0.0004955116990620565</v>
      </c>
      <c r="AU21" s="33">
        <v>0.0008222867538336598</v>
      </c>
      <c r="AV21" s="33">
        <v>0.0020853721586648467</v>
      </c>
      <c r="AW21" s="33">
        <v>0.001306336030236187</v>
      </c>
      <c r="AX21" s="33">
        <v>0.0010302646825051647</v>
      </c>
      <c r="AY21" s="33">
        <v>0.0012937939085615484</v>
      </c>
      <c r="AZ21" s="33">
        <v>0.002261674687080914</v>
      </c>
      <c r="BA21" s="33">
        <v>0.00037208590716820473</v>
      </c>
      <c r="BB21" s="33">
        <v>0.001345825327056465</v>
      </c>
      <c r="BC21" s="33">
        <v>0.0015703538524874695</v>
      </c>
      <c r="BD21" s="33">
        <v>0.0008035272931989615</v>
      </c>
      <c r="BE21" s="33">
        <v>0.0003998781551336827</v>
      </c>
      <c r="BF21" s="33">
        <v>0.0007958925017529492</v>
      </c>
      <c r="BG21" s="33">
        <v>0.000659079271115894</v>
      </c>
      <c r="BH21" s="33">
        <v>0.0013112612659647827</v>
      </c>
      <c r="BI21" s="33">
        <v>0.0011811580547567936</v>
      </c>
      <c r="BJ21" s="33">
        <v>0.000964620037368261</v>
      </c>
      <c r="BK21" s="33">
        <v>0.0025120469507155917</v>
      </c>
      <c r="BL21" s="33">
        <v>0.0009031715446647123</v>
      </c>
      <c r="BM21" s="33">
        <v>0</v>
      </c>
      <c r="BN21" s="33">
        <v>0</v>
      </c>
    </row>
    <row r="22" spans="1:66" x14ac:dyDescent="0.25">
      <c r="A22" s="30" t="s">
        <v>111</v>
      </c>
      <c r="B22" s="31" t="s">
        <v>299</v>
      </c>
      <c r="C22" s="33">
        <v>0.0008451756800891888</v>
      </c>
      <c r="D22" s="33">
        <v>0.0008548628397841341</v>
      </c>
      <c r="E22" s="33">
        <v>0.0007814645025780755</v>
      </c>
      <c r="F22" s="33">
        <v>0.0007128744171324128</v>
      </c>
      <c r="G22" s="33">
        <v>0.0007923863910323678</v>
      </c>
      <c r="H22" s="33">
        <v>0.0006865751074028514</v>
      </c>
      <c r="I22" s="33">
        <v>0.0009022256242281344</v>
      </c>
      <c r="J22" s="33">
        <v>0.0008114903322984815</v>
      </c>
      <c r="K22" s="33">
        <v>0.0006579779576748907</v>
      </c>
      <c r="L22" s="33">
        <v>0.00040580054733320735</v>
      </c>
      <c r="M22" s="33">
        <v>0.0010550506275252731</v>
      </c>
      <c r="N22" s="33">
        <v>0.00050976573956294</v>
      </c>
      <c r="O22" s="33">
        <v>0.001157483381520724</v>
      </c>
      <c r="P22" s="33">
        <v>0.00162877028977287</v>
      </c>
      <c r="Q22" s="33">
        <v>0.0009879113359143694</v>
      </c>
      <c r="R22" s="33">
        <v>0.0014122600924446475</v>
      </c>
      <c r="S22" s="33">
        <v>0.0010681309457017522</v>
      </c>
      <c r="T22" s="33">
        <v>0.002458500347413734</v>
      </c>
      <c r="U22" s="33">
        <v>0.003571430339426526</v>
      </c>
      <c r="V22" s="33">
        <v>0.04441330153305756</v>
      </c>
      <c r="W22" s="33">
        <v>0.002934194020591969</v>
      </c>
      <c r="X22" s="33">
        <v>0.0009601594497799582</v>
      </c>
      <c r="Y22" s="33">
        <v>0.004119561364618087</v>
      </c>
      <c r="Z22" s="33">
        <v>0.0005764609834578806</v>
      </c>
      <c r="AA22" s="33">
        <v>0.0006861758813090308</v>
      </c>
      <c r="AB22" s="33">
        <v>0.0013472309545633418</v>
      </c>
      <c r="AC22" s="33">
        <v>0.0009726316709515394</v>
      </c>
      <c r="AD22" s="33">
        <v>0.011585932220957142</v>
      </c>
      <c r="AE22" s="33">
        <v>0.000694742899701169</v>
      </c>
      <c r="AF22" s="33">
        <v>0.0005374954523504351</v>
      </c>
      <c r="AG22" s="33">
        <v>0.003379022389350206</v>
      </c>
      <c r="AH22" s="33">
        <v>0.0006485079600686885</v>
      </c>
      <c r="AI22" s="33">
        <v>0.0014442599742778743</v>
      </c>
      <c r="AJ22" s="33">
        <v>0.001401382270040363</v>
      </c>
      <c r="AK22" s="33">
        <v>0.0015036585865277308</v>
      </c>
      <c r="AL22" s="33">
        <v>0.000445505134180427</v>
      </c>
      <c r="AM22" s="33">
        <v>0.000387313869866139</v>
      </c>
      <c r="AN22" s="33">
        <v>0.0005704494334953937</v>
      </c>
      <c r="AO22" s="33">
        <v>0.0006264920876005536</v>
      </c>
      <c r="AP22" s="33">
        <v>0.00043761676627655533</v>
      </c>
      <c r="AQ22" s="33">
        <v>0.000232217077259802</v>
      </c>
      <c r="AR22" s="33">
        <v>0.0003279886043562974</v>
      </c>
      <c r="AS22" s="33">
        <v>0.0003522035172763696</v>
      </c>
      <c r="AT22" s="33">
        <v>0.00016063555671485123</v>
      </c>
      <c r="AU22" s="33">
        <v>0.00040399453757495625</v>
      </c>
      <c r="AV22" s="33">
        <v>0.0005036925503206314</v>
      </c>
      <c r="AW22" s="33">
        <v>0.0007221722326877854</v>
      </c>
      <c r="AX22" s="33">
        <v>0.0005296751050135913</v>
      </c>
      <c r="AY22" s="33">
        <v>0.0007074930419346591</v>
      </c>
      <c r="AZ22" s="33">
        <v>0.0014664977622771492</v>
      </c>
      <c r="BA22" s="33">
        <v>0.00018979090287239107</v>
      </c>
      <c r="BB22" s="33">
        <v>0.0008463736799779414</v>
      </c>
      <c r="BC22" s="33">
        <v>0.0005480891368745957</v>
      </c>
      <c r="BD22" s="33">
        <v>0.00037222531060056443</v>
      </c>
      <c r="BE22" s="33">
        <v>0.0001964287546777876</v>
      </c>
      <c r="BF22" s="33">
        <v>0.0003094421255178811</v>
      </c>
      <c r="BG22" s="33">
        <v>0.0002781992988039028</v>
      </c>
      <c r="BH22" s="33">
        <v>0.0004552366116440331</v>
      </c>
      <c r="BI22" s="33">
        <v>0.0006002047692142641</v>
      </c>
      <c r="BJ22" s="33">
        <v>0.000512474511831623</v>
      </c>
      <c r="BK22" s="33">
        <v>0.0006262370464412236</v>
      </c>
      <c r="BL22" s="33">
        <v>0.00035474803924958074</v>
      </c>
      <c r="BM22" s="33">
        <v>0</v>
      </c>
      <c r="BN22" s="33">
        <v>0</v>
      </c>
    </row>
    <row r="23" spans="1:66" x14ac:dyDescent="0.25">
      <c r="A23" s="30" t="s">
        <v>113</v>
      </c>
      <c r="B23" s="31" t="s">
        <v>300</v>
      </c>
      <c r="C23" s="33">
        <v>0.0006137286511061508</v>
      </c>
      <c r="D23" s="33">
        <v>0.0007136433253827902</v>
      </c>
      <c r="E23" s="33">
        <v>0.0014794189144654072</v>
      </c>
      <c r="F23" s="33">
        <v>0.0010400024548337414</v>
      </c>
      <c r="G23" s="33">
        <v>0.0006088880590164472</v>
      </c>
      <c r="H23" s="33">
        <v>0.0004860570104269659</v>
      </c>
      <c r="I23" s="33">
        <v>0.0006528056621429348</v>
      </c>
      <c r="J23" s="33">
        <v>0.0007197908414921092</v>
      </c>
      <c r="K23" s="33">
        <v>0.0005447921460456597</v>
      </c>
      <c r="L23" s="33">
        <v>0.0003373422759290285</v>
      </c>
      <c r="M23" s="33">
        <v>0.0006165687537062478</v>
      </c>
      <c r="N23" s="33">
        <v>0.0004075260540545217</v>
      </c>
      <c r="O23" s="33">
        <v>0.0008068088606826852</v>
      </c>
      <c r="P23" s="33">
        <v>0.000725177742675755</v>
      </c>
      <c r="Q23" s="33">
        <v>0.0008591448591906298</v>
      </c>
      <c r="R23" s="33">
        <v>0.0009037492677050708</v>
      </c>
      <c r="S23" s="33">
        <v>0.0008634699275773097</v>
      </c>
      <c r="T23" s="33">
        <v>0.001187768343997515</v>
      </c>
      <c r="U23" s="33">
        <v>0.0009571205903571087</v>
      </c>
      <c r="V23" s="33">
        <v>0.0013205579417971346</v>
      </c>
      <c r="W23" s="33">
        <v>0.11368411570968402</v>
      </c>
      <c r="X23" s="33">
        <v>0.0011081463158533421</v>
      </c>
      <c r="Y23" s="33">
        <v>0.011312887213833204</v>
      </c>
      <c r="Z23" s="33">
        <v>0.0006602356552656934</v>
      </c>
      <c r="AA23" s="33">
        <v>0.0005956666023482339</v>
      </c>
      <c r="AB23" s="33">
        <v>0.0006452390798387972</v>
      </c>
      <c r="AC23" s="33">
        <v>0.0006464167304730751</v>
      </c>
      <c r="AD23" s="33">
        <v>0.0011245229979436706</v>
      </c>
      <c r="AE23" s="33">
        <v>0.0005320506475582553</v>
      </c>
      <c r="AF23" s="33">
        <v>0.0003822799426540526</v>
      </c>
      <c r="AG23" s="33">
        <v>0.002777699475805326</v>
      </c>
      <c r="AH23" s="33">
        <v>0.001619082451168647</v>
      </c>
      <c r="AI23" s="33">
        <v>0.01665944282146229</v>
      </c>
      <c r="AJ23" s="33">
        <v>0.001527231721591715</v>
      </c>
      <c r="AK23" s="33">
        <v>0.0008163571325401739</v>
      </c>
      <c r="AL23" s="33">
        <v>0.00036799459357657365</v>
      </c>
      <c r="AM23" s="33">
        <v>0.0003101574656220564</v>
      </c>
      <c r="AN23" s="33">
        <v>0.00041346806040015195</v>
      </c>
      <c r="AO23" s="33">
        <v>0.0005076899893796784</v>
      </c>
      <c r="AP23" s="33">
        <v>0.0003822670870042292</v>
      </c>
      <c r="AQ23" s="33">
        <v>0.00018174081340313912</v>
      </c>
      <c r="AR23" s="33">
        <v>0.00024362073729412379</v>
      </c>
      <c r="AS23" s="33">
        <v>0.0003199148811505474</v>
      </c>
      <c r="AT23" s="33">
        <v>0.00011785347803186845</v>
      </c>
      <c r="AU23" s="33">
        <v>0.00029628007761633643</v>
      </c>
      <c r="AV23" s="33">
        <v>0.00038794444953154327</v>
      </c>
      <c r="AW23" s="33">
        <v>0.0005103345524799249</v>
      </c>
      <c r="AX23" s="33">
        <v>0.0003796236276669357</v>
      </c>
      <c r="AY23" s="33">
        <v>0.0008513459931158922</v>
      </c>
      <c r="AZ23" s="33">
        <v>0.0012187288340491885</v>
      </c>
      <c r="BA23" s="33">
        <v>0.0001401204144684099</v>
      </c>
      <c r="BB23" s="33">
        <v>0.001987761410629996</v>
      </c>
      <c r="BC23" s="33">
        <v>0.0004850176172410536</v>
      </c>
      <c r="BD23" s="33">
        <v>0.0018098751852215706</v>
      </c>
      <c r="BE23" s="33">
        <v>0.00016113676832306162</v>
      </c>
      <c r="BF23" s="33">
        <v>0.0003075335507442029</v>
      </c>
      <c r="BG23" s="33">
        <v>0.00020099614281135093</v>
      </c>
      <c r="BH23" s="33">
        <v>0.0003753962143957849</v>
      </c>
      <c r="BI23" s="33">
        <v>0.0005258006527874132</v>
      </c>
      <c r="BJ23" s="33">
        <v>0.00039024613793384725</v>
      </c>
      <c r="BK23" s="33">
        <v>0.0006039440559867982</v>
      </c>
      <c r="BL23" s="33">
        <v>0.0003564671440338826</v>
      </c>
      <c r="BM23" s="33">
        <v>0</v>
      </c>
      <c r="BN23" s="33">
        <v>0</v>
      </c>
    </row>
    <row r="24" spans="1:66" x14ac:dyDescent="0.25">
      <c r="A24" s="30" t="s">
        <v>301</v>
      </c>
      <c r="B24" s="31" t="s">
        <v>302</v>
      </c>
      <c r="C24" s="33">
        <v>0.00043810101728985795</v>
      </c>
      <c r="D24" s="33">
        <v>0.0002501784478973433</v>
      </c>
      <c r="E24" s="33">
        <v>0.000554724967920207</v>
      </c>
      <c r="F24" s="33">
        <v>0.00036935550641711726</v>
      </c>
      <c r="G24" s="33">
        <v>0.000709298735264173</v>
      </c>
      <c r="H24" s="33">
        <v>0.0014776759018804485</v>
      </c>
      <c r="I24" s="33">
        <v>0.0012196546032392916</v>
      </c>
      <c r="J24" s="33">
        <v>0.0008522040725350346</v>
      </c>
      <c r="K24" s="33">
        <v>0.0008631660071360913</v>
      </c>
      <c r="L24" s="33">
        <v>0.00022545449635777873</v>
      </c>
      <c r="M24" s="33">
        <v>0.0011634930798819303</v>
      </c>
      <c r="N24" s="33">
        <v>0.00206187295703667</v>
      </c>
      <c r="O24" s="33">
        <v>0.0010373075249018116</v>
      </c>
      <c r="P24" s="33">
        <v>0.0007330220137022543</v>
      </c>
      <c r="Q24" s="33">
        <v>0.0007676650179505933</v>
      </c>
      <c r="R24" s="33">
        <v>0.0007897386630489726</v>
      </c>
      <c r="S24" s="33">
        <v>0.0016553519896544357</v>
      </c>
      <c r="T24" s="33">
        <v>0.0010863782395876959</v>
      </c>
      <c r="U24" s="33">
        <v>0.0009457722707356556</v>
      </c>
      <c r="V24" s="33">
        <v>0.0012595967784391332</v>
      </c>
      <c r="W24" s="33">
        <v>0.001074242307885693</v>
      </c>
      <c r="X24" s="33">
        <v>0.01097103960774041</v>
      </c>
      <c r="Y24" s="33">
        <v>0.001589606225346894</v>
      </c>
      <c r="Z24" s="33">
        <v>0.0004026958435602575</v>
      </c>
      <c r="AA24" s="33">
        <v>0.00042474421739441395</v>
      </c>
      <c r="AB24" s="33">
        <v>0.0005793774501323406</v>
      </c>
      <c r="AC24" s="33">
        <v>0.0009611419993724805</v>
      </c>
      <c r="AD24" s="33">
        <v>0.00048624501711684755</v>
      </c>
      <c r="AE24" s="33">
        <v>0.00048814511183489865</v>
      </c>
      <c r="AF24" s="33">
        <v>0.0005545283910241714</v>
      </c>
      <c r="AG24" s="33">
        <v>0.0004217504079225215</v>
      </c>
      <c r="AH24" s="33">
        <v>0.00039774830409826324</v>
      </c>
      <c r="AI24" s="33">
        <v>0.0005563170337710507</v>
      </c>
      <c r="AJ24" s="33">
        <v>0.0003910115713519559</v>
      </c>
      <c r="AK24" s="33">
        <v>0.00030642796944835803</v>
      </c>
      <c r="AL24" s="33">
        <v>0.0006925508510749064</v>
      </c>
      <c r="AM24" s="33">
        <v>0.000650306130749846</v>
      </c>
      <c r="AN24" s="33">
        <v>0.001554501823796699</v>
      </c>
      <c r="AO24" s="33">
        <v>0.0006672165700418859</v>
      </c>
      <c r="AP24" s="33">
        <v>0.0005448883318959919</v>
      </c>
      <c r="AQ24" s="33">
        <v>0.00019860260323445293</v>
      </c>
      <c r="AR24" s="33">
        <v>0.00023572257321053693</v>
      </c>
      <c r="AS24" s="33">
        <v>0.00028934712872337047</v>
      </c>
      <c r="AT24" s="33">
        <v>0.00017060558608414324</v>
      </c>
      <c r="AU24" s="33">
        <v>0.0003613014152519741</v>
      </c>
      <c r="AV24" s="33">
        <v>0.0004637141579249401</v>
      </c>
      <c r="AW24" s="33">
        <v>0.0007017644168352445</v>
      </c>
      <c r="AX24" s="33">
        <v>0.000919165407297323</v>
      </c>
      <c r="AY24" s="33">
        <v>0.0008577824191430474</v>
      </c>
      <c r="AZ24" s="33">
        <v>0.0006415985624408987</v>
      </c>
      <c r="BA24" s="33">
        <v>0.00023740300103029877</v>
      </c>
      <c r="BB24" s="33">
        <v>0.00046453663810054217</v>
      </c>
      <c r="BC24" s="33">
        <v>0.000637572685857737</v>
      </c>
      <c r="BD24" s="33">
        <v>0.00043280035306292357</v>
      </c>
      <c r="BE24" s="33">
        <v>0.000359963078437363</v>
      </c>
      <c r="BF24" s="33">
        <v>0.006545929100639599</v>
      </c>
      <c r="BG24" s="33">
        <v>0.0011250528411066516</v>
      </c>
      <c r="BH24" s="33">
        <v>0.0013696558203955104</v>
      </c>
      <c r="BI24" s="33">
        <v>0.002036960206556397</v>
      </c>
      <c r="BJ24" s="33">
        <v>0.00067504348311732</v>
      </c>
      <c r="BK24" s="33">
        <v>0.000803035738755192</v>
      </c>
      <c r="BL24" s="33">
        <v>0.0004601061563265952</v>
      </c>
      <c r="BM24" s="33">
        <v>0</v>
      </c>
      <c r="BN24" s="33">
        <v>0</v>
      </c>
    </row>
    <row r="25" spans="1:66" x14ac:dyDescent="0.25">
      <c r="A25" s="30" t="s">
        <v>119</v>
      </c>
      <c r="B25" s="31" t="s">
        <v>303</v>
      </c>
      <c r="C25" s="33">
        <v>0.0013171552614606279</v>
      </c>
      <c r="D25" s="33">
        <v>0.0003620639785152612</v>
      </c>
      <c r="E25" s="33">
        <v>0.001323303716091209</v>
      </c>
      <c r="F25" s="33">
        <v>0.0017319734756998473</v>
      </c>
      <c r="G25" s="33">
        <v>0.001002865635767715</v>
      </c>
      <c r="H25" s="33">
        <v>0.0005984946302425102</v>
      </c>
      <c r="I25" s="33">
        <v>0.0007433964211423537</v>
      </c>
      <c r="J25" s="33">
        <v>0.0010618286913357388</v>
      </c>
      <c r="K25" s="33">
        <v>0.0006212466504300074</v>
      </c>
      <c r="L25" s="33">
        <v>0.0005212669349159734</v>
      </c>
      <c r="M25" s="33">
        <v>0.0009503947267757251</v>
      </c>
      <c r="N25" s="33">
        <v>0.0006446865075548375</v>
      </c>
      <c r="O25" s="33">
        <v>0.0007695569110863226</v>
      </c>
      <c r="P25" s="33">
        <v>0.0011150029750840555</v>
      </c>
      <c r="Q25" s="33">
        <v>0.0011553915315867431</v>
      </c>
      <c r="R25" s="33">
        <v>0.0009362782246525807</v>
      </c>
      <c r="S25" s="33">
        <v>0.0006648121521470242</v>
      </c>
      <c r="T25" s="33">
        <v>0.0010906447972645792</v>
      </c>
      <c r="U25" s="33">
        <v>0.0010152921443880019</v>
      </c>
      <c r="V25" s="33">
        <v>0.0006607138154735895</v>
      </c>
      <c r="W25" s="33">
        <v>0.002632923781748411</v>
      </c>
      <c r="X25" s="33">
        <v>0.0010086688145743887</v>
      </c>
      <c r="Y25" s="33">
        <v>0.002862326831744582</v>
      </c>
      <c r="Z25" s="33">
        <v>0.0013097633080255248</v>
      </c>
      <c r="AA25" s="33">
        <v>0.0006361545380629397</v>
      </c>
      <c r="AB25" s="33">
        <v>0.0008339732235868768</v>
      </c>
      <c r="AC25" s="33">
        <v>0.0006599801323539212</v>
      </c>
      <c r="AD25" s="33">
        <v>0.00038574135691576484</v>
      </c>
      <c r="AE25" s="33">
        <v>0.00047035333312472953</v>
      </c>
      <c r="AF25" s="33">
        <v>0.0003678702268611624</v>
      </c>
      <c r="AG25" s="33">
        <v>0.0010634073819567572</v>
      </c>
      <c r="AH25" s="33">
        <v>0.008533639452893437</v>
      </c>
      <c r="AI25" s="33">
        <v>0.014750927412055252</v>
      </c>
      <c r="AJ25" s="33">
        <v>0.000914894992014978</v>
      </c>
      <c r="AK25" s="33">
        <v>0.0006625098060721192</v>
      </c>
      <c r="AL25" s="33">
        <v>0.0005287472509604954</v>
      </c>
      <c r="AM25" s="33">
        <v>0.00031341141850673663</v>
      </c>
      <c r="AN25" s="33">
        <v>0.00034301152738697616</v>
      </c>
      <c r="AO25" s="33">
        <v>0.000799968239781182</v>
      </c>
      <c r="AP25" s="33">
        <v>0.0005563563362160751</v>
      </c>
      <c r="AQ25" s="33">
        <v>0.000159149959934184</v>
      </c>
      <c r="AR25" s="33">
        <v>0.00020888342345711105</v>
      </c>
      <c r="AS25" s="33">
        <v>0.0002998895963287061</v>
      </c>
      <c r="AT25" s="33">
        <v>0.00010917550248301453</v>
      </c>
      <c r="AU25" s="33">
        <v>0.00031377765293231927</v>
      </c>
      <c r="AV25" s="33">
        <v>0.00036167132566876077</v>
      </c>
      <c r="AW25" s="33">
        <v>0.00030151593565277366</v>
      </c>
      <c r="AX25" s="33">
        <v>0.0003102817578812524</v>
      </c>
      <c r="AY25" s="33">
        <v>0.0003758107112245856</v>
      </c>
      <c r="AZ25" s="33">
        <v>0.0008582220887614166</v>
      </c>
      <c r="BA25" s="33">
        <v>0.00023778784274542484</v>
      </c>
      <c r="BB25" s="33">
        <v>0.0018153942727836133</v>
      </c>
      <c r="BC25" s="33">
        <v>0.0003589278659483153</v>
      </c>
      <c r="BD25" s="33">
        <v>0.0005738687882631965</v>
      </c>
      <c r="BE25" s="33">
        <v>0.00013912070599755386</v>
      </c>
      <c r="BF25" s="33">
        <v>0.00031236330857665844</v>
      </c>
      <c r="BG25" s="33">
        <v>0.00028889214980597216</v>
      </c>
      <c r="BH25" s="33">
        <v>0.0004415671012602378</v>
      </c>
      <c r="BI25" s="33">
        <v>0.00046596963409625163</v>
      </c>
      <c r="BJ25" s="33">
        <v>0.00028086823760583223</v>
      </c>
      <c r="BK25" s="33">
        <v>0.0003178700940822937</v>
      </c>
      <c r="BL25" s="33">
        <v>0.0003952724470161846</v>
      </c>
      <c r="BM25" s="33">
        <v>0</v>
      </c>
      <c r="BN25" s="33">
        <v>0</v>
      </c>
    </row>
    <row r="26" spans="1:66" x14ac:dyDescent="0.25">
      <c r="A26" s="30" t="s">
        <v>304</v>
      </c>
      <c r="B26" s="31" t="s">
        <v>305</v>
      </c>
      <c r="C26" s="33">
        <v>0.0003276883095106484</v>
      </c>
      <c r="D26" s="33">
        <v>0.00012411316728076793</v>
      </c>
      <c r="E26" s="33">
        <v>0.00021024793580679273</v>
      </c>
      <c r="F26" s="33">
        <v>0.0003812012453553991</v>
      </c>
      <c r="G26" s="33">
        <v>0.0003936723146531427</v>
      </c>
      <c r="H26" s="33">
        <v>0.0003133238709279996</v>
      </c>
      <c r="I26" s="33">
        <v>0.0003554235214323462</v>
      </c>
      <c r="J26" s="33">
        <v>0.0005318323961830965</v>
      </c>
      <c r="K26" s="33">
        <v>0.00029898943749586256</v>
      </c>
      <c r="L26" s="33">
        <v>0.00042115123941192836</v>
      </c>
      <c r="M26" s="33">
        <v>0.00058127196696444</v>
      </c>
      <c r="N26" s="33">
        <v>0.00022366441136753698</v>
      </c>
      <c r="O26" s="33">
        <v>0.0005019031307778615</v>
      </c>
      <c r="P26" s="33">
        <v>0.0005788269343376316</v>
      </c>
      <c r="Q26" s="33">
        <v>0.0009159572885905372</v>
      </c>
      <c r="R26" s="33">
        <v>0.00044990772433688646</v>
      </c>
      <c r="S26" s="33">
        <v>0.0002286351733985144</v>
      </c>
      <c r="T26" s="33">
        <v>0.0005740342059557895</v>
      </c>
      <c r="U26" s="33">
        <v>0.0003395382228630143</v>
      </c>
      <c r="V26" s="33">
        <v>0.0003578080751327817</v>
      </c>
      <c r="W26" s="33">
        <v>0.00027442347650443073</v>
      </c>
      <c r="X26" s="33">
        <v>0.00030389784691517744</v>
      </c>
      <c r="Y26" s="33">
        <v>0.0002586029311706689</v>
      </c>
      <c r="Z26" s="33">
        <v>0.0019871442722406143</v>
      </c>
      <c r="AA26" s="33">
        <v>0.0006335518547507895</v>
      </c>
      <c r="AB26" s="33">
        <v>0.0003293221726843994</v>
      </c>
      <c r="AC26" s="33">
        <v>0.0002635497216771464</v>
      </c>
      <c r="AD26" s="33">
        <v>0.00019236803540865016</v>
      </c>
      <c r="AE26" s="33">
        <v>0.00015669440358294536</v>
      </c>
      <c r="AF26" s="33">
        <v>0.00022679191527986685</v>
      </c>
      <c r="AG26" s="33">
        <v>0.0002883976719375274</v>
      </c>
      <c r="AH26" s="33">
        <v>0.00020595168487478905</v>
      </c>
      <c r="AI26" s="33">
        <v>0.000294540336448886</v>
      </c>
      <c r="AJ26" s="33">
        <v>0.0002178707623043604</v>
      </c>
      <c r="AK26" s="33">
        <v>0.00017447245437606678</v>
      </c>
      <c r="AL26" s="33">
        <v>0.0002920429409093741</v>
      </c>
      <c r="AM26" s="33">
        <v>0.000132056644225905</v>
      </c>
      <c r="AN26" s="33">
        <v>0.00017133044171907454</v>
      </c>
      <c r="AO26" s="33">
        <v>0.0002487328175700527</v>
      </c>
      <c r="AP26" s="33">
        <v>0.0001651440956723219</v>
      </c>
      <c r="AQ26" s="33">
        <v>0.0000710135845516411</v>
      </c>
      <c r="AR26" s="33">
        <v>0.00008826675012717584</v>
      </c>
      <c r="AS26" s="33">
        <v>0.00010304476319824954</v>
      </c>
      <c r="AT26" s="33">
        <v>0.00008084838071179917</v>
      </c>
      <c r="AU26" s="33">
        <v>0.00013390989311200642</v>
      </c>
      <c r="AV26" s="33">
        <v>0.00013761459568942174</v>
      </c>
      <c r="AW26" s="33">
        <v>0.00016028802865802126</v>
      </c>
      <c r="AX26" s="33">
        <v>0.0001552330009192585</v>
      </c>
      <c r="AY26" s="33">
        <v>0.00018588333203839748</v>
      </c>
      <c r="AZ26" s="33">
        <v>0.000127553401772687</v>
      </c>
      <c r="BA26" s="33">
        <v>0.00006229761168786108</v>
      </c>
      <c r="BB26" s="33">
        <v>0.00021465469927702604</v>
      </c>
      <c r="BC26" s="33">
        <v>0.00015847063838350862</v>
      </c>
      <c r="BD26" s="33">
        <v>0.0001227502031520139</v>
      </c>
      <c r="BE26" s="33">
        <v>0.00009432225492028492</v>
      </c>
      <c r="BF26" s="33">
        <v>0.000143070325356255</v>
      </c>
      <c r="BG26" s="33">
        <v>0.00013077647759762118</v>
      </c>
      <c r="BH26" s="33">
        <v>0.00017205620203903976</v>
      </c>
      <c r="BI26" s="33">
        <v>0.00026557092112697577</v>
      </c>
      <c r="BJ26" s="33">
        <v>0.00014508349084078374</v>
      </c>
      <c r="BK26" s="33">
        <v>0.0001784173707959291</v>
      </c>
      <c r="BL26" s="33">
        <v>0.00021940263591154548</v>
      </c>
      <c r="BM26" s="33">
        <v>0</v>
      </c>
      <c r="BN26" s="33">
        <v>0</v>
      </c>
    </row>
    <row r="27" spans="1:66" x14ac:dyDescent="0.25">
      <c r="A27" s="30" t="s">
        <v>307</v>
      </c>
      <c r="B27" s="31" t="s">
        <v>308</v>
      </c>
      <c r="C27" s="33">
        <v>0.000018859987862291494</v>
      </c>
      <c r="D27" s="33">
        <v>0.000014011051633057117</v>
      </c>
      <c r="E27" s="33">
        <v>0.00003322450444875311</v>
      </c>
      <c r="F27" s="33">
        <v>0.00002071363608861498</v>
      </c>
      <c r="G27" s="33">
        <v>0.000015111317089054344</v>
      </c>
      <c r="H27" s="33">
        <v>0.00001381146237477353</v>
      </c>
      <c r="I27" s="33">
        <v>0.000016884570934173944</v>
      </c>
      <c r="J27" s="33">
        <v>0.000025321666752724728</v>
      </c>
      <c r="K27" s="33">
        <v>0.00001952482090367956</v>
      </c>
      <c r="L27" s="33">
        <v>0.00013855919511412054</v>
      </c>
      <c r="M27" s="33">
        <v>0.00003726592459717087</v>
      </c>
      <c r="N27" s="33">
        <v>0.00001528933416030108</v>
      </c>
      <c r="O27" s="33">
        <v>0.00003694999206159764</v>
      </c>
      <c r="P27" s="33">
        <v>0.000022872479183267343</v>
      </c>
      <c r="Q27" s="33">
        <v>0.00007350756001115432</v>
      </c>
      <c r="R27" s="33">
        <v>0.00003634499504173789</v>
      </c>
      <c r="S27" s="33">
        <v>0.000010699698478195381</v>
      </c>
      <c r="T27" s="33">
        <v>0.000018277989319665406</v>
      </c>
      <c r="U27" s="33">
        <v>0.00001609778683615454</v>
      </c>
      <c r="V27" s="33">
        <v>0.000015701485726720304</v>
      </c>
      <c r="W27" s="33">
        <v>0.000015263119801371527</v>
      </c>
      <c r="X27" s="33">
        <v>0.000017750573650823117</v>
      </c>
      <c r="Y27" s="33">
        <v>0.000014602518295909261</v>
      </c>
      <c r="Z27" s="33">
        <v>0.00003137933452997097</v>
      </c>
      <c r="AA27" s="33">
        <v>0.00002959051839102199</v>
      </c>
      <c r="AB27" s="33">
        <v>0.00007395617234560707</v>
      </c>
      <c r="AC27" s="33">
        <v>0.000014268728386668437</v>
      </c>
      <c r="AD27" s="33">
        <v>0.000011535963257796986</v>
      </c>
      <c r="AE27" s="33">
        <v>0.00000930555484040596</v>
      </c>
      <c r="AF27" s="33">
        <v>0.000008284980357987402</v>
      </c>
      <c r="AG27" s="33">
        <v>0.000017101857799723733</v>
      </c>
      <c r="AH27" s="33">
        <v>0.000023669888263146884</v>
      </c>
      <c r="AI27" s="33">
        <v>0.00003254648913093094</v>
      </c>
      <c r="AJ27" s="33">
        <v>0.000013327589028660076</v>
      </c>
      <c r="AK27" s="33">
        <v>0.000014881010247758088</v>
      </c>
      <c r="AL27" s="33">
        <v>0.000010649513491542405</v>
      </c>
      <c r="AM27" s="33">
        <v>0.000011779525321997188</v>
      </c>
      <c r="AN27" s="33">
        <v>0.000013571135423382157</v>
      </c>
      <c r="AO27" s="33">
        <v>0.0000142988461239288</v>
      </c>
      <c r="AP27" s="33">
        <v>0.00001605715836801195</v>
      </c>
      <c r="AQ27" s="33">
        <v>0.000006174566860423915</v>
      </c>
      <c r="AR27" s="33">
        <v>0.00001055352950026041</v>
      </c>
      <c r="AS27" s="33">
        <v>0.000012544706233858506</v>
      </c>
      <c r="AT27" s="33">
        <v>0.0000036710315767499213</v>
      </c>
      <c r="AU27" s="33">
        <v>0.000012466179074205416</v>
      </c>
      <c r="AV27" s="33">
        <v>0.000011666268260300917</v>
      </c>
      <c r="AW27" s="33">
        <v>0.000010884330081900602</v>
      </c>
      <c r="AX27" s="33">
        <v>0.000015077459355785089</v>
      </c>
      <c r="AY27" s="33">
        <v>0.000013906645268185566</v>
      </c>
      <c r="AZ27" s="33">
        <v>0.00001257493968282987</v>
      </c>
      <c r="BA27" s="33">
        <v>0.000006545973460606087</v>
      </c>
      <c r="BB27" s="33">
        <v>0.000021256709555260384</v>
      </c>
      <c r="BC27" s="33">
        <v>0.000013804434825637441</v>
      </c>
      <c r="BD27" s="33">
        <v>0.000009139876605192718</v>
      </c>
      <c r="BE27" s="33">
        <v>0.000004541044997725202</v>
      </c>
      <c r="BF27" s="33">
        <v>0.000008301869812503776</v>
      </c>
      <c r="BG27" s="33">
        <v>0.000007674115300390984</v>
      </c>
      <c r="BH27" s="33">
        <v>0.000014009873355266019</v>
      </c>
      <c r="BI27" s="33">
        <v>0.000014302997099767869</v>
      </c>
      <c r="BJ27" s="33">
        <v>0.000009980382999705917</v>
      </c>
      <c r="BK27" s="33">
        <v>0.00001920103519759658</v>
      </c>
      <c r="BL27" s="33">
        <v>0.000011503992934123423</v>
      </c>
      <c r="BM27" s="33">
        <v>0</v>
      </c>
      <c r="BN27" s="33">
        <v>0</v>
      </c>
    </row>
    <row r="28" spans="1:66" x14ac:dyDescent="0.25">
      <c r="A28" s="30" t="s">
        <v>310</v>
      </c>
      <c r="B28" s="31" t="s">
        <v>311</v>
      </c>
      <c r="C28" s="33">
        <v>0.00015062787411814497</v>
      </c>
      <c r="D28" s="33">
        <v>0.00008695194166024385</v>
      </c>
      <c r="E28" s="33">
        <v>0.00015025339627229586</v>
      </c>
      <c r="F28" s="33">
        <v>0.00020968650681398314</v>
      </c>
      <c r="G28" s="33">
        <v>0.00022552362114732684</v>
      </c>
      <c r="H28" s="33">
        <v>0.00021365398660898815</v>
      </c>
      <c r="I28" s="33">
        <v>0.00023872973017850495</v>
      </c>
      <c r="J28" s="33">
        <v>0.0008882150238500336</v>
      </c>
      <c r="K28" s="33">
        <v>0.0002929614498903953</v>
      </c>
      <c r="L28" s="33">
        <v>0.0001719395710453315</v>
      </c>
      <c r="M28" s="33">
        <v>0.0003456718274675695</v>
      </c>
      <c r="N28" s="33">
        <v>0.00018941072796837543</v>
      </c>
      <c r="O28" s="33">
        <v>0.001067026395074256</v>
      </c>
      <c r="P28" s="33">
        <v>0.00035705099562687254</v>
      </c>
      <c r="Q28" s="33">
        <v>0.004069453075914156</v>
      </c>
      <c r="R28" s="33">
        <v>0.0013972853824621614</v>
      </c>
      <c r="S28" s="33">
        <v>0.00018800250875691533</v>
      </c>
      <c r="T28" s="33">
        <v>0.0008762188511736503</v>
      </c>
      <c r="U28" s="33">
        <v>0.0004772944336879205</v>
      </c>
      <c r="V28" s="33">
        <v>0.00043660443036464957</v>
      </c>
      <c r="W28" s="33">
        <v>0.0003324841218909837</v>
      </c>
      <c r="X28" s="33">
        <v>0.00037639068928434357</v>
      </c>
      <c r="Y28" s="33">
        <v>0.0003328389035685417</v>
      </c>
      <c r="Z28" s="33">
        <v>0.0002862870443585473</v>
      </c>
      <c r="AA28" s="33">
        <v>0.0005361751577907552</v>
      </c>
      <c r="AB28" s="33">
        <v>0.005402428476816387</v>
      </c>
      <c r="AC28" s="33">
        <v>0.00031980613860615564</v>
      </c>
      <c r="AD28" s="33">
        <v>0.00015780910777654747</v>
      </c>
      <c r="AE28" s="33">
        <v>0.0001339765238961294</v>
      </c>
      <c r="AF28" s="33">
        <v>0.00012300989385103452</v>
      </c>
      <c r="AG28" s="33">
        <v>0.00013237929662045805</v>
      </c>
      <c r="AH28" s="33">
        <v>0.00008777116724780531</v>
      </c>
      <c r="AI28" s="33">
        <v>0.00017181438807912177</v>
      </c>
      <c r="AJ28" s="33">
        <v>0.00012684372895909162</v>
      </c>
      <c r="AK28" s="33">
        <v>0.00009997460373652113</v>
      </c>
      <c r="AL28" s="33">
        <v>0.00014685484200747953</v>
      </c>
      <c r="AM28" s="33">
        <v>0.00012101814917262851</v>
      </c>
      <c r="AN28" s="33">
        <v>0.00012193049349440291</v>
      </c>
      <c r="AO28" s="33">
        <v>0.00014302013393206498</v>
      </c>
      <c r="AP28" s="33">
        <v>0.00011691655008509381</v>
      </c>
      <c r="AQ28" s="33">
        <v>0.00004525399857773667</v>
      </c>
      <c r="AR28" s="33">
        <v>0.00005819188315833847</v>
      </c>
      <c r="AS28" s="33">
        <v>0.00007231071881305325</v>
      </c>
      <c r="AT28" s="33">
        <v>0.00006965836496930443</v>
      </c>
      <c r="AU28" s="33">
        <v>0.0000999519801488834</v>
      </c>
      <c r="AV28" s="33">
        <v>0.00013402465570341315</v>
      </c>
      <c r="AW28" s="33">
        <v>0.00008883720552866706</v>
      </c>
      <c r="AX28" s="33">
        <v>0.00014883898922034926</v>
      </c>
      <c r="AY28" s="33">
        <v>0.0001668399551174372</v>
      </c>
      <c r="AZ28" s="33">
        <v>0.00010139851764155956</v>
      </c>
      <c r="BA28" s="33">
        <v>0.000037667088251053055</v>
      </c>
      <c r="BB28" s="33">
        <v>0.0001290986067810998</v>
      </c>
      <c r="BC28" s="33">
        <v>0.00016500201434482354</v>
      </c>
      <c r="BD28" s="33">
        <v>0.00013091925125594556</v>
      </c>
      <c r="BE28" s="33">
        <v>0.000044056845202463566</v>
      </c>
      <c r="BF28" s="33">
        <v>0.0001101887041182386</v>
      </c>
      <c r="BG28" s="33">
        <v>0.00010315733973437338</v>
      </c>
      <c r="BH28" s="33">
        <v>0.00015974087478143513</v>
      </c>
      <c r="BI28" s="33">
        <v>0.00016531639051093792</v>
      </c>
      <c r="BJ28" s="33">
        <v>0.00011656368168864709</v>
      </c>
      <c r="BK28" s="33">
        <v>0.00013558065190973193</v>
      </c>
      <c r="BL28" s="33">
        <v>0.0001225837549596139</v>
      </c>
      <c r="BM28" s="33">
        <v>0</v>
      </c>
      <c r="BN28" s="33">
        <v>0</v>
      </c>
    </row>
    <row r="29" spans="1:66" x14ac:dyDescent="0.25">
      <c r="A29" s="30" t="s">
        <v>312</v>
      </c>
      <c r="B29" s="31" t="s">
        <v>313</v>
      </c>
      <c r="C29" s="33">
        <v>0.00011392513873213314</v>
      </c>
      <c r="D29" s="33">
        <v>0.00010182622628364857</v>
      </c>
      <c r="E29" s="33">
        <v>0.000142681940031862</v>
      </c>
      <c r="F29" s="33">
        <v>0.00012471152499362106</v>
      </c>
      <c r="G29" s="33">
        <v>0.00014160633714039436</v>
      </c>
      <c r="H29" s="33">
        <v>0.00012048996624057643</v>
      </c>
      <c r="I29" s="33">
        <v>0.00014803069457892116</v>
      </c>
      <c r="J29" s="33">
        <v>0.0001471341614314334</v>
      </c>
      <c r="K29" s="33">
        <v>0.00011788320507217452</v>
      </c>
      <c r="L29" s="33">
        <v>0.00025080594114165755</v>
      </c>
      <c r="M29" s="33">
        <v>0.00016083679078929055</v>
      </c>
      <c r="N29" s="33">
        <v>0.00021454577652048573</v>
      </c>
      <c r="O29" s="33">
        <v>0.00016652561307273434</v>
      </c>
      <c r="P29" s="33">
        <v>0.00019061048088988525</v>
      </c>
      <c r="Q29" s="33">
        <v>0.00023687457967327667</v>
      </c>
      <c r="R29" s="33">
        <v>0.0001898382759861766</v>
      </c>
      <c r="S29" s="33">
        <v>0.00014797955171666775</v>
      </c>
      <c r="T29" s="33">
        <v>0.00016156840891214103</v>
      </c>
      <c r="U29" s="33">
        <v>0.0001941083338669332</v>
      </c>
      <c r="V29" s="33">
        <v>0.00014955732858679547</v>
      </c>
      <c r="W29" s="33">
        <v>0.00015776938090904466</v>
      </c>
      <c r="X29" s="33">
        <v>0.00015053151338362877</v>
      </c>
      <c r="Y29" s="33">
        <v>0.00018585553679547245</v>
      </c>
      <c r="Z29" s="33">
        <v>0.0001876426958789706</v>
      </c>
      <c r="AA29" s="33">
        <v>0.0001423651068328761</v>
      </c>
      <c r="AB29" s="33">
        <v>0.00017359370329889757</v>
      </c>
      <c r="AC29" s="33">
        <v>0.000518657204198057</v>
      </c>
      <c r="AD29" s="33">
        <v>0.00008891906839752454</v>
      </c>
      <c r="AE29" s="33">
        <v>0.00009479743013566214</v>
      </c>
      <c r="AF29" s="33">
        <v>0.00007473923421095024</v>
      </c>
      <c r="AG29" s="33">
        <v>0.00011753966685510582</v>
      </c>
      <c r="AH29" s="33">
        <v>0.00026171967580171005</v>
      </c>
      <c r="AI29" s="33">
        <v>0.00033389292856417436</v>
      </c>
      <c r="AJ29" s="33">
        <v>0.00015466954678123486</v>
      </c>
      <c r="AK29" s="33">
        <v>0.00009967435925550538</v>
      </c>
      <c r="AL29" s="33">
        <v>0.00008859677738486184</v>
      </c>
      <c r="AM29" s="33">
        <v>0.00012403430020670452</v>
      </c>
      <c r="AN29" s="33">
        <v>0.00011782043691777482</v>
      </c>
      <c r="AO29" s="33">
        <v>0.00011686595352835596</v>
      </c>
      <c r="AP29" s="33">
        <v>0.00013286054056001046</v>
      </c>
      <c r="AQ29" s="33">
        <v>0.000043958163031613195</v>
      </c>
      <c r="AR29" s="33">
        <v>0.00006934936729341036</v>
      </c>
      <c r="AS29" s="33">
        <v>0.00007695841668787083</v>
      </c>
      <c r="AT29" s="33">
        <v>0.00007097424541282091</v>
      </c>
      <c r="AU29" s="33">
        <v>0.00008581316912183814</v>
      </c>
      <c r="AV29" s="33">
        <v>0.00014781019366558965</v>
      </c>
      <c r="AW29" s="33">
        <v>0.00010622483106722131</v>
      </c>
      <c r="AX29" s="33">
        <v>0.0001091865616568407</v>
      </c>
      <c r="AY29" s="33">
        <v>0.00009400215116734606</v>
      </c>
      <c r="AZ29" s="33">
        <v>0.00009920348179900287</v>
      </c>
      <c r="BA29" s="33">
        <v>0.00004143935490034472</v>
      </c>
      <c r="BB29" s="33">
        <v>0.000151434759223954</v>
      </c>
      <c r="BC29" s="33">
        <v>0.00009544574073567475</v>
      </c>
      <c r="BD29" s="33">
        <v>0.00010442353559608942</v>
      </c>
      <c r="BE29" s="33">
        <v>0.000041542952108845205</v>
      </c>
      <c r="BF29" s="33">
        <v>0.00005980160684366378</v>
      </c>
      <c r="BG29" s="33">
        <v>0.00005526336850341377</v>
      </c>
      <c r="BH29" s="33">
        <v>0.00009688839257047083</v>
      </c>
      <c r="BI29" s="33">
        <v>0.00010233923943010713</v>
      </c>
      <c r="BJ29" s="33">
        <v>0.00007445963209902275</v>
      </c>
      <c r="BK29" s="33">
        <v>0.00011329825961837974</v>
      </c>
      <c r="BL29" s="33">
        <v>0.00006739811167475598</v>
      </c>
      <c r="BM29" s="33">
        <v>0</v>
      </c>
      <c r="BN29" s="33">
        <v>0</v>
      </c>
    </row>
    <row r="30" spans="1:66" x14ac:dyDescent="0.25">
      <c r="A30" s="30" t="s">
        <v>314</v>
      </c>
      <c r="B30" s="31" t="s">
        <v>315</v>
      </c>
      <c r="C30" s="33">
        <v>0.0007597906610987408</v>
      </c>
      <c r="D30" s="33">
        <v>0.0010388900293790708</v>
      </c>
      <c r="E30" s="33">
        <v>0.0032954533190394015</v>
      </c>
      <c r="F30" s="33">
        <v>0.001026322535594172</v>
      </c>
      <c r="G30" s="33">
        <v>0.0006790821758476438</v>
      </c>
      <c r="H30" s="33">
        <v>0.0008610552405922239</v>
      </c>
      <c r="I30" s="33">
        <v>0.001221546747664047</v>
      </c>
      <c r="J30" s="33">
        <v>0.0011012605994120217</v>
      </c>
      <c r="K30" s="33">
        <v>0.0015625382690011447</v>
      </c>
      <c r="L30" s="33">
        <v>0.00048255062570224657</v>
      </c>
      <c r="M30" s="33">
        <v>0.000822985420272479</v>
      </c>
      <c r="N30" s="33">
        <v>0.0008130117889223711</v>
      </c>
      <c r="O30" s="33">
        <v>0.0009135216535466618</v>
      </c>
      <c r="P30" s="33">
        <v>0.0010498036741650337</v>
      </c>
      <c r="Q30" s="33">
        <v>0.0008516521585024204</v>
      </c>
      <c r="R30" s="33">
        <v>0.000747523720882469</v>
      </c>
      <c r="S30" s="33">
        <v>0.0006694250030767963</v>
      </c>
      <c r="T30" s="33">
        <v>0.0007998948268192747</v>
      </c>
      <c r="U30" s="33">
        <v>0.0006756164888434362</v>
      </c>
      <c r="V30" s="33">
        <v>0.0011149231997348672</v>
      </c>
      <c r="W30" s="33">
        <v>0.00090225769417756</v>
      </c>
      <c r="X30" s="33">
        <v>0.0009263670276676405</v>
      </c>
      <c r="Y30" s="33">
        <v>0.0008829499700501091</v>
      </c>
      <c r="Z30" s="33">
        <v>0.0004359101180694284</v>
      </c>
      <c r="AA30" s="33">
        <v>0.001470787777063169</v>
      </c>
      <c r="AB30" s="33">
        <v>0.0011581700701290376</v>
      </c>
      <c r="AC30" s="33">
        <v>0.0005978653937015591</v>
      </c>
      <c r="AD30" s="33">
        <v>0.0022396183168860023</v>
      </c>
      <c r="AE30" s="33">
        <v>0.0005083017106043202</v>
      </c>
      <c r="AF30" s="33">
        <v>0.0005018990991665372</v>
      </c>
      <c r="AG30" s="33">
        <v>0.0013771980143277808</v>
      </c>
      <c r="AH30" s="33">
        <v>0.0009142847191843103</v>
      </c>
      <c r="AI30" s="33">
        <v>0.0019737376149639484</v>
      </c>
      <c r="AJ30" s="33">
        <v>0.001231384174974068</v>
      </c>
      <c r="AK30" s="33">
        <v>0.002921737741134487</v>
      </c>
      <c r="AL30" s="33">
        <v>0.0004625300251005091</v>
      </c>
      <c r="AM30" s="33">
        <v>0.000738006443682282</v>
      </c>
      <c r="AN30" s="33">
        <v>0.0010632443890198776</v>
      </c>
      <c r="AO30" s="33">
        <v>0.0009498278586442951</v>
      </c>
      <c r="AP30" s="33">
        <v>0.0005210404841235924</v>
      </c>
      <c r="AQ30" s="33">
        <v>0.00039172835323114864</v>
      </c>
      <c r="AR30" s="33">
        <v>0.000724838304301439</v>
      </c>
      <c r="AS30" s="33">
        <v>0.0007596415230845419</v>
      </c>
      <c r="AT30" s="33">
        <v>0.00014416806772211233</v>
      </c>
      <c r="AU30" s="33">
        <v>0.0004435010468794627</v>
      </c>
      <c r="AV30" s="33">
        <v>0.0005597805300100485</v>
      </c>
      <c r="AW30" s="33">
        <v>0.0005774581079293869</v>
      </c>
      <c r="AX30" s="33">
        <v>0.0009278776800373708</v>
      </c>
      <c r="AY30" s="33">
        <v>0.0008808544485695461</v>
      </c>
      <c r="AZ30" s="33">
        <v>0.0012266150661995137</v>
      </c>
      <c r="BA30" s="33">
        <v>0.0005685484222531318</v>
      </c>
      <c r="BB30" s="33">
        <v>0.0015842277226852965</v>
      </c>
      <c r="BC30" s="33">
        <v>0.0005922025411396512</v>
      </c>
      <c r="BD30" s="33">
        <v>0.00033153978829562035</v>
      </c>
      <c r="BE30" s="33">
        <v>0.00022779942521623765</v>
      </c>
      <c r="BF30" s="33">
        <v>0.0003551631734545762</v>
      </c>
      <c r="BG30" s="33">
        <v>0.000396751716252916</v>
      </c>
      <c r="BH30" s="33">
        <v>0.0006500801640902164</v>
      </c>
      <c r="BI30" s="33">
        <v>0.0007906566245124272</v>
      </c>
      <c r="BJ30" s="33">
        <v>0.0006811946180671503</v>
      </c>
      <c r="BK30" s="33">
        <v>0.0018716669917234598</v>
      </c>
      <c r="BL30" s="33">
        <v>0.0007907651390934552</v>
      </c>
      <c r="BM30" s="33">
        <v>0</v>
      </c>
      <c r="BN30" s="33">
        <v>0</v>
      </c>
    </row>
    <row r="31" spans="1:66" x14ac:dyDescent="0.25">
      <c r="A31" s="30" t="s">
        <v>317</v>
      </c>
      <c r="B31" s="31" t="s">
        <v>318</v>
      </c>
      <c r="C31" s="33">
        <v>0.016908442235747</v>
      </c>
      <c r="D31" s="33">
        <v>0.00873570605872681</v>
      </c>
      <c r="E31" s="33">
        <v>0.0179071567246323</v>
      </c>
      <c r="F31" s="33">
        <v>0.00851377599378468</v>
      </c>
      <c r="G31" s="33">
        <v>0.031668672721374226</v>
      </c>
      <c r="H31" s="33">
        <v>0.030966814416462176</v>
      </c>
      <c r="I31" s="33">
        <v>0.02204165003545243</v>
      </c>
      <c r="J31" s="33">
        <v>0.022243067912657337</v>
      </c>
      <c r="K31" s="33">
        <v>0.016426475185759386</v>
      </c>
      <c r="L31" s="33">
        <v>0.010302060185121639</v>
      </c>
      <c r="M31" s="33">
        <v>0.026214584386907682</v>
      </c>
      <c r="N31" s="33">
        <v>0.03375130095046511</v>
      </c>
      <c r="O31" s="33">
        <v>0.02550633731257656</v>
      </c>
      <c r="P31" s="33">
        <v>0.019524414509800646</v>
      </c>
      <c r="Q31" s="33">
        <v>0.018649551224915396</v>
      </c>
      <c r="R31" s="33">
        <v>0.0189111771090039</v>
      </c>
      <c r="S31" s="33">
        <v>0.037729886735808064</v>
      </c>
      <c r="T31" s="33">
        <v>0.024638989182493843</v>
      </c>
      <c r="U31" s="33">
        <v>0.02305006338899027</v>
      </c>
      <c r="V31" s="33">
        <v>0.02206815162011133</v>
      </c>
      <c r="W31" s="33">
        <v>0.018553955723903344</v>
      </c>
      <c r="X31" s="33">
        <v>0.033773520589046216</v>
      </c>
      <c r="Y31" s="33">
        <v>0.018986410550629433</v>
      </c>
      <c r="Z31" s="33">
        <v>0.01188353631457231</v>
      </c>
      <c r="AA31" s="33">
        <v>0.009389865796030038</v>
      </c>
      <c r="AB31" s="33">
        <v>0.014793598630977007</v>
      </c>
      <c r="AC31" s="33">
        <v>0.013823457754773201</v>
      </c>
      <c r="AD31" s="33">
        <v>0.012692281308970283</v>
      </c>
      <c r="AE31" s="33">
        <v>0.032308148196857296</v>
      </c>
      <c r="AF31" s="33">
        <v>0.014407060340733996</v>
      </c>
      <c r="AG31" s="33">
        <v>0.009230280649496516</v>
      </c>
      <c r="AH31" s="33">
        <v>0.01364082047909158</v>
      </c>
      <c r="AI31" s="33">
        <v>0.024889955632543162</v>
      </c>
      <c r="AJ31" s="33">
        <v>0.011134238290597426</v>
      </c>
      <c r="AK31" s="33">
        <v>0.00868424446519949</v>
      </c>
      <c r="AL31" s="33">
        <v>0.014241370012218282</v>
      </c>
      <c r="AM31" s="33">
        <v>0.06778900353483076</v>
      </c>
      <c r="AN31" s="33">
        <v>0.013959873983046997</v>
      </c>
      <c r="AO31" s="33">
        <v>0.014478916219439277</v>
      </c>
      <c r="AP31" s="33">
        <v>0.048670711356370744</v>
      </c>
      <c r="AQ31" s="33">
        <v>0.004867499309451815</v>
      </c>
      <c r="AR31" s="33">
        <v>0.00640465964222818</v>
      </c>
      <c r="AS31" s="33">
        <v>0.010369540736851087</v>
      </c>
      <c r="AT31" s="33">
        <v>0.00242030977283815</v>
      </c>
      <c r="AU31" s="33">
        <v>0.009723584297956549</v>
      </c>
      <c r="AV31" s="33">
        <v>0.009007600344432926</v>
      </c>
      <c r="AW31" s="33">
        <v>0.008665171250392307</v>
      </c>
      <c r="AX31" s="33">
        <v>0.016380293872660694</v>
      </c>
      <c r="AY31" s="33">
        <v>0.00990221380703892</v>
      </c>
      <c r="AZ31" s="33">
        <v>0.010210031589812636</v>
      </c>
      <c r="BA31" s="33">
        <v>0.0035951632364573066</v>
      </c>
      <c r="BB31" s="33">
        <v>0.01718123312635906</v>
      </c>
      <c r="BC31" s="33">
        <v>0.009674624477813658</v>
      </c>
      <c r="BD31" s="33">
        <v>0.004714198589147908</v>
      </c>
      <c r="BE31" s="33">
        <v>0.0035003782431178767</v>
      </c>
      <c r="BF31" s="33">
        <v>0.00825021241607029</v>
      </c>
      <c r="BG31" s="33">
        <v>0.005385016974044612</v>
      </c>
      <c r="BH31" s="33">
        <v>0.010743436623016798</v>
      </c>
      <c r="BI31" s="33">
        <v>0.009995985090817163</v>
      </c>
      <c r="BJ31" s="33">
        <v>0.007013597644404183</v>
      </c>
      <c r="BK31" s="33">
        <v>0.013543554604337937</v>
      </c>
      <c r="BL31" s="33">
        <v>0.0063960708075880765</v>
      </c>
      <c r="BM31" s="33">
        <v>0</v>
      </c>
      <c r="BN31" s="33">
        <v>0</v>
      </c>
    </row>
    <row r="32" spans="1:66" x14ac:dyDescent="0.25">
      <c r="A32" s="30" t="s">
        <v>319</v>
      </c>
      <c r="B32" s="31" t="s">
        <v>320</v>
      </c>
      <c r="C32" s="33">
        <v>0.004387644711475332</v>
      </c>
      <c r="D32" s="33">
        <v>0.01031182967876099</v>
      </c>
      <c r="E32" s="33">
        <v>0.03259299897902056</v>
      </c>
      <c r="F32" s="33">
        <v>0.00939082877811975</v>
      </c>
      <c r="G32" s="33">
        <v>0.0042055557662829535</v>
      </c>
      <c r="H32" s="33">
        <v>0.007232476735489291</v>
      </c>
      <c r="I32" s="33">
        <v>0.00946977124488302</v>
      </c>
      <c r="J32" s="33">
        <v>0.009220918392604796</v>
      </c>
      <c r="K32" s="33">
        <v>0.01617172075305372</v>
      </c>
      <c r="L32" s="33">
        <v>0.004059365046042504</v>
      </c>
      <c r="M32" s="33">
        <v>0.005105051015964668</v>
      </c>
      <c r="N32" s="33">
        <v>0.005307996391954672</v>
      </c>
      <c r="O32" s="33">
        <v>0.006651959707187503</v>
      </c>
      <c r="P32" s="33">
        <v>0.007089466534034344</v>
      </c>
      <c r="Q32" s="33">
        <v>0.006479263236390204</v>
      </c>
      <c r="R32" s="33">
        <v>0.005060709786802888</v>
      </c>
      <c r="S32" s="33">
        <v>0.004867017144692517</v>
      </c>
      <c r="T32" s="33">
        <v>0.005806181143302691</v>
      </c>
      <c r="U32" s="33">
        <v>0.004084931784215814</v>
      </c>
      <c r="V32" s="33">
        <v>0.0040413799902188794</v>
      </c>
      <c r="W32" s="33">
        <v>0.007097640892796252</v>
      </c>
      <c r="X32" s="33">
        <v>0.006479803812036155</v>
      </c>
      <c r="Y32" s="33">
        <v>0.006839944226437791</v>
      </c>
      <c r="Z32" s="33">
        <v>0.003118725200382208</v>
      </c>
      <c r="AA32" s="33">
        <v>0.010225365923862986</v>
      </c>
      <c r="AB32" s="33">
        <v>0.007196958689962363</v>
      </c>
      <c r="AC32" s="33">
        <v>0.003058676703974908</v>
      </c>
      <c r="AD32" s="33">
        <v>0.004416610345016121</v>
      </c>
      <c r="AE32" s="33">
        <v>0.0022874512429893732</v>
      </c>
      <c r="AF32" s="33">
        <v>0.0035011625289434493</v>
      </c>
      <c r="AG32" s="33">
        <v>0.0037864393815831075</v>
      </c>
      <c r="AH32" s="33">
        <v>0.008501527540305647</v>
      </c>
      <c r="AI32" s="33">
        <v>0.010641549830721585</v>
      </c>
      <c r="AJ32" s="33">
        <v>0.004040749541710899</v>
      </c>
      <c r="AK32" s="33">
        <v>0.00873626224849059</v>
      </c>
      <c r="AL32" s="33">
        <v>0.0032664578174419383</v>
      </c>
      <c r="AM32" s="33">
        <v>0.006175183277228032</v>
      </c>
      <c r="AN32" s="33">
        <v>0.011034692817027143</v>
      </c>
      <c r="AO32" s="33">
        <v>0.00596221726979073</v>
      </c>
      <c r="AP32" s="33">
        <v>0.002691802817676761</v>
      </c>
      <c r="AQ32" s="33">
        <v>0.0022215825992593693</v>
      </c>
      <c r="AR32" s="33">
        <v>0.004830592654290378</v>
      </c>
      <c r="AS32" s="33">
        <v>0.005259663578200856</v>
      </c>
      <c r="AT32" s="33">
        <v>0.0009682920750948903</v>
      </c>
      <c r="AU32" s="33">
        <v>0.002530217589872163</v>
      </c>
      <c r="AV32" s="33">
        <v>0.00406539887686116</v>
      </c>
      <c r="AW32" s="33">
        <v>0.005836511091376698</v>
      </c>
      <c r="AX32" s="33">
        <v>0.008885955404919932</v>
      </c>
      <c r="AY32" s="33">
        <v>0.007473319338993956</v>
      </c>
      <c r="AZ32" s="33">
        <v>0.004820804993448109</v>
      </c>
      <c r="BA32" s="33">
        <v>0.0038692258489823085</v>
      </c>
      <c r="BB32" s="33">
        <v>0.013346260501595672</v>
      </c>
      <c r="BC32" s="33">
        <v>0.0033173373077093767</v>
      </c>
      <c r="BD32" s="33">
        <v>0.0017946644133601647</v>
      </c>
      <c r="BE32" s="33">
        <v>0.001750354145209258</v>
      </c>
      <c r="BF32" s="33">
        <v>0.00225358968545638</v>
      </c>
      <c r="BG32" s="33">
        <v>0.002847007353055446</v>
      </c>
      <c r="BH32" s="33">
        <v>0.006545518736146171</v>
      </c>
      <c r="BI32" s="33">
        <v>0.007426273187884607</v>
      </c>
      <c r="BJ32" s="33">
        <v>0.006158930179794601</v>
      </c>
      <c r="BK32" s="33">
        <v>0.021810088188409415</v>
      </c>
      <c r="BL32" s="33">
        <v>0.006250461142207986</v>
      </c>
      <c r="BM32" s="33">
        <v>0</v>
      </c>
      <c r="BN32" s="33">
        <v>0</v>
      </c>
    </row>
    <row r="33" spans="1:66" x14ac:dyDescent="0.25">
      <c r="A33" s="30" t="s">
        <v>321</v>
      </c>
      <c r="B33" s="31" t="s">
        <v>322</v>
      </c>
      <c r="C33" s="33">
        <v>0.0044377465938591175</v>
      </c>
      <c r="D33" s="33">
        <v>0.002973607956942425</v>
      </c>
      <c r="E33" s="33">
        <v>0.0040164050742156985</v>
      </c>
      <c r="F33" s="33">
        <v>0.004158482134528751</v>
      </c>
      <c r="G33" s="33">
        <v>0.0076246933479316445</v>
      </c>
      <c r="H33" s="33">
        <v>0.007934306134846724</v>
      </c>
      <c r="I33" s="33">
        <v>0.006852083844421575</v>
      </c>
      <c r="J33" s="33">
        <v>0.009330134375860003</v>
      </c>
      <c r="K33" s="33">
        <v>0.005178760486831579</v>
      </c>
      <c r="L33" s="33">
        <v>0.02626258143227657</v>
      </c>
      <c r="M33" s="33">
        <v>0.012109839570588025</v>
      </c>
      <c r="N33" s="33">
        <v>0.004062325452279604</v>
      </c>
      <c r="O33" s="33">
        <v>0.010135693895427242</v>
      </c>
      <c r="P33" s="33">
        <v>0.009058528042226503</v>
      </c>
      <c r="Q33" s="33">
        <v>0.016377620310654414</v>
      </c>
      <c r="R33" s="33">
        <v>0.0071861332257692565</v>
      </c>
      <c r="S33" s="33">
        <v>0.005346541441276511</v>
      </c>
      <c r="T33" s="33">
        <v>0.008438197319830002</v>
      </c>
      <c r="U33" s="33">
        <v>0.006052474056945052</v>
      </c>
      <c r="V33" s="33">
        <v>0.008734277775252522</v>
      </c>
      <c r="W33" s="33">
        <v>0.006539225930788418</v>
      </c>
      <c r="X33" s="33">
        <v>0.0068477439962907165</v>
      </c>
      <c r="Y33" s="33">
        <v>0.004641556123770603</v>
      </c>
      <c r="Z33" s="33">
        <v>0.007085446712322799</v>
      </c>
      <c r="AA33" s="33">
        <v>0.0025010872430775823</v>
      </c>
      <c r="AB33" s="33">
        <v>0.004008161452353832</v>
      </c>
      <c r="AC33" s="33">
        <v>0.004978775427402285</v>
      </c>
      <c r="AD33" s="33">
        <v>0.0036522096983999425</v>
      </c>
      <c r="AE33" s="33">
        <v>0.0038408772929245947</v>
      </c>
      <c r="AF33" s="33">
        <v>0.0024177366553647986</v>
      </c>
      <c r="AG33" s="33">
        <v>0.009763498403437224</v>
      </c>
      <c r="AH33" s="33">
        <v>0.005520347857523488</v>
      </c>
      <c r="AI33" s="33">
        <v>0.006591523909085395</v>
      </c>
      <c r="AJ33" s="33">
        <v>0.00903775006110907</v>
      </c>
      <c r="AK33" s="33">
        <v>0.003976968014697652</v>
      </c>
      <c r="AL33" s="33">
        <v>0.002754390313903925</v>
      </c>
      <c r="AM33" s="33">
        <v>0.0037616122870821555</v>
      </c>
      <c r="AN33" s="33">
        <v>0.002731959559305077</v>
      </c>
      <c r="AO33" s="33">
        <v>0.0022777131201870394</v>
      </c>
      <c r="AP33" s="33">
        <v>0.0014610549756546194</v>
      </c>
      <c r="AQ33" s="33">
        <v>0.000670685421789394</v>
      </c>
      <c r="AR33" s="33">
        <v>0.0009039866291986608</v>
      </c>
      <c r="AS33" s="33">
        <v>0.0011874526112150548</v>
      </c>
      <c r="AT33" s="33">
        <v>0.0006453455785515561</v>
      </c>
      <c r="AU33" s="33">
        <v>0.0012889857658940247</v>
      </c>
      <c r="AV33" s="33">
        <v>0.0018873382138089548</v>
      </c>
      <c r="AW33" s="33">
        <v>0.0017093911898329657</v>
      </c>
      <c r="AX33" s="33">
        <v>0.002635522622300336</v>
      </c>
      <c r="AY33" s="33">
        <v>0.0020789877576143506</v>
      </c>
      <c r="AZ33" s="33">
        <v>0.00175641564493504</v>
      </c>
      <c r="BA33" s="33">
        <v>0.0006262057312927338</v>
      </c>
      <c r="BB33" s="33">
        <v>0.003752825769553787</v>
      </c>
      <c r="BC33" s="33">
        <v>0.0018330033428301255</v>
      </c>
      <c r="BD33" s="33">
        <v>0.001456445454738096</v>
      </c>
      <c r="BE33" s="33">
        <v>0.0009195355110734556</v>
      </c>
      <c r="BF33" s="33">
        <v>0.0020181706104772973</v>
      </c>
      <c r="BG33" s="33">
        <v>0.0012186785924392341</v>
      </c>
      <c r="BH33" s="33">
        <v>0.0017622101539355413</v>
      </c>
      <c r="BI33" s="33">
        <v>0.002102702549727347</v>
      </c>
      <c r="BJ33" s="33">
        <v>0.0018927097753272525</v>
      </c>
      <c r="BK33" s="33">
        <v>0.00290365183814937</v>
      </c>
      <c r="BL33" s="33">
        <v>0.001680827638457406</v>
      </c>
      <c r="BM33" s="33">
        <v>0</v>
      </c>
      <c r="BN33" s="33">
        <v>0</v>
      </c>
    </row>
    <row r="34" spans="1:66" x14ac:dyDescent="0.25">
      <c r="A34" s="30" t="s">
        <v>134</v>
      </c>
      <c r="B34" s="31" t="s">
        <v>324</v>
      </c>
      <c r="C34" s="33">
        <v>0.0007851788410676262</v>
      </c>
      <c r="D34" s="33">
        <v>0.0012001368120691763</v>
      </c>
      <c r="E34" s="33">
        <v>0.0018237526583991224</v>
      </c>
      <c r="F34" s="33">
        <v>0.001277570145457084</v>
      </c>
      <c r="G34" s="33">
        <v>0.001390579143350167</v>
      </c>
      <c r="H34" s="33">
        <v>0.0010108591870944849</v>
      </c>
      <c r="I34" s="33">
        <v>0.0013087256979336236</v>
      </c>
      <c r="J34" s="33">
        <v>0.0016109900600690364</v>
      </c>
      <c r="K34" s="33">
        <v>0.0008576367540354044</v>
      </c>
      <c r="L34" s="33">
        <v>0.00799558933274818</v>
      </c>
      <c r="M34" s="33">
        <v>0.002369607782297694</v>
      </c>
      <c r="N34" s="33">
        <v>0.0011740526657246252</v>
      </c>
      <c r="O34" s="33">
        <v>0.0012615559678732903</v>
      </c>
      <c r="P34" s="33">
        <v>0.0017440732378140563</v>
      </c>
      <c r="Q34" s="33">
        <v>0.0026557848537854577</v>
      </c>
      <c r="R34" s="33">
        <v>0.0012160520752548872</v>
      </c>
      <c r="S34" s="33">
        <v>0.001399897492271395</v>
      </c>
      <c r="T34" s="33">
        <v>0.0013653851064321476</v>
      </c>
      <c r="U34" s="33">
        <v>0.0011750040908232156</v>
      </c>
      <c r="V34" s="33">
        <v>0.0012328767997662512</v>
      </c>
      <c r="W34" s="33">
        <v>0.0013871673525886836</v>
      </c>
      <c r="X34" s="33">
        <v>0.0009979710103506512</v>
      </c>
      <c r="Y34" s="33">
        <v>0.0008249596869545145</v>
      </c>
      <c r="Z34" s="33">
        <v>0.0010428191433342498</v>
      </c>
      <c r="AA34" s="33">
        <v>0.00047389282713711673</v>
      </c>
      <c r="AB34" s="33">
        <v>0.0009043646864074556</v>
      </c>
      <c r="AC34" s="33">
        <v>0.0008019928043029698</v>
      </c>
      <c r="AD34" s="33">
        <v>0.0007281650689545867</v>
      </c>
      <c r="AE34" s="33">
        <v>0.0010637257132470011</v>
      </c>
      <c r="AF34" s="33">
        <v>0.00040149619775580754</v>
      </c>
      <c r="AG34" s="33">
        <v>0.002001185615284706</v>
      </c>
      <c r="AH34" s="33">
        <v>0.048197101163381176</v>
      </c>
      <c r="AI34" s="33">
        <v>0.002079906432837103</v>
      </c>
      <c r="AJ34" s="33">
        <v>0.0033588848910894925</v>
      </c>
      <c r="AK34" s="33">
        <v>0.00106027020024683</v>
      </c>
      <c r="AL34" s="33">
        <v>0.0005370632112093405</v>
      </c>
      <c r="AM34" s="33">
        <v>0.0009645720289870365</v>
      </c>
      <c r="AN34" s="33">
        <v>0.00046138435722466224</v>
      </c>
      <c r="AO34" s="33">
        <v>0.00047475556139271865</v>
      </c>
      <c r="AP34" s="33">
        <v>0.00025797398780261677</v>
      </c>
      <c r="AQ34" s="33">
        <v>0.00013917278207523854</v>
      </c>
      <c r="AR34" s="33">
        <v>0.00019190512974513076</v>
      </c>
      <c r="AS34" s="33">
        <v>0.00028348661563223253</v>
      </c>
      <c r="AT34" s="33">
        <v>0.00011216375639015479</v>
      </c>
      <c r="AU34" s="33">
        <v>0.0002510939606929411</v>
      </c>
      <c r="AV34" s="33">
        <v>0.000318832716603682</v>
      </c>
      <c r="AW34" s="33">
        <v>0.0002727203888243695</v>
      </c>
      <c r="AX34" s="33">
        <v>0.0004149710403798301</v>
      </c>
      <c r="AY34" s="33">
        <v>0.000389405798568567</v>
      </c>
      <c r="AZ34" s="33">
        <v>0.0005096661439538895</v>
      </c>
      <c r="BA34" s="33">
        <v>0.0001248685585289489</v>
      </c>
      <c r="BB34" s="33">
        <v>0.002541086215539761</v>
      </c>
      <c r="BC34" s="33">
        <v>0.00037296688460093994</v>
      </c>
      <c r="BD34" s="33">
        <v>0.0002879717064443768</v>
      </c>
      <c r="BE34" s="33">
        <v>0.00018187513699564548</v>
      </c>
      <c r="BF34" s="33">
        <v>0.0003502236385103055</v>
      </c>
      <c r="BG34" s="33">
        <v>0.0002537261950721047</v>
      </c>
      <c r="BH34" s="33">
        <v>0.0003513156906636114</v>
      </c>
      <c r="BI34" s="33">
        <v>0.0004093100551927183</v>
      </c>
      <c r="BJ34" s="33">
        <v>0.00029922846081968744</v>
      </c>
      <c r="BK34" s="33">
        <v>0.00045718883059294216</v>
      </c>
      <c r="BL34" s="33">
        <v>0.00030479135846236846</v>
      </c>
      <c r="BM34" s="33">
        <v>0</v>
      </c>
      <c r="BN34" s="33">
        <v>0</v>
      </c>
    </row>
    <row r="35" spans="1:66" x14ac:dyDescent="0.25">
      <c r="A35" s="30" t="s">
        <v>137</v>
      </c>
      <c r="B35" s="31" t="s">
        <v>325</v>
      </c>
      <c r="C35" s="33">
        <v>0.0002282399618781979</v>
      </c>
      <c r="D35" s="33">
        <v>0.000173777734437227</v>
      </c>
      <c r="E35" s="33">
        <v>0.0003054426735956842</v>
      </c>
      <c r="F35" s="33">
        <v>0.00020269698963258374</v>
      </c>
      <c r="G35" s="33">
        <v>0.0003185121293399561</v>
      </c>
      <c r="H35" s="33">
        <v>0.00035855253363804173</v>
      </c>
      <c r="I35" s="33">
        <v>0.0002559468584791257</v>
      </c>
      <c r="J35" s="33">
        <v>0.0003008963297336738</v>
      </c>
      <c r="K35" s="33">
        <v>0.00032211309668669485</v>
      </c>
      <c r="L35" s="33">
        <v>0.0008139829818463438</v>
      </c>
      <c r="M35" s="33">
        <v>0.0005217996895151113</v>
      </c>
      <c r="N35" s="33">
        <v>0.0003707103016933289</v>
      </c>
      <c r="O35" s="33">
        <v>0.00038988981705786915</v>
      </c>
      <c r="P35" s="33">
        <v>0.0003482952407000981</v>
      </c>
      <c r="Q35" s="33">
        <v>0.0004251778913276955</v>
      </c>
      <c r="R35" s="33">
        <v>0.00039818442908101887</v>
      </c>
      <c r="S35" s="33">
        <v>0.0006719350998411437</v>
      </c>
      <c r="T35" s="33">
        <v>0.0007135935804121644</v>
      </c>
      <c r="U35" s="33">
        <v>0.0005647530051608884</v>
      </c>
      <c r="V35" s="33">
        <v>0.0004503916499044142</v>
      </c>
      <c r="W35" s="33">
        <v>0.0011889954584582325</v>
      </c>
      <c r="X35" s="33">
        <v>0.0003590828923712415</v>
      </c>
      <c r="Y35" s="33">
        <v>0.0005061785893155659</v>
      </c>
      <c r="Z35" s="33">
        <v>0.0004920604596118219</v>
      </c>
      <c r="AA35" s="33">
        <v>0.00019924476281305906</v>
      </c>
      <c r="AB35" s="33">
        <v>0.0002463423989820139</v>
      </c>
      <c r="AC35" s="33">
        <v>0.0002497266332153779</v>
      </c>
      <c r="AD35" s="33">
        <v>0.00021446302264776387</v>
      </c>
      <c r="AE35" s="33">
        <v>0.00022669180913419172</v>
      </c>
      <c r="AF35" s="33">
        <v>0.00018270015013621918</v>
      </c>
      <c r="AG35" s="33">
        <v>0.00030504559445662384</v>
      </c>
      <c r="AH35" s="33">
        <v>0.0005977277090085717</v>
      </c>
      <c r="AI35" s="33">
        <v>0.00734428545880914</v>
      </c>
      <c r="AJ35" s="33">
        <v>0.0006313677122886587</v>
      </c>
      <c r="AK35" s="33">
        <v>0.001129833237344432</v>
      </c>
      <c r="AL35" s="33">
        <v>0.00022175809550118957</v>
      </c>
      <c r="AM35" s="33">
        <v>0.0002544895437518995</v>
      </c>
      <c r="AN35" s="33">
        <v>0.0006827860320345773</v>
      </c>
      <c r="AO35" s="33">
        <v>0.00032227011304196597</v>
      </c>
      <c r="AP35" s="33">
        <v>0.00023838034224725536</v>
      </c>
      <c r="AQ35" s="33">
        <v>0.0001781842209409568</v>
      </c>
      <c r="AR35" s="33">
        <v>0.0002714876513508475</v>
      </c>
      <c r="AS35" s="33">
        <v>0.0004165286272257204</v>
      </c>
      <c r="AT35" s="33">
        <v>0.000052225875329671744</v>
      </c>
      <c r="AU35" s="33">
        <v>0.0002982115978270643</v>
      </c>
      <c r="AV35" s="33">
        <v>0.0002925583808290688</v>
      </c>
      <c r="AW35" s="33">
        <v>0.00030493006621202753</v>
      </c>
      <c r="AX35" s="33">
        <v>0.000393179414905463</v>
      </c>
      <c r="AY35" s="33">
        <v>0.00028314845246298634</v>
      </c>
      <c r="AZ35" s="33">
        <v>0.00024308452603954235</v>
      </c>
      <c r="BA35" s="33">
        <v>0.00009908636901183647</v>
      </c>
      <c r="BB35" s="33">
        <v>0.009937889392455318</v>
      </c>
      <c r="BC35" s="33">
        <v>0.00023072966180952344</v>
      </c>
      <c r="BD35" s="33">
        <v>0.00022255556448219776</v>
      </c>
      <c r="BE35" s="33">
        <v>0.00009798399661348475</v>
      </c>
      <c r="BF35" s="33">
        <v>0.0001890716894470997</v>
      </c>
      <c r="BG35" s="33">
        <v>0.00015085999965902942</v>
      </c>
      <c r="BH35" s="33">
        <v>0.00038729394710025795</v>
      </c>
      <c r="BI35" s="33">
        <v>0.0003441053634897633</v>
      </c>
      <c r="BJ35" s="33">
        <v>0.00043105599846574277</v>
      </c>
      <c r="BK35" s="33">
        <v>0.00024609287922147395</v>
      </c>
      <c r="BL35" s="33">
        <v>0.00020327842641148245</v>
      </c>
      <c r="BM35" s="33">
        <v>0</v>
      </c>
      <c r="BN35" s="33">
        <v>0</v>
      </c>
    </row>
    <row r="36" spans="1:66" x14ac:dyDescent="0.25">
      <c r="A36" s="30" t="s">
        <v>326</v>
      </c>
      <c r="B36" s="31" t="s">
        <v>327</v>
      </c>
      <c r="C36" s="33">
        <v>0.000874373945939452</v>
      </c>
      <c r="D36" s="33">
        <v>0.0011411562348831025</v>
      </c>
      <c r="E36" s="33">
        <v>0.0018913126352888723</v>
      </c>
      <c r="F36" s="33">
        <v>0.0013628584822988259</v>
      </c>
      <c r="G36" s="33">
        <v>0.0017363572705034107</v>
      </c>
      <c r="H36" s="33">
        <v>0.0013565210133567522</v>
      </c>
      <c r="I36" s="33">
        <v>0.0016534667073802695</v>
      </c>
      <c r="J36" s="33">
        <v>0.0020879680289375207</v>
      </c>
      <c r="K36" s="33">
        <v>0.0011888103504201187</v>
      </c>
      <c r="L36" s="33">
        <v>0.0014706558653640063</v>
      </c>
      <c r="M36" s="33">
        <v>0.0018512819542047352</v>
      </c>
      <c r="N36" s="33">
        <v>0.0010358012120181086</v>
      </c>
      <c r="O36" s="33">
        <v>0.0014458880715901424</v>
      </c>
      <c r="P36" s="33">
        <v>0.001833068467613863</v>
      </c>
      <c r="Q36" s="33">
        <v>0.0018096161536376065</v>
      </c>
      <c r="R36" s="33">
        <v>0.0012400952238047422</v>
      </c>
      <c r="S36" s="33">
        <v>0.0010192082452963156</v>
      </c>
      <c r="T36" s="33">
        <v>0.001287327819924678</v>
      </c>
      <c r="U36" s="33">
        <v>0.0012629126627505076</v>
      </c>
      <c r="V36" s="33">
        <v>0.0013969982674637666</v>
      </c>
      <c r="W36" s="33">
        <v>0.0014999490935392547</v>
      </c>
      <c r="X36" s="33">
        <v>0.0011986651367948344</v>
      </c>
      <c r="Y36" s="33">
        <v>0.001051360355846872</v>
      </c>
      <c r="Z36" s="33">
        <v>0.0008882982873995297</v>
      </c>
      <c r="AA36" s="33">
        <v>0.0006633745430664601</v>
      </c>
      <c r="AB36" s="33">
        <v>0.0011117670778291765</v>
      </c>
      <c r="AC36" s="33">
        <v>0.0009935111157851127</v>
      </c>
      <c r="AD36" s="33">
        <v>0.0014005970103085975</v>
      </c>
      <c r="AE36" s="33">
        <v>0.0027463885131816055</v>
      </c>
      <c r="AF36" s="33">
        <v>0.0012558338843216784</v>
      </c>
      <c r="AG36" s="33">
        <v>0.0047942118160410226</v>
      </c>
      <c r="AH36" s="33">
        <v>0.06911073798746416</v>
      </c>
      <c r="AI36" s="33">
        <v>0.016618600457539368</v>
      </c>
      <c r="AJ36" s="33">
        <v>0.013949983968110563</v>
      </c>
      <c r="AK36" s="33">
        <v>0.005144989056445834</v>
      </c>
      <c r="AL36" s="33">
        <v>0.0007657242633574367</v>
      </c>
      <c r="AM36" s="33">
        <v>0.0008607274074898266</v>
      </c>
      <c r="AN36" s="33">
        <v>0.0006976382751270713</v>
      </c>
      <c r="AO36" s="33">
        <v>0.001207972744864266</v>
      </c>
      <c r="AP36" s="33">
        <v>0.000857747333836756</v>
      </c>
      <c r="AQ36" s="33">
        <v>0.0003064636271119787</v>
      </c>
      <c r="AR36" s="33">
        <v>0.0004248343464999282</v>
      </c>
      <c r="AS36" s="33">
        <v>0.0005788047879571056</v>
      </c>
      <c r="AT36" s="33">
        <v>0.00016419259694095046</v>
      </c>
      <c r="AU36" s="33">
        <v>0.000590437359424858</v>
      </c>
      <c r="AV36" s="33">
        <v>0.000543787107153068</v>
      </c>
      <c r="AW36" s="33">
        <v>0.0004346618365080097</v>
      </c>
      <c r="AX36" s="33">
        <v>0.0007587500297198388</v>
      </c>
      <c r="AY36" s="33">
        <v>0.000744338301187645</v>
      </c>
      <c r="AZ36" s="33">
        <v>0.0008879630801779982</v>
      </c>
      <c r="BA36" s="33">
        <v>0.000262538034851309</v>
      </c>
      <c r="BB36" s="33">
        <v>0.004185881317889685</v>
      </c>
      <c r="BC36" s="33">
        <v>0.0006557594335189831</v>
      </c>
      <c r="BD36" s="33">
        <v>0.00045969000194266577</v>
      </c>
      <c r="BE36" s="33">
        <v>0.0002702665772667165</v>
      </c>
      <c r="BF36" s="33">
        <v>0.00043288870998969196</v>
      </c>
      <c r="BG36" s="33">
        <v>0.00034435892432738797</v>
      </c>
      <c r="BH36" s="33">
        <v>0.0005800994351476419</v>
      </c>
      <c r="BI36" s="33">
        <v>0.0006446447770553167</v>
      </c>
      <c r="BJ36" s="33">
        <v>0.0005200286251531999</v>
      </c>
      <c r="BK36" s="33">
        <v>0.0009032257789169421</v>
      </c>
      <c r="BL36" s="33">
        <v>0.000487133488701035</v>
      </c>
      <c r="BM36" s="33">
        <v>0</v>
      </c>
      <c r="BN36" s="33">
        <v>0</v>
      </c>
    </row>
    <row r="37" spans="1:66" x14ac:dyDescent="0.25">
      <c r="A37" s="30" t="s">
        <v>328</v>
      </c>
      <c r="B37" s="31" t="s">
        <v>329</v>
      </c>
      <c r="C37" s="33">
        <v>0.0005532658036123604</v>
      </c>
      <c r="D37" s="33">
        <v>0.0004098159770308882</v>
      </c>
      <c r="E37" s="33">
        <v>0.0005189410468204715</v>
      </c>
      <c r="F37" s="33">
        <v>0.0004725333892236304</v>
      </c>
      <c r="G37" s="33">
        <v>0.000832698194016069</v>
      </c>
      <c r="H37" s="33">
        <v>0.0010053255539174061</v>
      </c>
      <c r="I37" s="33">
        <v>0.0006541538868787955</v>
      </c>
      <c r="J37" s="33">
        <v>0.000808966395044306</v>
      </c>
      <c r="K37" s="33">
        <v>0.0010815668158769551</v>
      </c>
      <c r="L37" s="33">
        <v>0.00045333883724839406</v>
      </c>
      <c r="M37" s="33">
        <v>0.0013339576197804132</v>
      </c>
      <c r="N37" s="33">
        <v>0.0010779351027299532</v>
      </c>
      <c r="O37" s="33">
        <v>0.0008829423528384956</v>
      </c>
      <c r="P37" s="33">
        <v>0.0007633580849103399</v>
      </c>
      <c r="Q37" s="33">
        <v>0.0006761185825407957</v>
      </c>
      <c r="R37" s="33">
        <v>0.0007674160038661858</v>
      </c>
      <c r="S37" s="33">
        <v>0.0009442653555461611</v>
      </c>
      <c r="T37" s="33">
        <v>0.0012361329081649695</v>
      </c>
      <c r="U37" s="33">
        <v>0.0010206750544848025</v>
      </c>
      <c r="V37" s="33">
        <v>0.00086032926947034</v>
      </c>
      <c r="W37" s="33">
        <v>0.0006576230940173819</v>
      </c>
      <c r="X37" s="33">
        <v>0.0011133970989945846</v>
      </c>
      <c r="Y37" s="33">
        <v>0.0007399680061558918</v>
      </c>
      <c r="Z37" s="33">
        <v>0.0007014860027250405</v>
      </c>
      <c r="AA37" s="33">
        <v>0.0009400283899577367</v>
      </c>
      <c r="AB37" s="33">
        <v>0.0009892222398755078</v>
      </c>
      <c r="AC37" s="33">
        <v>0.0006198150128288048</v>
      </c>
      <c r="AD37" s="33">
        <v>0.000985309562456871</v>
      </c>
      <c r="AE37" s="33">
        <v>0.001246894949782073</v>
      </c>
      <c r="AF37" s="33">
        <v>0.001691149840687107</v>
      </c>
      <c r="AG37" s="33">
        <v>0.0010290907614381084</v>
      </c>
      <c r="AH37" s="33">
        <v>0.0014692124681448342</v>
      </c>
      <c r="AI37" s="33">
        <v>0.0014074420465512618</v>
      </c>
      <c r="AJ37" s="33">
        <v>0.001464142823497091</v>
      </c>
      <c r="AK37" s="33">
        <v>0.017015987705228</v>
      </c>
      <c r="AL37" s="33">
        <v>0.000988212090002411</v>
      </c>
      <c r="AM37" s="33">
        <v>0.0017372432172339317</v>
      </c>
      <c r="AN37" s="33">
        <v>0.0013772619934737224</v>
      </c>
      <c r="AO37" s="33">
        <v>0.0026510590672681176</v>
      </c>
      <c r="AP37" s="33">
        <v>0.001327850354177577</v>
      </c>
      <c r="AQ37" s="33">
        <v>0.0011249081550912343</v>
      </c>
      <c r="AR37" s="33">
        <v>0.0013736946029395483</v>
      </c>
      <c r="AS37" s="33">
        <v>0.0018929722596455725</v>
      </c>
      <c r="AT37" s="33">
        <v>0.0002312818917449033</v>
      </c>
      <c r="AU37" s="33">
        <v>0.003628426983490678</v>
      </c>
      <c r="AV37" s="33">
        <v>0.0009047420084813123</v>
      </c>
      <c r="AW37" s="33">
        <v>0.0007843714714530717</v>
      </c>
      <c r="AX37" s="33">
        <v>0.0013725887893231727</v>
      </c>
      <c r="AY37" s="33">
        <v>0.0011673748906649978</v>
      </c>
      <c r="AZ37" s="33">
        <v>0.0009099088876954164</v>
      </c>
      <c r="BA37" s="33">
        <v>0.0008068841591201088</v>
      </c>
      <c r="BB37" s="33">
        <v>0.0013122634769200713</v>
      </c>
      <c r="BC37" s="33">
        <v>0.001088926770076505</v>
      </c>
      <c r="BD37" s="33">
        <v>0.0010638573248787373</v>
      </c>
      <c r="BE37" s="33">
        <v>0.0003589409834348575</v>
      </c>
      <c r="BF37" s="33">
        <v>0.0005240508518896376</v>
      </c>
      <c r="BG37" s="33">
        <v>0.0006893230711456132</v>
      </c>
      <c r="BH37" s="33">
        <v>0.0010553953968282757</v>
      </c>
      <c r="BI37" s="33">
        <v>0.0009095028896623448</v>
      </c>
      <c r="BJ37" s="33">
        <v>0.0010601309612150078</v>
      </c>
      <c r="BK37" s="33">
        <v>0.0007469477262366958</v>
      </c>
      <c r="BL37" s="33">
        <v>0.000775093098101756</v>
      </c>
      <c r="BM37" s="33">
        <v>0</v>
      </c>
      <c r="BN37" s="33">
        <v>0</v>
      </c>
    </row>
    <row r="38" spans="1:66" x14ac:dyDescent="0.25">
      <c r="A38" s="30" t="s">
        <v>330</v>
      </c>
      <c r="B38" s="31" t="s">
        <v>331</v>
      </c>
      <c r="C38" s="33">
        <v>0.00008960631490063162</v>
      </c>
      <c r="D38" s="33">
        <v>0.00011318185049322015</v>
      </c>
      <c r="E38" s="33">
        <v>0.0005465827857379773</v>
      </c>
      <c r="F38" s="33">
        <v>0.00013587288894832588</v>
      </c>
      <c r="G38" s="33">
        <v>0.00012372781701363485</v>
      </c>
      <c r="H38" s="33">
        <v>0.0001702656205360891</v>
      </c>
      <c r="I38" s="33">
        <v>0.00014894443121951572</v>
      </c>
      <c r="J38" s="33">
        <v>0.00015774029648654237</v>
      </c>
      <c r="K38" s="33">
        <v>0.00022540165303171913</v>
      </c>
      <c r="L38" s="33">
        <v>0.00007031905337682671</v>
      </c>
      <c r="M38" s="33">
        <v>0.00014766853794378305</v>
      </c>
      <c r="N38" s="33">
        <v>0.0001231163495465446</v>
      </c>
      <c r="O38" s="33">
        <v>0.0001608824686725246</v>
      </c>
      <c r="P38" s="33">
        <v>0.00016212449835189408</v>
      </c>
      <c r="Q38" s="33">
        <v>0.00014541182408910427</v>
      </c>
      <c r="R38" s="33">
        <v>0.0001387741836252855</v>
      </c>
      <c r="S38" s="33">
        <v>0.00014764212750501855</v>
      </c>
      <c r="T38" s="33">
        <v>0.00016544086728259417</v>
      </c>
      <c r="U38" s="33">
        <v>0.00016188990727727435</v>
      </c>
      <c r="V38" s="33">
        <v>0.00014028414514538336</v>
      </c>
      <c r="W38" s="33">
        <v>0.00018620999837491885</v>
      </c>
      <c r="X38" s="33">
        <v>0.00015691608573861225</v>
      </c>
      <c r="Y38" s="33">
        <v>0.00016964165782011275</v>
      </c>
      <c r="Z38" s="33">
        <v>0.00009117768954067679</v>
      </c>
      <c r="AA38" s="33">
        <v>0.00015363400827999273</v>
      </c>
      <c r="AB38" s="33">
        <v>0.00014421968065247848</v>
      </c>
      <c r="AC38" s="33">
        <v>0.000112933264883118</v>
      </c>
      <c r="AD38" s="33">
        <v>0.00011899768668183093</v>
      </c>
      <c r="AE38" s="33">
        <v>0.00010151328620592184</v>
      </c>
      <c r="AF38" s="33">
        <v>0.00008307251028235728</v>
      </c>
      <c r="AG38" s="33">
        <v>0.00020143274307478213</v>
      </c>
      <c r="AH38" s="33">
        <v>0.00018662707117826746</v>
      </c>
      <c r="AI38" s="33">
        <v>0.00044972121829817157</v>
      </c>
      <c r="AJ38" s="33">
        <v>0.00019515157445591756</v>
      </c>
      <c r="AK38" s="33">
        <v>0.00014677470853761894</v>
      </c>
      <c r="AL38" s="33">
        <v>0.00012651171977146787</v>
      </c>
      <c r="AM38" s="33">
        <v>0.00013304802474672954</v>
      </c>
      <c r="AN38" s="33">
        <v>0.00026704228103215593</v>
      </c>
      <c r="AO38" s="33">
        <v>0.0002204455862998299</v>
      </c>
      <c r="AP38" s="33">
        <v>0.00013030804598532803</v>
      </c>
      <c r="AQ38" s="33">
        <v>0.00007316335822839502</v>
      </c>
      <c r="AR38" s="33">
        <v>0.00013658671053823625</v>
      </c>
      <c r="AS38" s="33">
        <v>0.00016455226272387688</v>
      </c>
      <c r="AT38" s="33">
        <v>0.000027781606745267253</v>
      </c>
      <c r="AU38" s="33">
        <v>0.00013148027876441504</v>
      </c>
      <c r="AV38" s="33">
        <v>0.00011991136528811418</v>
      </c>
      <c r="AW38" s="33">
        <v>0.00012799800773924681</v>
      </c>
      <c r="AX38" s="33">
        <v>0.00020258172837546437</v>
      </c>
      <c r="AY38" s="33">
        <v>0.0001804336964393064</v>
      </c>
      <c r="AZ38" s="33">
        <v>0.00011998591503837218</v>
      </c>
      <c r="BA38" s="33">
        <v>0.00010182341117751604</v>
      </c>
      <c r="BB38" s="33">
        <v>0.006921976511506907</v>
      </c>
      <c r="BC38" s="33">
        <v>0.00012997309373259918</v>
      </c>
      <c r="BD38" s="33">
        <v>0.00007094293305471132</v>
      </c>
      <c r="BE38" s="33">
        <v>0.00007524563291332974</v>
      </c>
      <c r="BF38" s="33">
        <v>0.00007852241667438955</v>
      </c>
      <c r="BG38" s="33">
        <v>0.00010340275704022739</v>
      </c>
      <c r="BH38" s="33">
        <v>0.00020377488372698955</v>
      </c>
      <c r="BI38" s="33">
        <v>0.000217599994542167</v>
      </c>
      <c r="BJ38" s="33">
        <v>0.0001909626912366171</v>
      </c>
      <c r="BK38" s="33">
        <v>0.00038891492735561734</v>
      </c>
      <c r="BL38" s="33">
        <v>0.00015244173535881988</v>
      </c>
      <c r="BM38" s="33">
        <v>0</v>
      </c>
      <c r="BN38" s="33">
        <v>0</v>
      </c>
    </row>
    <row r="39" spans="1:66" x14ac:dyDescent="0.25">
      <c r="A39" s="30" t="s">
        <v>332</v>
      </c>
      <c r="B39" s="31" t="s">
        <v>333</v>
      </c>
      <c r="C39" s="33">
        <v>0.0006268459614214527</v>
      </c>
      <c r="D39" s="33">
        <v>0.0003794574481844998</v>
      </c>
      <c r="E39" s="33">
        <v>0.0005391305268457099</v>
      </c>
      <c r="F39" s="33">
        <v>0.0006706188112052656</v>
      </c>
      <c r="G39" s="33">
        <v>0.0012444491436129587</v>
      </c>
      <c r="H39" s="33">
        <v>0.0008420770565034693</v>
      </c>
      <c r="I39" s="33">
        <v>0.0007579918642666767</v>
      </c>
      <c r="J39" s="33">
        <v>0.0015083921785789705</v>
      </c>
      <c r="K39" s="33">
        <v>0.003278510776397506</v>
      </c>
      <c r="L39" s="33">
        <v>0.000543661327670891</v>
      </c>
      <c r="M39" s="33">
        <v>0.00162422744927461</v>
      </c>
      <c r="N39" s="33">
        <v>0.005394547896016742</v>
      </c>
      <c r="O39" s="33">
        <v>0.0011107753161707827</v>
      </c>
      <c r="P39" s="33">
        <v>0.0008988857550800671</v>
      </c>
      <c r="Q39" s="33">
        <v>0.0008272788360262647</v>
      </c>
      <c r="R39" s="33">
        <v>0.0009602429439813543</v>
      </c>
      <c r="S39" s="33">
        <v>0.0011420298588222214</v>
      </c>
      <c r="T39" s="33">
        <v>0.0009578057866975674</v>
      </c>
      <c r="U39" s="33">
        <v>0.0009315421078917169</v>
      </c>
      <c r="V39" s="33">
        <v>0.0008591365637936338</v>
      </c>
      <c r="W39" s="33">
        <v>0.0008472834625921322</v>
      </c>
      <c r="X39" s="33">
        <v>0.0014849939490909209</v>
      </c>
      <c r="Y39" s="33">
        <v>0.0008017240123709401</v>
      </c>
      <c r="Z39" s="33">
        <v>0.0012428008115312294</v>
      </c>
      <c r="AA39" s="33">
        <v>0.0010404095666732276</v>
      </c>
      <c r="AB39" s="33">
        <v>0.0012490701860255035</v>
      </c>
      <c r="AC39" s="33">
        <v>0.000666747691661531</v>
      </c>
      <c r="AD39" s="33">
        <v>0.0008724710301056184</v>
      </c>
      <c r="AE39" s="33">
        <v>0.0010137641375603942</v>
      </c>
      <c r="AF39" s="33">
        <v>0.0009350261485484527</v>
      </c>
      <c r="AG39" s="33">
        <v>0.00069925812775669</v>
      </c>
      <c r="AH39" s="33">
        <v>0.0006369935957272002</v>
      </c>
      <c r="AI39" s="33">
        <v>0.0019408499624691264</v>
      </c>
      <c r="AJ39" s="33">
        <v>0.0007741478206361307</v>
      </c>
      <c r="AK39" s="33">
        <v>0.0009537695443060972</v>
      </c>
      <c r="AL39" s="33">
        <v>0.0007745762109411193</v>
      </c>
      <c r="AM39" s="33">
        <v>0.037285288397404186</v>
      </c>
      <c r="AN39" s="33">
        <v>0.0025324305429038248</v>
      </c>
      <c r="AO39" s="33">
        <v>0.001579869997852329</v>
      </c>
      <c r="AP39" s="33">
        <v>0.002895388842508512</v>
      </c>
      <c r="AQ39" s="33">
        <v>0.0012803460003616056</v>
      </c>
      <c r="AR39" s="33">
        <v>0.0015883312173266399</v>
      </c>
      <c r="AS39" s="33">
        <v>0.0023565620017457524</v>
      </c>
      <c r="AT39" s="33">
        <v>0.00023947955735252545</v>
      </c>
      <c r="AU39" s="33">
        <v>0.0021575629861828784</v>
      </c>
      <c r="AV39" s="33">
        <v>0.001350136941650165</v>
      </c>
      <c r="AW39" s="33">
        <v>0.0016078800113963393</v>
      </c>
      <c r="AX39" s="33">
        <v>0.004115593080528468</v>
      </c>
      <c r="AY39" s="33">
        <v>0.001482604929575147</v>
      </c>
      <c r="AZ39" s="33">
        <v>0.0009266655131426685</v>
      </c>
      <c r="BA39" s="33">
        <v>0.0006150459318626219</v>
      </c>
      <c r="BB39" s="33">
        <v>0.0025552804870420057</v>
      </c>
      <c r="BC39" s="33">
        <v>0.0012176125783786378</v>
      </c>
      <c r="BD39" s="33">
        <v>0.000962772954268311</v>
      </c>
      <c r="BE39" s="33">
        <v>0.0015661314909604358</v>
      </c>
      <c r="BF39" s="33">
        <v>0.0008671683395042552</v>
      </c>
      <c r="BG39" s="33">
        <v>0.0009536600770471363</v>
      </c>
      <c r="BH39" s="33">
        <v>0.003453334161936788</v>
      </c>
      <c r="BI39" s="33">
        <v>0.001440880505878199</v>
      </c>
      <c r="BJ39" s="33">
        <v>0.002596823097642178</v>
      </c>
      <c r="BK39" s="33">
        <v>0.0006292496253620144</v>
      </c>
      <c r="BL39" s="33">
        <v>0.0006976679922275527</v>
      </c>
      <c r="BM39" s="33">
        <v>0</v>
      </c>
      <c r="BN39" s="33">
        <v>0</v>
      </c>
    </row>
    <row r="40" spans="1:66" x14ac:dyDescent="0.25">
      <c r="A40" s="30" t="s">
        <v>335</v>
      </c>
      <c r="B40" s="31" t="s">
        <v>336</v>
      </c>
      <c r="C40" s="33">
        <v>0.0003652056657787686</v>
      </c>
      <c r="D40" s="33">
        <v>0.0002445223253446558</v>
      </c>
      <c r="E40" s="33">
        <v>0.00043815585520196076</v>
      </c>
      <c r="F40" s="33">
        <v>0.0003284809119815391</v>
      </c>
      <c r="G40" s="33">
        <v>0.0008271655825174665</v>
      </c>
      <c r="H40" s="33">
        <v>0.000551251987942802</v>
      </c>
      <c r="I40" s="33">
        <v>0.00047153881534734685</v>
      </c>
      <c r="J40" s="33">
        <v>0.0005577493921174825</v>
      </c>
      <c r="K40" s="33">
        <v>0.0007362612030873102</v>
      </c>
      <c r="L40" s="33">
        <v>0.0002642651629210314</v>
      </c>
      <c r="M40" s="33">
        <v>0.0009506909431148627</v>
      </c>
      <c r="N40" s="33">
        <v>0.001788963055885401</v>
      </c>
      <c r="O40" s="33">
        <v>0.0005413590842409416</v>
      </c>
      <c r="P40" s="33">
        <v>0.0004969332578706838</v>
      </c>
      <c r="Q40" s="33">
        <v>0.0004073655427143601</v>
      </c>
      <c r="R40" s="33">
        <v>0.0004334224284185531</v>
      </c>
      <c r="S40" s="33">
        <v>0.0006023979593916328</v>
      </c>
      <c r="T40" s="33">
        <v>0.0005193327278114599</v>
      </c>
      <c r="U40" s="33">
        <v>0.0004470934403574814</v>
      </c>
      <c r="V40" s="33">
        <v>0.0005371029204849073</v>
      </c>
      <c r="W40" s="33">
        <v>0.0005138476674624903</v>
      </c>
      <c r="X40" s="33">
        <v>0.0009877577051094653</v>
      </c>
      <c r="Y40" s="33">
        <v>0.0004387020877534665</v>
      </c>
      <c r="Z40" s="33">
        <v>0.000376602620797499</v>
      </c>
      <c r="AA40" s="33">
        <v>0.0004807179845184504</v>
      </c>
      <c r="AB40" s="33">
        <v>0.0005315538532845139</v>
      </c>
      <c r="AC40" s="33">
        <v>0.0004332030443822365</v>
      </c>
      <c r="AD40" s="33">
        <v>0.0008383680322630364</v>
      </c>
      <c r="AE40" s="33">
        <v>0.0008143336540015167</v>
      </c>
      <c r="AF40" s="33">
        <v>0.000975631238703534</v>
      </c>
      <c r="AG40" s="33">
        <v>0.0004457246659016734</v>
      </c>
      <c r="AH40" s="33">
        <v>0.00040512549196800203</v>
      </c>
      <c r="AI40" s="33">
        <v>0.0007126332648711788</v>
      </c>
      <c r="AJ40" s="33">
        <v>0.0004999381858186853</v>
      </c>
      <c r="AK40" s="33">
        <v>0.0006698214786304747</v>
      </c>
      <c r="AL40" s="33">
        <v>0.0007474852240232823</v>
      </c>
      <c r="AM40" s="33">
        <v>0.0018860134720149854</v>
      </c>
      <c r="AN40" s="33">
        <v>0.03629975943096245</v>
      </c>
      <c r="AO40" s="33">
        <v>0.00426189099381753</v>
      </c>
      <c r="AP40" s="33">
        <v>0.004500274270699663</v>
      </c>
      <c r="AQ40" s="33">
        <v>0.0005083298812221172</v>
      </c>
      <c r="AR40" s="33">
        <v>0.0007402815916495809</v>
      </c>
      <c r="AS40" s="33">
        <v>0.0007150648223057589</v>
      </c>
      <c r="AT40" s="33">
        <v>0.00014753172275147283</v>
      </c>
      <c r="AU40" s="33">
        <v>0.0011845387698055706</v>
      </c>
      <c r="AV40" s="33">
        <v>0.0008188553931588208</v>
      </c>
      <c r="AW40" s="33">
        <v>0.0007671576169080933</v>
      </c>
      <c r="AX40" s="33">
        <v>0.015471985873271832</v>
      </c>
      <c r="AY40" s="33">
        <v>0.0009929926202932485</v>
      </c>
      <c r="AZ40" s="33">
        <v>0.002784214159664433</v>
      </c>
      <c r="BA40" s="33">
        <v>0.0003876396338111021</v>
      </c>
      <c r="BB40" s="33">
        <v>0.001688786951888637</v>
      </c>
      <c r="BC40" s="33">
        <v>0.0008303300571215875</v>
      </c>
      <c r="BD40" s="33">
        <v>0.0014680000510341052</v>
      </c>
      <c r="BE40" s="33">
        <v>0.0002981917612709302</v>
      </c>
      <c r="BF40" s="33">
        <v>0.0003654983783010635</v>
      </c>
      <c r="BG40" s="33">
        <v>0.0006631041956136777</v>
      </c>
      <c r="BH40" s="33">
        <v>0.0025303763613323356</v>
      </c>
      <c r="BI40" s="33">
        <v>0.0017735239862887561</v>
      </c>
      <c r="BJ40" s="33">
        <v>0.0029155932870688047</v>
      </c>
      <c r="BK40" s="33">
        <v>0.000506621925228654</v>
      </c>
      <c r="BL40" s="33">
        <v>0.0005792453087222588</v>
      </c>
      <c r="BM40" s="33">
        <v>0</v>
      </c>
      <c r="BN40" s="33">
        <v>0</v>
      </c>
    </row>
    <row r="41" spans="1:66" x14ac:dyDescent="0.25">
      <c r="A41" s="30" t="s">
        <v>337</v>
      </c>
      <c r="B41" s="31" t="s">
        <v>338</v>
      </c>
      <c r="C41" s="33">
        <v>0.0003060348365995621</v>
      </c>
      <c r="D41" s="33">
        <v>0.00022094294053970324</v>
      </c>
      <c r="E41" s="33">
        <v>0.00030473657695436704</v>
      </c>
      <c r="F41" s="33">
        <v>0.0002908539865178644</v>
      </c>
      <c r="G41" s="33">
        <v>0.00045258473248636086</v>
      </c>
      <c r="H41" s="33">
        <v>0.00040266367305321016</v>
      </c>
      <c r="I41" s="33">
        <v>0.0003503413275012048</v>
      </c>
      <c r="J41" s="33">
        <v>0.00045165196316487036</v>
      </c>
      <c r="K41" s="33">
        <v>0.00045058734216296654</v>
      </c>
      <c r="L41" s="33">
        <v>0.00020456259945515794</v>
      </c>
      <c r="M41" s="33">
        <v>0.00047046961888579455</v>
      </c>
      <c r="N41" s="33">
        <v>0.00046462111557406634</v>
      </c>
      <c r="O41" s="33">
        <v>0.00042675247957288116</v>
      </c>
      <c r="P41" s="33">
        <v>0.00042820884844497803</v>
      </c>
      <c r="Q41" s="33">
        <v>0.00038743252098555895</v>
      </c>
      <c r="R41" s="33">
        <v>0.00041494470615187644</v>
      </c>
      <c r="S41" s="33">
        <v>0.0004954451170737498</v>
      </c>
      <c r="T41" s="33">
        <v>0.0004386977325821869</v>
      </c>
      <c r="U41" s="33">
        <v>0.0004273880884162019</v>
      </c>
      <c r="V41" s="33">
        <v>0.0004119827420264433</v>
      </c>
      <c r="W41" s="33">
        <v>0.0004002935770393884</v>
      </c>
      <c r="X41" s="33">
        <v>0.00043202355501422844</v>
      </c>
      <c r="Y41" s="33">
        <v>0.0004095056441132641</v>
      </c>
      <c r="Z41" s="33">
        <v>0.00033181950975596364</v>
      </c>
      <c r="AA41" s="33">
        <v>0.0004163531795951096</v>
      </c>
      <c r="AB41" s="33">
        <v>0.00045799516732488414</v>
      </c>
      <c r="AC41" s="33">
        <v>0.0003771900435934509</v>
      </c>
      <c r="AD41" s="33">
        <v>0.0004837571630670208</v>
      </c>
      <c r="AE41" s="33">
        <v>0.0005393692705080956</v>
      </c>
      <c r="AF41" s="33">
        <v>0.0005561963558211873</v>
      </c>
      <c r="AG41" s="33">
        <v>0.00043208593192417603</v>
      </c>
      <c r="AH41" s="33">
        <v>0.0004031948398531882</v>
      </c>
      <c r="AI41" s="33">
        <v>0.0006415856359775397</v>
      </c>
      <c r="AJ41" s="33">
        <v>0.00048279991697224354</v>
      </c>
      <c r="AK41" s="33">
        <v>0.0016367511819564576</v>
      </c>
      <c r="AL41" s="33">
        <v>0.0005025694656349439</v>
      </c>
      <c r="AM41" s="33">
        <v>0.0014601424730541924</v>
      </c>
      <c r="AN41" s="33">
        <v>0.0012313010751177076</v>
      </c>
      <c r="AO41" s="33">
        <v>0.012987007318011695</v>
      </c>
      <c r="AP41" s="33">
        <v>0.001261606520539764</v>
      </c>
      <c r="AQ41" s="33">
        <v>0.0006927355424348758</v>
      </c>
      <c r="AR41" s="33">
        <v>0.0009716865763614236</v>
      </c>
      <c r="AS41" s="33">
        <v>0.001559091318495636</v>
      </c>
      <c r="AT41" s="33">
        <v>0.00015659890251060876</v>
      </c>
      <c r="AU41" s="33">
        <v>0.0011851812080997807</v>
      </c>
      <c r="AV41" s="33">
        <v>0.0006030745119214026</v>
      </c>
      <c r="AW41" s="33">
        <v>0.0004985496999308462</v>
      </c>
      <c r="AX41" s="33">
        <v>0.0011806230216059143</v>
      </c>
      <c r="AY41" s="33">
        <v>0.0007171589739886715</v>
      </c>
      <c r="AZ41" s="33">
        <v>0.0005606481302389778</v>
      </c>
      <c r="BA41" s="33">
        <v>0.0005904729725341143</v>
      </c>
      <c r="BB41" s="33">
        <v>0.0019492729364141992</v>
      </c>
      <c r="BC41" s="33">
        <v>0.0005959620257958752</v>
      </c>
      <c r="BD41" s="33">
        <v>0.00045978477204321265</v>
      </c>
      <c r="BE41" s="33">
        <v>0.00022058521517163813</v>
      </c>
      <c r="BF41" s="33">
        <v>0.0003196952970983686</v>
      </c>
      <c r="BG41" s="33">
        <v>0.0003460533597434378</v>
      </c>
      <c r="BH41" s="33">
        <v>0.001049836477241377</v>
      </c>
      <c r="BI41" s="33">
        <v>0.0006231346680334746</v>
      </c>
      <c r="BJ41" s="33">
        <v>0.0005461184553088715</v>
      </c>
      <c r="BK41" s="33">
        <v>0.00046231597612566086</v>
      </c>
      <c r="BL41" s="33">
        <v>0.0004766341216252673</v>
      </c>
      <c r="BM41" s="33">
        <v>0</v>
      </c>
      <c r="BN41" s="33">
        <v>0</v>
      </c>
    </row>
    <row r="42" spans="1:66" x14ac:dyDescent="0.25">
      <c r="A42" s="30" t="s">
        <v>339</v>
      </c>
      <c r="B42" s="31" t="s">
        <v>340</v>
      </c>
      <c r="C42" s="33">
        <v>0.0011784153159020087</v>
      </c>
      <c r="D42" s="33">
        <v>0.0008964857778019779</v>
      </c>
      <c r="E42" s="33">
        <v>0.001229547795416628</v>
      </c>
      <c r="F42" s="33">
        <v>0.0013304221004164934</v>
      </c>
      <c r="G42" s="33">
        <v>0.002021679913282296</v>
      </c>
      <c r="H42" s="33">
        <v>0.0021090834597057607</v>
      </c>
      <c r="I42" s="33">
        <v>0.0015759623489263962</v>
      </c>
      <c r="J42" s="33">
        <v>0.002458329273634703</v>
      </c>
      <c r="K42" s="33">
        <v>0.0026041623822420294</v>
      </c>
      <c r="L42" s="33">
        <v>0.001127629102853922</v>
      </c>
      <c r="M42" s="33">
        <v>0.0028259122924766344</v>
      </c>
      <c r="N42" s="33">
        <v>0.0032033266719504756</v>
      </c>
      <c r="O42" s="33">
        <v>0.002079251581643716</v>
      </c>
      <c r="P42" s="33">
        <v>0.0019320304947689957</v>
      </c>
      <c r="Q42" s="33">
        <v>0.002091873458411227</v>
      </c>
      <c r="R42" s="33">
        <v>0.0021318940200248824</v>
      </c>
      <c r="S42" s="33">
        <v>0.002749774592256195</v>
      </c>
      <c r="T42" s="33">
        <v>0.002583596334993126</v>
      </c>
      <c r="U42" s="33">
        <v>0.00229879242918461</v>
      </c>
      <c r="V42" s="33">
        <v>0.0023820555422495713</v>
      </c>
      <c r="W42" s="33">
        <v>0.0026355914886610414</v>
      </c>
      <c r="X42" s="33">
        <v>0.001996942677619243</v>
      </c>
      <c r="Y42" s="33">
        <v>0.0021021185501185037</v>
      </c>
      <c r="Z42" s="33">
        <v>0.001898209145907375</v>
      </c>
      <c r="AA42" s="33">
        <v>0.0017355266432345579</v>
      </c>
      <c r="AB42" s="33">
        <v>0.0029151000957925717</v>
      </c>
      <c r="AC42" s="33">
        <v>0.0016197391447833648</v>
      </c>
      <c r="AD42" s="33">
        <v>0.0021497157022002606</v>
      </c>
      <c r="AE42" s="33">
        <v>0.0025088590173507007</v>
      </c>
      <c r="AF42" s="33">
        <v>0.002144283367355347</v>
      </c>
      <c r="AG42" s="33">
        <v>0.0019352218158184967</v>
      </c>
      <c r="AH42" s="33">
        <v>0.0026260656045962185</v>
      </c>
      <c r="AI42" s="33">
        <v>0.003332310411472038</v>
      </c>
      <c r="AJ42" s="33">
        <v>0.0023188320511426195</v>
      </c>
      <c r="AK42" s="33">
        <v>0.004046166122474573</v>
      </c>
      <c r="AL42" s="33">
        <v>0.0015591417097600485</v>
      </c>
      <c r="AM42" s="33">
        <v>0.009040341619720537</v>
      </c>
      <c r="AN42" s="33">
        <v>0.004323404856125757</v>
      </c>
      <c r="AO42" s="33">
        <v>0.005510426463195752</v>
      </c>
      <c r="AP42" s="33">
        <v>0.022511708104459762</v>
      </c>
      <c r="AQ42" s="33">
        <v>0.0030003306842579223</v>
      </c>
      <c r="AR42" s="33">
        <v>0.003863887846056953</v>
      </c>
      <c r="AS42" s="33">
        <v>0.00510804299306168</v>
      </c>
      <c r="AT42" s="33">
        <v>0.0006171765671705476</v>
      </c>
      <c r="AU42" s="33">
        <v>0.006626231327427815</v>
      </c>
      <c r="AV42" s="33">
        <v>0.0031922098516513338</v>
      </c>
      <c r="AW42" s="33">
        <v>0.0030770006173721416</v>
      </c>
      <c r="AX42" s="33">
        <v>0.005495269300571686</v>
      </c>
      <c r="AY42" s="33">
        <v>0.0031046613903083415</v>
      </c>
      <c r="AZ42" s="33">
        <v>0.002558804337603387</v>
      </c>
      <c r="BA42" s="33">
        <v>0.0017862712743001866</v>
      </c>
      <c r="BB42" s="33">
        <v>0.004580717178447508</v>
      </c>
      <c r="BC42" s="33">
        <v>0.0029704905483505556</v>
      </c>
      <c r="BD42" s="33">
        <v>0.001740560614289343</v>
      </c>
      <c r="BE42" s="33">
        <v>0.0012337153352653268</v>
      </c>
      <c r="BF42" s="33">
        <v>0.0015377974537539062</v>
      </c>
      <c r="BG42" s="33">
        <v>0.0015366060722694433</v>
      </c>
      <c r="BH42" s="33">
        <v>0.007404501302842758</v>
      </c>
      <c r="BI42" s="33">
        <v>0.0019970653152981857</v>
      </c>
      <c r="BJ42" s="33">
        <v>0.002067315532469154</v>
      </c>
      <c r="BK42" s="33">
        <v>0.002155370884073362</v>
      </c>
      <c r="BL42" s="33">
        <v>0.0014092395442901835</v>
      </c>
      <c r="BM42" s="33">
        <v>0</v>
      </c>
      <c r="BN42" s="33">
        <v>0</v>
      </c>
    </row>
    <row r="43" spans="1:66" x14ac:dyDescent="0.25">
      <c r="A43" s="30" t="s">
        <v>341</v>
      </c>
      <c r="B43" s="31" t="s">
        <v>342</v>
      </c>
      <c r="C43" s="33">
        <v>0.007687847103088826</v>
      </c>
      <c r="D43" s="33">
        <v>0.00479525063624774</v>
      </c>
      <c r="E43" s="33">
        <v>0.007111897255804237</v>
      </c>
      <c r="F43" s="33">
        <v>0.0051988210799057575</v>
      </c>
      <c r="G43" s="33">
        <v>0.008271349119545449</v>
      </c>
      <c r="H43" s="33">
        <v>0.007705861260401289</v>
      </c>
      <c r="I43" s="33">
        <v>0.00606111038221954</v>
      </c>
      <c r="J43" s="33">
        <v>0.007003501368503141</v>
      </c>
      <c r="K43" s="33">
        <v>0.006756639166963846</v>
      </c>
      <c r="L43" s="33">
        <v>0.004743285465630238</v>
      </c>
      <c r="M43" s="33">
        <v>0.008280438269047143</v>
      </c>
      <c r="N43" s="33">
        <v>0.006805785634724645</v>
      </c>
      <c r="O43" s="33">
        <v>0.008443870723707357</v>
      </c>
      <c r="P43" s="33">
        <v>0.007021782113292675</v>
      </c>
      <c r="Q43" s="33">
        <v>0.008304029719795237</v>
      </c>
      <c r="R43" s="33">
        <v>0.00706241355543973</v>
      </c>
      <c r="S43" s="33">
        <v>0.005444833356075644</v>
      </c>
      <c r="T43" s="33">
        <v>0.006344269718506527</v>
      </c>
      <c r="U43" s="33">
        <v>0.007181645592476033</v>
      </c>
      <c r="V43" s="33">
        <v>0.007203133189586351</v>
      </c>
      <c r="W43" s="33">
        <v>0.005609605446026578</v>
      </c>
      <c r="X43" s="33">
        <v>0.006084888147825389</v>
      </c>
      <c r="Y43" s="33">
        <v>0.005803296871949897</v>
      </c>
      <c r="Z43" s="33">
        <v>0.006821218091084336</v>
      </c>
      <c r="AA43" s="33">
        <v>0.006051008132950695</v>
      </c>
      <c r="AB43" s="33">
        <v>0.006693166642925175</v>
      </c>
      <c r="AC43" s="33">
        <v>0.00843563188008589</v>
      </c>
      <c r="AD43" s="33">
        <v>0.008270933719967982</v>
      </c>
      <c r="AE43" s="33">
        <v>0.007221444522528118</v>
      </c>
      <c r="AF43" s="33">
        <v>0.00802241771562421</v>
      </c>
      <c r="AG43" s="33">
        <v>0.007285643666871759</v>
      </c>
      <c r="AH43" s="33">
        <v>0.02614852760936452</v>
      </c>
      <c r="AI43" s="33">
        <v>0.01610855991579107</v>
      </c>
      <c r="AJ43" s="33">
        <v>0.009274746370442661</v>
      </c>
      <c r="AK43" s="33">
        <v>0.007603802699489148</v>
      </c>
      <c r="AL43" s="33">
        <v>0.00740900074173525</v>
      </c>
      <c r="AM43" s="33">
        <v>0.006355619386246075</v>
      </c>
      <c r="AN43" s="33">
        <v>0.007707281911431803</v>
      </c>
      <c r="AO43" s="33">
        <v>0.008761181662375824</v>
      </c>
      <c r="AP43" s="33">
        <v>0.018393239742886692</v>
      </c>
      <c r="AQ43" s="33">
        <v>0.06017408211135881</v>
      </c>
      <c r="AR43" s="33">
        <v>0.04868085269738892</v>
      </c>
      <c r="AS43" s="33">
        <v>0.032926018435337205</v>
      </c>
      <c r="AT43" s="33">
        <v>0.005977951263682987</v>
      </c>
      <c r="AU43" s="33">
        <v>0.011805325320473273</v>
      </c>
      <c r="AV43" s="33">
        <v>0.006795331031470084</v>
      </c>
      <c r="AW43" s="33">
        <v>0.0038697632514951993</v>
      </c>
      <c r="AX43" s="33">
        <v>0.007924613766951985</v>
      </c>
      <c r="AY43" s="33">
        <v>0.007030010910894011</v>
      </c>
      <c r="AZ43" s="33">
        <v>0.012177566186329423</v>
      </c>
      <c r="BA43" s="33">
        <v>0.0041586456204017064</v>
      </c>
      <c r="BB43" s="33">
        <v>0.011301821274294292</v>
      </c>
      <c r="BC43" s="33">
        <v>0.006637227359864023</v>
      </c>
      <c r="BD43" s="33">
        <v>0.0064383591376460875</v>
      </c>
      <c r="BE43" s="33">
        <v>0.0023237111603216605</v>
      </c>
      <c r="BF43" s="33">
        <v>0.004512244442705086</v>
      </c>
      <c r="BG43" s="33">
        <v>0.004545234059029984</v>
      </c>
      <c r="BH43" s="33">
        <v>0.006189245456270655</v>
      </c>
      <c r="BI43" s="33">
        <v>0.005700186791290334</v>
      </c>
      <c r="BJ43" s="33">
        <v>0.007838716271330993</v>
      </c>
      <c r="BK43" s="33">
        <v>0.005622175339827917</v>
      </c>
      <c r="BL43" s="33">
        <v>0.006176844942845959</v>
      </c>
      <c r="BM43" s="33">
        <v>0</v>
      </c>
      <c r="BN43" s="33">
        <v>0</v>
      </c>
    </row>
    <row r="44" spans="1:66" x14ac:dyDescent="0.25">
      <c r="A44" s="30" t="s">
        <v>344</v>
      </c>
      <c r="B44" s="31" t="s">
        <v>345</v>
      </c>
      <c r="C44" s="33">
        <v>0.0011219590050433235</v>
      </c>
      <c r="D44" s="33">
        <v>0.00029610902517149083</v>
      </c>
      <c r="E44" s="33">
        <v>0.0006586600706167281</v>
      </c>
      <c r="F44" s="33">
        <v>0.0005474299040913237</v>
      </c>
      <c r="G44" s="33">
        <v>0.0007477239581070091</v>
      </c>
      <c r="H44" s="33">
        <v>0.0006367394806729368</v>
      </c>
      <c r="I44" s="33">
        <v>0.0005345406998657098</v>
      </c>
      <c r="J44" s="33">
        <v>0.0008081229938858322</v>
      </c>
      <c r="K44" s="33">
        <v>0.0009823021592975268</v>
      </c>
      <c r="L44" s="33">
        <v>0.0012332910241994609</v>
      </c>
      <c r="M44" s="33">
        <v>0.0013343832813050083</v>
      </c>
      <c r="N44" s="33">
        <v>0.0008786744254950495</v>
      </c>
      <c r="O44" s="33">
        <v>0.0007810494012516941</v>
      </c>
      <c r="P44" s="33">
        <v>0.0006662357433094456</v>
      </c>
      <c r="Q44" s="33">
        <v>0.0008413109878388024</v>
      </c>
      <c r="R44" s="33">
        <v>0.000698626875078838</v>
      </c>
      <c r="S44" s="33">
        <v>0.0004747289947267224</v>
      </c>
      <c r="T44" s="33">
        <v>0.0006597172419849492</v>
      </c>
      <c r="U44" s="33">
        <v>0.0006871022519629811</v>
      </c>
      <c r="V44" s="33">
        <v>0.0005758187508611776</v>
      </c>
      <c r="W44" s="33">
        <v>0.0014208309380304976</v>
      </c>
      <c r="X44" s="33">
        <v>0.0007100428980058731</v>
      </c>
      <c r="Y44" s="33">
        <v>0.0007334107511277951</v>
      </c>
      <c r="Z44" s="33">
        <v>0.0012345160224920368</v>
      </c>
      <c r="AA44" s="33">
        <v>0.0005749111051232292</v>
      </c>
      <c r="AB44" s="33">
        <v>0.0007842019479461735</v>
      </c>
      <c r="AC44" s="33">
        <v>0.0006711014123070198</v>
      </c>
      <c r="AD44" s="33">
        <v>0.0006211420434656599</v>
      </c>
      <c r="AE44" s="33">
        <v>0.00047405594765734775</v>
      </c>
      <c r="AF44" s="33">
        <v>0.0004617093478574227</v>
      </c>
      <c r="AG44" s="33">
        <v>0.0009046777583963888</v>
      </c>
      <c r="AH44" s="33">
        <v>0.0011359386438664744</v>
      </c>
      <c r="AI44" s="33">
        <v>0.0010213470261602174</v>
      </c>
      <c r="AJ44" s="33">
        <v>0.0006076161684897395</v>
      </c>
      <c r="AK44" s="33">
        <v>0.0004981629121653012</v>
      </c>
      <c r="AL44" s="33">
        <v>0.000587922037834452</v>
      </c>
      <c r="AM44" s="33">
        <v>0.0005442708450126138</v>
      </c>
      <c r="AN44" s="33">
        <v>0.0006598679020352177</v>
      </c>
      <c r="AO44" s="33">
        <v>0.0007431515552278576</v>
      </c>
      <c r="AP44" s="33">
        <v>0.0006105863243285992</v>
      </c>
      <c r="AQ44" s="33">
        <v>0.0004480028992979365</v>
      </c>
      <c r="AR44" s="33">
        <v>0.014675051207314714</v>
      </c>
      <c r="AS44" s="33">
        <v>0.0012316190219656869</v>
      </c>
      <c r="AT44" s="33">
        <v>0.00024377701997477808</v>
      </c>
      <c r="AU44" s="33">
        <v>0.0007048547115474442</v>
      </c>
      <c r="AV44" s="33">
        <v>0.00048726693013214837</v>
      </c>
      <c r="AW44" s="33">
        <v>0.0002834692072227633</v>
      </c>
      <c r="AX44" s="33">
        <v>0.0004748125234413436</v>
      </c>
      <c r="AY44" s="33">
        <v>0.0004869049824232038</v>
      </c>
      <c r="AZ44" s="33">
        <v>0.001039181026606957</v>
      </c>
      <c r="BA44" s="33">
        <v>0.00018070473691484334</v>
      </c>
      <c r="BB44" s="33">
        <v>0.0005904959822785662</v>
      </c>
      <c r="BC44" s="33">
        <v>0.0005365243390991726</v>
      </c>
      <c r="BD44" s="33">
        <v>0.0003799154877247226</v>
      </c>
      <c r="BE44" s="33">
        <v>0.0002639528062429978</v>
      </c>
      <c r="BF44" s="33">
        <v>0.00048180248882305124</v>
      </c>
      <c r="BG44" s="33">
        <v>0.00031898310265193394</v>
      </c>
      <c r="BH44" s="33">
        <v>0.0004867761946068867</v>
      </c>
      <c r="BI44" s="33">
        <v>0.00045657666551921297</v>
      </c>
      <c r="BJ44" s="33">
        <v>0.00041100443861981313</v>
      </c>
      <c r="BK44" s="33">
        <v>0.000589133191678455</v>
      </c>
      <c r="BL44" s="33">
        <v>0.00035135741115615584</v>
      </c>
      <c r="BM44" s="33">
        <v>0</v>
      </c>
      <c r="BN44" s="33">
        <v>0</v>
      </c>
    </row>
    <row r="45" spans="1:66" x14ac:dyDescent="0.25">
      <c r="A45" s="30" t="s">
        <v>346</v>
      </c>
      <c r="B45" s="31" t="s">
        <v>347</v>
      </c>
      <c r="C45" s="33">
        <v>0.0005528419148857917</v>
      </c>
      <c r="D45" s="33">
        <v>0.00042647084373905673</v>
      </c>
      <c r="E45" s="33">
        <v>0.0006437963117873474</v>
      </c>
      <c r="F45" s="33">
        <v>0.0003902394652387032</v>
      </c>
      <c r="G45" s="33">
        <v>0.0005754556337754527</v>
      </c>
      <c r="H45" s="33">
        <v>0.0006198539226610446</v>
      </c>
      <c r="I45" s="33">
        <v>0.0006113947000270773</v>
      </c>
      <c r="J45" s="33">
        <v>0.0006399420887153744</v>
      </c>
      <c r="K45" s="33">
        <v>0.0006286034548022944</v>
      </c>
      <c r="L45" s="33">
        <v>0.00030324663836714903</v>
      </c>
      <c r="M45" s="33">
        <v>0.000609080568690785</v>
      </c>
      <c r="N45" s="33">
        <v>0.0004894111353707003</v>
      </c>
      <c r="O45" s="33">
        <v>0.0004966598578840605</v>
      </c>
      <c r="P45" s="33">
        <v>0.0006264951750125571</v>
      </c>
      <c r="Q45" s="33">
        <v>0.00046004930140390083</v>
      </c>
      <c r="R45" s="33">
        <v>0.0004973262759773825</v>
      </c>
      <c r="S45" s="33">
        <v>0.00036126470852809023</v>
      </c>
      <c r="T45" s="33">
        <v>0.0004771050901593717</v>
      </c>
      <c r="U45" s="33">
        <v>0.0006335861818136353</v>
      </c>
      <c r="V45" s="33">
        <v>0.000520850901479877</v>
      </c>
      <c r="W45" s="33">
        <v>0.0010054632257548855</v>
      </c>
      <c r="X45" s="33">
        <v>0.0005953175193060009</v>
      </c>
      <c r="Y45" s="33">
        <v>0.0005171198967092178</v>
      </c>
      <c r="Z45" s="33">
        <v>0.00045031668151246417</v>
      </c>
      <c r="AA45" s="33">
        <v>0.0005580776448409833</v>
      </c>
      <c r="AB45" s="33">
        <v>0.0005309456952912385</v>
      </c>
      <c r="AC45" s="33">
        <v>0.0005381969022819096</v>
      </c>
      <c r="AD45" s="33">
        <v>0.0005532814785714948</v>
      </c>
      <c r="AE45" s="33">
        <v>0.0005825331684701146</v>
      </c>
      <c r="AF45" s="33">
        <v>0.0005477102190654164</v>
      </c>
      <c r="AG45" s="33">
        <v>0.0007744962602348137</v>
      </c>
      <c r="AH45" s="33">
        <v>0.0008305785516151099</v>
      </c>
      <c r="AI45" s="33">
        <v>0.000989755504826141</v>
      </c>
      <c r="AJ45" s="33">
        <v>0.0006092737875981931</v>
      </c>
      <c r="AK45" s="33">
        <v>0.0005672936435743675</v>
      </c>
      <c r="AL45" s="33">
        <v>0.0004990264993504991</v>
      </c>
      <c r="AM45" s="33">
        <v>0.000506344532124711</v>
      </c>
      <c r="AN45" s="33">
        <v>0.0005466552631768911</v>
      </c>
      <c r="AO45" s="33">
        <v>0.0010348307770971926</v>
      </c>
      <c r="AP45" s="33">
        <v>0.0006540719469005955</v>
      </c>
      <c r="AQ45" s="33">
        <v>0.00586745626623075</v>
      </c>
      <c r="AR45" s="33">
        <v>0.018918141262685855</v>
      </c>
      <c r="AS45" s="33">
        <v>0.023073648026783012</v>
      </c>
      <c r="AT45" s="33">
        <v>0.0004151087911433179</v>
      </c>
      <c r="AU45" s="33">
        <v>0.0007655988127440124</v>
      </c>
      <c r="AV45" s="33">
        <v>0.0005817079289360278</v>
      </c>
      <c r="AW45" s="33">
        <v>0.00032562584884825684</v>
      </c>
      <c r="AX45" s="33">
        <v>0.0005766996344053706</v>
      </c>
      <c r="AY45" s="33">
        <v>0.0005590930211083641</v>
      </c>
      <c r="AZ45" s="33">
        <v>0.0010157899838859174</v>
      </c>
      <c r="BA45" s="33">
        <v>0.0002839428074569434</v>
      </c>
      <c r="BB45" s="33">
        <v>0.0008060243381750968</v>
      </c>
      <c r="BC45" s="33">
        <v>0.0006215525264380878</v>
      </c>
      <c r="BD45" s="33">
        <v>0.00034612177252932075</v>
      </c>
      <c r="BE45" s="33">
        <v>0.00021914870533429104</v>
      </c>
      <c r="BF45" s="33">
        <v>0.00025939197676033666</v>
      </c>
      <c r="BG45" s="33">
        <v>0.0002714223440493199</v>
      </c>
      <c r="BH45" s="33">
        <v>0.00046868615010441133</v>
      </c>
      <c r="BI45" s="33">
        <v>0.0005255121363668364</v>
      </c>
      <c r="BJ45" s="33">
        <v>0.0005860734588257042</v>
      </c>
      <c r="BK45" s="33">
        <v>0.0007917488404915347</v>
      </c>
      <c r="BL45" s="33">
        <v>0.00042041050805485944</v>
      </c>
      <c r="BM45" s="33">
        <v>0</v>
      </c>
      <c r="BN45" s="33">
        <v>0</v>
      </c>
    </row>
    <row r="46" spans="1:66" x14ac:dyDescent="0.25">
      <c r="A46" s="30" t="s">
        <v>348</v>
      </c>
      <c r="B46" s="31" t="s">
        <v>349</v>
      </c>
      <c r="C46" s="33">
        <v>0.00025813328124468235</v>
      </c>
      <c r="D46" s="33">
        <v>0.0003776159480376835</v>
      </c>
      <c r="E46" s="33">
        <v>0.001246824482039186</v>
      </c>
      <c r="F46" s="33">
        <v>0.00035751893208549703</v>
      </c>
      <c r="G46" s="33">
        <v>0.00031412251925094293</v>
      </c>
      <c r="H46" s="33">
        <v>0.00034960961281376747</v>
      </c>
      <c r="I46" s="33">
        <v>0.0004536571292501875</v>
      </c>
      <c r="J46" s="33">
        <v>0.0004369813278893461</v>
      </c>
      <c r="K46" s="33">
        <v>0.0006017248232594138</v>
      </c>
      <c r="L46" s="33">
        <v>0.00020967541777089973</v>
      </c>
      <c r="M46" s="33">
        <v>0.0003734549002361597</v>
      </c>
      <c r="N46" s="33">
        <v>0.0003587676917601895</v>
      </c>
      <c r="O46" s="33">
        <v>0.00041040996681061164</v>
      </c>
      <c r="P46" s="33">
        <v>0.0003893375042257119</v>
      </c>
      <c r="Q46" s="33">
        <v>0.0003589818257646699</v>
      </c>
      <c r="R46" s="33">
        <v>0.0003344447000286663</v>
      </c>
      <c r="S46" s="33">
        <v>0.0003260434950424391</v>
      </c>
      <c r="T46" s="33">
        <v>0.00037109117135355584</v>
      </c>
      <c r="U46" s="33">
        <v>0.00030414467902296536</v>
      </c>
      <c r="V46" s="33">
        <v>0.00031618153368583523</v>
      </c>
      <c r="W46" s="33">
        <v>0.000380710973833948</v>
      </c>
      <c r="X46" s="33">
        <v>0.00037799062345225416</v>
      </c>
      <c r="Y46" s="33">
        <v>0.00036194079855285844</v>
      </c>
      <c r="Z46" s="33">
        <v>0.0002751240824882813</v>
      </c>
      <c r="AA46" s="33">
        <v>0.0005836394898071872</v>
      </c>
      <c r="AB46" s="33">
        <v>0.000383536658033286</v>
      </c>
      <c r="AC46" s="33">
        <v>0.0002949760123311533</v>
      </c>
      <c r="AD46" s="33">
        <v>0.00041182366731683126</v>
      </c>
      <c r="AE46" s="33">
        <v>0.00025516085673442173</v>
      </c>
      <c r="AF46" s="33">
        <v>0.00031062786526030726</v>
      </c>
      <c r="AG46" s="33">
        <v>0.00027180965667415806</v>
      </c>
      <c r="AH46" s="33">
        <v>0.000379521786055197</v>
      </c>
      <c r="AI46" s="33">
        <v>0.0005454304527244881</v>
      </c>
      <c r="AJ46" s="33">
        <v>0.00035206066049569</v>
      </c>
      <c r="AK46" s="33">
        <v>0.0003933179272179555</v>
      </c>
      <c r="AL46" s="33">
        <v>0.0003561759248246108</v>
      </c>
      <c r="AM46" s="33">
        <v>0.0003358520488565456</v>
      </c>
      <c r="AN46" s="33">
        <v>0.00042779784216038814</v>
      </c>
      <c r="AO46" s="33">
        <v>0.0005207519398180263</v>
      </c>
      <c r="AP46" s="33">
        <v>0.0002825993782118138</v>
      </c>
      <c r="AQ46" s="33">
        <v>0.00024537388146114714</v>
      </c>
      <c r="AR46" s="33">
        <v>0.0004685828705076428</v>
      </c>
      <c r="AS46" s="33">
        <v>0.0005755706266212653</v>
      </c>
      <c r="AT46" s="33">
        <v>0.000129158480608571</v>
      </c>
      <c r="AU46" s="33">
        <v>0.001569358628724356</v>
      </c>
      <c r="AV46" s="33">
        <v>0.00044236125426183706</v>
      </c>
      <c r="AW46" s="33">
        <v>0.00027815396528211504</v>
      </c>
      <c r="AX46" s="33">
        <v>0.0004942181533175273</v>
      </c>
      <c r="AY46" s="33">
        <v>0.0004620378955222329</v>
      </c>
      <c r="AZ46" s="33">
        <v>0.00031743433953039773</v>
      </c>
      <c r="BA46" s="33">
        <v>0.00029475487907149175</v>
      </c>
      <c r="BB46" s="33">
        <v>0.0005713818935886387</v>
      </c>
      <c r="BC46" s="33">
        <v>0.0003816229352886522</v>
      </c>
      <c r="BD46" s="33">
        <v>0.00021867660156103596</v>
      </c>
      <c r="BE46" s="33">
        <v>0.00010554877164561515</v>
      </c>
      <c r="BF46" s="33">
        <v>0.00019208303642420953</v>
      </c>
      <c r="BG46" s="33">
        <v>0.0002165023593561892</v>
      </c>
      <c r="BH46" s="33">
        <v>0.00030672836280047785</v>
      </c>
      <c r="BI46" s="33">
        <v>0.00038889182976608585</v>
      </c>
      <c r="BJ46" s="33">
        <v>0.00030657437851726424</v>
      </c>
      <c r="BK46" s="33">
        <v>0.0007573292419175001</v>
      </c>
      <c r="BL46" s="33">
        <v>0.0003969159168459857</v>
      </c>
      <c r="BM46" s="33">
        <v>0</v>
      </c>
      <c r="BN46" s="33">
        <v>0</v>
      </c>
    </row>
    <row r="47" spans="1:66" x14ac:dyDescent="0.25">
      <c r="A47" s="30" t="s">
        <v>350</v>
      </c>
      <c r="B47" s="31" t="s">
        <v>351</v>
      </c>
      <c r="C47" s="33">
        <v>0.0020516151132299</v>
      </c>
      <c r="D47" s="33">
        <v>0.0014061340736078408</v>
      </c>
      <c r="E47" s="33">
        <v>0.002001884191066857</v>
      </c>
      <c r="F47" s="33">
        <v>0.0022317923234893644</v>
      </c>
      <c r="G47" s="33">
        <v>0.0036768660453808007</v>
      </c>
      <c r="H47" s="33">
        <v>0.002797495685365333</v>
      </c>
      <c r="I47" s="33">
        <v>0.0025788287287716663</v>
      </c>
      <c r="J47" s="33">
        <v>0.0034106648322760765</v>
      </c>
      <c r="K47" s="33">
        <v>0.003171214114432232</v>
      </c>
      <c r="L47" s="33">
        <v>0.002117701309842049</v>
      </c>
      <c r="M47" s="33">
        <v>0.004691184399490006</v>
      </c>
      <c r="N47" s="33">
        <v>0.014165250254586682</v>
      </c>
      <c r="O47" s="33">
        <v>0.003403473460225086</v>
      </c>
      <c r="P47" s="33">
        <v>0.0034319977461543198</v>
      </c>
      <c r="Q47" s="33">
        <v>0.003326060071321067</v>
      </c>
      <c r="R47" s="33">
        <v>0.003006768861292513</v>
      </c>
      <c r="S47" s="33">
        <v>0.013012725028109752</v>
      </c>
      <c r="T47" s="33">
        <v>0.004008267810543338</v>
      </c>
      <c r="U47" s="33">
        <v>0.0037195842974937043</v>
      </c>
      <c r="V47" s="33">
        <v>0.003951057641710062</v>
      </c>
      <c r="W47" s="33">
        <v>0.0036516775695794256</v>
      </c>
      <c r="X47" s="33">
        <v>0.0035553340104066975</v>
      </c>
      <c r="Y47" s="33">
        <v>0.0031152343140621146</v>
      </c>
      <c r="Z47" s="33">
        <v>0.002459515763404933</v>
      </c>
      <c r="AA47" s="33">
        <v>0.0024325193174906997</v>
      </c>
      <c r="AB47" s="33">
        <v>0.003294573657726413</v>
      </c>
      <c r="AC47" s="33">
        <v>0.0028700847252643375</v>
      </c>
      <c r="AD47" s="33">
        <v>0.003298455103363296</v>
      </c>
      <c r="AE47" s="33">
        <v>0.004014694711425156</v>
      </c>
      <c r="AF47" s="33">
        <v>0.0029153095666376986</v>
      </c>
      <c r="AG47" s="33">
        <v>0.0026637509704346214</v>
      </c>
      <c r="AH47" s="33">
        <v>0.0036440963404965583</v>
      </c>
      <c r="AI47" s="33">
        <v>0.004098093259783548</v>
      </c>
      <c r="AJ47" s="33">
        <v>0.0036132466817342134</v>
      </c>
      <c r="AK47" s="33">
        <v>0.0041698993629159554</v>
      </c>
      <c r="AL47" s="33">
        <v>0.00272465891162451</v>
      </c>
      <c r="AM47" s="33">
        <v>0.015401120257503106</v>
      </c>
      <c r="AN47" s="33">
        <v>0.004829415120011871</v>
      </c>
      <c r="AO47" s="33">
        <v>0.0053214322160687515</v>
      </c>
      <c r="AP47" s="33">
        <v>0.012450648582940352</v>
      </c>
      <c r="AQ47" s="33">
        <v>0.004800171169974304</v>
      </c>
      <c r="AR47" s="33">
        <v>0.008244554355146818</v>
      </c>
      <c r="AS47" s="33">
        <v>0.0077242296293514616</v>
      </c>
      <c r="AT47" s="33">
        <v>0.001400523656667022</v>
      </c>
      <c r="AU47" s="33">
        <v>0.014847180480474367</v>
      </c>
      <c r="AV47" s="33">
        <v>0.006939404649676889</v>
      </c>
      <c r="AW47" s="33">
        <v>0.0034629701465138884</v>
      </c>
      <c r="AX47" s="33">
        <v>0.0052309972040391235</v>
      </c>
      <c r="AY47" s="33">
        <v>0.004814558848266786</v>
      </c>
      <c r="AZ47" s="33">
        <v>0.004173130332650914</v>
      </c>
      <c r="BA47" s="33">
        <v>0.003401915101488833</v>
      </c>
      <c r="BB47" s="33">
        <v>0.014398340822017871</v>
      </c>
      <c r="BC47" s="33">
        <v>0.005747754771607706</v>
      </c>
      <c r="BD47" s="33">
        <v>0.0017390264186595492</v>
      </c>
      <c r="BE47" s="33">
        <v>0.0011480254621590992</v>
      </c>
      <c r="BF47" s="33">
        <v>0.0020868951079863075</v>
      </c>
      <c r="BG47" s="33">
        <v>0.001699310990966346</v>
      </c>
      <c r="BH47" s="33">
        <v>0.005844263216988756</v>
      </c>
      <c r="BI47" s="33">
        <v>0.0030553409883013333</v>
      </c>
      <c r="BJ47" s="33">
        <v>0.0031113469615771977</v>
      </c>
      <c r="BK47" s="33">
        <v>0.002753183575941048</v>
      </c>
      <c r="BL47" s="33">
        <v>0.0021477173147853965</v>
      </c>
      <c r="BM47" s="33">
        <v>0</v>
      </c>
      <c r="BN47" s="33">
        <v>0</v>
      </c>
    </row>
    <row r="48" spans="1:66" x14ac:dyDescent="0.25">
      <c r="A48" s="30" t="s">
        <v>353</v>
      </c>
      <c r="B48" s="31" t="s">
        <v>354</v>
      </c>
      <c r="C48" s="33">
        <v>0.00019504403569918193</v>
      </c>
      <c r="D48" s="33">
        <v>0.00012656527954265915</v>
      </c>
      <c r="E48" s="33">
        <v>0.00017339952823188724</v>
      </c>
      <c r="F48" s="33">
        <v>0.0003325041014531431</v>
      </c>
      <c r="G48" s="33">
        <v>0.00027669054855930357</v>
      </c>
      <c r="H48" s="33">
        <v>0.0002056510910589974</v>
      </c>
      <c r="I48" s="33">
        <v>0.00025751891932059045</v>
      </c>
      <c r="J48" s="33">
        <v>0.00030444425549724675</v>
      </c>
      <c r="K48" s="33">
        <v>0.00023670071898857604</v>
      </c>
      <c r="L48" s="33">
        <v>0.0003743159520213945</v>
      </c>
      <c r="M48" s="33">
        <v>0.00046161300361490274</v>
      </c>
      <c r="N48" s="33">
        <v>0.0005739919279129672</v>
      </c>
      <c r="O48" s="33">
        <v>0.00038414329268768955</v>
      </c>
      <c r="P48" s="33">
        <v>0.0003944037922872665</v>
      </c>
      <c r="Q48" s="33">
        <v>0.0003687570043519187</v>
      </c>
      <c r="R48" s="33">
        <v>0.0004371814410256845</v>
      </c>
      <c r="S48" s="33">
        <v>0.0005052266681121358</v>
      </c>
      <c r="T48" s="33">
        <v>0.0004651344528542703</v>
      </c>
      <c r="U48" s="33">
        <v>0.0004387428242575776</v>
      </c>
      <c r="V48" s="33">
        <v>0.0004110798920796287</v>
      </c>
      <c r="W48" s="33">
        <v>0.0006533501489871211</v>
      </c>
      <c r="X48" s="33">
        <v>0.0002730929251760967</v>
      </c>
      <c r="Y48" s="33">
        <v>0.0004565666353451358</v>
      </c>
      <c r="Z48" s="33">
        <v>0.00037308722109411857</v>
      </c>
      <c r="AA48" s="33">
        <v>0.0004034790701156126</v>
      </c>
      <c r="AB48" s="33">
        <v>0.0006399919081718373</v>
      </c>
      <c r="AC48" s="33">
        <v>0.0009295097882755728</v>
      </c>
      <c r="AD48" s="33">
        <v>0.0002040946640635764</v>
      </c>
      <c r="AE48" s="33">
        <v>0.00022023442705615339</v>
      </c>
      <c r="AF48" s="33">
        <v>0.00016781667050161245</v>
      </c>
      <c r="AG48" s="33">
        <v>0.0002749781114855178</v>
      </c>
      <c r="AH48" s="33">
        <v>0.00036942389330318995</v>
      </c>
      <c r="AI48" s="33">
        <v>0.0003771780722920315</v>
      </c>
      <c r="AJ48" s="33">
        <v>0.00034184530297526897</v>
      </c>
      <c r="AK48" s="33">
        <v>0.00023201021946574557</v>
      </c>
      <c r="AL48" s="33">
        <v>0.0001989612843683313</v>
      </c>
      <c r="AM48" s="33">
        <v>0.00027904770982154777</v>
      </c>
      <c r="AN48" s="33">
        <v>0.00024946969692013797</v>
      </c>
      <c r="AO48" s="33">
        <v>0.00038147031297164856</v>
      </c>
      <c r="AP48" s="33">
        <v>0.0006279807255840041</v>
      </c>
      <c r="AQ48" s="33">
        <v>0.00015514874693553968</v>
      </c>
      <c r="AR48" s="33">
        <v>0.00022911947407817368</v>
      </c>
      <c r="AS48" s="33">
        <v>0.000299721874349353</v>
      </c>
      <c r="AT48" s="33">
        <v>0.00013371934083203927</v>
      </c>
      <c r="AU48" s="33">
        <v>0.0004059723446130898</v>
      </c>
      <c r="AV48" s="33">
        <v>0.00203155607087216</v>
      </c>
      <c r="AW48" s="33">
        <v>0.0004277239773475751</v>
      </c>
      <c r="AX48" s="33">
        <v>0.0003826766137011412</v>
      </c>
      <c r="AY48" s="33">
        <v>0.0005210607493205052</v>
      </c>
      <c r="AZ48" s="33">
        <v>0.0003710546724264719</v>
      </c>
      <c r="BA48" s="33">
        <v>0.00020529011868426829</v>
      </c>
      <c r="BB48" s="33">
        <v>0.0003003203611741829</v>
      </c>
      <c r="BC48" s="33">
        <v>0.0003517002242222888</v>
      </c>
      <c r="BD48" s="33">
        <v>0.00023813719821264793</v>
      </c>
      <c r="BE48" s="33">
        <v>0.00009344165583657612</v>
      </c>
      <c r="BF48" s="33">
        <v>0.00013460715069453917</v>
      </c>
      <c r="BG48" s="33">
        <v>0.00010383494205911245</v>
      </c>
      <c r="BH48" s="33">
        <v>0.00025921847266629735</v>
      </c>
      <c r="BI48" s="33">
        <v>0.00020789014662867168</v>
      </c>
      <c r="BJ48" s="33">
        <v>0.00019019631266151902</v>
      </c>
      <c r="BK48" s="33">
        <v>0.0001899879946347063</v>
      </c>
      <c r="BL48" s="33">
        <v>0.0001655617285138848</v>
      </c>
      <c r="BM48" s="33">
        <v>0</v>
      </c>
      <c r="BN48" s="33">
        <v>0</v>
      </c>
    </row>
    <row r="49" spans="1:66" x14ac:dyDescent="0.25">
      <c r="A49" s="30" t="s">
        <v>355</v>
      </c>
      <c r="B49" s="31" t="s">
        <v>356</v>
      </c>
      <c r="C49" s="33">
        <v>0.00009558629300966421</v>
      </c>
      <c r="D49" s="33">
        <v>0.00005081418242352708</v>
      </c>
      <c r="E49" s="33">
        <v>0.00008796706507831049</v>
      </c>
      <c r="F49" s="33">
        <v>0.00006604281928071361</v>
      </c>
      <c r="G49" s="33">
        <v>0.00015940505288865634</v>
      </c>
      <c r="H49" s="33">
        <v>0.00012720506711560767</v>
      </c>
      <c r="I49" s="33">
        <v>0.00010011872036107372</v>
      </c>
      <c r="J49" s="33">
        <v>0.00012751854847920603</v>
      </c>
      <c r="K49" s="33">
        <v>0.00011592597091969032</v>
      </c>
      <c r="L49" s="33">
        <v>0.00008512996627287419</v>
      </c>
      <c r="M49" s="33">
        <v>0.00021330746471214125</v>
      </c>
      <c r="N49" s="33">
        <v>0.001393156231686318</v>
      </c>
      <c r="O49" s="33">
        <v>0.00017337259589987096</v>
      </c>
      <c r="P49" s="33">
        <v>0.00013018193524994194</v>
      </c>
      <c r="Q49" s="33">
        <v>0.00010709586749001959</v>
      </c>
      <c r="R49" s="33">
        <v>0.00011103622773844883</v>
      </c>
      <c r="S49" s="33">
        <v>0.0006216260904160321</v>
      </c>
      <c r="T49" s="33">
        <v>0.00018775906589877002</v>
      </c>
      <c r="U49" s="33">
        <v>0.00015449330103194973</v>
      </c>
      <c r="V49" s="33">
        <v>0.00041640557964844503</v>
      </c>
      <c r="W49" s="33">
        <v>0.00016495572402337917</v>
      </c>
      <c r="X49" s="33">
        <v>0.0001437832957523956</v>
      </c>
      <c r="Y49" s="33">
        <v>0.0001314030593811271</v>
      </c>
      <c r="Z49" s="33">
        <v>0.00009004711009367562</v>
      </c>
      <c r="AA49" s="33">
        <v>0.00009173551769732274</v>
      </c>
      <c r="AB49" s="33">
        <v>0.00011291255211563986</v>
      </c>
      <c r="AC49" s="33">
        <v>0.00010698306421785074</v>
      </c>
      <c r="AD49" s="33">
        <v>0.000107374790990378</v>
      </c>
      <c r="AE49" s="33">
        <v>0.00014622554459074068</v>
      </c>
      <c r="AF49" s="33">
        <v>0.00008631361497216842</v>
      </c>
      <c r="AG49" s="33">
        <v>0.00008506316033154461</v>
      </c>
      <c r="AH49" s="33">
        <v>0.00009683771411257049</v>
      </c>
      <c r="AI49" s="33">
        <v>0.00017556563246535093</v>
      </c>
      <c r="AJ49" s="33">
        <v>0.00009210532401496597</v>
      </c>
      <c r="AK49" s="33">
        <v>0.00009930843564612786</v>
      </c>
      <c r="AL49" s="33">
        <v>0.00008744355246902995</v>
      </c>
      <c r="AM49" s="33">
        <v>0.0003613296484189051</v>
      </c>
      <c r="AN49" s="33">
        <v>0.00014742777845270618</v>
      </c>
      <c r="AO49" s="33">
        <v>0.0001403392359366863</v>
      </c>
      <c r="AP49" s="33">
        <v>0.0003082038291880201</v>
      </c>
      <c r="AQ49" s="33">
        <v>0.00009851892875497035</v>
      </c>
      <c r="AR49" s="33">
        <v>0.00010563853481202132</v>
      </c>
      <c r="AS49" s="33">
        <v>0.0001345894457154617</v>
      </c>
      <c r="AT49" s="33">
        <v>0.00003022574347446982</v>
      </c>
      <c r="AU49" s="33">
        <v>0.00044017603182117007</v>
      </c>
      <c r="AV49" s="33">
        <v>0.00016797071584869985</v>
      </c>
      <c r="AW49" s="33">
        <v>0.00424926595834263</v>
      </c>
      <c r="AX49" s="33">
        <v>0.00018445482577120044</v>
      </c>
      <c r="AY49" s="33">
        <v>0.0001490605110415864</v>
      </c>
      <c r="AZ49" s="33">
        <v>0.00015347357092208513</v>
      </c>
      <c r="BA49" s="33">
        <v>0.00005607833308042624</v>
      </c>
      <c r="BB49" s="33">
        <v>0.00017476864738386833</v>
      </c>
      <c r="BC49" s="33">
        <v>0.00012612556204144094</v>
      </c>
      <c r="BD49" s="33">
        <v>0.0000678195944917412</v>
      </c>
      <c r="BE49" s="33">
        <v>0.000059810258811373705</v>
      </c>
      <c r="BF49" s="33">
        <v>0.0001226347422948188</v>
      </c>
      <c r="BG49" s="33">
        <v>0.000059001184934932324</v>
      </c>
      <c r="BH49" s="33">
        <v>0.00014783843542189834</v>
      </c>
      <c r="BI49" s="33">
        <v>0.00008787305741026471</v>
      </c>
      <c r="BJ49" s="33">
        <v>0.00009570324233018191</v>
      </c>
      <c r="BK49" s="33">
        <v>0.00009730551500925866</v>
      </c>
      <c r="BL49" s="33">
        <v>0.00006386675766526422</v>
      </c>
      <c r="BM49" s="33">
        <v>0</v>
      </c>
      <c r="BN49" s="33">
        <v>0</v>
      </c>
    </row>
    <row r="50" spans="1:66" x14ac:dyDescent="0.25">
      <c r="A50" s="30" t="s">
        <v>357</v>
      </c>
      <c r="B50" s="31" t="s">
        <v>358</v>
      </c>
      <c r="C50" s="33">
        <v>0.00020090490019475916</v>
      </c>
      <c r="D50" s="33">
        <v>0.00010109577503449975</v>
      </c>
      <c r="E50" s="33">
        <v>0.00016012597616423555</v>
      </c>
      <c r="F50" s="33">
        <v>0.00013070571613938632</v>
      </c>
      <c r="G50" s="33">
        <v>0.0007252592852156677</v>
      </c>
      <c r="H50" s="33">
        <v>0.00029445871307849506</v>
      </c>
      <c r="I50" s="33">
        <v>0.00018793635644274106</v>
      </c>
      <c r="J50" s="33">
        <v>0.0002778610085876772</v>
      </c>
      <c r="K50" s="33">
        <v>0.00023036350663701338</v>
      </c>
      <c r="L50" s="33">
        <v>0.00018741057177587594</v>
      </c>
      <c r="M50" s="33">
        <v>0.0004987857755934234</v>
      </c>
      <c r="N50" s="33">
        <v>0.0020871671336970344</v>
      </c>
      <c r="O50" s="33">
        <v>0.00030322674809847935</v>
      </c>
      <c r="P50" s="33">
        <v>0.0002707945703491671</v>
      </c>
      <c r="Q50" s="33">
        <v>0.00017677432222892666</v>
      </c>
      <c r="R50" s="33">
        <v>0.00020239491773408371</v>
      </c>
      <c r="S50" s="33">
        <v>0.00036093092295791694</v>
      </c>
      <c r="T50" s="33">
        <v>0.0002575837454683046</v>
      </c>
      <c r="U50" s="33">
        <v>0.0002104979579582634</v>
      </c>
      <c r="V50" s="33">
        <v>0.0003154901531061926</v>
      </c>
      <c r="W50" s="33">
        <v>0.00020031893367650075</v>
      </c>
      <c r="X50" s="33">
        <v>0.0004387407313852068</v>
      </c>
      <c r="Y50" s="33">
        <v>0.00018579074536263958</v>
      </c>
      <c r="Z50" s="33">
        <v>0.0001497272725263579</v>
      </c>
      <c r="AA50" s="33">
        <v>0.00016208513729922737</v>
      </c>
      <c r="AB50" s="33">
        <v>0.00018812640482574188</v>
      </c>
      <c r="AC50" s="33">
        <v>0.00017530942710863498</v>
      </c>
      <c r="AD50" s="33">
        <v>0.00045531686815614326</v>
      </c>
      <c r="AE50" s="33">
        <v>0.00036253658226291936</v>
      </c>
      <c r="AF50" s="33">
        <v>0.0004296500678657559</v>
      </c>
      <c r="AG50" s="33">
        <v>0.0001758340456416083</v>
      </c>
      <c r="AH50" s="33">
        <v>0.00015104975371922237</v>
      </c>
      <c r="AI50" s="33">
        <v>0.0003574328601793028</v>
      </c>
      <c r="AJ50" s="33">
        <v>0.00018221215663444503</v>
      </c>
      <c r="AK50" s="33">
        <v>0.0002603874632496584</v>
      </c>
      <c r="AL50" s="33">
        <v>0.0002745961286690282</v>
      </c>
      <c r="AM50" s="33">
        <v>0.0005733283768073581</v>
      </c>
      <c r="AN50" s="33">
        <v>0.0005657663685311641</v>
      </c>
      <c r="AO50" s="33">
        <v>0.00041661706088832974</v>
      </c>
      <c r="AP50" s="33">
        <v>0.0009360150083792883</v>
      </c>
      <c r="AQ50" s="33">
        <v>0.0001993558423089531</v>
      </c>
      <c r="AR50" s="33">
        <v>0.00041176312973077495</v>
      </c>
      <c r="AS50" s="33">
        <v>0.00038291788016628104</v>
      </c>
      <c r="AT50" s="33">
        <v>0.00005433090864960532</v>
      </c>
      <c r="AU50" s="33">
        <v>0.0005261427249502153</v>
      </c>
      <c r="AV50" s="33">
        <v>0.00020332554861177154</v>
      </c>
      <c r="AW50" s="33">
        <v>0.00016601311098212056</v>
      </c>
      <c r="AX50" s="33">
        <v>0.002943332553863966</v>
      </c>
      <c r="AY50" s="33">
        <v>0.00028236127513325604</v>
      </c>
      <c r="AZ50" s="33">
        <v>0.0002795427995025405</v>
      </c>
      <c r="BA50" s="33">
        <v>0.00018074008186310696</v>
      </c>
      <c r="BB50" s="33">
        <v>0.0033787927661141294</v>
      </c>
      <c r="BC50" s="33">
        <v>0.00022418177190667896</v>
      </c>
      <c r="BD50" s="33">
        <v>0.0001225062929726613</v>
      </c>
      <c r="BE50" s="33">
        <v>0.00007360542776523858</v>
      </c>
      <c r="BF50" s="33">
        <v>0.00017178918639018377</v>
      </c>
      <c r="BG50" s="33">
        <v>0.00011229851564683595</v>
      </c>
      <c r="BH50" s="33">
        <v>0.0005138170873883614</v>
      </c>
      <c r="BI50" s="33">
        <v>0.00032238468414894273</v>
      </c>
      <c r="BJ50" s="33">
        <v>0.00021306494470699634</v>
      </c>
      <c r="BK50" s="33">
        <v>0.00019201582195519282</v>
      </c>
      <c r="BL50" s="33">
        <v>0.00013930535605254386</v>
      </c>
      <c r="BM50" s="33">
        <v>0</v>
      </c>
      <c r="BN50" s="33">
        <v>0</v>
      </c>
    </row>
    <row r="51" spans="1:66" x14ac:dyDescent="0.25">
      <c r="A51" s="30" t="s">
        <v>359</v>
      </c>
      <c r="B51" s="31" t="s">
        <v>360</v>
      </c>
      <c r="C51" s="33">
        <v>0.000804432950868003</v>
      </c>
      <c r="D51" s="33">
        <v>0.0003501954800034742</v>
      </c>
      <c r="E51" s="33">
        <v>0.0005202145813409522</v>
      </c>
      <c r="F51" s="33">
        <v>0.0005812588796996808</v>
      </c>
      <c r="G51" s="33">
        <v>0.0010210234198162074</v>
      </c>
      <c r="H51" s="33">
        <v>0.000906073014412588</v>
      </c>
      <c r="I51" s="33">
        <v>0.000623827017215197</v>
      </c>
      <c r="J51" s="33">
        <v>0.0009324454587247991</v>
      </c>
      <c r="K51" s="33">
        <v>0.0011805880585969689</v>
      </c>
      <c r="L51" s="33">
        <v>0.0004925011045199637</v>
      </c>
      <c r="M51" s="33">
        <v>0.001197689061839807</v>
      </c>
      <c r="N51" s="33">
        <v>0.0019453078714360438</v>
      </c>
      <c r="O51" s="33">
        <v>0.0009109462301870602</v>
      </c>
      <c r="P51" s="33">
        <v>0.0008060838396536106</v>
      </c>
      <c r="Q51" s="33">
        <v>0.0008238149008455664</v>
      </c>
      <c r="R51" s="33">
        <v>0.0007801308690723288</v>
      </c>
      <c r="S51" s="33">
        <v>0.0008497525001352774</v>
      </c>
      <c r="T51" s="33">
        <v>0.001180751761883546</v>
      </c>
      <c r="U51" s="33">
        <v>0.0009516865724905775</v>
      </c>
      <c r="V51" s="33">
        <v>0.0011390087665329614</v>
      </c>
      <c r="W51" s="33">
        <v>0.000797954908063984</v>
      </c>
      <c r="X51" s="33">
        <v>0.000868219856653175</v>
      </c>
      <c r="Y51" s="33">
        <v>0.0008563863957312416</v>
      </c>
      <c r="Z51" s="33">
        <v>0.0006746991104453324</v>
      </c>
      <c r="AA51" s="33">
        <v>0.0007138206036666824</v>
      </c>
      <c r="AB51" s="33">
        <v>0.0011385289786394145</v>
      </c>
      <c r="AC51" s="33">
        <v>0.0007832066229651572</v>
      </c>
      <c r="AD51" s="33">
        <v>0.0010162800473382076</v>
      </c>
      <c r="AE51" s="33">
        <v>0.0011735320352957133</v>
      </c>
      <c r="AF51" s="33">
        <v>0.0008203011253080715</v>
      </c>
      <c r="AG51" s="33">
        <v>0.0007818706316167804</v>
      </c>
      <c r="AH51" s="33">
        <v>0.0006650430192138913</v>
      </c>
      <c r="AI51" s="33">
        <v>0.004895479938105662</v>
      </c>
      <c r="AJ51" s="33">
        <v>0.0008040354417659211</v>
      </c>
      <c r="AK51" s="33">
        <v>0.0011219247108542165</v>
      </c>
      <c r="AL51" s="33">
        <v>0.0008291077121878555</v>
      </c>
      <c r="AM51" s="33">
        <v>0.00228619677348036</v>
      </c>
      <c r="AN51" s="33">
        <v>0.0019742428117326244</v>
      </c>
      <c r="AO51" s="33">
        <v>0.001957832005926721</v>
      </c>
      <c r="AP51" s="33">
        <v>0.002168271308653262</v>
      </c>
      <c r="AQ51" s="33">
        <v>0.0010297276193028586</v>
      </c>
      <c r="AR51" s="33">
        <v>0.0021192857920801613</v>
      </c>
      <c r="AS51" s="33">
        <v>0.002187005362540113</v>
      </c>
      <c r="AT51" s="33">
        <v>0.00032062737724723533</v>
      </c>
      <c r="AU51" s="33">
        <v>0.0023594488781949878</v>
      </c>
      <c r="AV51" s="33">
        <v>0.0014992543829835051</v>
      </c>
      <c r="AW51" s="33">
        <v>0.0011681926685807092</v>
      </c>
      <c r="AX51" s="33">
        <v>0.004062462064071296</v>
      </c>
      <c r="AY51" s="33">
        <v>0.005642653873027253</v>
      </c>
      <c r="AZ51" s="33">
        <v>0.0012221596642892694</v>
      </c>
      <c r="BA51" s="33">
        <v>0.0007884980488045187</v>
      </c>
      <c r="BB51" s="33">
        <v>0.0019957710062500256</v>
      </c>
      <c r="BC51" s="33">
        <v>0.0020200830154186626</v>
      </c>
      <c r="BD51" s="33">
        <v>0.0007603003182217918</v>
      </c>
      <c r="BE51" s="33">
        <v>0.0004356526070036707</v>
      </c>
      <c r="BF51" s="33">
        <v>0.0006147743334636454</v>
      </c>
      <c r="BG51" s="33">
        <v>0.0005710865524096631</v>
      </c>
      <c r="BH51" s="33">
        <v>0.0011720441618187855</v>
      </c>
      <c r="BI51" s="33">
        <v>0.0011244778950068302</v>
      </c>
      <c r="BJ51" s="33">
        <v>0.0015348178704840158</v>
      </c>
      <c r="BK51" s="33">
        <v>0.0008132248040980119</v>
      </c>
      <c r="BL51" s="33">
        <v>0.0009069084465754406</v>
      </c>
      <c r="BM51" s="33">
        <v>0</v>
      </c>
      <c r="BN51" s="33">
        <v>0</v>
      </c>
    </row>
    <row r="52" spans="1:66" x14ac:dyDescent="0.25">
      <c r="A52" s="30" t="s">
        <v>361</v>
      </c>
      <c r="B52" s="31" t="s">
        <v>362</v>
      </c>
      <c r="C52" s="33">
        <v>0.00033865241416497884</v>
      </c>
      <c r="D52" s="33">
        <v>0.0001964032717027274</v>
      </c>
      <c r="E52" s="33">
        <v>0.00035345378476647754</v>
      </c>
      <c r="F52" s="33">
        <v>0.00031528322685133977</v>
      </c>
      <c r="G52" s="33">
        <v>0.0004975748245277536</v>
      </c>
      <c r="H52" s="33">
        <v>0.0005904584074203075</v>
      </c>
      <c r="I52" s="33">
        <v>0.00035124430829478723</v>
      </c>
      <c r="J52" s="33">
        <v>0.00043348204116004587</v>
      </c>
      <c r="K52" s="33">
        <v>0.0004714730084608747</v>
      </c>
      <c r="L52" s="33">
        <v>0.0002579091598002428</v>
      </c>
      <c r="M52" s="33">
        <v>0.0010350660583476068</v>
      </c>
      <c r="N52" s="33">
        <v>0.001980672385332096</v>
      </c>
      <c r="O52" s="33">
        <v>0.0005687992994892837</v>
      </c>
      <c r="P52" s="33">
        <v>0.0005171335148873383</v>
      </c>
      <c r="Q52" s="33">
        <v>0.0004211551775102399</v>
      </c>
      <c r="R52" s="33">
        <v>0.00042513813446731026</v>
      </c>
      <c r="S52" s="33">
        <v>0.000778913024602015</v>
      </c>
      <c r="T52" s="33">
        <v>0.0006326877314965963</v>
      </c>
      <c r="U52" s="33">
        <v>0.0005673747154501174</v>
      </c>
      <c r="V52" s="33">
        <v>0.0006132711761780196</v>
      </c>
      <c r="W52" s="33">
        <v>0.0005792009669924692</v>
      </c>
      <c r="X52" s="33">
        <v>0.0005344354200828106</v>
      </c>
      <c r="Y52" s="33">
        <v>0.00040733105073416896</v>
      </c>
      <c r="Z52" s="33">
        <v>0.0003282721133322886</v>
      </c>
      <c r="AA52" s="33">
        <v>0.00047729068932304873</v>
      </c>
      <c r="AB52" s="33">
        <v>0.000629066425398902</v>
      </c>
      <c r="AC52" s="33">
        <v>0.0004808724914028197</v>
      </c>
      <c r="AD52" s="33">
        <v>0.0004434048577003009</v>
      </c>
      <c r="AE52" s="33">
        <v>0.0005349908734871474</v>
      </c>
      <c r="AF52" s="33">
        <v>0.0004310626065691538</v>
      </c>
      <c r="AG52" s="33">
        <v>0.0006033512934314089</v>
      </c>
      <c r="AH52" s="33">
        <v>0.0009224074270240163</v>
      </c>
      <c r="AI52" s="33">
        <v>0.001696952683512769</v>
      </c>
      <c r="AJ52" s="33">
        <v>0.0006762232824231308</v>
      </c>
      <c r="AK52" s="33">
        <v>0.00046959596919685695</v>
      </c>
      <c r="AL52" s="33">
        <v>0.00040770753845930025</v>
      </c>
      <c r="AM52" s="33">
        <v>0.0005878978616305193</v>
      </c>
      <c r="AN52" s="33">
        <v>0.0032473701501834038</v>
      </c>
      <c r="AO52" s="33">
        <v>0.0008848305871044591</v>
      </c>
      <c r="AP52" s="33">
        <v>0.002801747840433559</v>
      </c>
      <c r="AQ52" s="33">
        <v>0.0002880918477343844</v>
      </c>
      <c r="AR52" s="33">
        <v>0.0004068360486875737</v>
      </c>
      <c r="AS52" s="33">
        <v>0.00045757135944933487</v>
      </c>
      <c r="AT52" s="33">
        <v>0.00009823018488826294</v>
      </c>
      <c r="AU52" s="33">
        <v>0.0007228630487906623</v>
      </c>
      <c r="AV52" s="33">
        <v>0.0005192223843790034</v>
      </c>
      <c r="AW52" s="33">
        <v>0.0005219401895534633</v>
      </c>
      <c r="AX52" s="33">
        <v>0.0008819690204317502</v>
      </c>
      <c r="AY52" s="33">
        <v>0.0005907853831656603</v>
      </c>
      <c r="AZ52" s="33">
        <v>0.0021723650305035796</v>
      </c>
      <c r="BA52" s="33">
        <v>0.00017666413990211297</v>
      </c>
      <c r="BB52" s="33">
        <v>0.0006902894475080157</v>
      </c>
      <c r="BC52" s="33">
        <v>0.0006372432057152088</v>
      </c>
      <c r="BD52" s="33">
        <v>0.00024700085203429857</v>
      </c>
      <c r="BE52" s="33">
        <v>0.00017220314455824347</v>
      </c>
      <c r="BF52" s="33">
        <v>0.00027290401604911655</v>
      </c>
      <c r="BG52" s="33">
        <v>0.00022193634669838595</v>
      </c>
      <c r="BH52" s="33">
        <v>0.0005867896445697681</v>
      </c>
      <c r="BI52" s="33">
        <v>0.0004884114256996756</v>
      </c>
      <c r="BJ52" s="33">
        <v>0.00029697450866869216</v>
      </c>
      <c r="BK52" s="33">
        <v>0.00036198074459968586</v>
      </c>
      <c r="BL52" s="33">
        <v>0.00042345496886700136</v>
      </c>
      <c r="BM52" s="33">
        <v>0</v>
      </c>
      <c r="BN52" s="33">
        <v>0</v>
      </c>
    </row>
    <row r="53" spans="1:66" x14ac:dyDescent="0.25">
      <c r="A53" s="30" t="s">
        <v>364</v>
      </c>
      <c r="B53" s="31" t="s">
        <v>365</v>
      </c>
      <c r="C53" s="33">
        <v>0.0013564738069100747</v>
      </c>
      <c r="D53" s="33">
        <v>0.0009329897183447124</v>
      </c>
      <c r="E53" s="33">
        <v>0.002751719791977828</v>
      </c>
      <c r="F53" s="33">
        <v>0.0008701456076989904</v>
      </c>
      <c r="G53" s="33">
        <v>0.0011959963368046356</v>
      </c>
      <c r="H53" s="33">
        <v>0.0011488543562665132</v>
      </c>
      <c r="I53" s="33">
        <v>0.0011554876847276463</v>
      </c>
      <c r="J53" s="33">
        <v>0.0012279658446616305</v>
      </c>
      <c r="K53" s="33">
        <v>0.0017451432724921575</v>
      </c>
      <c r="L53" s="33">
        <v>0.000431757137695784</v>
      </c>
      <c r="M53" s="33">
        <v>0.0009492948387540154</v>
      </c>
      <c r="N53" s="33">
        <v>0.0008576365086398365</v>
      </c>
      <c r="O53" s="33">
        <v>0.0012341367104019038</v>
      </c>
      <c r="P53" s="33">
        <v>0.001065569255467976</v>
      </c>
      <c r="Q53" s="33">
        <v>0.0009681857045569659</v>
      </c>
      <c r="R53" s="33">
        <v>0.00121423724532845</v>
      </c>
      <c r="S53" s="33">
        <v>0.0008313537719308412</v>
      </c>
      <c r="T53" s="33">
        <v>0.0010980967247979684</v>
      </c>
      <c r="U53" s="33">
        <v>0.0010777128094027774</v>
      </c>
      <c r="V53" s="33">
        <v>0.0009375425886388628</v>
      </c>
      <c r="W53" s="33">
        <v>0.001314820255089789</v>
      </c>
      <c r="X53" s="33">
        <v>0.0010446144904006779</v>
      </c>
      <c r="Y53" s="33">
        <v>0.0011479109913166779</v>
      </c>
      <c r="Z53" s="33">
        <v>0.00046700857817250107</v>
      </c>
      <c r="AA53" s="33">
        <v>0.0010195971389200004</v>
      </c>
      <c r="AB53" s="33">
        <v>0.0009967206833253717</v>
      </c>
      <c r="AC53" s="33">
        <v>0.0006334546151245152</v>
      </c>
      <c r="AD53" s="33">
        <v>0.0006502487490259558</v>
      </c>
      <c r="AE53" s="33">
        <v>0.0005812918713184098</v>
      </c>
      <c r="AF53" s="33">
        <v>0.0004604137055618389</v>
      </c>
      <c r="AG53" s="33">
        <v>0.0006707162277463591</v>
      </c>
      <c r="AH53" s="33">
        <v>0.0008545686857512571</v>
      </c>
      <c r="AI53" s="33">
        <v>0.0013610720656214656</v>
      </c>
      <c r="AJ53" s="33">
        <v>0.0012728780684246937</v>
      </c>
      <c r="AK53" s="33">
        <v>0.001570847815864592</v>
      </c>
      <c r="AL53" s="33">
        <v>0.0006765845040219598</v>
      </c>
      <c r="AM53" s="33">
        <v>0.0006163189638909988</v>
      </c>
      <c r="AN53" s="33">
        <v>0.0008663827504548848</v>
      </c>
      <c r="AO53" s="33">
        <v>0.0007207821795120147</v>
      </c>
      <c r="AP53" s="33">
        <v>0.0006449933420445515</v>
      </c>
      <c r="AQ53" s="33">
        <v>0.00039081516776753975</v>
      </c>
      <c r="AR53" s="33">
        <v>0.0005136381518156269</v>
      </c>
      <c r="AS53" s="33">
        <v>0.0006062854587033589</v>
      </c>
      <c r="AT53" s="33">
        <v>0.00016010050980620706</v>
      </c>
      <c r="AU53" s="33">
        <v>0.0006196826780512073</v>
      </c>
      <c r="AV53" s="33">
        <v>0.0009731076260445977</v>
      </c>
      <c r="AW53" s="33">
        <v>0.000591622760235254</v>
      </c>
      <c r="AX53" s="33">
        <v>0.0009828028822350947</v>
      </c>
      <c r="AY53" s="33">
        <v>0.0008782365755249557</v>
      </c>
      <c r="AZ53" s="33">
        <v>0.0006031614766360526</v>
      </c>
      <c r="BA53" s="33">
        <v>0.0016049779875938624</v>
      </c>
      <c r="BB53" s="33">
        <v>0.0009668665043911121</v>
      </c>
      <c r="BC53" s="33">
        <v>0.0009299057234595551</v>
      </c>
      <c r="BD53" s="33">
        <v>0.00027901473632473123</v>
      </c>
      <c r="BE53" s="33">
        <v>0.00022590312600660254</v>
      </c>
      <c r="BF53" s="33">
        <v>0.0005566197803272295</v>
      </c>
      <c r="BG53" s="33">
        <v>0.0005265613926509414</v>
      </c>
      <c r="BH53" s="33">
        <v>0.0005980546891729448</v>
      </c>
      <c r="BI53" s="33">
        <v>0.0007898252475666482</v>
      </c>
      <c r="BJ53" s="33">
        <v>0.0006309632862406469</v>
      </c>
      <c r="BK53" s="33">
        <v>0.001961482382782576</v>
      </c>
      <c r="BL53" s="33">
        <v>0.0006953470573927485</v>
      </c>
      <c r="BM53" s="33">
        <v>0</v>
      </c>
      <c r="BN53" s="33">
        <v>0</v>
      </c>
    </row>
    <row r="54" spans="1:66" x14ac:dyDescent="0.25">
      <c r="A54" s="30" t="s">
        <v>366</v>
      </c>
      <c r="B54" s="31" t="s">
        <v>367</v>
      </c>
      <c r="C54" s="33">
        <v>0.0006164990893041103</v>
      </c>
      <c r="D54" s="33">
        <v>0.0010795363518292214</v>
      </c>
      <c r="E54" s="33">
        <v>0.004551131408904684</v>
      </c>
      <c r="F54" s="33">
        <v>0.001068611354200833</v>
      </c>
      <c r="G54" s="33">
        <v>0.0006988761596979623</v>
      </c>
      <c r="H54" s="33">
        <v>0.0010450280600198603</v>
      </c>
      <c r="I54" s="33">
        <v>0.0011239739800997803</v>
      </c>
      <c r="J54" s="33">
        <v>0.001251893806032212</v>
      </c>
      <c r="K54" s="33">
        <v>0.0017392828256785182</v>
      </c>
      <c r="L54" s="33">
        <v>0.0005444465365144502</v>
      </c>
      <c r="M54" s="33">
        <v>0.0008306109021502611</v>
      </c>
      <c r="N54" s="33">
        <v>0.0007379999240903031</v>
      </c>
      <c r="O54" s="33">
        <v>0.0010003147718127994</v>
      </c>
      <c r="P54" s="33">
        <v>0.0010938409795044728</v>
      </c>
      <c r="Q54" s="33">
        <v>0.0009788697853704508</v>
      </c>
      <c r="R54" s="33">
        <v>0.0007943786756957756</v>
      </c>
      <c r="S54" s="33">
        <v>0.0007121890497270135</v>
      </c>
      <c r="T54" s="33">
        <v>0.000953109358163024</v>
      </c>
      <c r="U54" s="33">
        <v>0.0007099285281214038</v>
      </c>
      <c r="V54" s="33">
        <v>0.0007494754649692339</v>
      </c>
      <c r="W54" s="33">
        <v>0.0011931781766372665</v>
      </c>
      <c r="X54" s="33">
        <v>0.0009137099724348821</v>
      </c>
      <c r="Y54" s="33">
        <v>0.0009289124934501602</v>
      </c>
      <c r="Z54" s="33">
        <v>0.0004774547203642031</v>
      </c>
      <c r="AA54" s="33">
        <v>0.001282623815877369</v>
      </c>
      <c r="AB54" s="33">
        <v>0.001241967460709273</v>
      </c>
      <c r="AC54" s="33">
        <v>0.0006322173599218508</v>
      </c>
      <c r="AD54" s="33">
        <v>0.0007723355890826421</v>
      </c>
      <c r="AE54" s="33">
        <v>0.000592025470776348</v>
      </c>
      <c r="AF54" s="33">
        <v>0.0004916038428917618</v>
      </c>
      <c r="AG54" s="33">
        <v>0.0011169117532711943</v>
      </c>
      <c r="AH54" s="33">
        <v>0.001622491963850653</v>
      </c>
      <c r="AI54" s="33">
        <v>0.00916490422735264</v>
      </c>
      <c r="AJ54" s="33">
        <v>0.001651503064450761</v>
      </c>
      <c r="AK54" s="33">
        <v>0.0010763561643424807</v>
      </c>
      <c r="AL54" s="33">
        <v>0.0008322849192845248</v>
      </c>
      <c r="AM54" s="33">
        <v>0.0007302618476272819</v>
      </c>
      <c r="AN54" s="33">
        <v>0.0012903027729260414</v>
      </c>
      <c r="AO54" s="33">
        <v>0.0008853294270263044</v>
      </c>
      <c r="AP54" s="33">
        <v>0.0005010480837537026</v>
      </c>
      <c r="AQ54" s="33">
        <v>0.0003372930168097176</v>
      </c>
      <c r="AR54" s="33">
        <v>0.0005962374386866669</v>
      </c>
      <c r="AS54" s="33">
        <v>0.0006101648557822677</v>
      </c>
      <c r="AT54" s="33">
        <v>0.00015488878621897016</v>
      </c>
      <c r="AU54" s="33">
        <v>0.0006382170412350259</v>
      </c>
      <c r="AV54" s="33">
        <v>0.0006353726858488054</v>
      </c>
      <c r="AW54" s="33">
        <v>0.0007386499043810149</v>
      </c>
      <c r="AX54" s="33">
        <v>0.001158046139245165</v>
      </c>
      <c r="AY54" s="33">
        <v>0.0009795616605945553</v>
      </c>
      <c r="AZ54" s="33">
        <v>0.0009469042723680792</v>
      </c>
      <c r="BA54" s="33">
        <v>0.00045046221785250025</v>
      </c>
      <c r="BB54" s="33">
        <v>0.01546652840097455</v>
      </c>
      <c r="BC54" s="33">
        <v>0.0005482056722017463</v>
      </c>
      <c r="BD54" s="33">
        <v>0.0003716889445765201</v>
      </c>
      <c r="BE54" s="33">
        <v>0.000288526030021841</v>
      </c>
      <c r="BF54" s="33">
        <v>0.0003744709740825692</v>
      </c>
      <c r="BG54" s="33">
        <v>0.00037959953428062836</v>
      </c>
      <c r="BH54" s="33">
        <v>0.0009577625950425447</v>
      </c>
      <c r="BI54" s="33">
        <v>0.0013361910637547869</v>
      </c>
      <c r="BJ54" s="33">
        <v>0.0008298271946435043</v>
      </c>
      <c r="BK54" s="33">
        <v>0.0029768435812096926</v>
      </c>
      <c r="BL54" s="33">
        <v>0.000789072654324889</v>
      </c>
      <c r="BM54" s="33">
        <v>0</v>
      </c>
      <c r="BN54" s="33">
        <v>0</v>
      </c>
    </row>
    <row r="55" spans="1:66" x14ac:dyDescent="0.25">
      <c r="A55" s="30" t="s">
        <v>368</v>
      </c>
      <c r="B55" s="31" t="s">
        <v>369</v>
      </c>
      <c r="C55" s="33">
        <v>0.0028928257911803473</v>
      </c>
      <c r="D55" s="33">
        <v>0.0026244543567550994</v>
      </c>
      <c r="E55" s="33">
        <v>0.003027795123626376</v>
      </c>
      <c r="F55" s="33">
        <v>0.0031989514063793666</v>
      </c>
      <c r="G55" s="33">
        <v>0.004475768420928107</v>
      </c>
      <c r="H55" s="33">
        <v>0.004242733942553048</v>
      </c>
      <c r="I55" s="33">
        <v>0.003968559644930004</v>
      </c>
      <c r="J55" s="33">
        <v>0.004787208140847996</v>
      </c>
      <c r="K55" s="33">
        <v>0.00519523888284684</v>
      </c>
      <c r="L55" s="33">
        <v>0.0021902144636327067</v>
      </c>
      <c r="M55" s="33">
        <v>0.0058135472185653</v>
      </c>
      <c r="N55" s="33">
        <v>0.006264596515893387</v>
      </c>
      <c r="O55" s="33">
        <v>0.004519240222174506</v>
      </c>
      <c r="P55" s="33">
        <v>0.004411031290760467</v>
      </c>
      <c r="Q55" s="33">
        <v>0.004598650763601987</v>
      </c>
      <c r="R55" s="33">
        <v>0.004161197739514905</v>
      </c>
      <c r="S55" s="33">
        <v>0.0032053973138995258</v>
      </c>
      <c r="T55" s="33">
        <v>0.004663592888349168</v>
      </c>
      <c r="U55" s="33">
        <v>0.004461382686041459</v>
      </c>
      <c r="V55" s="33">
        <v>0.0046189245472704026</v>
      </c>
      <c r="W55" s="33">
        <v>0.004562937616638939</v>
      </c>
      <c r="X55" s="33">
        <v>0.004907642782947952</v>
      </c>
      <c r="Y55" s="33">
        <v>0.004152701555164979</v>
      </c>
      <c r="Z55" s="33">
        <v>0.0040133440797799486</v>
      </c>
      <c r="AA55" s="33">
        <v>0.004138127137582508</v>
      </c>
      <c r="AB55" s="33">
        <v>0.005298040430945288</v>
      </c>
      <c r="AC55" s="33">
        <v>0.00345543841930116</v>
      </c>
      <c r="AD55" s="33">
        <v>0.004144377599555354</v>
      </c>
      <c r="AE55" s="33">
        <v>0.004141276222505548</v>
      </c>
      <c r="AF55" s="33">
        <v>0.0034366347868130774</v>
      </c>
      <c r="AG55" s="33">
        <v>0.0038219447454924385</v>
      </c>
      <c r="AH55" s="33">
        <v>0.005578547647138377</v>
      </c>
      <c r="AI55" s="33">
        <v>0.006871706269453776</v>
      </c>
      <c r="AJ55" s="33">
        <v>0.005090197843969254</v>
      </c>
      <c r="AK55" s="33">
        <v>0.005470352564114859</v>
      </c>
      <c r="AL55" s="33">
        <v>0.004049112036766578</v>
      </c>
      <c r="AM55" s="33">
        <v>0.005689830118810947</v>
      </c>
      <c r="AN55" s="33">
        <v>0.008123326341609994</v>
      </c>
      <c r="AO55" s="33">
        <v>0.00632295855204965</v>
      </c>
      <c r="AP55" s="33">
        <v>0.007611801855033538</v>
      </c>
      <c r="AQ55" s="33">
        <v>0.00380538843348864</v>
      </c>
      <c r="AR55" s="33">
        <v>0.005530219644981619</v>
      </c>
      <c r="AS55" s="33">
        <v>0.005801194555294011</v>
      </c>
      <c r="AT55" s="33">
        <v>0.0012048200395651158</v>
      </c>
      <c r="AU55" s="33">
        <v>0.00776695932537947</v>
      </c>
      <c r="AV55" s="33">
        <v>0.004937903221845451</v>
      </c>
      <c r="AW55" s="33">
        <v>0.0042348760687912134</v>
      </c>
      <c r="AX55" s="33">
        <v>0.008179272597113292</v>
      </c>
      <c r="AY55" s="33">
        <v>0.005872246634914678</v>
      </c>
      <c r="AZ55" s="33">
        <v>0.009390401676551106</v>
      </c>
      <c r="BA55" s="33">
        <v>0.002963213152839799</v>
      </c>
      <c r="BB55" s="33">
        <v>0.009310461872818422</v>
      </c>
      <c r="BC55" s="33">
        <v>0.010366331173058725</v>
      </c>
      <c r="BD55" s="33">
        <v>0.00309797700817955</v>
      </c>
      <c r="BE55" s="33">
        <v>0.00200086068177526</v>
      </c>
      <c r="BF55" s="33">
        <v>0.0027075743131040257</v>
      </c>
      <c r="BG55" s="33">
        <v>0.002719366263665503</v>
      </c>
      <c r="BH55" s="33">
        <v>0.004951877338394784</v>
      </c>
      <c r="BI55" s="33">
        <v>0.0044164653098869135</v>
      </c>
      <c r="BJ55" s="33">
        <v>0.003883639266078838</v>
      </c>
      <c r="BK55" s="33">
        <v>0.005354483319083675</v>
      </c>
      <c r="BL55" s="33">
        <v>0.0033301805445006866</v>
      </c>
      <c r="BM55" s="33">
        <v>0</v>
      </c>
      <c r="BN55" s="33">
        <v>0</v>
      </c>
    </row>
    <row r="56" spans="1:66" x14ac:dyDescent="0.25">
      <c r="A56" s="30" t="s">
        <v>370</v>
      </c>
      <c r="B56" s="31" t="s">
        <v>371</v>
      </c>
      <c r="C56" s="33">
        <v>0.00016281011745458704</v>
      </c>
      <c r="D56" s="33">
        <v>0.00014586405575837938</v>
      </c>
      <c r="E56" s="33">
        <v>0.00038504500153557043</v>
      </c>
      <c r="F56" s="33">
        <v>0.0001755363798780987</v>
      </c>
      <c r="G56" s="33">
        <v>0.00020364615864070258</v>
      </c>
      <c r="H56" s="33">
        <v>0.0001796979367504882</v>
      </c>
      <c r="I56" s="33">
        <v>0.000247818730058475</v>
      </c>
      <c r="J56" s="33">
        <v>0.0002666486448237858</v>
      </c>
      <c r="K56" s="33">
        <v>0.0003117636758187405</v>
      </c>
      <c r="L56" s="33">
        <v>0.0004465514342638154</v>
      </c>
      <c r="M56" s="33">
        <v>0.000293128109330753</v>
      </c>
      <c r="N56" s="33">
        <v>0.00031372655120681995</v>
      </c>
      <c r="O56" s="33">
        <v>0.00024870156495488636</v>
      </c>
      <c r="P56" s="33">
        <v>0.00022095329641989844</v>
      </c>
      <c r="Q56" s="33">
        <v>0.0003499060877306077</v>
      </c>
      <c r="R56" s="33">
        <v>0.00019882080967192675</v>
      </c>
      <c r="S56" s="33">
        <v>0.00018100899108946988</v>
      </c>
      <c r="T56" s="33">
        <v>0.00018624807316927212</v>
      </c>
      <c r="U56" s="33">
        <v>0.00015923893834989312</v>
      </c>
      <c r="V56" s="33">
        <v>0.00017171768132076274</v>
      </c>
      <c r="W56" s="33">
        <v>0.00019244430937953068</v>
      </c>
      <c r="X56" s="33">
        <v>0.00020897415044127604</v>
      </c>
      <c r="Y56" s="33">
        <v>0.00016124354229061282</v>
      </c>
      <c r="Z56" s="33">
        <v>0.00026964964832047386</v>
      </c>
      <c r="AA56" s="33">
        <v>0.0002234404101060444</v>
      </c>
      <c r="AB56" s="33">
        <v>0.00028858750375532205</v>
      </c>
      <c r="AC56" s="33">
        <v>0.00015961427737596378</v>
      </c>
      <c r="AD56" s="33">
        <v>0.00013018023424474413</v>
      </c>
      <c r="AE56" s="33">
        <v>0.00013995484459786386</v>
      </c>
      <c r="AF56" s="33">
        <v>0.00010864701653391426</v>
      </c>
      <c r="AG56" s="33">
        <v>0.00017845304662677454</v>
      </c>
      <c r="AH56" s="33">
        <v>0.00038818074238824036</v>
      </c>
      <c r="AI56" s="33">
        <v>0.0003236852662942734</v>
      </c>
      <c r="AJ56" s="33">
        <v>0.0001994879287654298</v>
      </c>
      <c r="AK56" s="33">
        <v>0.0001825499952876966</v>
      </c>
      <c r="AL56" s="33">
        <v>0.00012971406760857243</v>
      </c>
      <c r="AM56" s="33">
        <v>0.000380231804309977</v>
      </c>
      <c r="AN56" s="33">
        <v>0.0002537932702171542</v>
      </c>
      <c r="AO56" s="33">
        <v>0.00023346512143110633</v>
      </c>
      <c r="AP56" s="33">
        <v>0.00033967128732511535</v>
      </c>
      <c r="AQ56" s="33">
        <v>0.00009864151101050463</v>
      </c>
      <c r="AR56" s="33">
        <v>0.00038306267415282334</v>
      </c>
      <c r="AS56" s="33">
        <v>0.00019131223309752266</v>
      </c>
      <c r="AT56" s="33">
        <v>0.00004017312571447386</v>
      </c>
      <c r="AU56" s="33">
        <v>0.00019681992286323786</v>
      </c>
      <c r="AV56" s="33">
        <v>0.00016001030780132553</v>
      </c>
      <c r="AW56" s="33">
        <v>0.00031580757731416813</v>
      </c>
      <c r="AX56" s="33">
        <v>0.00023874258769291903</v>
      </c>
      <c r="AY56" s="33">
        <v>0.0001836403464280208</v>
      </c>
      <c r="AZ56" s="33">
        <v>0.00016964225508900432</v>
      </c>
      <c r="BA56" s="33">
        <v>0.00007900498847966537</v>
      </c>
      <c r="BB56" s="33">
        <v>0.0002647565621672793</v>
      </c>
      <c r="BC56" s="33">
        <v>0.00017201558120824706</v>
      </c>
      <c r="BD56" s="33">
        <v>0.00016581616749213718</v>
      </c>
      <c r="BE56" s="33">
        <v>0.00006366176778154468</v>
      </c>
      <c r="BF56" s="33">
        <v>0.00014570486019809453</v>
      </c>
      <c r="BG56" s="33">
        <v>0.00009353128395050373</v>
      </c>
      <c r="BH56" s="33">
        <v>0.00020818175350285353</v>
      </c>
      <c r="BI56" s="33">
        <v>0.00016470674298912506</v>
      </c>
      <c r="BJ56" s="33">
        <v>0.00014225870672712892</v>
      </c>
      <c r="BK56" s="33">
        <v>0.00025994183959740806</v>
      </c>
      <c r="BL56" s="33">
        <v>0.00011998989547909451</v>
      </c>
      <c r="BM56" s="33">
        <v>0</v>
      </c>
      <c r="BN56" s="33">
        <v>0</v>
      </c>
    </row>
    <row r="57" spans="1:66" x14ac:dyDescent="0.25">
      <c r="A57" s="30" t="s">
        <v>373</v>
      </c>
      <c r="B57" s="31" t="s">
        <v>374</v>
      </c>
      <c r="C57" s="33">
        <v>0.00008938960609579334</v>
      </c>
      <c r="D57" s="33">
        <v>0.00010843138706388091</v>
      </c>
      <c r="E57" s="33">
        <v>0.0004910920561250191</v>
      </c>
      <c r="F57" s="33">
        <v>0.00012294049443348025</v>
      </c>
      <c r="G57" s="33">
        <v>0.00011565559189925452</v>
      </c>
      <c r="H57" s="33">
        <v>0.00013534723862660943</v>
      </c>
      <c r="I57" s="33">
        <v>0.0001443480215399012</v>
      </c>
      <c r="J57" s="33">
        <v>0.00019500735787191718</v>
      </c>
      <c r="K57" s="33">
        <v>0.0002657410383248933</v>
      </c>
      <c r="L57" s="33">
        <v>0.00006536906267525662</v>
      </c>
      <c r="M57" s="33">
        <v>0.0001551525995171731</v>
      </c>
      <c r="N57" s="33">
        <v>0.0003437341783644642</v>
      </c>
      <c r="O57" s="33">
        <v>0.00022055721901984934</v>
      </c>
      <c r="P57" s="33">
        <v>0.00015163987373200845</v>
      </c>
      <c r="Q57" s="33">
        <v>0.0001178578906312059</v>
      </c>
      <c r="R57" s="33">
        <v>0.00012761455491250564</v>
      </c>
      <c r="S57" s="33">
        <v>0.00018439382914509883</v>
      </c>
      <c r="T57" s="33">
        <v>0.00015666324298322122</v>
      </c>
      <c r="U57" s="33">
        <v>0.00013314566958071703</v>
      </c>
      <c r="V57" s="33">
        <v>0.00014394545689932003</v>
      </c>
      <c r="W57" s="33">
        <v>0.00016837257380550202</v>
      </c>
      <c r="X57" s="33">
        <v>0.00013834534184030674</v>
      </c>
      <c r="Y57" s="33">
        <v>0.0001520389626785723</v>
      </c>
      <c r="Z57" s="33">
        <v>0.00008338341503978958</v>
      </c>
      <c r="AA57" s="33">
        <v>0.0001802685674288208</v>
      </c>
      <c r="AB57" s="33">
        <v>0.00014886437313791124</v>
      </c>
      <c r="AC57" s="33">
        <v>0.00009357674331087402</v>
      </c>
      <c r="AD57" s="33">
        <v>0.00011847795069957817</v>
      </c>
      <c r="AE57" s="33">
        <v>0.00011225793294687142</v>
      </c>
      <c r="AF57" s="33">
        <v>0.00007765202797443541</v>
      </c>
      <c r="AG57" s="33">
        <v>0.00009831634598996922</v>
      </c>
      <c r="AH57" s="33">
        <v>0.00016311580114873248</v>
      </c>
      <c r="AI57" s="33">
        <v>0.0002492154946660512</v>
      </c>
      <c r="AJ57" s="33">
        <v>0.00012600809360656685</v>
      </c>
      <c r="AK57" s="33">
        <v>0.00015113775860041816</v>
      </c>
      <c r="AL57" s="33">
        <v>0.00008311160336029486</v>
      </c>
      <c r="AM57" s="33">
        <v>0.0002188039508232944</v>
      </c>
      <c r="AN57" s="33">
        <v>0.00016543865565825055</v>
      </c>
      <c r="AO57" s="33">
        <v>0.00017960605317526398</v>
      </c>
      <c r="AP57" s="33">
        <v>0.00025246680712588687</v>
      </c>
      <c r="AQ57" s="33">
        <v>0.00009302999096825177</v>
      </c>
      <c r="AR57" s="33">
        <v>0.0001520480950122038</v>
      </c>
      <c r="AS57" s="33">
        <v>0.00017382515232371702</v>
      </c>
      <c r="AT57" s="33">
        <v>0.000026524679958636958</v>
      </c>
      <c r="AU57" s="33">
        <v>0.00017987670182697575</v>
      </c>
      <c r="AV57" s="33">
        <v>0.00014906351370333305</v>
      </c>
      <c r="AW57" s="33">
        <v>0.0006955424519644039</v>
      </c>
      <c r="AX57" s="33">
        <v>0.00017612837510802304</v>
      </c>
      <c r="AY57" s="33">
        <v>0.0001929638262871601</v>
      </c>
      <c r="AZ57" s="33">
        <v>0.0001085721459004065</v>
      </c>
      <c r="BA57" s="33">
        <v>0.00008933512128990444</v>
      </c>
      <c r="BB57" s="33">
        <v>0.00019653396727202385</v>
      </c>
      <c r="BC57" s="33">
        <v>0.00011253662940891051</v>
      </c>
      <c r="BD57" s="33">
        <v>0.00013776872094232157</v>
      </c>
      <c r="BE57" s="33">
        <v>0.0003263918438132288</v>
      </c>
      <c r="BF57" s="33">
        <v>0.00011557379104290953</v>
      </c>
      <c r="BG57" s="33">
        <v>0.00014047354496649143</v>
      </c>
      <c r="BH57" s="33">
        <v>0.00016455179588377236</v>
      </c>
      <c r="BI57" s="33">
        <v>0.00014070774816206028</v>
      </c>
      <c r="BJ57" s="33">
        <v>0.0003475460452682187</v>
      </c>
      <c r="BK57" s="33">
        <v>0.00031027629309064036</v>
      </c>
      <c r="BL57" s="33">
        <v>0.00012581456157389128</v>
      </c>
      <c r="BM57" s="33">
        <v>0</v>
      </c>
      <c r="BN57" s="33">
        <v>0</v>
      </c>
    </row>
    <row r="58" spans="1:66" x14ac:dyDescent="0.25">
      <c r="A58" s="30" t="s">
        <v>376</v>
      </c>
      <c r="B58" s="31" t="s">
        <v>377</v>
      </c>
      <c r="C58" s="33">
        <v>0.00005157733525997703</v>
      </c>
      <c r="D58" s="33">
        <v>0.000052236305834583386</v>
      </c>
      <c r="E58" s="33">
        <v>0.00012790060323047714</v>
      </c>
      <c r="F58" s="33">
        <v>0.00013987599527388094</v>
      </c>
      <c r="G58" s="33">
        <v>0.00007783029631813464</v>
      </c>
      <c r="H58" s="33">
        <v>0.00008131177454692239</v>
      </c>
      <c r="I58" s="33">
        <v>0.00008552943610073818</v>
      </c>
      <c r="J58" s="33">
        <v>0.00008862072018817357</v>
      </c>
      <c r="K58" s="33">
        <v>0.00010616669324475408</v>
      </c>
      <c r="L58" s="33">
        <v>0.00006748775307063305</v>
      </c>
      <c r="M58" s="33">
        <v>0.00008409113810299649</v>
      </c>
      <c r="N58" s="33">
        <v>0.0001609959776151427</v>
      </c>
      <c r="O58" s="33">
        <v>0.00010640042620480078</v>
      </c>
      <c r="P58" s="33">
        <v>0.00008602175449212298</v>
      </c>
      <c r="Q58" s="33">
        <v>0.00007075042869549872</v>
      </c>
      <c r="R58" s="33">
        <v>0.00007045500047222076</v>
      </c>
      <c r="S58" s="33">
        <v>0.00008590069474801416</v>
      </c>
      <c r="T58" s="33">
        <v>0.00008713090013507015</v>
      </c>
      <c r="U58" s="33">
        <v>0.00008397210074278593</v>
      </c>
      <c r="V58" s="33">
        <v>0.00008718541754753771</v>
      </c>
      <c r="W58" s="33">
        <v>0.00008181869271061643</v>
      </c>
      <c r="X58" s="33">
        <v>0.00008509569980142052</v>
      </c>
      <c r="Y58" s="33">
        <v>0.00007754563456776692</v>
      </c>
      <c r="Z58" s="33">
        <v>0.00004460521266820938</v>
      </c>
      <c r="AA58" s="33">
        <v>0.00006434361793502006</v>
      </c>
      <c r="AB58" s="33">
        <v>0.00009103195578253988</v>
      </c>
      <c r="AC58" s="33">
        <v>0.00006204259956291888</v>
      </c>
      <c r="AD58" s="33">
        <v>0.00006446393428580337</v>
      </c>
      <c r="AE58" s="33">
        <v>0.000065771313065374</v>
      </c>
      <c r="AF58" s="33">
        <v>0.000046425385720130705</v>
      </c>
      <c r="AG58" s="33">
        <v>0.00005988344453527774</v>
      </c>
      <c r="AH58" s="33">
        <v>0.00010414800513481145</v>
      </c>
      <c r="AI58" s="33">
        <v>0.00010825268236113372</v>
      </c>
      <c r="AJ58" s="33">
        <v>0.00006568727684553473</v>
      </c>
      <c r="AK58" s="33">
        <v>0.00010489404386726203</v>
      </c>
      <c r="AL58" s="33">
        <v>0.00004876671964226054</v>
      </c>
      <c r="AM58" s="33">
        <v>0.0000926580920150025</v>
      </c>
      <c r="AN58" s="33">
        <v>0.00011870402632847775</v>
      </c>
      <c r="AO58" s="33">
        <v>0.00007798131748321829</v>
      </c>
      <c r="AP58" s="33">
        <v>0.00013076590125154312</v>
      </c>
      <c r="AQ58" s="33">
        <v>0.000034578829391999504</v>
      </c>
      <c r="AR58" s="33">
        <v>0.00006386128558668766</v>
      </c>
      <c r="AS58" s="33">
        <v>0.0000714876001365846</v>
      </c>
      <c r="AT58" s="33">
        <v>0.000013351976966180494</v>
      </c>
      <c r="AU58" s="33">
        <v>0.00006724811500925801</v>
      </c>
      <c r="AV58" s="33">
        <v>0.000050564371310015855</v>
      </c>
      <c r="AW58" s="33">
        <v>0.00013095622075355576</v>
      </c>
      <c r="AX58" s="33">
        <v>0.00008580023872918717</v>
      </c>
      <c r="AY58" s="33">
        <v>0.0000721068106216146</v>
      </c>
      <c r="AZ58" s="33">
        <v>0.00008705007940941631</v>
      </c>
      <c r="BA58" s="33">
        <v>0.000040025427377946296</v>
      </c>
      <c r="BB58" s="33">
        <v>0.00013375747305028956</v>
      </c>
      <c r="BC58" s="33">
        <v>0.00006781718394355107</v>
      </c>
      <c r="BD58" s="33">
        <v>0.00003972138809404121</v>
      </c>
      <c r="BE58" s="33">
        <v>0.000025634349815802934</v>
      </c>
      <c r="BF58" s="33">
        <v>0.0003945155267817702</v>
      </c>
      <c r="BG58" s="33">
        <v>0.00007878544852163316</v>
      </c>
      <c r="BH58" s="33">
        <v>0.00006770494146182683</v>
      </c>
      <c r="BI58" s="33">
        <v>0.00011314796107280744</v>
      </c>
      <c r="BJ58" s="33">
        <v>0.00005383047854946611</v>
      </c>
      <c r="BK58" s="33">
        <v>0.00011370548426645725</v>
      </c>
      <c r="BL58" s="33">
        <v>0.00005526670481696955</v>
      </c>
      <c r="BM58" s="33">
        <v>0</v>
      </c>
      <c r="BN58" s="33">
        <v>0</v>
      </c>
    </row>
    <row r="59" spans="1:66" x14ac:dyDescent="0.25">
      <c r="A59" s="30" t="s">
        <v>379</v>
      </c>
      <c r="B59" s="31" t="s">
        <v>380</v>
      </c>
      <c r="C59" s="33">
        <v>0.00002369725029370946</v>
      </c>
      <c r="D59" s="33">
        <v>0.00004173391138913302</v>
      </c>
      <c r="E59" s="33">
        <v>0.00009560986864722388</v>
      </c>
      <c r="F59" s="33">
        <v>0.00003440101370642234</v>
      </c>
      <c r="G59" s="33">
        <v>0.0000318473553155764</v>
      </c>
      <c r="H59" s="33">
        <v>0.0000401066687976921</v>
      </c>
      <c r="I59" s="33">
        <v>0.00005452755677264052</v>
      </c>
      <c r="J59" s="33">
        <v>0.00004508838435763509</v>
      </c>
      <c r="K59" s="33">
        <v>0.00005782073525286204</v>
      </c>
      <c r="L59" s="33">
        <v>0.00001763813575946913</v>
      </c>
      <c r="M59" s="33">
        <v>0.00003390195825997656</v>
      </c>
      <c r="N59" s="33">
        <v>0.00003301681656390491</v>
      </c>
      <c r="O59" s="33">
        <v>0.000052531041348344605</v>
      </c>
      <c r="P59" s="33">
        <v>0.000036175122553280294</v>
      </c>
      <c r="Q59" s="33">
        <v>0.0000336177838402206</v>
      </c>
      <c r="R59" s="33">
        <v>0.00003748722984366496</v>
      </c>
      <c r="S59" s="33">
        <v>0.000038291690949941634</v>
      </c>
      <c r="T59" s="33">
        <v>0.00004402933547551262</v>
      </c>
      <c r="U59" s="33">
        <v>0.00003989411577510991</v>
      </c>
      <c r="V59" s="33">
        <v>0.000039478461239938</v>
      </c>
      <c r="W59" s="33">
        <v>0.00004662724861317801</v>
      </c>
      <c r="X59" s="33">
        <v>0.00004359028666575144</v>
      </c>
      <c r="Y59" s="33">
        <v>0.00004001582375868349</v>
      </c>
      <c r="Z59" s="33">
        <v>0.000018122197776225793</v>
      </c>
      <c r="AA59" s="33">
        <v>0.00003566731763726365</v>
      </c>
      <c r="AB59" s="33">
        <v>0.000033583907531099275</v>
      </c>
      <c r="AC59" s="33">
        <v>0.00002726225625937245</v>
      </c>
      <c r="AD59" s="33">
        <v>0.00002710641699973929</v>
      </c>
      <c r="AE59" s="33">
        <v>0.000021652964975417462</v>
      </c>
      <c r="AF59" s="33">
        <v>0.000017002847774778622</v>
      </c>
      <c r="AG59" s="33">
        <v>0.000021286761456008276</v>
      </c>
      <c r="AH59" s="33">
        <v>0.000039932505661366955</v>
      </c>
      <c r="AI59" s="33">
        <v>0.00005040340093149771</v>
      </c>
      <c r="AJ59" s="33">
        <v>0.000022107862782684456</v>
      </c>
      <c r="AK59" s="33">
        <v>0.00003959961931379168</v>
      </c>
      <c r="AL59" s="33">
        <v>0.000019072616794526034</v>
      </c>
      <c r="AM59" s="33">
        <v>0.00003592293539411168</v>
      </c>
      <c r="AN59" s="33">
        <v>0.00004204585708209539</v>
      </c>
      <c r="AO59" s="33">
        <v>0.000030604543430750764</v>
      </c>
      <c r="AP59" s="33">
        <v>0.00003307020687340692</v>
      </c>
      <c r="AQ59" s="33">
        <v>0.000011238102097695835</v>
      </c>
      <c r="AR59" s="33">
        <v>0.000026555514126641006</v>
      </c>
      <c r="AS59" s="33">
        <v>0.000026814998862203773</v>
      </c>
      <c r="AT59" s="33">
        <v>0.000005268957320808888</v>
      </c>
      <c r="AU59" s="33">
        <v>0.00001714359294173445</v>
      </c>
      <c r="AV59" s="33">
        <v>0.000020447972132086133</v>
      </c>
      <c r="AW59" s="33">
        <v>0.000036139359043052085</v>
      </c>
      <c r="AX59" s="33">
        <v>0.000036898083725100507</v>
      </c>
      <c r="AY59" s="33">
        <v>0.000029016945197844433</v>
      </c>
      <c r="AZ59" s="33">
        <v>0.000024220461547852036</v>
      </c>
      <c r="BA59" s="33">
        <v>0.000015230610867441845</v>
      </c>
      <c r="BB59" s="33">
        <v>0.00006217445847763648</v>
      </c>
      <c r="BC59" s="33">
        <v>0.000018227629385827703</v>
      </c>
      <c r="BD59" s="33">
        <v>0.0000103620557227968</v>
      </c>
      <c r="BE59" s="33">
        <v>0.000008074410143302712</v>
      </c>
      <c r="BF59" s="33">
        <v>0.000015331005964410426</v>
      </c>
      <c r="BG59" s="33">
        <v>0.00001643554852322536</v>
      </c>
      <c r="BH59" s="33">
        <v>0.000029035824346542947</v>
      </c>
      <c r="BI59" s="33">
        <v>0.000029442886016837152</v>
      </c>
      <c r="BJ59" s="33">
        <v>0.00002323984960631905</v>
      </c>
      <c r="BK59" s="33">
        <v>0.00007135748676496394</v>
      </c>
      <c r="BL59" s="33">
        <v>0.000024290083878421264</v>
      </c>
      <c r="BM59" s="33">
        <v>0</v>
      </c>
      <c r="BN59" s="33">
        <v>0</v>
      </c>
    </row>
    <row r="60" spans="1:66" x14ac:dyDescent="0.25">
      <c r="A60" s="30" t="s">
        <v>381</v>
      </c>
      <c r="B60" s="31" t="s">
        <v>382</v>
      </c>
      <c r="C60" s="33">
        <v>0.000026619512731579908</v>
      </c>
      <c r="D60" s="33">
        <v>0.00001946397942341507</v>
      </c>
      <c r="E60" s="33">
        <v>0.000025564394599915444</v>
      </c>
      <c r="F60" s="33">
        <v>0.000024574368577066422</v>
      </c>
      <c r="G60" s="33">
        <v>0.00004706353010465</v>
      </c>
      <c r="H60" s="33">
        <v>0.00004041621236258581</v>
      </c>
      <c r="I60" s="33">
        <v>0.0000454085294008392</v>
      </c>
      <c r="J60" s="33">
        <v>0.00004093334088593559</v>
      </c>
      <c r="K60" s="33">
        <v>0.000050882785605718064</v>
      </c>
      <c r="L60" s="33">
        <v>0.0000208186468706677</v>
      </c>
      <c r="M60" s="33">
        <v>0.00004595150949918008</v>
      </c>
      <c r="N60" s="33">
        <v>0.000059438326122447816</v>
      </c>
      <c r="O60" s="33">
        <v>0.00003624539010090148</v>
      </c>
      <c r="P60" s="33">
        <v>0.00003756222638407924</v>
      </c>
      <c r="Q60" s="33">
        <v>0.00003385075597748253</v>
      </c>
      <c r="R60" s="33">
        <v>0.000034821150710515246</v>
      </c>
      <c r="S60" s="33">
        <v>0.00003241393168710537</v>
      </c>
      <c r="T60" s="33">
        <v>0.00003793289725200074</v>
      </c>
      <c r="U60" s="33">
        <v>0.00003460381752251313</v>
      </c>
      <c r="V60" s="33">
        <v>0.00003669945456121148</v>
      </c>
      <c r="W60" s="33">
        <v>0.00006012667943306531</v>
      </c>
      <c r="X60" s="33">
        <v>0.00004263953449229856</v>
      </c>
      <c r="Y60" s="33">
        <v>0.000035035135358475065</v>
      </c>
      <c r="Z60" s="33">
        <v>0.00003110108582196901</v>
      </c>
      <c r="AA60" s="33">
        <v>0.000031977095670001864</v>
      </c>
      <c r="AB60" s="33">
        <v>0.000041455018670328266</v>
      </c>
      <c r="AC60" s="33">
        <v>0.00003443329793126492</v>
      </c>
      <c r="AD60" s="33">
        <v>0.00004325904916594852</v>
      </c>
      <c r="AE60" s="33">
        <v>0.000058781519188131945</v>
      </c>
      <c r="AF60" s="33">
        <v>0.000041226952501376236</v>
      </c>
      <c r="AG60" s="33">
        <v>0.00003448622096498947</v>
      </c>
      <c r="AH60" s="33">
        <v>0.00004168949791299333</v>
      </c>
      <c r="AI60" s="33">
        <v>0.00008266091500426588</v>
      </c>
      <c r="AJ60" s="33">
        <v>0.000041157939460138466</v>
      </c>
      <c r="AK60" s="33">
        <v>0.0000467594576820404</v>
      </c>
      <c r="AL60" s="33">
        <v>0.0001825147380955015</v>
      </c>
      <c r="AM60" s="33">
        <v>0.00024240974619080765</v>
      </c>
      <c r="AN60" s="33">
        <v>0.0016647075739692305</v>
      </c>
      <c r="AO60" s="33">
        <v>0.00012175461427063804</v>
      </c>
      <c r="AP60" s="33">
        <v>0.00014797541080902377</v>
      </c>
      <c r="AQ60" s="33">
        <v>0.000045269898622508074</v>
      </c>
      <c r="AR60" s="33">
        <v>0.000049542534721869296</v>
      </c>
      <c r="AS60" s="33">
        <v>0.00005707206884787305</v>
      </c>
      <c r="AT60" s="33">
        <v>0.000011644294467700548</v>
      </c>
      <c r="AU60" s="33">
        <v>0.00007956143482674294</v>
      </c>
      <c r="AV60" s="33">
        <v>0.000050275793055299066</v>
      </c>
      <c r="AW60" s="33">
        <v>0.000054718546789783936</v>
      </c>
      <c r="AX60" s="33">
        <v>0.00021092561642534004</v>
      </c>
      <c r="AY60" s="33">
        <v>0.00013486187505892794</v>
      </c>
      <c r="AZ60" s="33">
        <v>0.00007972987821171432</v>
      </c>
      <c r="BA60" s="33">
        <v>0.00003852985078726918</v>
      </c>
      <c r="BB60" s="33">
        <v>0.0006488431818053709</v>
      </c>
      <c r="BC60" s="33">
        <v>0.00008322277677078698</v>
      </c>
      <c r="BD60" s="33">
        <v>0.000047070357772046115</v>
      </c>
      <c r="BE60" s="33">
        <v>0.000033031416086075326</v>
      </c>
      <c r="BF60" s="33">
        <v>0.00002427747018291441</v>
      </c>
      <c r="BG60" s="33">
        <v>0.000035398296142853244</v>
      </c>
      <c r="BH60" s="33">
        <v>0.001709462799272362</v>
      </c>
      <c r="BI60" s="33">
        <v>0.00026812872346771447</v>
      </c>
      <c r="BJ60" s="33">
        <v>0.00015244623371396039</v>
      </c>
      <c r="BK60" s="33">
        <v>0.00004433911571860958</v>
      </c>
      <c r="BL60" s="33">
        <v>0.00003556746916603983</v>
      </c>
      <c r="BM60" s="33">
        <v>0</v>
      </c>
      <c r="BN60" s="33">
        <v>0</v>
      </c>
    </row>
    <row r="61" spans="1:66" x14ac:dyDescent="0.25">
      <c r="A61" s="30" t="s">
        <v>384</v>
      </c>
      <c r="B61" s="31" t="s">
        <v>385</v>
      </c>
      <c r="C61" s="33">
        <v>0.000031251226000430565</v>
      </c>
      <c r="D61" s="33">
        <v>0.00003855140271910795</v>
      </c>
      <c r="E61" s="33">
        <v>0.00014636916881465394</v>
      </c>
      <c r="F61" s="33">
        <v>0.00003880019491937957</v>
      </c>
      <c r="G61" s="33">
        <v>0.0000505403832134345</v>
      </c>
      <c r="H61" s="33">
        <v>0.000052602828860170225</v>
      </c>
      <c r="I61" s="33">
        <v>0.00007134058818901841</v>
      </c>
      <c r="J61" s="33">
        <v>0.00005367174029925072</v>
      </c>
      <c r="K61" s="33">
        <v>0.0000766032516948813</v>
      </c>
      <c r="L61" s="33">
        <v>0.000025020348891636072</v>
      </c>
      <c r="M61" s="33">
        <v>0.00004642845365102459</v>
      </c>
      <c r="N61" s="33">
        <v>0.00009475729802627808</v>
      </c>
      <c r="O61" s="33">
        <v>0.0000468139545345882</v>
      </c>
      <c r="P61" s="33">
        <v>0.000047892550418664526</v>
      </c>
      <c r="Q61" s="33">
        <v>0.00003857577980420941</v>
      </c>
      <c r="R61" s="33">
        <v>0.00003656045824269549</v>
      </c>
      <c r="S61" s="33">
        <v>0.00004242739713114076</v>
      </c>
      <c r="T61" s="33">
        <v>0.000044639190938729357</v>
      </c>
      <c r="U61" s="33">
        <v>0.000034658467862957604</v>
      </c>
      <c r="V61" s="33">
        <v>0.000037110013828408744</v>
      </c>
      <c r="W61" s="33">
        <v>0.000050589767345969094</v>
      </c>
      <c r="X61" s="33">
        <v>0.00006022476803139777</v>
      </c>
      <c r="Y61" s="33">
        <v>0.000043177005328943324</v>
      </c>
      <c r="Z61" s="33">
        <v>0.000027421055757623576</v>
      </c>
      <c r="AA61" s="33">
        <v>0.00004764547358503392</v>
      </c>
      <c r="AB61" s="33">
        <v>0.00004410321686370025</v>
      </c>
      <c r="AC61" s="33">
        <v>0.000031110487110099895</v>
      </c>
      <c r="AD61" s="33">
        <v>0.00003921232064281983</v>
      </c>
      <c r="AE61" s="33">
        <v>0.00003585451121730779</v>
      </c>
      <c r="AF61" s="33">
        <v>0.00003265209784917994</v>
      </c>
      <c r="AG61" s="33">
        <v>0.000034439411289036174</v>
      </c>
      <c r="AH61" s="33">
        <v>0.00004951932456759825</v>
      </c>
      <c r="AI61" s="33">
        <v>0.00008776532756606638</v>
      </c>
      <c r="AJ61" s="33">
        <v>0.000038011605605057956</v>
      </c>
      <c r="AK61" s="33">
        <v>0.000043850257106424376</v>
      </c>
      <c r="AL61" s="33">
        <v>0.00004640977004078852</v>
      </c>
      <c r="AM61" s="33">
        <v>0.00006928124271881593</v>
      </c>
      <c r="AN61" s="33">
        <v>0.00023306123781238291</v>
      </c>
      <c r="AO61" s="33">
        <v>0.00006579487836996295</v>
      </c>
      <c r="AP61" s="33">
        <v>0.00008209125301991936</v>
      </c>
      <c r="AQ61" s="33">
        <v>0.00002310287184701584</v>
      </c>
      <c r="AR61" s="33">
        <v>0.00003898684943833907</v>
      </c>
      <c r="AS61" s="33">
        <v>0.000040570625081901034</v>
      </c>
      <c r="AT61" s="33">
        <v>0.000008595528109176673</v>
      </c>
      <c r="AU61" s="33">
        <v>0.00005403133193362154</v>
      </c>
      <c r="AV61" s="33">
        <v>0.00003815517311528202</v>
      </c>
      <c r="AW61" s="33">
        <v>0.00005973598465009973</v>
      </c>
      <c r="AX61" s="33">
        <v>0.00014231700840354212</v>
      </c>
      <c r="AY61" s="33">
        <v>0.00005712334084909149</v>
      </c>
      <c r="AZ61" s="33">
        <v>0.00005206694501026067</v>
      </c>
      <c r="BA61" s="33">
        <v>0.000025173159972701323</v>
      </c>
      <c r="BB61" s="33">
        <v>0.0012535899719012084</v>
      </c>
      <c r="BC61" s="33">
        <v>0.000043990033587242014</v>
      </c>
      <c r="BD61" s="33">
        <v>0.00007738654857328952</v>
      </c>
      <c r="BE61" s="33">
        <v>0.00001653932273012078</v>
      </c>
      <c r="BF61" s="33">
        <v>0.000020872699316446855</v>
      </c>
      <c r="BG61" s="33">
        <v>0.00002406636776996973</v>
      </c>
      <c r="BH61" s="33">
        <v>0.00014949126023368564</v>
      </c>
      <c r="BI61" s="33">
        <v>0.000562053661699398</v>
      </c>
      <c r="BJ61" s="33">
        <v>0.00006466957324577573</v>
      </c>
      <c r="BK61" s="33">
        <v>0.00010894872829235641</v>
      </c>
      <c r="BL61" s="33">
        <v>0.00004437030404878555</v>
      </c>
      <c r="BM61" s="33">
        <v>0</v>
      </c>
      <c r="BN61" s="33">
        <v>0</v>
      </c>
    </row>
    <row r="62" spans="1:66" x14ac:dyDescent="0.25">
      <c r="A62" s="30" t="s">
        <v>386</v>
      </c>
      <c r="B62" s="31" t="s">
        <v>387</v>
      </c>
      <c r="C62" s="33">
        <v>0.000004367720709034949</v>
      </c>
      <c r="D62" s="33">
        <v>0.000006185805359149738</v>
      </c>
      <c r="E62" s="33">
        <v>0.000016859852849078233</v>
      </c>
      <c r="F62" s="33">
        <v>0.00000426481711688257</v>
      </c>
      <c r="G62" s="33">
        <v>0.000007055268693340702</v>
      </c>
      <c r="H62" s="33">
        <v>0.000016792692352537377</v>
      </c>
      <c r="I62" s="33">
        <v>0.000006306380731012348</v>
      </c>
      <c r="J62" s="33">
        <v>0.000007830255208571232</v>
      </c>
      <c r="K62" s="33">
        <v>0.000009612395075827852</v>
      </c>
      <c r="L62" s="33">
        <v>0.0000038048612563201025</v>
      </c>
      <c r="M62" s="33">
        <v>0.000007614012789829965</v>
      </c>
      <c r="N62" s="33">
        <v>0.000011172233089940044</v>
      </c>
      <c r="O62" s="33">
        <v>0.000007305850222922057</v>
      </c>
      <c r="P62" s="33">
        <v>0.000007107686078401346</v>
      </c>
      <c r="Q62" s="33">
        <v>0.000006489728379978712</v>
      </c>
      <c r="R62" s="33">
        <v>0.000005852643810927542</v>
      </c>
      <c r="S62" s="33">
        <v>0.000006470279648966307</v>
      </c>
      <c r="T62" s="33">
        <v>0.000006583598529279362</v>
      </c>
      <c r="U62" s="33">
        <v>0.000005512245692703485</v>
      </c>
      <c r="V62" s="33">
        <v>0.0000060074994163301684</v>
      </c>
      <c r="W62" s="33">
        <v>0.000006798267470217386</v>
      </c>
      <c r="X62" s="33">
        <v>0.000007773896100937776</v>
      </c>
      <c r="Y62" s="33">
        <v>0.000005583872074801564</v>
      </c>
      <c r="Z62" s="33">
        <v>0.000004413804816873191</v>
      </c>
      <c r="AA62" s="33">
        <v>0.000005699919466707541</v>
      </c>
      <c r="AB62" s="33">
        <v>0.000006185205030918303</v>
      </c>
      <c r="AC62" s="33">
        <v>0.000004459399377283687</v>
      </c>
      <c r="AD62" s="33">
        <v>0.000005700190885625442</v>
      </c>
      <c r="AE62" s="33">
        <v>0.00000629450053590536</v>
      </c>
      <c r="AF62" s="33">
        <v>0.0000054563512487290406</v>
      </c>
      <c r="AG62" s="33">
        <v>0.000006075995504555502</v>
      </c>
      <c r="AH62" s="33">
        <v>0.00003742003666339613</v>
      </c>
      <c r="AI62" s="33">
        <v>0.000015759416132522737</v>
      </c>
      <c r="AJ62" s="33">
        <v>0.00001119576147983103</v>
      </c>
      <c r="AK62" s="33">
        <v>0.00000793167904697979</v>
      </c>
      <c r="AL62" s="33">
        <v>0.0000043698249604874005</v>
      </c>
      <c r="AM62" s="33">
        <v>0.000009898145113837627</v>
      </c>
      <c r="AN62" s="33">
        <v>0.000012743492043792763</v>
      </c>
      <c r="AO62" s="33">
        <v>0.000008247139704378117</v>
      </c>
      <c r="AP62" s="33">
        <v>0.000016808239529828832</v>
      </c>
      <c r="AQ62" s="33">
        <v>0.0000036089618416232062</v>
      </c>
      <c r="AR62" s="33">
        <v>0.000005794151411032553</v>
      </c>
      <c r="AS62" s="33">
        <v>0.0000070926091901125336</v>
      </c>
      <c r="AT62" s="33">
        <v>0.0000010974020544668339</v>
      </c>
      <c r="AU62" s="33">
        <v>0.000008203003473426176</v>
      </c>
      <c r="AV62" s="33">
        <v>0.000005163984752721331</v>
      </c>
      <c r="AW62" s="33">
        <v>0.000005833816019907847</v>
      </c>
      <c r="AX62" s="33">
        <v>0.000011742739771005093</v>
      </c>
      <c r="AY62" s="33">
        <v>0.000006787662617737877</v>
      </c>
      <c r="AZ62" s="33">
        <v>0.0000057146179825722695</v>
      </c>
      <c r="BA62" s="33">
        <v>0.0000030501437412817172</v>
      </c>
      <c r="BB62" s="33">
        <v>0.00001872655632496363</v>
      </c>
      <c r="BC62" s="33">
        <v>0.000005373158553673052</v>
      </c>
      <c r="BD62" s="33">
        <v>0.0000025608839714956937</v>
      </c>
      <c r="BE62" s="33">
        <v>0.0000019205051046909726</v>
      </c>
      <c r="BF62" s="33">
        <v>0.0000033143894638072685</v>
      </c>
      <c r="BG62" s="33">
        <v>0.000002630059816070288</v>
      </c>
      <c r="BH62" s="33">
        <v>0.000010003327603289537</v>
      </c>
      <c r="BI62" s="33">
        <v>0.0000060510488716300715</v>
      </c>
      <c r="BJ62" s="33">
        <v>0.000008018298685014774</v>
      </c>
      <c r="BK62" s="33">
        <v>0.000008987509549974784</v>
      </c>
      <c r="BL62" s="33">
        <v>0.000004690999868494559</v>
      </c>
      <c r="BM62" s="33">
        <v>0</v>
      </c>
      <c r="BN62" s="33">
        <v>0</v>
      </c>
    </row>
    <row r="63" spans="1:66" x14ac:dyDescent="0.25">
      <c r="A63" s="30" t="s">
        <v>389</v>
      </c>
      <c r="B63" s="31" t="s">
        <v>390</v>
      </c>
      <c r="C63" s="33">
        <v>0.00000881950057109454</v>
      </c>
      <c r="D63" s="33">
        <v>0.000005221974120938381</v>
      </c>
      <c r="E63" s="33">
        <v>0.000011626558986720188</v>
      </c>
      <c r="F63" s="33">
        <v>0.00000962996593062915</v>
      </c>
      <c r="G63" s="33">
        <v>0.000013513195283652331</v>
      </c>
      <c r="H63" s="33">
        <v>0.000015123387483400952</v>
      </c>
      <c r="I63" s="33">
        <v>0.000012257156568301186</v>
      </c>
      <c r="J63" s="33">
        <v>0.000012914829988684129</v>
      </c>
      <c r="K63" s="33">
        <v>0.000013568849345152777</v>
      </c>
      <c r="L63" s="33">
        <v>0.000006685394171313144</v>
      </c>
      <c r="M63" s="33">
        <v>0.000014114160027313675</v>
      </c>
      <c r="N63" s="33">
        <v>0.00001483431575484938</v>
      </c>
      <c r="O63" s="33">
        <v>0.000013631676205220292</v>
      </c>
      <c r="P63" s="33">
        <v>0.000013203631079205388</v>
      </c>
      <c r="Q63" s="33">
        <v>0.000012144863166278282</v>
      </c>
      <c r="R63" s="33">
        <v>0.000011057410031800884</v>
      </c>
      <c r="S63" s="33">
        <v>0.000014589807099445794</v>
      </c>
      <c r="T63" s="33">
        <v>0.000014444660223363714</v>
      </c>
      <c r="U63" s="33">
        <v>0.000012333797476542329</v>
      </c>
      <c r="V63" s="33">
        <v>0.000012421179010800907</v>
      </c>
      <c r="W63" s="33">
        <v>0.000013037794842988185</v>
      </c>
      <c r="X63" s="33">
        <v>0.00001610290467270659</v>
      </c>
      <c r="Y63" s="33">
        <v>0.000013264806574048655</v>
      </c>
      <c r="Z63" s="33">
        <v>0.000008510950055818198</v>
      </c>
      <c r="AA63" s="33">
        <v>0.000010814665390651811</v>
      </c>
      <c r="AB63" s="33">
        <v>0.000011530539352084162</v>
      </c>
      <c r="AC63" s="33">
        <v>0.000008196162379710451</v>
      </c>
      <c r="AD63" s="33">
        <v>0.000008250164835022963</v>
      </c>
      <c r="AE63" s="33">
        <v>0.000013549628637088038</v>
      </c>
      <c r="AF63" s="33">
        <v>0.000008557511487195695</v>
      </c>
      <c r="AG63" s="33">
        <v>0.000007947319509031329</v>
      </c>
      <c r="AH63" s="33">
        <v>0.00001705213050547113</v>
      </c>
      <c r="AI63" s="33">
        <v>0.00003619410771927097</v>
      </c>
      <c r="AJ63" s="33">
        <v>0.00000961750495983029</v>
      </c>
      <c r="AK63" s="33">
        <v>0.000009584034077677918</v>
      </c>
      <c r="AL63" s="33">
        <v>0.000009415451030210718</v>
      </c>
      <c r="AM63" s="33">
        <v>0.00001908618399913615</v>
      </c>
      <c r="AN63" s="33">
        <v>0.000014894687738764895</v>
      </c>
      <c r="AO63" s="33">
        <v>0.000014607709433268466</v>
      </c>
      <c r="AP63" s="33">
        <v>0.00002951758998058719</v>
      </c>
      <c r="AQ63" s="33">
        <v>0.00000580711538341347</v>
      </c>
      <c r="AR63" s="33">
        <v>0.000008293872061679615</v>
      </c>
      <c r="AS63" s="33">
        <v>0.0000107390342315019</v>
      </c>
      <c r="AT63" s="33">
        <v>0.0000019872195690647162</v>
      </c>
      <c r="AU63" s="33">
        <v>0.000011792092256853885</v>
      </c>
      <c r="AV63" s="33">
        <v>0.000008439308215905672</v>
      </c>
      <c r="AW63" s="33">
        <v>0.000008583843922539036</v>
      </c>
      <c r="AX63" s="33">
        <v>0.000015331403825812707</v>
      </c>
      <c r="AY63" s="33">
        <v>0.00000932900279003489</v>
      </c>
      <c r="AZ63" s="33">
        <v>0.000011126136142668661</v>
      </c>
      <c r="BA63" s="33">
        <v>0.000004731884537500522</v>
      </c>
      <c r="BB63" s="33">
        <v>0.00001797065193118312</v>
      </c>
      <c r="BC63" s="33">
        <v>0.000009997214083189577</v>
      </c>
      <c r="BD63" s="33">
        <v>0.000004994658267275048</v>
      </c>
      <c r="BE63" s="33">
        <v>0.0000035141956940827344</v>
      </c>
      <c r="BF63" s="33">
        <v>0.0000066998475116953885</v>
      </c>
      <c r="BG63" s="33">
        <v>0.000004666482479754022</v>
      </c>
      <c r="BH63" s="33">
        <v>0.000010938473075555132</v>
      </c>
      <c r="BI63" s="33">
        <v>0.000008421147991342098</v>
      </c>
      <c r="BJ63" s="33">
        <v>0.000006585844078017334</v>
      </c>
      <c r="BK63" s="33">
        <v>0.00002049460039251277</v>
      </c>
      <c r="BL63" s="33">
        <v>0.0000059688337429306945</v>
      </c>
      <c r="BM63" s="33">
        <v>0</v>
      </c>
      <c r="BN63" s="33">
        <v>0</v>
      </c>
    </row>
    <row r="64" spans="1:66" x14ac:dyDescent="0.25">
      <c r="A64" s="30" t="s">
        <v>391</v>
      </c>
      <c r="B64" s="31" t="s">
        <v>392</v>
      </c>
      <c r="C64" s="33">
        <v>0.00002480603555813242</v>
      </c>
      <c r="D64" s="33">
        <v>0.00005061316111038329</v>
      </c>
      <c r="E64" s="33">
        <v>0.00009306413382139571</v>
      </c>
      <c r="F64" s="33">
        <v>0.000040376689107880006</v>
      </c>
      <c r="G64" s="33">
        <v>0.00003481858711003459</v>
      </c>
      <c r="H64" s="33">
        <v>0.0000415241094874473</v>
      </c>
      <c r="I64" s="33">
        <v>0.00004915837589864786</v>
      </c>
      <c r="J64" s="33">
        <v>0.000047316539633217315</v>
      </c>
      <c r="K64" s="33">
        <v>0.00006773633945104758</v>
      </c>
      <c r="L64" s="33">
        <v>0.000024647396229070394</v>
      </c>
      <c r="M64" s="33">
        <v>0.00003736130740598148</v>
      </c>
      <c r="N64" s="33">
        <v>0.000037212840763359604</v>
      </c>
      <c r="O64" s="33">
        <v>0.000041807576426261284</v>
      </c>
      <c r="P64" s="33">
        <v>0.000042198874833152756</v>
      </c>
      <c r="Q64" s="33">
        <v>0.00004019386710246385</v>
      </c>
      <c r="R64" s="33">
        <v>0.0000336607445128605</v>
      </c>
      <c r="S64" s="33">
        <v>0.00003676183458719454</v>
      </c>
      <c r="T64" s="33">
        <v>0.00003708813236197627</v>
      </c>
      <c r="U64" s="33">
        <v>0.000030899493328292513</v>
      </c>
      <c r="V64" s="33">
        <v>0.000030918082412046145</v>
      </c>
      <c r="W64" s="33">
        <v>0.000037516429080410245</v>
      </c>
      <c r="X64" s="33">
        <v>0.00039561207126546797</v>
      </c>
      <c r="Y64" s="33">
        <v>0.000036796444254559915</v>
      </c>
      <c r="Z64" s="33">
        <v>0.00002253824223679209</v>
      </c>
      <c r="AA64" s="33">
        <v>0.00004380247535423953</v>
      </c>
      <c r="AB64" s="33">
        <v>0.000048227403810337535</v>
      </c>
      <c r="AC64" s="33">
        <v>0.000023483120581425638</v>
      </c>
      <c r="AD64" s="33">
        <v>0.000029113649504890847</v>
      </c>
      <c r="AE64" s="33">
        <v>0.00003050552195466212</v>
      </c>
      <c r="AF64" s="33">
        <v>0.00002271341890725505</v>
      </c>
      <c r="AG64" s="33">
        <v>0.00003062322154738423</v>
      </c>
      <c r="AH64" s="33">
        <v>0.00010049664535663399</v>
      </c>
      <c r="AI64" s="33">
        <v>0.0001000900683736984</v>
      </c>
      <c r="AJ64" s="33">
        <v>0.000038371009090001235</v>
      </c>
      <c r="AK64" s="33">
        <v>0.0000535194431598727</v>
      </c>
      <c r="AL64" s="33">
        <v>0.00005033969426323352</v>
      </c>
      <c r="AM64" s="33">
        <v>0.00005213779193258373</v>
      </c>
      <c r="AN64" s="33">
        <v>0.0000560308481786121</v>
      </c>
      <c r="AO64" s="33">
        <v>0.000035292940948521194</v>
      </c>
      <c r="AP64" s="33">
        <v>0.000034254397695403</v>
      </c>
      <c r="AQ64" s="33">
        <v>0.000013461408082363168</v>
      </c>
      <c r="AR64" s="33">
        <v>0.00003011841895427993</v>
      </c>
      <c r="AS64" s="33">
        <v>0.00002925521709503989</v>
      </c>
      <c r="AT64" s="33">
        <v>0.0000063805745704463874</v>
      </c>
      <c r="AU64" s="33">
        <v>0.000024622812776824748</v>
      </c>
      <c r="AV64" s="33">
        <v>0.00002535884840666923</v>
      </c>
      <c r="AW64" s="33">
        <v>0.00003226885908484489</v>
      </c>
      <c r="AX64" s="33">
        <v>0.000053460234463075426</v>
      </c>
      <c r="AY64" s="33">
        <v>0.00003904379887644164</v>
      </c>
      <c r="AZ64" s="33">
        <v>0.00004014227326026229</v>
      </c>
      <c r="BA64" s="33">
        <v>0.000024889467126900246</v>
      </c>
      <c r="BB64" s="33">
        <v>0.0007580377666947027</v>
      </c>
      <c r="BC64" s="33">
        <v>0.000026652221582679083</v>
      </c>
      <c r="BD64" s="33">
        <v>0.000016444560414468728</v>
      </c>
      <c r="BE64" s="33">
        <v>0.000013091272964116327</v>
      </c>
      <c r="BF64" s="33">
        <v>0.0000513112362345069</v>
      </c>
      <c r="BG64" s="33">
        <v>0.000024995476489721883</v>
      </c>
      <c r="BH64" s="33">
        <v>0.00005216531806243781</v>
      </c>
      <c r="BI64" s="33">
        <v>0.00005855627814921689</v>
      </c>
      <c r="BJ64" s="33">
        <v>0.000054192753068503</v>
      </c>
      <c r="BK64" s="33">
        <v>0.00006540796874194108</v>
      </c>
      <c r="BL64" s="33">
        <v>0.00029594831694114833</v>
      </c>
      <c r="BM64" s="33">
        <v>0</v>
      </c>
      <c r="BN64" s="33">
        <v>0</v>
      </c>
    </row>
    <row r="65" spans="1:66" x14ac:dyDescent="0.25">
      <c r="A65" s="30" t="s">
        <v>393</v>
      </c>
      <c r="B65" s="31" t="s">
        <v>394</v>
      </c>
      <c r="C65" s="33">
        <v>2.550784778886318e-7</v>
      </c>
      <c r="D65" s="33">
        <v>2.85004201455864e-8</v>
      </c>
      <c r="E65" s="33">
        <v>4.9915398993110445e-8</v>
      </c>
      <c r="F65" s="33">
        <v>4.368979865430066e-8</v>
      </c>
      <c r="G65" s="33">
        <v>1.8425150119375377e-7</v>
      </c>
      <c r="H65" s="33">
        <v>5.139244872389721e-8</v>
      </c>
      <c r="I65" s="33">
        <v>6.089903732036108e-8</v>
      </c>
      <c r="J65" s="33">
        <v>7.256144515788587e-8</v>
      </c>
      <c r="K65" s="33">
        <v>4.758636054259599e-8</v>
      </c>
      <c r="L65" s="33">
        <v>2.250985538986668e-7</v>
      </c>
      <c r="M65" s="33">
        <v>2.5689945994131124e-7</v>
      </c>
      <c r="N65" s="33">
        <v>3.207079938829237e-7</v>
      </c>
      <c r="O65" s="33">
        <v>3.9327793965001835e-7</v>
      </c>
      <c r="P65" s="33">
        <v>6.305864488217106e-8</v>
      </c>
      <c r="Q65" s="33">
        <v>3.440175603549407e-7</v>
      </c>
      <c r="R65" s="33">
        <v>2.740656813939225e-7</v>
      </c>
      <c r="S65" s="33">
        <v>3.479547886431949e-8</v>
      </c>
      <c r="T65" s="33">
        <v>7.4960166310866e-8</v>
      </c>
      <c r="U65" s="33">
        <v>7.445594056710825e-8</v>
      </c>
      <c r="V65" s="33">
        <v>7.598045239662337e-8</v>
      </c>
      <c r="W65" s="33">
        <v>5.622828072834327e-8</v>
      </c>
      <c r="X65" s="33">
        <v>0.0000011752190937006721</v>
      </c>
      <c r="Y65" s="33">
        <v>5.6364884972375247e-8</v>
      </c>
      <c r="Z65" s="33">
        <v>1.5213243263485477e-7</v>
      </c>
      <c r="AA65" s="33">
        <v>5.8950165289111415e-8</v>
      </c>
      <c r="AB65" s="33">
        <v>4.50390328035523e-7</v>
      </c>
      <c r="AC65" s="33">
        <v>5.9655177877042e-8</v>
      </c>
      <c r="AD65" s="33">
        <v>3.4834826622675464e-8</v>
      </c>
      <c r="AE65" s="33">
        <v>3.7477687323846864e-8</v>
      </c>
      <c r="AF65" s="33">
        <v>2.7548166717801114e-8</v>
      </c>
      <c r="AG65" s="33">
        <v>6.379563618929577e-8</v>
      </c>
      <c r="AH65" s="33">
        <v>6.056178565752609e-8</v>
      </c>
      <c r="AI65" s="33">
        <v>9.976267779752065e-8</v>
      </c>
      <c r="AJ65" s="33">
        <v>2.0559122392914257e-7</v>
      </c>
      <c r="AK65" s="33">
        <v>4.8006740880269525e-8</v>
      </c>
      <c r="AL65" s="33">
        <v>1.690596225276856e-7</v>
      </c>
      <c r="AM65" s="33">
        <v>1.9935888045059358e-8</v>
      </c>
      <c r="AN65" s="33">
        <v>3.194413964985767e-8</v>
      </c>
      <c r="AO65" s="33">
        <v>2.879382186757407e-8</v>
      </c>
      <c r="AP65" s="33">
        <v>1.7246120674830464e-8</v>
      </c>
      <c r="AQ65" s="33">
        <v>1.0805555253828985e-8</v>
      </c>
      <c r="AR65" s="33">
        <v>1.4572830093963193e-8</v>
      </c>
      <c r="AS65" s="33">
        <v>1.748666926447574e-8</v>
      </c>
      <c r="AT65" s="33">
        <v>1.1369089943948627e-8</v>
      </c>
      <c r="AU65" s="33">
        <v>1.9998268451997805e-8</v>
      </c>
      <c r="AV65" s="33">
        <v>2.5036099934331516e-8</v>
      </c>
      <c r="AW65" s="33">
        <v>2.2606341494354154e-8</v>
      </c>
      <c r="AX65" s="33">
        <v>3.0588271612986983e-8</v>
      </c>
      <c r="AY65" s="33">
        <v>3.397262236524e-8</v>
      </c>
      <c r="AZ65" s="33">
        <v>2.624479504594404e-8</v>
      </c>
      <c r="BA65" s="33">
        <v>1.0387412203525544e-8</v>
      </c>
      <c r="BB65" s="33">
        <v>0.0000018169212786465405</v>
      </c>
      <c r="BC65" s="33">
        <v>3.19296553435569e-8</v>
      </c>
      <c r="BD65" s="33">
        <v>2.3391128979257118e-8</v>
      </c>
      <c r="BE65" s="33">
        <v>1.343914867706374e-8</v>
      </c>
      <c r="BF65" s="33">
        <v>2.093825177368172e-7</v>
      </c>
      <c r="BG65" s="33">
        <v>2.7469276469427236e-8</v>
      </c>
      <c r="BH65" s="33">
        <v>3.537625578430458e-8</v>
      </c>
      <c r="BI65" s="33">
        <v>5.191612866012896e-8</v>
      </c>
      <c r="BJ65" s="33">
        <v>2.615060819356576e-8</v>
      </c>
      <c r="BK65" s="33">
        <v>3.2274831490057614e-8</v>
      </c>
      <c r="BL65" s="33">
        <v>5.999020004814168e-7</v>
      </c>
      <c r="BM65" s="33">
        <v>0</v>
      </c>
      <c r="BN65" s="33">
        <v>0</v>
      </c>
    </row>
    <row r="66" spans="1:66" x14ac:dyDescent="0.25">
      <c r="A66" s="30" t="s">
        <v>395</v>
      </c>
      <c r="B66" s="31" t="s">
        <v>396</v>
      </c>
      <c r="C66" s="33">
        <v>0</v>
      </c>
      <c r="D66" s="33">
        <v>0</v>
      </c>
      <c r="E66" s="33">
        <v>0</v>
      </c>
      <c r="F66" s="33">
        <v>0</v>
      </c>
      <c r="G66" s="33">
        <v>0</v>
      </c>
      <c r="H66" s="33">
        <v>0</v>
      </c>
      <c r="I66" s="33">
        <v>0</v>
      </c>
      <c r="J66" s="33">
        <v>0</v>
      </c>
      <c r="K66" s="33">
        <v>0</v>
      </c>
      <c r="L66" s="33">
        <v>0</v>
      </c>
      <c r="M66" s="33">
        <v>0</v>
      </c>
      <c r="N66" s="33">
        <v>0</v>
      </c>
      <c r="O66" s="33">
        <v>0</v>
      </c>
      <c r="P66" s="33">
        <v>0</v>
      </c>
      <c r="Q66" s="33">
        <v>0</v>
      </c>
      <c r="R66" s="33">
        <v>0</v>
      </c>
      <c r="S66" s="33">
        <v>0</v>
      </c>
      <c r="T66" s="33">
        <v>0</v>
      </c>
      <c r="U66" s="33">
        <v>0</v>
      </c>
      <c r="V66" s="33">
        <v>0</v>
      </c>
      <c r="W66" s="33">
        <v>0</v>
      </c>
      <c r="X66" s="33">
        <v>0</v>
      </c>
      <c r="Y66" s="33">
        <v>0</v>
      </c>
      <c r="Z66" s="33">
        <v>0</v>
      </c>
      <c r="AA66" s="33">
        <v>0</v>
      </c>
      <c r="AB66" s="33">
        <v>0</v>
      </c>
      <c r="AC66" s="33">
        <v>0</v>
      </c>
      <c r="AD66" s="33">
        <v>0</v>
      </c>
      <c r="AE66" s="33">
        <v>0</v>
      </c>
      <c r="AF66" s="33">
        <v>0</v>
      </c>
      <c r="AG66" s="33">
        <v>0</v>
      </c>
      <c r="AH66" s="33">
        <v>0</v>
      </c>
      <c r="AI66" s="33">
        <v>0</v>
      </c>
      <c r="AJ66" s="33">
        <v>0</v>
      </c>
      <c r="AK66" s="33">
        <v>0</v>
      </c>
      <c r="AL66" s="33">
        <v>0</v>
      </c>
      <c r="AM66" s="33">
        <v>0</v>
      </c>
      <c r="AN66" s="33">
        <v>0</v>
      </c>
      <c r="AO66" s="33">
        <v>0</v>
      </c>
      <c r="AP66" s="33">
        <v>0</v>
      </c>
      <c r="AQ66" s="33">
        <v>0</v>
      </c>
      <c r="AR66" s="33">
        <v>0</v>
      </c>
      <c r="AS66" s="33">
        <v>0</v>
      </c>
      <c r="AT66" s="33">
        <v>0</v>
      </c>
      <c r="AU66" s="33">
        <v>0</v>
      </c>
      <c r="AV66" s="33">
        <v>0</v>
      </c>
      <c r="AW66" s="33">
        <v>0</v>
      </c>
      <c r="AX66" s="33">
        <v>0</v>
      </c>
      <c r="AY66" s="33">
        <v>0</v>
      </c>
      <c r="AZ66" s="33">
        <v>0</v>
      </c>
      <c r="BA66" s="33">
        <v>0</v>
      </c>
      <c r="BB66" s="33">
        <v>0</v>
      </c>
      <c r="BC66" s="33">
        <v>0</v>
      </c>
      <c r="BD66" s="33">
        <v>0</v>
      </c>
      <c r="BE66" s="33">
        <v>0</v>
      </c>
      <c r="BF66" s="33">
        <v>0</v>
      </c>
      <c r="BG66" s="33">
        <v>0</v>
      </c>
      <c r="BH66" s="33">
        <v>0</v>
      </c>
      <c r="BI66" s="33">
        <v>0</v>
      </c>
      <c r="BJ66" s="33">
        <v>0</v>
      </c>
      <c r="BK66" s="33">
        <v>0</v>
      </c>
      <c r="BL66" s="33">
        <v>0</v>
      </c>
      <c r="BM66" s="33">
        <v>0</v>
      </c>
      <c r="BN66" s="33">
        <v>0</v>
      </c>
    </row>
  </sheetData>
  <mergeCells count="1">
    <mergeCell ref="A1:B2"/>
  </mergeCell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L66"/>
  <sheetViews>
    <sheetView workbookViewId="0">
      <pane xSplit="2" ySplit="2" topLeftCell="C3" activePane="bottomRight" state="frozen"/>
      <selection pane="bottomRight"/>
    </sheetView>
  </sheetViews>
  <sheetFormatPr defaultRowHeight="15" outlineLevelRow="0" outlineLevelCol="0" x14ac:dyDescent="55"/>
  <cols>
    <col min="1" max="1" width="10" customWidth="1"/>
    <col min="2" max="2" width="40" customWidth="1"/>
    <col min="3" max="3" width="8" customWidth="1"/>
    <col min="4" max="12" width="14" customWidth="1"/>
  </cols>
  <sheetData>
    <row r="1" ht="40" customHeight="1" spans="1:12" x14ac:dyDescent="0.25">
      <c r="A1" s="15" t="s">
        <v>427</v>
      </c>
      <c r="B1" s="15"/>
      <c r="C1" s="15"/>
      <c r="D1" s="15"/>
      <c r="E1" s="15"/>
      <c r="F1" s="15"/>
      <c r="G1" s="15"/>
      <c r="H1" s="15"/>
      <c r="I1" s="15"/>
      <c r="J1" s="15"/>
      <c r="K1" s="15"/>
      <c r="L1" s="15"/>
    </row>
    <row r="2" ht="30" customHeight="1" spans="1:12" s="21" customFormat="1" x14ac:dyDescent="0.25">
      <c r="A2" s="35" t="s">
        <v>128</v>
      </c>
      <c r="B2" s="35" t="s">
        <v>129</v>
      </c>
      <c r="C2" s="35" t="s">
        <v>260</v>
      </c>
      <c r="D2" s="35" t="s">
        <v>428</v>
      </c>
      <c r="E2" s="35" t="s">
        <v>429</v>
      </c>
      <c r="F2" s="35" t="s">
        <v>430</v>
      </c>
      <c r="G2" s="35" t="s">
        <v>431</v>
      </c>
      <c r="H2" s="35" t="s">
        <v>432</v>
      </c>
      <c r="I2" s="35" t="s">
        <v>433</v>
      </c>
      <c r="J2" s="35" t="s">
        <v>434</v>
      </c>
      <c r="K2" s="35" t="s">
        <v>435</v>
      </c>
      <c r="L2" s="35" t="s">
        <v>436</v>
      </c>
    </row>
    <row r="3" spans="1:12" x14ac:dyDescent="0.25">
      <c r="A3" t="s">
        <v>273</v>
      </c>
      <c r="B3" t="s">
        <v>274</v>
      </c>
      <c r="C3" t="s">
        <v>275</v>
      </c>
      <c r="D3" s="26">
        <f>SUM('Leontief inverse'!C3:C66)</f>
        <v>2.0477071075879376</v>
      </c>
      <c r="E3" s="36">
        <f>100*SUM('Import requirements'!C3:C66)</f>
        <v>13.20950842166554</v>
      </c>
      <c r="F3" s="36">
        <f>100*SUMPRODUCT('IO model'!$J$3:$J$66,'Leontief inverse'!C3:C66)</f>
        <v>86.79049157833444</v>
      </c>
      <c r="G3" s="26">
        <f>E3+F3-100</f>
        <v>-2.220446049250313e-14</v>
      </c>
      <c r="H3" s="24">
        <f>'IO model'!M3</f>
        <v>39925.4</v>
      </c>
      <c r="I3" s="24">
        <f>E3/100*H3</f>
        <v>5273.9490753836535</v>
      </c>
      <c r="J3" s="24">
        <f t="array" ref="J3:J66">MMULT('Leontief inverse'!C3:BN66,'IO model'!M3:M66)</f>
        <v>113456.59968271959</v>
      </c>
      <c r="K3" s="36" t="s">
        <v>43</v>
      </c>
      <c r="L3" s="36" t="s">
        <v>43</v>
      </c>
    </row>
    <row r="4" spans="1:12" x14ac:dyDescent="0.25">
      <c r="A4" t="s">
        <v>276</v>
      </c>
      <c r="B4" t="s">
        <v>277</v>
      </c>
      <c r="C4" t="s">
        <v>275</v>
      </c>
      <c r="D4" s="26">
        <f>SUM('Leontief inverse'!D3:D66)</f>
        <v>1.9181534498008597</v>
      </c>
      <c r="E4" s="36">
        <f>100*SUM('Import requirements'!D3:D66)</f>
        <v>8.248050663752204</v>
      </c>
      <c r="F4" s="36">
        <f>100*SUMPRODUCT('IO model'!$J$3:$J$66,'Leontief inverse'!D3:D66)</f>
        <v>91.7519493362478</v>
      </c>
      <c r="G4" s="26">
        <f>E4+F4-100</f>
        <v>0</v>
      </c>
      <c r="H4" s="24">
        <f>'IO model'!M4</f>
        <v>2568.8</v>
      </c>
      <c r="I4" s="24">
        <f>E4/100*H4</f>
        <v>211.87592545046664</v>
      </c>
      <c r="J4" s="24">
        <v>15503.086350411695</v>
      </c>
      <c r="K4" s="36" t="s">
        <v>43</v>
      </c>
      <c r="L4" s="36" t="s">
        <v>43</v>
      </c>
    </row>
    <row r="5" spans="1:12" x14ac:dyDescent="0.25">
      <c r="A5" t="s">
        <v>278</v>
      </c>
      <c r="B5" t="s">
        <v>279</v>
      </c>
      <c r="C5" t="s">
        <v>275</v>
      </c>
      <c r="D5" s="26">
        <f>SUM('Leontief inverse'!E3:E66)</f>
        <v>1.8689135253095446</v>
      </c>
      <c r="E5" s="36">
        <f>100*SUM('Import requirements'!E3:E66)</f>
        <v>16.475363446603197</v>
      </c>
      <c r="F5" s="36">
        <f>100*SUMPRODUCT('IO model'!$J$3:$J$66,'Leontief inverse'!E3:E66)</f>
        <v>83.52463655339682</v>
      </c>
      <c r="G5" s="26">
        <f>E5+F5-100</f>
        <v>0</v>
      </c>
      <c r="H5" s="24">
        <f>'IO model'!M5</f>
        <v>1209</v>
      </c>
      <c r="I5" s="24">
        <f>E5/100*H5</f>
        <v>199.18714406943266</v>
      </c>
      <c r="J5" s="24">
        <v>2036.3416128729616</v>
      </c>
      <c r="K5" s="36" t="s">
        <v>43</v>
      </c>
      <c r="L5" s="36" t="s">
        <v>43</v>
      </c>
    </row>
    <row r="6" spans="1:12" x14ac:dyDescent="0.25">
      <c r="A6" t="s">
        <v>280</v>
      </c>
      <c r="B6" t="s">
        <v>281</v>
      </c>
      <c r="C6" t="s">
        <v>280</v>
      </c>
      <c r="D6" s="26">
        <f>SUM('Leontief inverse'!F3:F66)</f>
        <v>1.7735584016720225</v>
      </c>
      <c r="E6" s="36">
        <f>100*SUM('Import requirements'!F3:F66)</f>
        <v>10.949251979457284</v>
      </c>
      <c r="F6" s="36">
        <f>100*SUMPRODUCT('IO model'!$J$3:$J$66,'Leontief inverse'!F3:F66)</f>
        <v>89.05074802054278</v>
      </c>
      <c r="G6" s="26">
        <f>E6+F6-100</f>
        <v>6.661338147750939e-14</v>
      </c>
      <c r="H6" s="24">
        <f>'IO model'!M6</f>
        <v>8138.9</v>
      </c>
      <c r="I6" s="24">
        <f>E6/100*H6</f>
        <v>891.1486693560488</v>
      </c>
      <c r="J6" s="24">
        <v>34364.46981590383</v>
      </c>
      <c r="K6" s="36" t="s">
        <v>43</v>
      </c>
      <c r="L6" s="36" t="s">
        <v>43</v>
      </c>
    </row>
    <row r="7" spans="1:12" x14ac:dyDescent="0.25">
      <c r="A7" t="s">
        <v>282</v>
      </c>
      <c r="B7" t="s">
        <v>283</v>
      </c>
      <c r="C7" t="s">
        <v>284</v>
      </c>
      <c r="D7" s="26">
        <f>SUM('Leontief inverse'!G3:G66)</f>
        <v>2.4421365072967265</v>
      </c>
      <c r="E7" s="36">
        <f>100*SUM('Import requirements'!G3:G66)</f>
        <v>18.170949703581904</v>
      </c>
      <c r="F7" s="36">
        <f>100*SUMPRODUCT('IO model'!$J$3:$J$66,'Leontief inverse'!G3:G66)</f>
        <v>81.82905029641802</v>
      </c>
      <c r="G7" s="26">
        <f>E7+F7-100</f>
        <v>-7.771561172376096e-14</v>
      </c>
      <c r="H7" s="24">
        <f>'IO model'!M7</f>
        <v>181831.19999999995</v>
      </c>
      <c r="I7" s="24">
        <f>E7/100*H7</f>
        <v>33040.45589741941</v>
      </c>
      <c r="J7" s="24">
        <v>269482.6453269164</v>
      </c>
      <c r="K7" s="36">
        <v>19</v>
      </c>
      <c r="L7" s="36">
        <f>E7-K7</f>
        <v>-0.8290502964180959</v>
      </c>
    </row>
    <row r="8" spans="1:12" x14ac:dyDescent="0.25">
      <c r="A8" t="s">
        <v>145</v>
      </c>
      <c r="B8" t="s">
        <v>285</v>
      </c>
      <c r="C8" t="s">
        <v>284</v>
      </c>
      <c r="D8" s="26">
        <f>SUM('Leontief inverse'!H3:H66)</f>
        <v>2.0620659250982873</v>
      </c>
      <c r="E8" s="36">
        <f>100*SUM('Import requirements'!H3:H66)</f>
        <v>20.559104761064564</v>
      </c>
      <c r="F8" s="36">
        <f>100*SUMPRODUCT('IO model'!$J$3:$J$66,'Leontief inverse'!H3:H66)</f>
        <v>79.44089523893543</v>
      </c>
      <c r="G8" s="26">
        <f>E8+F8-100</f>
        <v>-1.1102230246251565e-14</v>
      </c>
      <c r="H8" s="24">
        <f>'IO model'!M8</f>
        <v>61979.49999999999</v>
      </c>
      <c r="I8" s="24">
        <f>E8/100*H8</f>
        <v>12742.43033538401</v>
      </c>
      <c r="J8" s="24">
        <v>88114.69221857328</v>
      </c>
      <c r="K8" s="36">
        <v>18.1</v>
      </c>
      <c r="L8" s="36">
        <f>E8-K8</f>
        <v>2.4591047610645624</v>
      </c>
    </row>
    <row r="9" spans="1:12" x14ac:dyDescent="0.25">
      <c r="A9" t="s">
        <v>85</v>
      </c>
      <c r="B9" t="s">
        <v>286</v>
      </c>
      <c r="C9" t="s">
        <v>284</v>
      </c>
      <c r="D9" s="26">
        <f>SUM('Leontief inverse'!I3:I66)</f>
        <v>2.2755152430649965</v>
      </c>
      <c r="E9" s="36">
        <f>100*SUM('Import requirements'!I3:I66)</f>
        <v>15.56867337850133</v>
      </c>
      <c r="F9" s="36">
        <f>100*SUMPRODUCT('IO model'!$J$3:$J$66,'Leontief inverse'!I3:I66)</f>
        <v>84.4313266214986</v>
      </c>
      <c r="G9" s="26">
        <f>E9+F9-100</f>
        <v>-7.771561172376096e-14</v>
      </c>
      <c r="H9" s="24">
        <f>'IO model'!M9</f>
        <v>27394.6</v>
      </c>
      <c r="I9" s="24">
        <f>E9/100*H9</f>
        <v>4264.975797346925</v>
      </c>
      <c r="J9" s="24">
        <v>53809.99595863423</v>
      </c>
      <c r="K9" s="36">
        <v>14.2</v>
      </c>
      <c r="L9" s="36">
        <f>E9-K9</f>
        <v>1.368673378501331</v>
      </c>
    </row>
    <row r="10" spans="1:12" x14ac:dyDescent="0.25">
      <c r="A10" t="s">
        <v>87</v>
      </c>
      <c r="B10" t="s">
        <v>287</v>
      </c>
      <c r="C10" t="s">
        <v>284</v>
      </c>
      <c r="D10" s="26">
        <f>SUM('Leontief inverse'!J3:J66)</f>
        <v>2.382027368894517</v>
      </c>
      <c r="E10" s="36">
        <f>100*SUM('Import requirements'!J3:J66)</f>
        <v>19.474409604649793</v>
      </c>
      <c r="F10" s="36">
        <f>100*SUMPRODUCT('IO model'!$J$3:$J$66,'Leontief inverse'!J3:J66)</f>
        <v>80.52559039535022</v>
      </c>
      <c r="G10" s="26">
        <f>E10+F10-100</f>
        <v>2.220446049250313e-14</v>
      </c>
      <c r="H10" s="24">
        <f>'IO model'!M10</f>
        <v>43541.3</v>
      </c>
      <c r="I10" s="24">
        <f>E10/100*H10</f>
        <v>8479.411109189381</v>
      </c>
      <c r="J10" s="24">
        <v>87714.77241773487</v>
      </c>
      <c r="K10" s="36">
        <v>17.4</v>
      </c>
      <c r="L10" s="36">
        <f>E10-K10</f>
        <v>2.0744096046497944</v>
      </c>
    </row>
    <row r="11" spans="1:12" x14ac:dyDescent="0.25">
      <c r="A11" t="s">
        <v>89</v>
      </c>
      <c r="B11" t="s">
        <v>288</v>
      </c>
      <c r="C11" t="s">
        <v>284</v>
      </c>
      <c r="D11" s="26">
        <f>SUM('Leontief inverse'!K3:K66)</f>
        <v>2.0934726470820975</v>
      </c>
      <c r="E11" s="36">
        <f>100*SUM('Import requirements'!K3:K66)</f>
        <v>16.152825481498574</v>
      </c>
      <c r="F11" s="36">
        <f>100*SUMPRODUCT('IO model'!$J$3:$J$66,'Leontief inverse'!K3:K66)</f>
        <v>83.8471745185014</v>
      </c>
      <c r="G11" s="26">
        <f>E11+F11-100</f>
        <v>-2.220446049250313e-14</v>
      </c>
      <c r="H11" s="24">
        <f>'IO model'!M11</f>
        <v>4707.1</v>
      </c>
      <c r="I11" s="24">
        <f>E11/100*H11</f>
        <v>760.3296482396194</v>
      </c>
      <c r="J11" s="24">
        <v>19485.62718051154</v>
      </c>
      <c r="K11" s="36">
        <v>15.9</v>
      </c>
      <c r="L11" s="36">
        <f>E11-K11</f>
        <v>0.252825481498574</v>
      </c>
    </row>
    <row r="12" spans="1:12" x14ac:dyDescent="0.25">
      <c r="A12" t="s">
        <v>91</v>
      </c>
      <c r="B12" t="s">
        <v>289</v>
      </c>
      <c r="C12" t="s">
        <v>284</v>
      </c>
      <c r="D12" s="26">
        <f>SUM('Leontief inverse'!L3:L66)</f>
        <v>1.5972801413359297</v>
      </c>
      <c r="E12" s="36">
        <f>100*SUM('Import requirements'!L3:L66)</f>
        <v>63.66912011239146</v>
      </c>
      <c r="F12" s="36">
        <f>100*SUMPRODUCT('IO model'!$J$3:$J$66,'Leontief inverse'!L3:L66)</f>
        <v>36.330879887608546</v>
      </c>
      <c r="G12" s="26">
        <f>E12+F12-100</f>
        <v>0</v>
      </c>
      <c r="H12" s="24">
        <f>'IO model'!M12</f>
        <v>107624.59999999999</v>
      </c>
      <c r="I12" s="24">
        <f>E12/100*H12</f>
        <v>68523.63584448086</v>
      </c>
      <c r="J12" s="24">
        <v>204112.00335116126</v>
      </c>
      <c r="K12" s="36">
        <v>64.2</v>
      </c>
      <c r="L12" s="36">
        <f>E12-K12</f>
        <v>-0.5308798876085419</v>
      </c>
    </row>
    <row r="13" spans="1:12" x14ac:dyDescent="0.25">
      <c r="A13" t="s">
        <v>93</v>
      </c>
      <c r="B13" t="s">
        <v>290</v>
      </c>
      <c r="C13" t="s">
        <v>284</v>
      </c>
      <c r="D13" s="26">
        <f>SUM('Leontief inverse'!M3:M66)</f>
        <v>2.2180475706573155</v>
      </c>
      <c r="E13" s="36">
        <f>100*SUM('Import requirements'!M3:M66)</f>
        <v>28.887715583236435</v>
      </c>
      <c r="F13" s="36">
        <f>100*SUMPRODUCT('IO model'!$J$3:$J$66,'Leontief inverse'!M3:M66)</f>
        <v>71.11228441676359</v>
      </c>
      <c r="G13" s="26">
        <f>E13+F13-100</f>
        <v>2.220446049250313e-14</v>
      </c>
      <c r="H13" s="24">
        <f>'IO model'!M13</f>
        <v>191247.9</v>
      </c>
      <c r="I13" s="24">
        <f>E13/100*H13</f>
        <v>55247.14941091243</v>
      </c>
      <c r="J13" s="24">
        <v>319058.6778520694</v>
      </c>
      <c r="K13" s="36">
        <v>25.6</v>
      </c>
      <c r="L13" s="36">
        <f>E13-K13</f>
        <v>3.2877155832364338</v>
      </c>
    </row>
    <row r="14" spans="1:12" x14ac:dyDescent="0.25">
      <c r="A14" t="s">
        <v>95</v>
      </c>
      <c r="B14" t="s">
        <v>291</v>
      </c>
      <c r="C14" t="s">
        <v>284</v>
      </c>
      <c r="D14" s="26">
        <f>SUM('Leontief inverse'!N3:N66)</f>
        <v>1.7011326290390258</v>
      </c>
      <c r="E14" s="36">
        <f>100*SUM('Import requirements'!N3:N66)</f>
        <v>21.023157821458398</v>
      </c>
      <c r="F14" s="36">
        <f>100*SUMPRODUCT('IO model'!$J$3:$J$66,'Leontief inverse'!N3:N66)</f>
        <v>78.97684217854162</v>
      </c>
      <c r="G14" s="26">
        <f>E14+F14-100</f>
        <v>2.220446049250313e-14</v>
      </c>
      <c r="H14" s="24">
        <f>'IO model'!M14</f>
        <v>193262.19999999995</v>
      </c>
      <c r="I14" s="24">
        <f>E14/100*H14</f>
        <v>40629.817315222565</v>
      </c>
      <c r="J14" s="24">
        <v>219007.53728361486</v>
      </c>
      <c r="K14" s="36">
        <v>20.1</v>
      </c>
      <c r="L14" s="36">
        <f>E14-K14</f>
        <v>0.9231578214583962</v>
      </c>
    </row>
    <row r="15" spans="1:12" x14ac:dyDescent="0.25">
      <c r="A15" t="s">
        <v>97</v>
      </c>
      <c r="B15" t="s">
        <v>292</v>
      </c>
      <c r="C15" t="s">
        <v>284</v>
      </c>
      <c r="D15" s="26">
        <f>SUM('Leontief inverse'!O3:O66)</f>
        <v>2.166434602465722</v>
      </c>
      <c r="E15" s="36">
        <f>100*SUM('Import requirements'!O3:O66)</f>
        <v>22.440508046687558</v>
      </c>
      <c r="F15" s="36">
        <f>100*SUMPRODUCT('IO model'!$J$3:$J$66,'Leontief inverse'!O3:O66)</f>
        <v>77.55949195331247</v>
      </c>
      <c r="G15" s="26">
        <f>E15+F15-100</f>
        <v>4.440892098500626e-14</v>
      </c>
      <c r="H15" s="24">
        <f>'IO model'!M15</f>
        <v>65228.79999999999</v>
      </c>
      <c r="I15" s="24">
        <f>E15/100*H15</f>
        <v>14637.674112757732</v>
      </c>
      <c r="J15" s="24">
        <v>134822.96547461703</v>
      </c>
      <c r="K15" s="36">
        <v>20.3</v>
      </c>
      <c r="L15" s="36">
        <f>E15-K15</f>
        <v>2.1405080466875575</v>
      </c>
    </row>
    <row r="16" spans="1:12" x14ac:dyDescent="0.25">
      <c r="A16" t="s">
        <v>99</v>
      </c>
      <c r="B16" t="s">
        <v>293</v>
      </c>
      <c r="C16" t="s">
        <v>284</v>
      </c>
      <c r="D16" s="26">
        <f>SUM('Leontief inverse'!P3:P66)</f>
        <v>2.151466705521673</v>
      </c>
      <c r="E16" s="36">
        <f>100*SUM('Import requirements'!P3:P66)</f>
        <v>18.23652273895223</v>
      </c>
      <c r="F16" s="36">
        <f>100*SUMPRODUCT('IO model'!$J$3:$J$66,'Leontief inverse'!P3:P66)</f>
        <v>81.76347726104773</v>
      </c>
      <c r="G16" s="26">
        <f>E16+F16-100</f>
        <v>-4.440892098500626e-14</v>
      </c>
      <c r="H16" s="24">
        <f>'IO model'!M16</f>
        <v>32675.999999999996</v>
      </c>
      <c r="I16" s="24">
        <f>E16/100*H16</f>
        <v>5958.9661701800305</v>
      </c>
      <c r="J16" s="24">
        <v>63462.99668820321</v>
      </c>
      <c r="K16" s="36">
        <v>17.4</v>
      </c>
      <c r="L16" s="36">
        <f>E16-K16</f>
        <v>0.8365227389522332</v>
      </c>
    </row>
    <row r="17" spans="1:12" x14ac:dyDescent="0.25">
      <c r="A17" t="s">
        <v>101</v>
      </c>
      <c r="B17" t="s">
        <v>294</v>
      </c>
      <c r="C17" t="s">
        <v>284</v>
      </c>
      <c r="D17" s="26">
        <f>SUM('Leontief inverse'!Q3:Q66)</f>
        <v>2.3835028776367366</v>
      </c>
      <c r="E17" s="36">
        <f>100*SUM('Import requirements'!Q3:Q66)</f>
        <v>31.71889922588947</v>
      </c>
      <c r="F17" s="36">
        <f>100*SUMPRODUCT('IO model'!$J$3:$J$66,'Leontief inverse'!Q3:Q66)</f>
        <v>68.28110077411056</v>
      </c>
      <c r="G17" s="26">
        <f>E17+F17-100</f>
        <v>2.220446049250313e-14</v>
      </c>
      <c r="H17" s="24">
        <f>'IO model'!M17</f>
        <v>86804.3</v>
      </c>
      <c r="I17" s="24">
        <f>E17/100*H17</f>
        <v>27533.368440738774</v>
      </c>
      <c r="J17" s="24">
        <v>230942.59018342974</v>
      </c>
      <c r="K17" s="36">
        <v>28.8</v>
      </c>
      <c r="L17" s="36">
        <f>E17-K17</f>
        <v>2.9188992258894686</v>
      </c>
    </row>
    <row r="18" spans="1:12" x14ac:dyDescent="0.25">
      <c r="A18" t="s">
        <v>103</v>
      </c>
      <c r="B18" t="s">
        <v>295</v>
      </c>
      <c r="C18" t="s">
        <v>284</v>
      </c>
      <c r="D18" s="26">
        <f>SUM('Leontief inverse'!R3:R66)</f>
        <v>2.203081349603938</v>
      </c>
      <c r="E18" s="36">
        <f>100*SUM('Import requirements'!R3:R66)</f>
        <v>18.062333986090074</v>
      </c>
      <c r="F18" s="36">
        <f>100*SUMPRODUCT('IO model'!$J$3:$J$66,'Leontief inverse'!R3:R66)</f>
        <v>81.93766601390988</v>
      </c>
      <c r="G18" s="26">
        <f>E18+F18-100</f>
        <v>-4.440892098500626e-14</v>
      </c>
      <c r="H18" s="24">
        <f>'IO model'!M18</f>
        <v>76962.9</v>
      </c>
      <c r="I18" s="24">
        <f>E18/100*H18</f>
        <v>13901.296043380516</v>
      </c>
      <c r="J18" s="24">
        <v>206468.96756096138</v>
      </c>
      <c r="K18" s="36">
        <v>16.5</v>
      </c>
      <c r="L18" s="36">
        <f>E18-K18</f>
        <v>1.5623339860900742</v>
      </c>
    </row>
    <row r="19" spans="1:12" x14ac:dyDescent="0.25">
      <c r="A19" t="s">
        <v>105</v>
      </c>
      <c r="B19" t="s">
        <v>296</v>
      </c>
      <c r="C19" t="s">
        <v>284</v>
      </c>
      <c r="D19" s="26">
        <f>SUM('Leontief inverse'!S3:S66)</f>
        <v>1.720221855995731</v>
      </c>
      <c r="E19" s="36">
        <f>100*SUM('Import requirements'!S3:S66)</f>
        <v>21.0616370405279</v>
      </c>
      <c r="F19" s="36">
        <f>100*SUMPRODUCT('IO model'!$J$3:$J$66,'Leontief inverse'!S3:S66)</f>
        <v>78.93836295947212</v>
      </c>
      <c r="G19" s="26">
        <f>E19+F19-100</f>
        <v>2.220446049250313e-14</v>
      </c>
      <c r="H19" s="24">
        <f>'IO model'!M19</f>
        <v>145889.1</v>
      </c>
      <c r="I19" s="24">
        <f>E19/100*H19</f>
        <v>30726.63272369279</v>
      </c>
      <c r="J19" s="24">
        <v>183478.15494550276</v>
      </c>
      <c r="K19" s="36">
        <v>18.9</v>
      </c>
      <c r="L19" s="36">
        <f>E19-K19</f>
        <v>2.1616370405279</v>
      </c>
    </row>
    <row r="20" spans="1:12" x14ac:dyDescent="0.25">
      <c r="A20" t="s">
        <v>107</v>
      </c>
      <c r="B20" t="s">
        <v>297</v>
      </c>
      <c r="C20" t="s">
        <v>284</v>
      </c>
      <c r="D20" s="26">
        <f>SUM('Leontief inverse'!T3:T66)</f>
        <v>2.128975195880088</v>
      </c>
      <c r="E20" s="36">
        <f>100*SUM('Import requirements'!T3:T66)</f>
        <v>22.921232071660672</v>
      </c>
      <c r="F20" s="36">
        <f>100*SUMPRODUCT('IO model'!$J$3:$J$66,'Leontief inverse'!T3:T66)</f>
        <v>77.07876792833936</v>
      </c>
      <c r="G20" s="26">
        <f>E20+F20-100</f>
        <v>4.440892098500626e-14</v>
      </c>
      <c r="H20" s="24">
        <f>'IO model'!M20</f>
        <v>103065.69999999998</v>
      </c>
      <c r="I20" s="24">
        <f>E20/100*H20</f>
        <v>23623.92828328157</v>
      </c>
      <c r="J20" s="24">
        <v>155361.92188587485</v>
      </c>
      <c r="K20" s="36">
        <v>20.7</v>
      </c>
      <c r="L20" s="36">
        <f>E20-K20</f>
        <v>2.2212320716606726</v>
      </c>
    </row>
    <row r="21" spans="1:12" x14ac:dyDescent="0.25">
      <c r="A21" t="s">
        <v>109</v>
      </c>
      <c r="B21" t="s">
        <v>298</v>
      </c>
      <c r="C21" t="s">
        <v>284</v>
      </c>
      <c r="D21" s="26">
        <f>SUM('Leontief inverse'!U3:U66)</f>
        <v>2.1599885925084576</v>
      </c>
      <c r="E21" s="36">
        <f>100*SUM('Import requirements'!U3:U66)</f>
        <v>18.151820574685516</v>
      </c>
      <c r="F21" s="36">
        <f>100*SUMPRODUCT('IO model'!$J$3:$J$66,'Leontief inverse'!U3:U66)</f>
        <v>81.84817942531446</v>
      </c>
      <c r="G21" s="26">
        <f>E21+F21-100</f>
        <v>-3.3306690738754696e-14</v>
      </c>
      <c r="H21" s="24">
        <f>'IO model'!M21</f>
        <v>260755</v>
      </c>
      <c r="I21" s="24">
        <f>E21/100*H21</f>
        <v>47331.77973952121</v>
      </c>
      <c r="J21" s="24">
        <v>354602.7769021395</v>
      </c>
      <c r="K21" s="36">
        <v>16.1</v>
      </c>
      <c r="L21" s="36">
        <f>E21-K21</f>
        <v>2.0518205746855145</v>
      </c>
    </row>
    <row r="22" spans="1:12" x14ac:dyDescent="0.25">
      <c r="A22" t="s">
        <v>111</v>
      </c>
      <c r="B22" t="s">
        <v>299</v>
      </c>
      <c r="C22" t="s">
        <v>284</v>
      </c>
      <c r="D22" s="26">
        <f>SUM('Leontief inverse'!V3:V66)</f>
        <v>2.37438954257715</v>
      </c>
      <c r="E22" s="36">
        <f>100*SUM('Import requirements'!V3:V66)</f>
        <v>21.560623159949227</v>
      </c>
      <c r="F22" s="36">
        <f>100*SUMPRODUCT('IO model'!$J$3:$J$66,'Leontief inverse'!V3:V66)</f>
        <v>78.43937684005071</v>
      </c>
      <c r="G22" s="26">
        <f>E22+F22-100</f>
        <v>-6.661338147750939e-14</v>
      </c>
      <c r="H22" s="24">
        <f>'IO model'!M22</f>
        <v>254945.3</v>
      </c>
      <c r="I22" s="24">
        <f>E22/100*H22</f>
        <v>54967.79539700203</v>
      </c>
      <c r="J22" s="24">
        <v>380776.6435955252</v>
      </c>
      <c r="K22" s="36">
        <v>19.7</v>
      </c>
      <c r="L22" s="36">
        <f>E22-K22</f>
        <v>1.8606231599492276</v>
      </c>
    </row>
    <row r="23" spans="1:12" x14ac:dyDescent="0.25">
      <c r="A23" t="s">
        <v>113</v>
      </c>
      <c r="B23" t="s">
        <v>300</v>
      </c>
      <c r="C23" t="s">
        <v>284</v>
      </c>
      <c r="D23" s="26">
        <f>SUM('Leontief inverse'!W3:W66)</f>
        <v>2.190007453898444</v>
      </c>
      <c r="E23" s="36">
        <f>100*SUM('Import requirements'!W3:W66)</f>
        <v>27.228614297712106</v>
      </c>
      <c r="F23" s="36">
        <f>100*SUMPRODUCT('IO model'!$J$3:$J$66,'Leontief inverse'!W3:W66)</f>
        <v>72.77138570228787</v>
      </c>
      <c r="G23" s="26">
        <f>E23+F23-100</f>
        <v>-2.220446049250313e-14</v>
      </c>
      <c r="H23" s="24">
        <f>'IO model'!M23</f>
        <v>103737.4</v>
      </c>
      <c r="I23" s="24">
        <f>E23/100*H23</f>
        <v>28246.256528474798</v>
      </c>
      <c r="J23" s="24">
        <v>138885.15898478334</v>
      </c>
      <c r="K23" s="36">
        <v>26.1</v>
      </c>
      <c r="L23" s="36">
        <f>E23-K23</f>
        <v>1.1286142977121045</v>
      </c>
    </row>
    <row r="24" spans="1:12" x14ac:dyDescent="0.25">
      <c r="A24" t="s">
        <v>301</v>
      </c>
      <c r="B24" t="s">
        <v>302</v>
      </c>
      <c r="C24" t="s">
        <v>284</v>
      </c>
      <c r="D24" s="26">
        <f>SUM('Leontief inverse'!X3:X66)</f>
        <v>2.012357966181137</v>
      </c>
      <c r="E24" s="36">
        <f>100*SUM('Import requirements'!X3:X66)</f>
        <v>18.120924947759175</v>
      </c>
      <c r="F24" s="36">
        <f>100*SUMPRODUCT('IO model'!$J$3:$J$66,'Leontief inverse'!X3:X66)</f>
        <v>81.87907505224088</v>
      </c>
      <c r="G24" s="26">
        <f>E24+F24-100</f>
        <v>4.440892098500626e-14</v>
      </c>
      <c r="H24" s="24">
        <f>'IO model'!M24</f>
        <v>79142.8</v>
      </c>
      <c r="I24" s="24">
        <f>E24/100*H24</f>
        <v>14341.40738955515</v>
      </c>
      <c r="J24" s="24">
        <v>94642.65104654574</v>
      </c>
      <c r="K24" s="36">
        <v>17.8</v>
      </c>
      <c r="L24" s="36">
        <f>E24-K24</f>
        <v>0.320924947759174</v>
      </c>
    </row>
    <row r="25" spans="1:12" x14ac:dyDescent="0.25">
      <c r="A25" t="s">
        <v>119</v>
      </c>
      <c r="B25" t="s">
        <v>303</v>
      </c>
      <c r="C25" t="s">
        <v>284</v>
      </c>
      <c r="D25" s="26">
        <f>SUM('Leontief inverse'!Y3:Y66)</f>
        <v>2.003347201277253</v>
      </c>
      <c r="E25" s="36">
        <f>100*SUM('Import requirements'!Y3:Y66)</f>
        <v>16.071723031724343</v>
      </c>
      <c r="F25" s="36">
        <f>100*SUMPRODUCT('IO model'!$J$3:$J$66,'Leontief inverse'!Y3:Y66)</f>
        <v>83.92827696827567</v>
      </c>
      <c r="G25" s="26">
        <f>E25+F25-100</f>
        <v>2.220446049250313e-14</v>
      </c>
      <c r="H25" s="24">
        <f>'IO model'!M25</f>
        <v>21463</v>
      </c>
      <c r="I25" s="24">
        <f>E25/100*H25</f>
        <v>3449.473914298996</v>
      </c>
      <c r="J25" s="24">
        <v>62481.64634269672</v>
      </c>
      <c r="K25" s="36">
        <v>14.5</v>
      </c>
      <c r="L25" s="36">
        <f>E25-K25</f>
        <v>1.5717230317243427</v>
      </c>
    </row>
    <row r="26" spans="1:12" x14ac:dyDescent="0.25">
      <c r="A26" t="s">
        <v>304</v>
      </c>
      <c r="B26" t="s">
        <v>305</v>
      </c>
      <c r="C26" t="s">
        <v>306</v>
      </c>
      <c r="D26" s="26">
        <f>SUM('Leontief inverse'!Z3:Z66)</f>
        <v>2.024194197269253</v>
      </c>
      <c r="E26" s="36">
        <f>100*SUM('Import requirements'!Z3:Z66)</f>
        <v>18.479905734254164</v>
      </c>
      <c r="F26" s="36">
        <f>100*SUMPRODUCT('IO model'!$J$3:$J$66,'Leontief inverse'!Z3:Z66)</f>
        <v>81.52009426574575</v>
      </c>
      <c r="G26" s="26">
        <f>E26+F26-100</f>
        <v>-7.771561172376096e-14</v>
      </c>
      <c r="H26" s="24">
        <f>'IO model'!M26</f>
        <v>18893.1</v>
      </c>
      <c r="I26" s="24">
        <f>E26/100*H26</f>
        <v>3491.427070278373</v>
      </c>
      <c r="J26" s="24">
        <v>178127.8379032036</v>
      </c>
      <c r="K26" s="36" t="s">
        <v>43</v>
      </c>
      <c r="L26" s="36" t="s">
        <v>43</v>
      </c>
    </row>
    <row r="27" spans="1:12" x14ac:dyDescent="0.25">
      <c r="A27" t="s">
        <v>307</v>
      </c>
      <c r="B27" t="s">
        <v>308</v>
      </c>
      <c r="C27" t="s">
        <v>309</v>
      </c>
      <c r="D27" s="26">
        <f>SUM('Leontief inverse'!AA3:AA66)</f>
        <v>1.976036732509998</v>
      </c>
      <c r="E27" s="36">
        <f>100*SUM('Import requirements'!AA3:AA66)</f>
        <v>9.332666142253748</v>
      </c>
      <c r="F27" s="36">
        <f>100*SUMPRODUCT('IO model'!$J$3:$J$66,'Leontief inverse'!AA3:AA66)</f>
        <v>90.66733385774627</v>
      </c>
      <c r="G27" s="26">
        <f>E27+F27-100</f>
        <v>2.220446049250313e-14</v>
      </c>
      <c r="H27" s="24">
        <f>'IO model'!M27</f>
        <v>903</v>
      </c>
      <c r="I27" s="24">
        <f>E27/100*H27</f>
        <v>84.27397526455135</v>
      </c>
      <c r="J27" s="24">
        <v>7853.428231022762</v>
      </c>
      <c r="K27" s="36" t="s">
        <v>43</v>
      </c>
      <c r="L27" s="36" t="s">
        <v>43</v>
      </c>
    </row>
    <row r="28" spans="1:12" x14ac:dyDescent="0.25">
      <c r="A28" t="s">
        <v>310</v>
      </c>
      <c r="B28" t="s">
        <v>311</v>
      </c>
      <c r="C28" t="s">
        <v>309</v>
      </c>
      <c r="D28" s="26">
        <f>SUM('Leontief inverse'!AB3:AB66)</f>
        <v>2.096787416739698</v>
      </c>
      <c r="E28" s="36">
        <f>100*SUM('Import requirements'!AB3:AB66)</f>
        <v>11.742327356502797</v>
      </c>
      <c r="F28" s="36">
        <f>100*SUMPRODUCT('IO model'!$J$3:$J$66,'Leontief inverse'!AB3:AB66)</f>
        <v>88.25767264349723</v>
      </c>
      <c r="G28" s="26">
        <f>E28+F28-100</f>
        <v>2.220446049250313e-14</v>
      </c>
      <c r="H28" s="24">
        <f>'IO model'!M28</f>
        <v>13724.100000000002</v>
      </c>
      <c r="I28" s="24">
        <f>E28/100*H28</f>
        <v>1611.5287487338005</v>
      </c>
      <c r="J28" s="24">
        <v>62482.738786137066</v>
      </c>
      <c r="K28" s="36" t="s">
        <v>43</v>
      </c>
      <c r="L28" s="36" t="s">
        <v>43</v>
      </c>
    </row>
    <row r="29" spans="1:12" x14ac:dyDescent="0.25">
      <c r="A29" t="s">
        <v>312</v>
      </c>
      <c r="B29" t="s">
        <v>313</v>
      </c>
      <c r="C29" t="s">
        <v>312</v>
      </c>
      <c r="D29" s="26">
        <f>SUM('Leontief inverse'!AC3:AC66)</f>
        <v>2.197692178411423</v>
      </c>
      <c r="E29" s="36">
        <f>100*SUM('Import requirements'!AC3:AC66)</f>
        <v>13.030268915330184</v>
      </c>
      <c r="F29" s="36">
        <f>100*SUMPRODUCT('IO model'!$J$3:$J$66,'Leontief inverse'!AC3:AC66)</f>
        <v>86.96973108466986</v>
      </c>
      <c r="G29" s="26">
        <f>E29+F29-100</f>
        <v>4.440892098500626e-14</v>
      </c>
      <c r="H29" s="24">
        <f>'IO model'!M29</f>
        <v>17254.1</v>
      </c>
      <c r="I29" s="24">
        <f>E29/100*H29</f>
        <v>2248.255628919985</v>
      </c>
      <c r="J29" s="24">
        <v>108083.6555026242</v>
      </c>
      <c r="K29" s="36" t="s">
        <v>43</v>
      </c>
      <c r="L29" s="36" t="s">
        <v>43</v>
      </c>
    </row>
    <row r="30" spans="1:12" x14ac:dyDescent="0.25">
      <c r="A30" t="s">
        <v>314</v>
      </c>
      <c r="B30" t="s">
        <v>315</v>
      </c>
      <c r="C30" t="s">
        <v>316</v>
      </c>
      <c r="D30" s="26">
        <f>SUM('Leontief inverse'!AD3:AD66)</f>
        <v>1.832168945655108</v>
      </c>
      <c r="E30" s="36">
        <f>100*SUM('Import requirements'!AD3:AD66)</f>
        <v>10.385378210049147</v>
      </c>
      <c r="F30" s="36">
        <f>100*SUMPRODUCT('IO model'!$J$3:$J$66,'Leontief inverse'!AD3:AD66)</f>
        <v>89.61462178995087</v>
      </c>
      <c r="G30" s="26">
        <f>E30+F30-100</f>
        <v>2.220446049250313e-14</v>
      </c>
      <c r="H30" s="24">
        <f>'IO model'!M30</f>
        <v>30001.799999999996</v>
      </c>
      <c r="I30" s="24">
        <f>E30/100*H30</f>
        <v>3115.8003998225245</v>
      </c>
      <c r="J30" s="24">
        <v>80944.1006766836</v>
      </c>
      <c r="K30" s="36" t="s">
        <v>43</v>
      </c>
      <c r="L30" s="36" t="s">
        <v>43</v>
      </c>
    </row>
    <row r="31" spans="1:12" x14ac:dyDescent="0.25">
      <c r="A31" t="s">
        <v>317</v>
      </c>
      <c r="B31" t="s">
        <v>318</v>
      </c>
      <c r="C31" t="s">
        <v>316</v>
      </c>
      <c r="D31" s="26">
        <f>SUM('Leontief inverse'!AE3:AE66)</f>
        <v>1.8213735689391632</v>
      </c>
      <c r="E31" s="36">
        <f>100*SUM('Import requirements'!AE3:AE66)</f>
        <v>10.487277976954474</v>
      </c>
      <c r="F31" s="36">
        <f>100*SUMPRODUCT('IO model'!$J$3:$J$66,'Leontief inverse'!AE3:AE66)</f>
        <v>89.51272202304543</v>
      </c>
      <c r="G31" s="26">
        <f>E31+F31-100</f>
        <v>-8.881784197001252e-14</v>
      </c>
      <c r="H31" s="24">
        <f>'IO model'!M31</f>
        <v>292249.60000000003</v>
      </c>
      <c r="I31" s="24">
        <f>E31/100*H31</f>
        <v>30649.027938537543</v>
      </c>
      <c r="J31" s="24">
        <v>544787.8443545715</v>
      </c>
      <c r="K31" s="36" t="s">
        <v>43</v>
      </c>
      <c r="L31" s="36" t="s">
        <v>43</v>
      </c>
    </row>
    <row r="32" spans="1:12" x14ac:dyDescent="0.25">
      <c r="A32" t="s">
        <v>319</v>
      </c>
      <c r="B32" t="s">
        <v>320</v>
      </c>
      <c r="C32" t="s">
        <v>316</v>
      </c>
      <c r="D32" s="26">
        <f>SUM('Leontief inverse'!AF3:AF66)</f>
        <v>1.7180519406872723</v>
      </c>
      <c r="E32" s="36">
        <f>100*SUM('Import requirements'!AF3:AF66)</f>
        <v>7.308743244696625</v>
      </c>
      <c r="F32" s="36">
        <f>100*SUMPRODUCT('IO model'!$J$3:$J$66,'Leontief inverse'!AF3:AF66)</f>
        <v>92.69125675530334</v>
      </c>
      <c r="G32" s="26">
        <f>E32+F32-100</f>
        <v>-3.3306690738754696e-14</v>
      </c>
      <c r="H32" s="24">
        <f>'IO model'!M32</f>
        <v>52006.200000000004</v>
      </c>
      <c r="I32" s="24">
        <f>E32/100*H32</f>
        <v>3800.9996293234167</v>
      </c>
      <c r="J32" s="24">
        <v>117692.82428639034</v>
      </c>
      <c r="K32" s="36" t="s">
        <v>43</v>
      </c>
      <c r="L32" s="36" t="s">
        <v>43</v>
      </c>
    </row>
    <row r="33" spans="1:12" x14ac:dyDescent="0.25">
      <c r="A33" t="s">
        <v>321</v>
      </c>
      <c r="B33" t="s">
        <v>322</v>
      </c>
      <c r="C33" t="s">
        <v>323</v>
      </c>
      <c r="D33" s="26">
        <f>SUM('Leontief inverse'!AG3:AG66)</f>
        <v>2.028402596595891</v>
      </c>
      <c r="E33" s="36">
        <f>100*SUM('Import requirements'!AG3:AG66)</f>
        <v>13.12450920091548</v>
      </c>
      <c r="F33" s="36">
        <f>100*SUMPRODUCT('IO model'!$J$3:$J$66,'Leontief inverse'!AG3:AG66)</f>
        <v>86.8754907990845</v>
      </c>
      <c r="G33" s="26">
        <f>E33+F33-100</f>
        <v>-1.1102230246251565e-14</v>
      </c>
      <c r="H33" s="24">
        <f>'IO model'!M33</f>
        <v>90476.80000000002</v>
      </c>
      <c r="I33" s="24">
        <f>E33/100*H33</f>
        <v>11874.6359406939</v>
      </c>
      <c r="J33" s="24">
        <v>227361.8375984232</v>
      </c>
      <c r="K33" s="36" t="s">
        <v>43</v>
      </c>
      <c r="L33" s="36" t="s">
        <v>43</v>
      </c>
    </row>
    <row r="34" spans="1:12" x14ac:dyDescent="0.25">
      <c r="A34" t="s">
        <v>134</v>
      </c>
      <c r="B34" t="s">
        <v>324</v>
      </c>
      <c r="C34" t="s">
        <v>323</v>
      </c>
      <c r="D34" s="26">
        <f>SUM('Leontief inverse'!AH3:AH66)</f>
        <v>1.9129300460671212</v>
      </c>
      <c r="E34" s="36">
        <f>100*SUM('Import requirements'!AH3:AH66)</f>
        <v>30.443610225658645</v>
      </c>
      <c r="F34" s="36">
        <f>100*SUMPRODUCT('IO model'!$J$3:$J$66,'Leontief inverse'!AH3:AH66)</f>
        <v>69.55638977434133</v>
      </c>
      <c r="G34" s="26">
        <f>E34+F34-100</f>
        <v>-2.220446049250313e-14</v>
      </c>
      <c r="H34" s="24">
        <f>'IO model'!M34</f>
        <v>146714.80000000002</v>
      </c>
      <c r="I34" s="24">
        <f>E34/100*H34</f>
        <v>44665.28185535464</v>
      </c>
      <c r="J34" s="24">
        <v>177616.63972238143</v>
      </c>
      <c r="K34" s="36" t="s">
        <v>43</v>
      </c>
      <c r="L34" s="36" t="s">
        <v>43</v>
      </c>
    </row>
    <row r="35" spans="1:12" x14ac:dyDescent="0.25">
      <c r="A35" t="s">
        <v>137</v>
      </c>
      <c r="B35" t="s">
        <v>325</v>
      </c>
      <c r="C35" t="s">
        <v>323</v>
      </c>
      <c r="D35" s="26">
        <f>SUM('Leontief inverse'!AI3:AI66)</f>
        <v>2.1888478558788975</v>
      </c>
      <c r="E35" s="36">
        <f>100*SUM('Import requirements'!AI3:AI66)</f>
        <v>28.42209778209866</v>
      </c>
      <c r="F35" s="36">
        <f>100*SUMPRODUCT('IO model'!$J$3:$J$66,'Leontief inverse'!AI3:AI66)</f>
        <v>71.57790221790133</v>
      </c>
      <c r="G35" s="26">
        <f>E35+F35-100</f>
        <v>-2.220446049250313e-14</v>
      </c>
      <c r="H35" s="24">
        <f>'IO model'!M35</f>
        <v>56577.399999999994</v>
      </c>
      <c r="I35" s="24">
        <f>E35/100*H35</f>
        <v>16080.483950569085</v>
      </c>
      <c r="J35" s="24">
        <v>75633.63118721987</v>
      </c>
      <c r="K35" s="36" t="s">
        <v>43</v>
      </c>
      <c r="L35" s="36" t="s">
        <v>43</v>
      </c>
    </row>
    <row r="36" spans="1:12" x14ac:dyDescent="0.25">
      <c r="A36" t="s">
        <v>326</v>
      </c>
      <c r="B36" t="s">
        <v>327</v>
      </c>
      <c r="C36" t="s">
        <v>323</v>
      </c>
      <c r="D36" s="26">
        <f>SUM('Leontief inverse'!AJ3:AJ66)</f>
        <v>2.107205560371264</v>
      </c>
      <c r="E36" s="36">
        <f>100*SUM('Import requirements'!AJ3:AJ66)</f>
        <v>11.629479734633053</v>
      </c>
      <c r="F36" s="36">
        <f>100*SUMPRODUCT('IO model'!$J$3:$J$66,'Leontief inverse'!AJ3:AJ66)</f>
        <v>88.3705202653669</v>
      </c>
      <c r="G36" s="26">
        <f>E36+F36-100</f>
        <v>-4.440892098500626e-14</v>
      </c>
      <c r="H36" s="24">
        <f>'IO model'!M36</f>
        <v>68493</v>
      </c>
      <c r="I36" s="24">
        <f>E36/100*H36</f>
        <v>7965.379554642217</v>
      </c>
      <c r="J36" s="24">
        <v>244239.35483479977</v>
      </c>
      <c r="K36" s="36" t="s">
        <v>43</v>
      </c>
      <c r="L36" s="36" t="s">
        <v>43</v>
      </c>
    </row>
    <row r="37" spans="1:12" x14ac:dyDescent="0.25">
      <c r="A37" t="s">
        <v>328</v>
      </c>
      <c r="B37" t="s">
        <v>329</v>
      </c>
      <c r="C37" t="s">
        <v>323</v>
      </c>
      <c r="D37" s="26">
        <f>SUM('Leontief inverse'!AK3:AK66)</f>
        <v>2.058138797119118</v>
      </c>
      <c r="E37" s="36">
        <f>100*SUM('Import requirements'!AK3:AK66)</f>
        <v>11.69003394471792</v>
      </c>
      <c r="F37" s="36">
        <f>100*SUMPRODUCT('IO model'!$J$3:$J$66,'Leontief inverse'!AK3:AK66)</f>
        <v>88.30996605528205</v>
      </c>
      <c r="G37" s="26">
        <f>E37+F37-100</f>
        <v>-2.220446049250313e-14</v>
      </c>
      <c r="H37" s="24">
        <f>'IO model'!M37</f>
        <v>15603.900000000001</v>
      </c>
      <c r="I37" s="24">
        <f>E37/100*H37</f>
        <v>1824.1012066998396</v>
      </c>
      <c r="J37" s="24">
        <v>43319.07267071772</v>
      </c>
      <c r="K37" s="36" t="s">
        <v>43</v>
      </c>
      <c r="L37" s="36" t="s">
        <v>43</v>
      </c>
    </row>
    <row r="38" spans="1:12" x14ac:dyDescent="0.25">
      <c r="A38" t="s">
        <v>330</v>
      </c>
      <c r="B38" t="s">
        <v>331</v>
      </c>
      <c r="C38" t="s">
        <v>330</v>
      </c>
      <c r="D38" s="26">
        <f>SUM('Leontief inverse'!AL3:AL66)</f>
        <v>1.9624643485922628</v>
      </c>
      <c r="E38" s="36">
        <f>100*SUM('Import requirements'!AL3:AL66)</f>
        <v>9.212741738036703</v>
      </c>
      <c r="F38" s="36">
        <f>100*SUMPRODUCT('IO model'!$J$3:$J$66,'Leontief inverse'!AL3:AL66)</f>
        <v>90.7872582619633</v>
      </c>
      <c r="G38" s="26">
        <f>E38+F38-100</f>
        <v>0</v>
      </c>
      <c r="H38" s="24">
        <f>'IO model'!M38</f>
        <v>7397.1</v>
      </c>
      <c r="I38" s="24">
        <f>E38/100*H38</f>
        <v>681.475719104313</v>
      </c>
      <c r="J38" s="24">
        <v>45354.673331866215</v>
      </c>
      <c r="K38" s="36" t="s">
        <v>43</v>
      </c>
      <c r="L38" s="36" t="s">
        <v>43</v>
      </c>
    </row>
    <row r="39" spans="1:12" x14ac:dyDescent="0.25">
      <c r="A39" t="s">
        <v>332</v>
      </c>
      <c r="B39" t="s">
        <v>333</v>
      </c>
      <c r="C39" t="s">
        <v>334</v>
      </c>
      <c r="D39" s="26">
        <f>SUM('Leontief inverse'!AM3:AM66)</f>
        <v>1.678567412349265</v>
      </c>
      <c r="E39" s="36">
        <f>100*SUM('Import requirements'!AM3:AM66)</f>
        <v>20.01770209318701</v>
      </c>
      <c r="F39" s="36">
        <f>100*SUMPRODUCT('IO model'!$J$3:$J$66,'Leontief inverse'!AM3:AM66)</f>
        <v>79.98229790681297</v>
      </c>
      <c r="G39" s="26">
        <f>E39+F39-100</f>
        <v>-2.220446049250313e-14</v>
      </c>
      <c r="H39" s="24">
        <f>'IO model'!M39</f>
        <v>75790.9</v>
      </c>
      <c r="I39" s="24">
        <f>E39/100*H39</f>
        <v>15171.596575745274</v>
      </c>
      <c r="J39" s="24">
        <v>94558.67465503224</v>
      </c>
      <c r="K39" s="36" t="s">
        <v>43</v>
      </c>
      <c r="L39" s="36" t="s">
        <v>43</v>
      </c>
    </row>
    <row r="40" spans="1:12" x14ac:dyDescent="0.25">
      <c r="A40" t="s">
        <v>335</v>
      </c>
      <c r="B40" t="s">
        <v>336</v>
      </c>
      <c r="C40" t="s">
        <v>334</v>
      </c>
      <c r="D40" s="26">
        <f>SUM('Leontief inverse'!AN3:AN66)</f>
        <v>1.9980076897528205</v>
      </c>
      <c r="E40" s="36">
        <f>100*SUM('Import requirements'!AN3:AN66)</f>
        <v>14.321232042541082</v>
      </c>
      <c r="F40" s="36">
        <f>100*SUMPRODUCT('IO model'!$J$3:$J$66,'Leontief inverse'!AN3:AN66)</f>
        <v>85.67876795745892</v>
      </c>
      <c r="G40" s="26">
        <f>E40+F40-100</f>
        <v>0</v>
      </c>
      <c r="H40" s="24">
        <f>'IO model'!M40</f>
        <v>13264.600000000002</v>
      </c>
      <c r="I40" s="24">
        <f>E40/100*H40</f>
        <v>1899.6541455149047</v>
      </c>
      <c r="J40" s="24">
        <v>34170.040435892675</v>
      </c>
      <c r="K40" s="36" t="s">
        <v>43</v>
      </c>
      <c r="L40" s="36" t="s">
        <v>43</v>
      </c>
    </row>
    <row r="41" spans="1:12" x14ac:dyDescent="0.25">
      <c r="A41" t="s">
        <v>337</v>
      </c>
      <c r="B41" t="s">
        <v>338</v>
      </c>
      <c r="C41" t="s">
        <v>334</v>
      </c>
      <c r="D41" s="26">
        <f>SUM('Leontief inverse'!AO3:AO66)</f>
        <v>2.035421348911992</v>
      </c>
      <c r="E41" s="36">
        <f>100*SUM('Import requirements'!AO3:AO66)</f>
        <v>12.239687550546297</v>
      </c>
      <c r="F41" s="36">
        <f>100*SUMPRODUCT('IO model'!$J$3:$J$66,'Leontief inverse'!AO3:AO66)</f>
        <v>87.76031244945374</v>
      </c>
      <c r="G41" s="26">
        <f>E41+F41-100</f>
        <v>4.440892098500626e-14</v>
      </c>
      <c r="H41" s="24">
        <f>'IO model'!M41</f>
        <v>18924.1</v>
      </c>
      <c r="I41" s="24">
        <f>E41/100*H41</f>
        <v>2316.2507117529317</v>
      </c>
      <c r="J41" s="24">
        <v>57908.10041458118</v>
      </c>
      <c r="K41" s="36" t="s">
        <v>43</v>
      </c>
      <c r="L41" s="36" t="s">
        <v>43</v>
      </c>
    </row>
    <row r="42" spans="1:12" x14ac:dyDescent="0.25">
      <c r="A42" t="s">
        <v>339</v>
      </c>
      <c r="B42" t="s">
        <v>340</v>
      </c>
      <c r="C42" t="s">
        <v>334</v>
      </c>
      <c r="D42" s="26">
        <f>SUM('Leontief inverse'!AP3:AP66)</f>
        <v>1.7684323975170853</v>
      </c>
      <c r="E42" s="36">
        <f>100*SUM('Import requirements'!AP3:AP66)</f>
        <v>16.129250534701743</v>
      </c>
      <c r="F42" s="36">
        <f>100*SUMPRODUCT('IO model'!$J$3:$J$66,'Leontief inverse'!AP3:AP66)</f>
        <v>83.87074946529829</v>
      </c>
      <c r="G42" s="26">
        <f>E42+F42-100</f>
        <v>2.220446049250313e-14</v>
      </c>
      <c r="H42" s="24">
        <f>'IO model'!M42</f>
        <v>192909.00000000003</v>
      </c>
      <c r="I42" s="24">
        <f>E42/100*H42</f>
        <v>31114.77591398779</v>
      </c>
      <c r="J42" s="24">
        <v>357359.0580707843</v>
      </c>
      <c r="K42" s="36" t="s">
        <v>43</v>
      </c>
      <c r="L42" s="36" t="s">
        <v>43</v>
      </c>
    </row>
    <row r="43" spans="1:12" x14ac:dyDescent="0.25">
      <c r="A43" t="s">
        <v>341</v>
      </c>
      <c r="B43" t="s">
        <v>342</v>
      </c>
      <c r="C43" t="s">
        <v>343</v>
      </c>
      <c r="D43" s="26">
        <f>SUM('Leontief inverse'!AQ3:AQ66)</f>
        <v>1.679480125524338</v>
      </c>
      <c r="E43" s="36">
        <f>100*SUM('Import requirements'!AQ3:AQ66)</f>
        <v>10.400704282744332</v>
      </c>
      <c r="F43" s="36">
        <f>100*SUMPRODUCT('IO model'!$J$3:$J$66,'Leontief inverse'!AQ3:AQ66)</f>
        <v>89.59929571725564</v>
      </c>
      <c r="G43" s="26">
        <f>E43+F43-100</f>
        <v>-2.220446049250313e-14</v>
      </c>
      <c r="H43" s="24">
        <f>'IO model'!M43</f>
        <v>96621</v>
      </c>
      <c r="I43" s="24">
        <f>E43/100*H43</f>
        <v>10049.2644850304</v>
      </c>
      <c r="J43" s="24">
        <v>206814.6221320563</v>
      </c>
      <c r="K43" s="36" t="s">
        <v>43</v>
      </c>
      <c r="L43" s="36" t="s">
        <v>43</v>
      </c>
    </row>
    <row r="44" spans="1:12" x14ac:dyDescent="0.25">
      <c r="A44" t="s">
        <v>344</v>
      </c>
      <c r="B44" t="s">
        <v>345</v>
      </c>
      <c r="C44" t="s">
        <v>343</v>
      </c>
      <c r="D44" s="26">
        <f>SUM('Leontief inverse'!AR3:AR66)</f>
        <v>2.0140454434624986</v>
      </c>
      <c r="E44" s="36">
        <f>100*SUM('Import requirements'!AR3:AR66)</f>
        <v>13.87093285990435</v>
      </c>
      <c r="F44" s="36">
        <f>100*SUMPRODUCT('IO model'!$J$3:$J$66,'Leontief inverse'!AR3:AR66)</f>
        <v>86.12906714009567</v>
      </c>
      <c r="G44" s="26">
        <f>E44+F44-100</f>
        <v>2.220446049250313e-14</v>
      </c>
      <c r="H44" s="24">
        <f>'IO model'!M44</f>
        <v>36852.2</v>
      </c>
      <c r="I44" s="24">
        <f>E44/100*H44</f>
        <v>5111.743919397671</v>
      </c>
      <c r="J44" s="24">
        <v>64707.71564274518</v>
      </c>
      <c r="K44" s="36" t="s">
        <v>43</v>
      </c>
      <c r="L44" s="36" t="s">
        <v>43</v>
      </c>
    </row>
    <row r="45" spans="1:12" x14ac:dyDescent="0.25">
      <c r="A45" t="s">
        <v>346</v>
      </c>
      <c r="B45" t="s">
        <v>347</v>
      </c>
      <c r="C45" t="s">
        <v>343</v>
      </c>
      <c r="D45" s="26">
        <f>SUM('Leontief inverse'!AS3:AS66)</f>
        <v>1.8771127921489341</v>
      </c>
      <c r="E45" s="36">
        <f>100*SUM('Import requirements'!AS3:AS66)</f>
        <v>12.57999990466557</v>
      </c>
      <c r="F45" s="36">
        <f>100*SUMPRODUCT('IO model'!$J$3:$J$66,'Leontief inverse'!AS3:AS66)</f>
        <v>87.42000009533444</v>
      </c>
      <c r="G45" s="26">
        <f>E45+F45-100</f>
        <v>2.220446049250313e-14</v>
      </c>
      <c r="H45" s="24">
        <f>'IO model'!M45</f>
        <v>20344.499999999996</v>
      </c>
      <c r="I45" s="24">
        <f>E45/100*H45</f>
        <v>2559.3380806046866</v>
      </c>
      <c r="J45" s="24">
        <v>78321.57825114645</v>
      </c>
      <c r="K45" s="36" t="s">
        <v>43</v>
      </c>
      <c r="L45" s="36" t="s">
        <v>43</v>
      </c>
    </row>
    <row r="46" spans="1:12" x14ac:dyDescent="0.25">
      <c r="A46" t="s">
        <v>348</v>
      </c>
      <c r="B46" t="s">
        <v>349</v>
      </c>
      <c r="C46" t="s">
        <v>348</v>
      </c>
      <c r="D46" s="26">
        <f>SUM('Leontief inverse'!AT3:AT66)</f>
        <v>1.3546995815052911</v>
      </c>
      <c r="E46" s="36">
        <f>100*SUM('Import requirements'!AT3:AT66)</f>
        <v>2.751584500401659</v>
      </c>
      <c r="F46" s="36">
        <f>100*SUMPRODUCT('IO model'!$J$3:$J$66,'Leontief inverse'!AT3:AT66)</f>
        <v>97.2484154995984</v>
      </c>
      <c r="G46" s="26">
        <f>E46+F46-100</f>
        <v>4.440892098500626e-14</v>
      </c>
      <c r="H46" s="24">
        <f>'IO model'!M46</f>
        <v>4973</v>
      </c>
      <c r="I46" s="24">
        <f>E46/100*H46</f>
        <v>136.8362972049745</v>
      </c>
      <c r="J46" s="24">
        <v>107655.71812388606</v>
      </c>
      <c r="K46" s="36" t="s">
        <v>43</v>
      </c>
      <c r="L46" s="36" t="s">
        <v>43</v>
      </c>
    </row>
    <row r="47" spans="1:12" x14ac:dyDescent="0.25">
      <c r="A47" t="s">
        <v>350</v>
      </c>
      <c r="B47" t="s">
        <v>351</v>
      </c>
      <c r="C47" t="s">
        <v>352</v>
      </c>
      <c r="D47" s="26">
        <f>SUM('Leontief inverse'!AU3:AU66)</f>
        <v>1.8234742716503798</v>
      </c>
      <c r="E47" s="36">
        <f>100*SUM('Import requirements'!AU3:AU66)</f>
        <v>9.385549604923616</v>
      </c>
      <c r="F47" s="36">
        <f>100*SUMPRODUCT('IO model'!$J$3:$J$66,'Leontief inverse'!AU3:AU66)</f>
        <v>90.61445039507637</v>
      </c>
      <c r="G47" s="26">
        <f>E47+F47-100</f>
        <v>-1.1102230246251565e-14</v>
      </c>
      <c r="H47" s="24">
        <f>'IO model'!M47</f>
        <v>103566.6</v>
      </c>
      <c r="I47" s="24">
        <f>E47/100*H47</f>
        <v>9720.294617132822</v>
      </c>
      <c r="J47" s="24">
        <v>339068.6020345665</v>
      </c>
      <c r="K47" s="36" t="s">
        <v>43</v>
      </c>
      <c r="L47" s="36" t="s">
        <v>43</v>
      </c>
    </row>
    <row r="48" spans="1:12" x14ac:dyDescent="0.25">
      <c r="A48" t="s">
        <v>353</v>
      </c>
      <c r="B48" t="s">
        <v>354</v>
      </c>
      <c r="C48" t="s">
        <v>352</v>
      </c>
      <c r="D48" s="26">
        <f>SUM('Leontief inverse'!AV3:AV66)</f>
        <v>1.8431765565232168</v>
      </c>
      <c r="E48" s="36">
        <f>100*SUM('Import requirements'!AV3:AV66)</f>
        <v>8.183682429135427</v>
      </c>
      <c r="F48" s="36">
        <f>100*SUMPRODUCT('IO model'!$J$3:$J$66,'Leontief inverse'!AV3:AV66)</f>
        <v>91.81631757086454</v>
      </c>
      <c r="G48" s="26">
        <f>E48+F48-100</f>
        <v>-3.3306690738754696e-14</v>
      </c>
      <c r="H48" s="24">
        <f>'IO model'!M48</f>
        <v>31612</v>
      </c>
      <c r="I48" s="24">
        <f>E48/100*H48</f>
        <v>2587.0256894982913</v>
      </c>
      <c r="J48" s="24">
        <v>98288.92858086995</v>
      </c>
      <c r="K48" s="36" t="s">
        <v>43</v>
      </c>
      <c r="L48" s="36" t="s">
        <v>43</v>
      </c>
    </row>
    <row r="49" spans="1:12" x14ac:dyDescent="0.25">
      <c r="A49" t="s">
        <v>355</v>
      </c>
      <c r="B49" t="s">
        <v>356</v>
      </c>
      <c r="C49" t="s">
        <v>352</v>
      </c>
      <c r="D49" s="26">
        <f>SUM('Leontief inverse'!AW3:AW66)</f>
        <v>1.5581435925676053</v>
      </c>
      <c r="E49" s="36">
        <f>100*SUM('Import requirements'!AW3:AW66)</f>
        <v>7.387062066382201</v>
      </c>
      <c r="F49" s="36">
        <f>100*SUMPRODUCT('IO model'!$J$3:$J$66,'Leontief inverse'!AW3:AW66)</f>
        <v>92.61293793361777</v>
      </c>
      <c r="G49" s="26">
        <f>E49+F49-100</f>
        <v>-3.3306690738754696e-14</v>
      </c>
      <c r="H49" s="24">
        <f>'IO model'!M49</f>
        <v>22025.500000000004</v>
      </c>
      <c r="I49" s="24">
        <f>E49/100*H49</f>
        <v>1627.037355431012</v>
      </c>
      <c r="J49" s="24">
        <v>32234.690633067636</v>
      </c>
      <c r="K49" s="36" t="s">
        <v>43</v>
      </c>
      <c r="L49" s="36" t="s">
        <v>43</v>
      </c>
    </row>
    <row r="50" spans="1:12" x14ac:dyDescent="0.25">
      <c r="A50" t="s">
        <v>357</v>
      </c>
      <c r="B50" t="s">
        <v>358</v>
      </c>
      <c r="C50" t="s">
        <v>352</v>
      </c>
      <c r="D50" s="26">
        <f>SUM('Leontief inverse'!AX3:AX66)</f>
        <v>2.0492226775544236</v>
      </c>
      <c r="E50" s="36">
        <f>100*SUM('Import requirements'!AX3:AX66)</f>
        <v>12.223697719770229</v>
      </c>
      <c r="F50" s="36">
        <f>100*SUMPRODUCT('IO model'!$J$3:$J$66,'Leontief inverse'!AX3:AX66)</f>
        <v>87.77630228022973</v>
      </c>
      <c r="G50" s="26">
        <f>E50+F50-100</f>
        <v>-3.3306690738754696e-14</v>
      </c>
      <c r="H50" s="24">
        <f>'IO model'!M50</f>
        <v>21928.600000000002</v>
      </c>
      <c r="I50" s="24">
        <f>E50/100*H50</f>
        <v>2680.4857781775345</v>
      </c>
      <c r="J50" s="24">
        <v>60552.04261625809</v>
      </c>
      <c r="K50" s="36" t="s">
        <v>43</v>
      </c>
      <c r="L50" s="36" t="s">
        <v>43</v>
      </c>
    </row>
    <row r="51" spans="1:12" x14ac:dyDescent="0.25">
      <c r="A51" t="s">
        <v>359</v>
      </c>
      <c r="B51" t="s">
        <v>360</v>
      </c>
      <c r="C51" t="s">
        <v>352</v>
      </c>
      <c r="D51" s="26">
        <f>SUM('Leontief inverse'!AY3:AY66)</f>
        <v>1.8334382665182238</v>
      </c>
      <c r="E51" s="36">
        <f>100*SUM('Import requirements'!AY3:AY66)</f>
        <v>9.156121825380232</v>
      </c>
      <c r="F51" s="36">
        <f>100*SUMPRODUCT('IO model'!$J$3:$J$66,'Leontief inverse'!AY3:AY66)</f>
        <v>90.8438781746198</v>
      </c>
      <c r="G51" s="26">
        <f>E51+F51-100</f>
        <v>4.440892098500626e-14</v>
      </c>
      <c r="H51" s="24">
        <f>'IO model'!M51</f>
        <v>9171.5</v>
      </c>
      <c r="I51" s="24">
        <f>E51/100*H51</f>
        <v>839.753713214748</v>
      </c>
      <c r="J51" s="24">
        <v>38770.511226507064</v>
      </c>
      <c r="K51" s="36" t="s">
        <v>43</v>
      </c>
      <c r="L51" s="36" t="s">
        <v>43</v>
      </c>
    </row>
    <row r="52" spans="1:12" x14ac:dyDescent="0.25">
      <c r="A52" t="s">
        <v>361</v>
      </c>
      <c r="B52" t="s">
        <v>362</v>
      </c>
      <c r="C52" t="s">
        <v>363</v>
      </c>
      <c r="D52" s="26">
        <f>SUM('Leontief inverse'!AZ3:AZ66)</f>
        <v>1.7767949103703464</v>
      </c>
      <c r="E52" s="36">
        <f>100*SUM('Import requirements'!AZ3:AZ66)</f>
        <v>9.326102481584483</v>
      </c>
      <c r="F52" s="36">
        <f>100*SUMPRODUCT('IO model'!$J$3:$J$66,'Leontief inverse'!AZ3:AZ66)</f>
        <v>90.6738975184155</v>
      </c>
      <c r="G52" s="26">
        <f>E52+F52-100</f>
        <v>-1.1102230246251565e-14</v>
      </c>
      <c r="H52" s="24">
        <f>'IO model'!M52</f>
        <v>37859.3</v>
      </c>
      <c r="I52" s="24">
        <f>E52/100*H52</f>
        <v>3530.7971168105146</v>
      </c>
      <c r="J52" s="24">
        <v>111246.09856239663</v>
      </c>
      <c r="K52" s="36" t="s">
        <v>43</v>
      </c>
      <c r="L52" s="36" t="s">
        <v>43</v>
      </c>
    </row>
    <row r="53" spans="1:12" x14ac:dyDescent="0.25">
      <c r="A53" t="s">
        <v>364</v>
      </c>
      <c r="B53" t="s">
        <v>365</v>
      </c>
      <c r="C53" t="s">
        <v>363</v>
      </c>
      <c r="D53" s="26">
        <f>SUM('Leontief inverse'!BA3:BA66)</f>
        <v>1.371669078706796</v>
      </c>
      <c r="E53" s="36">
        <f>100*SUM('Import requirements'!BA3:BA66)</f>
        <v>3.7819573578785013</v>
      </c>
      <c r="F53" s="36">
        <f>100*SUMPRODUCT('IO model'!$J$3:$J$66,'Leontief inverse'!BA3:BA66)</f>
        <v>96.21804264212155</v>
      </c>
      <c r="G53" s="26">
        <f>E53+F53-100</f>
        <v>4.440892098500626e-14</v>
      </c>
      <c r="H53" s="24">
        <f>'IO model'!M53</f>
        <v>4561.8</v>
      </c>
      <c r="I53" s="24">
        <f>E53/100*H53</f>
        <v>172.5253307517015</v>
      </c>
      <c r="J53" s="24">
        <v>59342.29469730122</v>
      </c>
      <c r="K53" s="36" t="s">
        <v>43</v>
      </c>
      <c r="L53" s="36" t="s">
        <v>43</v>
      </c>
    </row>
    <row r="54" spans="1:12" x14ac:dyDescent="0.25">
      <c r="A54" t="s">
        <v>366</v>
      </c>
      <c r="B54" t="s">
        <v>367</v>
      </c>
      <c r="C54" t="s">
        <v>363</v>
      </c>
      <c r="D54" s="26">
        <f>SUM('Leontief inverse'!BB3:BB66)</f>
        <v>2.362354805906544</v>
      </c>
      <c r="E54" s="36">
        <f>100*SUM('Import requirements'!BB3:BB66)</f>
        <v>17.938882729878227</v>
      </c>
      <c r="F54" s="36">
        <f>100*SUMPRODUCT('IO model'!$J$3:$J$66,'Leontief inverse'!BB3:BB66)</f>
        <v>82.06111727012171</v>
      </c>
      <c r="G54" s="26">
        <f>E54+F54-100</f>
        <v>-5.551115123125783e-14</v>
      </c>
      <c r="H54" s="24">
        <f>'IO model'!M54</f>
        <v>13486.599999999999</v>
      </c>
      <c r="I54" s="24">
        <f>E54/100*H54</f>
        <v>2419.345358247757</v>
      </c>
      <c r="J54" s="24">
        <v>20979.12587295564</v>
      </c>
      <c r="K54" s="36" t="s">
        <v>43</v>
      </c>
      <c r="L54" s="36" t="s">
        <v>43</v>
      </c>
    </row>
    <row r="55" spans="1:12" x14ac:dyDescent="0.25">
      <c r="A55" t="s">
        <v>368</v>
      </c>
      <c r="B55" t="s">
        <v>369</v>
      </c>
      <c r="C55" t="s">
        <v>363</v>
      </c>
      <c r="D55" s="26">
        <f>SUM('Leontief inverse'!BC3:BC66)</f>
        <v>1.8207282982869541</v>
      </c>
      <c r="E55" s="36">
        <f>100*SUM('Import requirements'!BC3:BC66)</f>
        <v>8.54535269370292</v>
      </c>
      <c r="F55" s="36">
        <f>100*SUMPRODUCT('IO model'!$J$3:$J$66,'Leontief inverse'!BC3:BC66)</f>
        <v>91.45464730629712</v>
      </c>
      <c r="G55" s="26">
        <f>E55+F55-100</f>
        <v>4.440892098500626e-14</v>
      </c>
      <c r="H55" s="24">
        <f>'IO model'!M55</f>
        <v>39447.5</v>
      </c>
      <c r="I55" s="24">
        <f>E55/100*H55</f>
        <v>3370.9280038484594</v>
      </c>
      <c r="J55" s="24">
        <v>152385.81379708112</v>
      </c>
      <c r="K55" s="36" t="s">
        <v>43</v>
      </c>
      <c r="L55" s="36" t="s">
        <v>43</v>
      </c>
    </row>
    <row r="56" spans="1:12" x14ac:dyDescent="0.25">
      <c r="A56" t="s">
        <v>370</v>
      </c>
      <c r="B56" t="s">
        <v>371</v>
      </c>
      <c r="C56" t="s">
        <v>372</v>
      </c>
      <c r="D56" s="26">
        <f>SUM('Leontief inverse'!BD3:BD66)</f>
        <v>1.5118615743702237</v>
      </c>
      <c r="E56" s="36">
        <f>100*SUM('Import requirements'!BD3:BD66)</f>
        <v>5.229142516017753</v>
      </c>
      <c r="F56" s="36">
        <f>100*SUMPRODUCT('IO model'!$J$3:$J$66,'Leontief inverse'!BD3:BD66)</f>
        <v>94.77085748398221</v>
      </c>
      <c r="G56" s="26">
        <f>E56+F56-100</f>
        <v>-4.440892098500626e-14</v>
      </c>
      <c r="H56" s="24">
        <f>'IO model'!M56</f>
        <v>16693.1</v>
      </c>
      <c r="I56" s="24">
        <f>E56/100*H56</f>
        <v>872.9059893413595</v>
      </c>
      <c r="J56" s="24">
        <v>51312.11437932212</v>
      </c>
      <c r="K56" s="36" t="s">
        <v>43</v>
      </c>
      <c r="L56" s="36" t="s">
        <v>43</v>
      </c>
    </row>
    <row r="57" spans="1:12" x14ac:dyDescent="0.25">
      <c r="A57" t="s">
        <v>373</v>
      </c>
      <c r="B57" t="s">
        <v>374</v>
      </c>
      <c r="C57" t="s">
        <v>375</v>
      </c>
      <c r="D57" s="26">
        <f>SUM('Leontief inverse'!BE3:BE66)</f>
        <v>1.3362404056813686</v>
      </c>
      <c r="E57" s="36">
        <f>100*SUM('Import requirements'!BE3:BE66)</f>
        <v>3.1328662369282925</v>
      </c>
      <c r="F57" s="36">
        <f>100*SUMPRODUCT('IO model'!$J$3:$J$66,'Leontief inverse'!BE3:BE66)</f>
        <v>96.8671337630717</v>
      </c>
      <c r="G57" s="26">
        <f>E57+F57-100</f>
        <v>0</v>
      </c>
      <c r="H57" s="24">
        <f>'IO model'!M57</f>
        <v>6132.9</v>
      </c>
      <c r="I57" s="24">
        <f>E57/100*H57</f>
        <v>192.13555344457524</v>
      </c>
      <c r="J57" s="24">
        <v>21881.667073870343</v>
      </c>
      <c r="K57" s="36" t="s">
        <v>43</v>
      </c>
      <c r="L57" s="36" t="s">
        <v>43</v>
      </c>
    </row>
    <row r="58" spans="1:12" x14ac:dyDescent="0.25">
      <c r="A58" t="s">
        <v>376</v>
      </c>
      <c r="B58" t="s">
        <v>377</v>
      </c>
      <c r="C58" t="s">
        <v>378</v>
      </c>
      <c r="D58" s="26">
        <f>SUM('Leontief inverse'!BF3:BF66)</f>
        <v>1.5503198599357564</v>
      </c>
      <c r="E58" s="36">
        <f>100*SUM('Import requirements'!BF3:BF66)</f>
        <v>7.668534327425948</v>
      </c>
      <c r="F58" s="36">
        <f>100*SUMPRODUCT('IO model'!$J$3:$J$66,'Leontief inverse'!BF3:BF66)</f>
        <v>92.33146567257403</v>
      </c>
      <c r="G58" s="26">
        <f>E58+F58-100</f>
        <v>-3.3306690738754696e-14</v>
      </c>
      <c r="H58" s="24">
        <f>'IO model'!M58</f>
        <v>3190.4999999999995</v>
      </c>
      <c r="I58" s="24">
        <f>E58/100*H58</f>
        <v>244.66458771652484</v>
      </c>
      <c r="J58" s="24">
        <v>10874.114353945612</v>
      </c>
      <c r="K58" s="36" t="s">
        <v>43</v>
      </c>
      <c r="L58" s="36" t="s">
        <v>43</v>
      </c>
    </row>
    <row r="59" spans="1:12" x14ac:dyDescent="0.25">
      <c r="A59" t="s">
        <v>379</v>
      </c>
      <c r="B59" t="s">
        <v>380</v>
      </c>
      <c r="C59" t="s">
        <v>378</v>
      </c>
      <c r="D59" s="26">
        <f>SUM('Leontief inverse'!BG3:BG66)</f>
        <v>1.4853216092629198</v>
      </c>
      <c r="E59" s="36">
        <f>100*SUM('Import requirements'!BG3:BG66)</f>
        <v>5.0000073969258745</v>
      </c>
      <c r="F59" s="36">
        <f>100*SUMPRODUCT('IO model'!$J$3:$J$66,'Leontief inverse'!BG3:BG66)</f>
        <v>94.99999260307409</v>
      </c>
      <c r="G59" s="26">
        <f>E59+F59-100</f>
        <v>-3.3306690738754696e-14</v>
      </c>
      <c r="H59" s="24">
        <f>'IO model'!M59</f>
        <v>465.4999999999999</v>
      </c>
      <c r="I59" s="24">
        <f>E59/100*H59</f>
        <v>23.275034432689942</v>
      </c>
      <c r="J59" s="24">
        <v>2531.726265929386</v>
      </c>
      <c r="K59" s="36" t="s">
        <v>43</v>
      </c>
      <c r="L59" s="36" t="s">
        <v>43</v>
      </c>
    </row>
    <row r="60" spans="1:12" x14ac:dyDescent="0.25">
      <c r="A60" t="s">
        <v>381</v>
      </c>
      <c r="B60" t="s">
        <v>382</v>
      </c>
      <c r="C60" t="s">
        <v>383</v>
      </c>
      <c r="D60" s="26">
        <f>SUM('Leontief inverse'!BH3:BH66)</f>
        <v>1.8312930629063482</v>
      </c>
      <c r="E60" s="36">
        <f>100*SUM('Import requirements'!BH3:BH66)</f>
        <v>9.186470236699936</v>
      </c>
      <c r="F60" s="36">
        <f>100*SUMPRODUCT('IO model'!$J$3:$J$66,'Leontief inverse'!BH3:BH66)</f>
        <v>90.81352976330004</v>
      </c>
      <c r="G60" s="26">
        <f>E60+F60-100</f>
        <v>-2.220446049250313e-14</v>
      </c>
      <c r="H60" s="24">
        <f>'IO model'!M60</f>
        <v>7845.7</v>
      </c>
      <c r="I60" s="24">
        <f>E60/100*H60</f>
        <v>720.7428953607669</v>
      </c>
      <c r="J60" s="24">
        <v>15105.144371663439</v>
      </c>
      <c r="K60" s="36" t="s">
        <v>43</v>
      </c>
      <c r="L60" s="36" t="s">
        <v>43</v>
      </c>
    </row>
    <row r="61" spans="1:12" x14ac:dyDescent="0.25">
      <c r="A61" t="s">
        <v>384</v>
      </c>
      <c r="B61" t="s">
        <v>385</v>
      </c>
      <c r="C61" t="s">
        <v>383</v>
      </c>
      <c r="D61" s="26">
        <f>SUM('Leontief inverse'!BI3:BI66)</f>
        <v>1.9160022138098394</v>
      </c>
      <c r="E61" s="36">
        <f>100*SUM('Import requirements'!BI3:BI66)</f>
        <v>8.304693735002699</v>
      </c>
      <c r="F61" s="36">
        <f>100*SUMPRODUCT('IO model'!$J$3:$J$66,'Leontief inverse'!BI3:BI66)</f>
        <v>91.69530626499733</v>
      </c>
      <c r="G61" s="26">
        <f>E61+F61-100</f>
        <v>4.440892098500626e-14</v>
      </c>
      <c r="H61" s="24">
        <f>'IO model'!M61</f>
        <v>1215.6</v>
      </c>
      <c r="I61" s="24">
        <f>E61/100*H61</f>
        <v>100.95185704269281</v>
      </c>
      <c r="J61" s="24">
        <v>8510.535714647036</v>
      </c>
      <c r="K61" s="36" t="s">
        <v>43</v>
      </c>
      <c r="L61" s="36" t="s">
        <v>43</v>
      </c>
    </row>
    <row r="62" spans="1:12" x14ac:dyDescent="0.25">
      <c r="A62" t="s">
        <v>386</v>
      </c>
      <c r="B62" t="s">
        <v>387</v>
      </c>
      <c r="C62" t="s">
        <v>388</v>
      </c>
      <c r="D62" s="26">
        <f>SUM('Leontief inverse'!BJ3:BJ66)</f>
        <v>1.656199470630274</v>
      </c>
      <c r="E62" s="36">
        <f>100*SUM('Import requirements'!BJ3:BJ66)</f>
        <v>7.086845382509958</v>
      </c>
      <c r="F62" s="36">
        <f>100*SUMPRODUCT('IO model'!$J$3:$J$66,'Leontief inverse'!BJ3:BJ66)</f>
        <v>92.91315461749001</v>
      </c>
      <c r="G62" s="26">
        <f>E62+F62-100</f>
        <v>-3.3306690738754696e-14</v>
      </c>
      <c r="H62" s="24">
        <f>'IO model'!M62</f>
        <v>1050.5</v>
      </c>
      <c r="I62" s="24">
        <f>E62/100*H62</f>
        <v>74.44731074326711</v>
      </c>
      <c r="J62" s="24">
        <v>10843.95324213956</v>
      </c>
      <c r="K62" s="36" t="s">
        <v>43</v>
      </c>
      <c r="L62" s="36" t="s">
        <v>43</v>
      </c>
    </row>
    <row r="63" spans="1:12" x14ac:dyDescent="0.25">
      <c r="A63" t="s">
        <v>389</v>
      </c>
      <c r="B63" t="s">
        <v>390</v>
      </c>
      <c r="C63" t="s">
        <v>388</v>
      </c>
      <c r="D63" s="26">
        <f>SUM('Leontief inverse'!BK3:BK66)</f>
        <v>1.7464530629384944</v>
      </c>
      <c r="E63" s="36">
        <f>100*SUM('Import requirements'!BK3:BK66)</f>
        <v>12.374733117261073</v>
      </c>
      <c r="F63" s="36">
        <f>100*SUMPRODUCT('IO model'!$J$3:$J$66,'Leontief inverse'!BK3:BK66)</f>
        <v>87.62526688273894</v>
      </c>
      <c r="G63" s="26">
        <f>E63+F63-100</f>
        <v>2.220446049250313e-14</v>
      </c>
      <c r="H63" s="24">
        <f>'IO model'!M63</f>
        <v>1376.1999999999998</v>
      </c>
      <c r="I63" s="24">
        <f>E63/100*H63</f>
        <v>170.30107715974688</v>
      </c>
      <c r="J63" s="24">
        <v>5282.904927817962</v>
      </c>
      <c r="K63" s="36" t="s">
        <v>43</v>
      </c>
      <c r="L63" s="36" t="s">
        <v>43</v>
      </c>
    </row>
    <row r="64" spans="1:12" x14ac:dyDescent="0.25">
      <c r="A64" t="s">
        <v>391</v>
      </c>
      <c r="B64" t="s">
        <v>392</v>
      </c>
      <c r="C64" t="s">
        <v>388</v>
      </c>
      <c r="D64" s="26">
        <f>SUM('Leontief inverse'!BL3:BL66)</f>
        <v>1.6496689037316028</v>
      </c>
      <c r="E64" s="36">
        <f>100*SUM('Import requirements'!BL3:BL66)</f>
        <v>6.672914523706182</v>
      </c>
      <c r="F64" s="36">
        <f>100*SUMPRODUCT('IO model'!$J$3:$J$66,'Leontief inverse'!BL3:BL66)</f>
        <v>93.3270854762938</v>
      </c>
      <c r="G64" s="26">
        <f>E64+F64-100</f>
        <v>-1.1102230246251565e-14</v>
      </c>
      <c r="H64" s="24">
        <f>'IO model'!M64</f>
        <v>1699.6</v>
      </c>
      <c r="I64" s="24">
        <f>E64/100*H64</f>
        <v>113.41285524491026</v>
      </c>
      <c r="J64" s="24">
        <v>6403.405363296339</v>
      </c>
      <c r="K64" s="36" t="s">
        <v>43</v>
      </c>
      <c r="L64" s="36" t="s">
        <v>43</v>
      </c>
    </row>
    <row r="65" spans="1:12" x14ac:dyDescent="0.25">
      <c r="A65" t="s">
        <v>393</v>
      </c>
      <c r="B65" t="s">
        <v>394</v>
      </c>
      <c r="C65" t="s">
        <v>393</v>
      </c>
      <c r="D65" s="26">
        <f>SUM('Leontief inverse'!BM3:BM66)</f>
        <v>1</v>
      </c>
      <c r="E65" s="36">
        <f>100*SUM('Import requirements'!BM3:BM66)</f>
        <v>0</v>
      </c>
      <c r="F65" s="36">
        <f>100*SUMPRODUCT('IO model'!$J$3:$J$66,'Leontief inverse'!BM3:BM66)</f>
        <v>100</v>
      </c>
      <c r="G65" s="26">
        <f>E65+F65-100</f>
        <v>0</v>
      </c>
      <c r="H65" s="24">
        <f>'IO model'!M65</f>
        <v>2.8000000000000003</v>
      </c>
      <c r="I65" s="24">
        <f>E65/100*H65</f>
        <v>0</v>
      </c>
      <c r="J65" s="24">
        <v>43.35141068457189</v>
      </c>
      <c r="K65" s="36" t="s">
        <v>43</v>
      </c>
      <c r="L65" s="36" t="s">
        <v>43</v>
      </c>
    </row>
    <row r="66" spans="1:12" x14ac:dyDescent="0.25">
      <c r="A66" t="s">
        <v>395</v>
      </c>
      <c r="B66" t="s">
        <v>396</v>
      </c>
      <c r="C66" t="s">
        <v>395</v>
      </c>
      <c r="D66" s="26">
        <f>SUM('Leontief inverse'!BN3:BN66)</f>
        <v>1</v>
      </c>
      <c r="E66" s="36">
        <f>100*SUM('Import requirements'!BN3:BN66)</f>
        <v>0</v>
      </c>
      <c r="F66" s="36">
        <f>100*SUMPRODUCT('IO model'!$J$3:$J$66,'Leontief inverse'!BN3:BN66)</f>
        <v>0</v>
      </c>
      <c r="G66" s="26">
        <f>E66+F66-100</f>
        <v>-100</v>
      </c>
      <c r="H66" s="24">
        <f>'IO model'!M66</f>
        <v>0</v>
      </c>
      <c r="I66" s="24">
        <f>E66/100*H66</f>
        <v>0</v>
      </c>
      <c r="J66" s="24">
        <v>0</v>
      </c>
      <c r="K66" s="36" t="s">
        <v>43</v>
      </c>
      <c r="L66" s="36" t="s">
        <v>43</v>
      </c>
    </row>
  </sheetData>
  <mergeCells count="1">
    <mergeCell ref="A1:L1"/>
  </mergeCell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N27"/>
  <sheetViews>
    <sheetView workbookViewId="0">
      <pane ySplit="1" topLeftCell="A2" activePane="bottomLeft" state="frozen"/>
      <selection pane="bottomLeft"/>
    </sheetView>
  </sheetViews>
  <sheetFormatPr defaultRowHeight="15" outlineLevelRow="0" outlineLevelCol="0" x14ac:dyDescent="55"/>
  <cols>
    <col min="2" max="2" width="40" customWidth="1"/>
    <col min="3" max="3" width="28" customWidth="1"/>
    <col min="4" max="13" width="13" customWidth="1"/>
    <col min="14" max="14" width="85" customWidth="1"/>
  </cols>
  <sheetData>
    <row r="1" ht="30" customHeight="1" spans="1:14" s="21" customFormat="1" x14ac:dyDescent="0.25">
      <c r="A1" s="22" t="s">
        <v>68</v>
      </c>
      <c r="B1" s="22" t="s">
        <v>437</v>
      </c>
      <c r="C1" s="22" t="s">
        <v>438</v>
      </c>
      <c r="D1" s="22" t="s">
        <v>439</v>
      </c>
      <c r="E1" s="22" t="s">
        <v>440</v>
      </c>
      <c r="F1" s="22" t="s">
        <v>441</v>
      </c>
      <c r="G1" s="22" t="s">
        <v>442</v>
      </c>
      <c r="H1" s="22" t="s">
        <v>443</v>
      </c>
      <c r="I1" s="22" t="s">
        <v>444</v>
      </c>
      <c r="J1" s="22" t="s">
        <v>445</v>
      </c>
      <c r="K1" s="22" t="s">
        <v>446</v>
      </c>
      <c r="L1" s="22" t="s">
        <v>447</v>
      </c>
      <c r="M1" s="22" t="s">
        <v>448</v>
      </c>
      <c r="N1" s="22" t="s">
        <v>449</v>
      </c>
    </row>
    <row r="2" spans="1:14" s="3" customFormat="1" x14ac:dyDescent="0.25">
      <c r="A2" s="3" t="s">
        <v>73</v>
      </c>
      <c r="B2" s="3" t="s">
        <v>450</v>
      </c>
      <c r="C2" s="3" t="s">
        <v>451</v>
      </c>
      <c r="D2" s="12">
        <v>52.7</v>
      </c>
      <c r="E2" s="12">
        <v>105.7</v>
      </c>
      <c r="F2" s="12">
        <f>E2-D2</f>
        <v>53</v>
      </c>
      <c r="G2" s="12">
        <v>146.9</v>
      </c>
      <c r="H2" s="12">
        <v>210.7</v>
      </c>
      <c r="I2" s="12">
        <v>57.4</v>
      </c>
      <c r="J2" s="12">
        <v>115.1</v>
      </c>
      <c r="K2" s="12">
        <f>J2-I2</f>
        <v>57.7</v>
      </c>
      <c r="L2" s="12">
        <v>152.4</v>
      </c>
      <c r="M2" s="12">
        <v>218.9</v>
      </c>
      <c r="N2" s="3" t="s">
        <v>452</v>
      </c>
    </row>
    <row r="3" spans="1:14" s="3" customFormat="1" x14ac:dyDescent="0.25">
      <c r="A3" s="3" t="s">
        <v>75</v>
      </c>
      <c r="B3" s="3" t="s">
        <v>453</v>
      </c>
      <c r="C3" s="3" t="s">
        <v>451</v>
      </c>
      <c r="D3" s="12">
        <v>4.1</v>
      </c>
      <c r="E3" s="12">
        <v>22.7</v>
      </c>
      <c r="F3" s="12">
        <f>E3-D3</f>
        <v>18.6</v>
      </c>
      <c r="G3" s="12">
        <v>19.3</v>
      </c>
      <c r="H3" s="12">
        <v>19.1</v>
      </c>
      <c r="I3" s="12">
        <v>4.3</v>
      </c>
      <c r="J3" s="12">
        <v>22.3</v>
      </c>
      <c r="K3" s="12">
        <f>J3-I3</f>
        <v>18</v>
      </c>
      <c r="L3" s="12">
        <v>19.5</v>
      </c>
      <c r="M3" s="12">
        <v>19</v>
      </c>
      <c r="N3" s="3" t="s">
        <v>454</v>
      </c>
    </row>
    <row r="4" spans="1:14" s="3" customFormat="1" x14ac:dyDescent="0.25">
      <c r="A4" s="3" t="s">
        <v>77</v>
      </c>
      <c r="B4" s="3" t="s">
        <v>455</v>
      </c>
      <c r="C4" s="3" t="s">
        <v>451</v>
      </c>
      <c r="D4" s="12">
        <v>1.8</v>
      </c>
      <c r="E4" s="12">
        <v>2.4</v>
      </c>
      <c r="F4" s="12">
        <f>E4-D4</f>
        <v>0.6</v>
      </c>
      <c r="G4" s="12">
        <v>4.1</v>
      </c>
      <c r="H4" s="12">
        <v>3.1</v>
      </c>
      <c r="I4" s="12">
        <v>1.5</v>
      </c>
      <c r="J4" s="12">
        <v>2.7</v>
      </c>
      <c r="K4" s="12">
        <f>J4-I4</f>
        <v>1.2</v>
      </c>
      <c r="L4" s="12">
        <v>5.2</v>
      </c>
      <c r="M4" s="12">
        <v>4.7</v>
      </c>
      <c r="N4" s="3" t="s">
        <v>456</v>
      </c>
    </row>
    <row r="5" spans="1:14" s="3" customFormat="1" x14ac:dyDescent="0.25">
      <c r="A5" s="3" t="s">
        <v>79</v>
      </c>
      <c r="B5" s="3" t="s">
        <v>457</v>
      </c>
      <c r="C5" s="3" t="s">
        <v>451</v>
      </c>
      <c r="D5" s="12">
        <v>8.5</v>
      </c>
      <c r="E5" s="12">
        <v>12.6</v>
      </c>
      <c r="F5" s="12">
        <f>E5-D5</f>
        <v>4.1</v>
      </c>
      <c r="G5" s="12">
        <v>13.9</v>
      </c>
      <c r="H5" s="12">
        <v>24</v>
      </c>
      <c r="I5" s="12">
        <v>8.1</v>
      </c>
      <c r="J5" s="12">
        <v>12.2</v>
      </c>
      <c r="K5" s="12">
        <f>J5-I5</f>
        <v>4.1</v>
      </c>
      <c r="L5" s="12">
        <v>12.5</v>
      </c>
      <c r="M5" s="12">
        <v>21.9</v>
      </c>
      <c r="N5" s="3" t="s">
        <v>458</v>
      </c>
    </row>
    <row r="6" spans="1:14" s="3" customFormat="1" x14ac:dyDescent="0.25">
      <c r="A6" s="3" t="s">
        <v>81</v>
      </c>
      <c r="B6" s="3" t="s">
        <v>459</v>
      </c>
      <c r="C6" s="3" t="s">
        <v>451</v>
      </c>
      <c r="D6" s="12">
        <v>14.8</v>
      </c>
      <c r="E6" s="12">
        <v>14.2</v>
      </c>
      <c r="F6" s="12">
        <f>E6-D6</f>
        <v>-0.6</v>
      </c>
      <c r="G6" s="12">
        <v>8.3</v>
      </c>
      <c r="H6" s="12">
        <v>21</v>
      </c>
      <c r="I6" s="12">
        <v>14.2</v>
      </c>
      <c r="J6" s="12">
        <v>16.4</v>
      </c>
      <c r="K6" s="12">
        <f>J6-I6</f>
        <v>2.2</v>
      </c>
      <c r="L6" s="12">
        <v>7.2</v>
      </c>
      <c r="M6" s="12">
        <v>21.5</v>
      </c>
      <c r="N6" s="3" t="s">
        <v>460</v>
      </c>
    </row>
    <row r="7" spans="1:14" s="3" customFormat="1" x14ac:dyDescent="0.25">
      <c r="A7" s="3" t="s">
        <v>83</v>
      </c>
      <c r="B7" s="3" t="s">
        <v>461</v>
      </c>
      <c r="C7" s="3" t="s">
        <v>451</v>
      </c>
      <c r="D7" s="12">
        <v>5.5</v>
      </c>
      <c r="E7" s="12">
        <v>9.8</v>
      </c>
      <c r="F7" s="12">
        <f>E7-D7</f>
        <v>4.3</v>
      </c>
      <c r="G7" s="12">
        <v>7.5</v>
      </c>
      <c r="H7" s="12">
        <v>15.7</v>
      </c>
      <c r="I7" s="12">
        <v>5.1</v>
      </c>
      <c r="J7" s="12">
        <v>9.5</v>
      </c>
      <c r="K7" s="12">
        <f>J7-I7</f>
        <v>4.4</v>
      </c>
      <c r="L7" s="12">
        <v>6.7</v>
      </c>
      <c r="M7" s="12">
        <v>13.3</v>
      </c>
      <c r="N7" s="3" t="s">
        <v>462</v>
      </c>
    </row>
    <row r="8" spans="1:14" s="3" customFormat="1" x14ac:dyDescent="0.25">
      <c r="A8" s="3" t="s">
        <v>85</v>
      </c>
      <c r="B8" s="3" t="s">
        <v>86</v>
      </c>
      <c r="C8" s="3" t="s">
        <v>451</v>
      </c>
      <c r="D8" s="12">
        <v>2.8</v>
      </c>
      <c r="E8" s="12">
        <v>12.5</v>
      </c>
      <c r="F8" s="12">
        <f>E8-D8</f>
        <v>9.7</v>
      </c>
      <c r="G8" s="12">
        <v>17.6</v>
      </c>
      <c r="H8" s="12">
        <v>27.5</v>
      </c>
      <c r="I8" s="12">
        <v>2.7</v>
      </c>
      <c r="J8" s="12">
        <v>15.2</v>
      </c>
      <c r="K8" s="12">
        <f>J8-I8</f>
        <v>12.5</v>
      </c>
      <c r="L8" s="12">
        <v>17.1</v>
      </c>
      <c r="M8" s="12">
        <v>27.9</v>
      </c>
      <c r="N8" s="3" t="s">
        <v>463</v>
      </c>
    </row>
    <row r="9" spans="1:14" s="3" customFormat="1" x14ac:dyDescent="0.25">
      <c r="A9" s="3" t="s">
        <v>87</v>
      </c>
      <c r="B9" s="3" t="s">
        <v>88</v>
      </c>
      <c r="C9" s="3" t="s">
        <v>451</v>
      </c>
      <c r="D9" s="12">
        <v>7.1</v>
      </c>
      <c r="E9" s="12">
        <v>16.2</v>
      </c>
      <c r="F9" s="12">
        <f>E9-D9</f>
        <v>9.1</v>
      </c>
      <c r="G9" s="12">
        <v>30.7</v>
      </c>
      <c r="H9" s="12">
        <v>44.1</v>
      </c>
      <c r="I9" s="12">
        <v>7.7</v>
      </c>
      <c r="J9" s="12">
        <v>16.9</v>
      </c>
      <c r="K9" s="12">
        <f>J9-I9</f>
        <v>9.2</v>
      </c>
      <c r="L9" s="12">
        <v>31</v>
      </c>
      <c r="M9" s="12">
        <v>44.2</v>
      </c>
      <c r="N9" s="3" t="s">
        <v>464</v>
      </c>
    </row>
    <row r="10" spans="1:14" s="3" customFormat="1" x14ac:dyDescent="0.25">
      <c r="A10" s="3" t="s">
        <v>89</v>
      </c>
      <c r="B10" s="3" t="s">
        <v>90</v>
      </c>
      <c r="C10" s="3" t="s">
        <v>451</v>
      </c>
      <c r="D10" s="12">
        <v>1.3</v>
      </c>
      <c r="E10" s="12">
        <v>2.7</v>
      </c>
      <c r="F10" s="12">
        <f>E10-D10</f>
        <v>1.4</v>
      </c>
      <c r="G10" s="12">
        <v>6.5</v>
      </c>
      <c r="H10" s="12">
        <v>6.5</v>
      </c>
      <c r="I10" s="12">
        <v>1.1</v>
      </c>
      <c r="J10" s="12">
        <v>3.1</v>
      </c>
      <c r="K10" s="12">
        <f>J10-I10</f>
        <v>2</v>
      </c>
      <c r="L10" s="12">
        <v>6.5</v>
      </c>
      <c r="M10" s="12">
        <v>6.6</v>
      </c>
      <c r="N10" s="3" t="s">
        <v>465</v>
      </c>
    </row>
    <row r="11" spans="1:14" s="3" customFormat="1" x14ac:dyDescent="0.25">
      <c r="A11" s="3" t="s">
        <v>91</v>
      </c>
      <c r="B11" s="3" t="s">
        <v>92</v>
      </c>
      <c r="C11" s="3" t="s">
        <v>466</v>
      </c>
      <c r="D11" s="12">
        <v>218.4</v>
      </c>
      <c r="E11" s="12">
        <v>56.6</v>
      </c>
      <c r="F11" s="12">
        <f>E11-D11</f>
        <v>-161.8</v>
      </c>
      <c r="G11" s="12">
        <v>63.8</v>
      </c>
      <c r="H11" s="12">
        <v>85.9</v>
      </c>
      <c r="I11" s="12">
        <v>225.8</v>
      </c>
      <c r="J11" s="12">
        <v>58.6</v>
      </c>
      <c r="K11" s="12">
        <f>J11-I11</f>
        <v>-167.2</v>
      </c>
      <c r="L11" s="12">
        <v>64.3</v>
      </c>
      <c r="M11" s="12">
        <v>88.5</v>
      </c>
      <c r="N11" s="3" t="s">
        <v>467</v>
      </c>
    </row>
    <row r="12" spans="1:14" s="3" customFormat="1" x14ac:dyDescent="0.25">
      <c r="A12" s="3" t="s">
        <v>93</v>
      </c>
      <c r="B12" s="3" t="s">
        <v>94</v>
      </c>
      <c r="C12" s="3" t="s">
        <v>466</v>
      </c>
      <c r="D12" s="12">
        <v>54.5</v>
      </c>
      <c r="E12" s="12">
        <v>128.4</v>
      </c>
      <c r="F12" s="12">
        <f>E12-D12</f>
        <v>73.9</v>
      </c>
      <c r="G12" s="12">
        <v>92.2</v>
      </c>
      <c r="H12" s="12">
        <v>172</v>
      </c>
      <c r="I12" s="12">
        <v>48.1</v>
      </c>
      <c r="J12" s="12">
        <v>120.9</v>
      </c>
      <c r="K12" s="12">
        <f>J12-I12</f>
        <v>72.8</v>
      </c>
      <c r="L12" s="12">
        <v>91.1</v>
      </c>
      <c r="M12" s="12">
        <v>155.9</v>
      </c>
      <c r="N12" s="3" t="s">
        <v>468</v>
      </c>
    </row>
    <row r="13" spans="1:14" s="3" customFormat="1" x14ac:dyDescent="0.25">
      <c r="A13" s="3" t="s">
        <v>95</v>
      </c>
      <c r="B13" s="3" t="s">
        <v>96</v>
      </c>
      <c r="C13" s="3" t="s">
        <v>466</v>
      </c>
      <c r="D13" s="12">
        <v>63.8</v>
      </c>
      <c r="E13" s="12">
        <v>174.6</v>
      </c>
      <c r="F13" s="12">
        <f>E13-D13</f>
        <v>110.8</v>
      </c>
      <c r="G13" s="12">
        <v>68.5</v>
      </c>
      <c r="H13" s="12">
        <v>110.7</v>
      </c>
      <c r="I13" s="12">
        <v>59.1</v>
      </c>
      <c r="J13" s="12">
        <v>162.5</v>
      </c>
      <c r="K13" s="12">
        <f>J13-I13</f>
        <v>103.4</v>
      </c>
      <c r="L13" s="12">
        <v>52.8</v>
      </c>
      <c r="M13" s="12">
        <v>117.3</v>
      </c>
      <c r="N13" s="3" t="s">
        <v>469</v>
      </c>
    </row>
    <row r="14" spans="1:14" s="3" customFormat="1" x14ac:dyDescent="0.25">
      <c r="A14" s="3" t="s">
        <v>97</v>
      </c>
      <c r="B14" s="3" t="s">
        <v>98</v>
      </c>
      <c r="C14" s="3" t="s">
        <v>466</v>
      </c>
      <c r="D14" s="12">
        <v>22</v>
      </c>
      <c r="E14" s="12">
        <v>41.6</v>
      </c>
      <c r="F14" s="12">
        <f>E14-D14</f>
        <v>19.6</v>
      </c>
      <c r="G14" s="12">
        <v>68.1</v>
      </c>
      <c r="H14" s="12">
        <v>105.8</v>
      </c>
      <c r="I14" s="12">
        <v>18.9</v>
      </c>
      <c r="J14" s="12">
        <v>40.4</v>
      </c>
      <c r="K14" s="12">
        <f>J14-I14</f>
        <v>21.5</v>
      </c>
      <c r="L14" s="12">
        <v>60.5</v>
      </c>
      <c r="M14" s="12">
        <v>98.3</v>
      </c>
      <c r="N14" s="3" t="s">
        <v>470</v>
      </c>
    </row>
    <row r="15" spans="1:14" s="3" customFormat="1" x14ac:dyDescent="0.25">
      <c r="A15" s="3" t="s">
        <v>99</v>
      </c>
      <c r="B15" s="3" t="s">
        <v>100</v>
      </c>
      <c r="C15" s="3" t="s">
        <v>471</v>
      </c>
      <c r="D15" s="12">
        <v>7.7</v>
      </c>
      <c r="E15" s="12">
        <v>22.8</v>
      </c>
      <c r="F15" s="12">
        <f>E15-D15</f>
        <v>15.1</v>
      </c>
      <c r="G15" s="12">
        <v>25</v>
      </c>
      <c r="H15" s="12">
        <v>41</v>
      </c>
      <c r="I15" s="12">
        <v>7.6</v>
      </c>
      <c r="J15" s="12">
        <v>22.5</v>
      </c>
      <c r="K15" s="12">
        <f>J15-I15</f>
        <v>14.9</v>
      </c>
      <c r="L15" s="12">
        <v>23.6</v>
      </c>
      <c r="M15" s="12">
        <v>39.8</v>
      </c>
      <c r="N15" s="3" t="s">
        <v>472</v>
      </c>
    </row>
    <row r="16" spans="1:14" s="3" customFormat="1" x14ac:dyDescent="0.25">
      <c r="A16" s="3" t="s">
        <v>101</v>
      </c>
      <c r="B16" s="3" t="s">
        <v>102</v>
      </c>
      <c r="C16" s="3" t="s">
        <v>473</v>
      </c>
      <c r="D16" s="12">
        <v>62.9</v>
      </c>
      <c r="E16" s="12">
        <v>67</v>
      </c>
      <c r="F16" s="12">
        <f>E16-D16</f>
        <v>4.1</v>
      </c>
      <c r="G16" s="12">
        <v>83.4</v>
      </c>
      <c r="H16" s="12">
        <v>153.4</v>
      </c>
      <c r="I16" s="12">
        <v>54.6</v>
      </c>
      <c r="J16" s="12">
        <v>76.4</v>
      </c>
      <c r="K16" s="12">
        <f>J16-I16</f>
        <v>21.8</v>
      </c>
      <c r="L16" s="12">
        <v>72.4</v>
      </c>
      <c r="M16" s="12">
        <v>152.8</v>
      </c>
      <c r="N16" s="3" t="s">
        <v>474</v>
      </c>
    </row>
    <row r="17" spans="1:14" s="3" customFormat="1" x14ac:dyDescent="0.25">
      <c r="A17" s="3" t="s">
        <v>103</v>
      </c>
      <c r="B17" s="3" t="s">
        <v>104</v>
      </c>
      <c r="C17" s="3" t="s">
        <v>473</v>
      </c>
      <c r="D17" s="12">
        <v>24.7</v>
      </c>
      <c r="E17" s="12">
        <v>53.4</v>
      </c>
      <c r="F17" s="12">
        <f>E17-D17</f>
        <v>28.7</v>
      </c>
      <c r="G17" s="12">
        <v>75.2</v>
      </c>
      <c r="H17" s="12">
        <v>129.6</v>
      </c>
      <c r="I17" s="12">
        <v>24.1</v>
      </c>
      <c r="J17" s="12">
        <v>54.6</v>
      </c>
      <c r="K17" s="12">
        <f>J17-I17</f>
        <v>30.5</v>
      </c>
      <c r="L17" s="12">
        <v>68.6</v>
      </c>
      <c r="M17" s="12">
        <v>118.4</v>
      </c>
      <c r="N17" s="3" t="s">
        <v>475</v>
      </c>
    </row>
    <row r="18" spans="1:14" s="3" customFormat="1" x14ac:dyDescent="0.25">
      <c r="A18" s="3" t="s">
        <v>105</v>
      </c>
      <c r="B18" s="3" t="s">
        <v>106</v>
      </c>
      <c r="C18" s="3" t="s">
        <v>476</v>
      </c>
      <c r="D18" s="12">
        <v>67.8</v>
      </c>
      <c r="E18" s="12">
        <v>90</v>
      </c>
      <c r="F18" s="12">
        <f>E18-D18</f>
        <v>22.2</v>
      </c>
      <c r="G18" s="12">
        <v>42.7</v>
      </c>
      <c r="H18" s="12">
        <v>76.3</v>
      </c>
      <c r="I18" s="12">
        <v>62.6</v>
      </c>
      <c r="J18" s="12">
        <v>90.2</v>
      </c>
      <c r="K18" s="12">
        <f>J18-I18</f>
        <v>27.6</v>
      </c>
      <c r="L18" s="12">
        <v>38.7</v>
      </c>
      <c r="M18" s="12">
        <v>71.4</v>
      </c>
      <c r="N18" s="3" t="s">
        <v>477</v>
      </c>
    </row>
    <row r="19" spans="1:14" s="3" customFormat="1" x14ac:dyDescent="0.25">
      <c r="A19" s="3" t="s">
        <v>107</v>
      </c>
      <c r="B19" s="3" t="s">
        <v>108</v>
      </c>
      <c r="C19" s="3" t="s">
        <v>476</v>
      </c>
      <c r="D19" s="12">
        <v>52</v>
      </c>
      <c r="E19" s="12">
        <v>75.6</v>
      </c>
      <c r="F19" s="12">
        <f>E19-D19</f>
        <v>23.6</v>
      </c>
      <c r="G19" s="12">
        <v>82.8</v>
      </c>
      <c r="H19" s="12">
        <v>124.3</v>
      </c>
      <c r="I19" s="12">
        <v>45.2</v>
      </c>
      <c r="J19" s="12">
        <v>75.2</v>
      </c>
      <c r="K19" s="12">
        <f>J19-I19</f>
        <v>30</v>
      </c>
      <c r="L19" s="12">
        <v>79.1</v>
      </c>
      <c r="M19" s="12">
        <v>112.2</v>
      </c>
      <c r="N19" s="3" t="s">
        <v>478</v>
      </c>
    </row>
    <row r="20" spans="1:14" s="3" customFormat="1" x14ac:dyDescent="0.25">
      <c r="A20" s="3" t="s">
        <v>109</v>
      </c>
      <c r="B20" s="3" t="s">
        <v>110</v>
      </c>
      <c r="C20" s="3" t="s">
        <v>479</v>
      </c>
      <c r="D20" s="12">
        <v>54.1</v>
      </c>
      <c r="E20" s="12">
        <v>219.1</v>
      </c>
      <c r="F20" s="12">
        <f>E20-D20</f>
        <v>165</v>
      </c>
      <c r="G20" s="12">
        <v>105.3</v>
      </c>
      <c r="H20" s="12">
        <v>196.2</v>
      </c>
      <c r="I20" s="12">
        <v>54.9</v>
      </c>
      <c r="J20" s="12">
        <v>217.1</v>
      </c>
      <c r="K20" s="12">
        <f>J20-I20</f>
        <v>162.2</v>
      </c>
      <c r="L20" s="12">
        <v>112.2</v>
      </c>
      <c r="M20" s="12">
        <v>190.3</v>
      </c>
      <c r="N20" s="3" t="s">
        <v>480</v>
      </c>
    </row>
    <row r="21" spans="1:14" s="3" customFormat="1" x14ac:dyDescent="0.25">
      <c r="A21" s="3" t="s">
        <v>111</v>
      </c>
      <c r="B21" s="3" t="s">
        <v>112</v>
      </c>
      <c r="C21" s="3" t="s">
        <v>479</v>
      </c>
      <c r="D21" s="12">
        <v>107.4</v>
      </c>
      <c r="E21" s="12">
        <v>267.5</v>
      </c>
      <c r="F21" s="12">
        <f>E21-D21</f>
        <v>160.1</v>
      </c>
      <c r="G21" s="12">
        <v>320.4</v>
      </c>
      <c r="H21" s="12">
        <v>363.4</v>
      </c>
      <c r="I21" s="12">
        <v>100.4</v>
      </c>
      <c r="J21" s="12">
        <v>267.2</v>
      </c>
      <c r="K21" s="12">
        <f>J21-I21</f>
        <v>166.8</v>
      </c>
      <c r="L21" s="12">
        <v>296.8</v>
      </c>
      <c r="M21" s="12">
        <v>349.7</v>
      </c>
      <c r="N21" s="3" t="s">
        <v>481</v>
      </c>
    </row>
    <row r="22" spans="1:14" s="3" customFormat="1" x14ac:dyDescent="0.25">
      <c r="A22" s="3" t="s">
        <v>113</v>
      </c>
      <c r="B22" s="3" t="s">
        <v>114</v>
      </c>
      <c r="C22" s="3" t="s">
        <v>479</v>
      </c>
      <c r="D22" s="12">
        <v>43</v>
      </c>
      <c r="E22" s="12">
        <v>106.1</v>
      </c>
      <c r="F22" s="12">
        <f>E22-D22</f>
        <v>63.1</v>
      </c>
      <c r="G22" s="12">
        <v>30.4</v>
      </c>
      <c r="H22" s="12">
        <v>55.3</v>
      </c>
      <c r="I22" s="12">
        <v>47.2</v>
      </c>
      <c r="J22" s="12">
        <v>111.4</v>
      </c>
      <c r="K22" s="12">
        <f>J22-I22</f>
        <v>64.2</v>
      </c>
      <c r="L22" s="12">
        <v>31.1</v>
      </c>
      <c r="M22" s="12">
        <v>57.2</v>
      </c>
      <c r="N22" s="3" t="s">
        <v>482</v>
      </c>
    </row>
    <row r="23" spans="1:14" s="3" customFormat="1" x14ac:dyDescent="0.25">
      <c r="A23" s="3" t="s">
        <v>115</v>
      </c>
      <c r="B23" s="3" t="s">
        <v>483</v>
      </c>
      <c r="C23" s="3" t="s">
        <v>451</v>
      </c>
      <c r="D23" s="12">
        <v>2.3</v>
      </c>
      <c r="E23" s="12">
        <v>11.8</v>
      </c>
      <c r="F23" s="12">
        <f>E23-D23</f>
        <v>9.5</v>
      </c>
      <c r="G23" s="12">
        <v>10.1</v>
      </c>
      <c r="H23" s="12">
        <v>25.1</v>
      </c>
      <c r="I23" s="12">
        <v>2.4</v>
      </c>
      <c r="J23" s="12">
        <v>12.3</v>
      </c>
      <c r="K23" s="12">
        <f>J23-I23</f>
        <v>9.9</v>
      </c>
      <c r="L23" s="12">
        <v>9.2</v>
      </c>
      <c r="M23" s="12">
        <v>24.1</v>
      </c>
      <c r="N23" s="3" t="s">
        <v>484</v>
      </c>
    </row>
    <row r="24" spans="1:14" s="3" customFormat="1" x14ac:dyDescent="0.25">
      <c r="A24" s="3" t="s">
        <v>117</v>
      </c>
      <c r="B24" s="3" t="s">
        <v>485</v>
      </c>
      <c r="C24" s="3" t="s">
        <v>451</v>
      </c>
      <c r="D24" s="12">
        <v>22.2</v>
      </c>
      <c r="E24" s="12">
        <v>47.4</v>
      </c>
      <c r="F24" s="12">
        <f>E24-D24</f>
        <v>25.2</v>
      </c>
      <c r="G24" s="12">
        <v>20.6</v>
      </c>
      <c r="H24" s="12">
        <v>39.4</v>
      </c>
      <c r="I24" s="12">
        <v>22.5</v>
      </c>
      <c r="J24" s="12">
        <v>44.3</v>
      </c>
      <c r="K24" s="12">
        <f>J24-I24</f>
        <v>21.8</v>
      </c>
      <c r="L24" s="12">
        <v>19.2</v>
      </c>
      <c r="M24" s="12">
        <v>36.3</v>
      </c>
      <c r="N24" s="3" t="s">
        <v>486</v>
      </c>
    </row>
    <row r="25" spans="1:14" s="3" customFormat="1" x14ac:dyDescent="0.25">
      <c r="A25" s="3" t="s">
        <v>119</v>
      </c>
      <c r="B25" s="3" t="s">
        <v>120</v>
      </c>
      <c r="C25" s="3" t="s">
        <v>479</v>
      </c>
      <c r="D25" s="12">
        <v>25.8</v>
      </c>
      <c r="E25" s="12">
        <v>19.7</v>
      </c>
      <c r="F25" s="12">
        <f>E25-D25</f>
        <v>-6.1</v>
      </c>
      <c r="G25" s="12">
        <v>18.5</v>
      </c>
      <c r="H25" s="12">
        <v>7.7</v>
      </c>
      <c r="I25" s="12">
        <v>24.6</v>
      </c>
      <c r="J25" s="12">
        <v>20.1</v>
      </c>
      <c r="K25" s="12">
        <f>J25-I25</f>
        <v>-4.5</v>
      </c>
      <c r="L25" s="12">
        <v>17.7</v>
      </c>
      <c r="M25" s="12">
        <v>7.6</v>
      </c>
      <c r="N25" s="3" t="s">
        <v>487</v>
      </c>
    </row>
    <row r="26" spans="1:14" s="37" customFormat="1" x14ac:dyDescent="0.25">
      <c r="A26" s="37" t="s">
        <v>284</v>
      </c>
      <c r="B26" s="37" t="s">
        <v>488</v>
      </c>
      <c r="C26" s="37" t="s">
        <v>43</v>
      </c>
      <c r="D26" s="38">
        <v>975.7</v>
      </c>
      <c r="E26" s="38">
        <v>1649.9</v>
      </c>
      <c r="F26" s="38">
        <f>E26-D26</f>
        <v>674.2</v>
      </c>
      <c r="G26" s="38">
        <v>1397.1</v>
      </c>
      <c r="H26" s="38">
        <v>2018.4</v>
      </c>
      <c r="I26" s="38">
        <v>853.7</v>
      </c>
      <c r="J26" s="38">
        <v>1697.1</v>
      </c>
      <c r="K26" s="38">
        <f>J26-I26</f>
        <v>843.4</v>
      </c>
      <c r="L26" s="38">
        <v>1196.2</v>
      </c>
      <c r="M26" s="38">
        <v>2060.3</v>
      </c>
      <c r="N26" s="37" t="s">
        <v>489</v>
      </c>
    </row>
    <row r="27" spans="1:14" s="39" customFormat="1" x14ac:dyDescent="0.25">
      <c r="A27" s="39" t="s">
        <v>490</v>
      </c>
      <c r="B27" s="39" t="s">
        <v>491</v>
      </c>
      <c r="C27" s="39" t="s">
        <v>43</v>
      </c>
      <c r="D27" s="40">
        <f>SUM(D2:D25)</f>
        <v>927.2</v>
      </c>
      <c r="E27" s="40">
        <f>SUM(E2:E25)</f>
        <v>1580.4</v>
      </c>
      <c r="F27" s="40">
        <f>E27-D27</f>
        <v>653.2</v>
      </c>
      <c r="G27" s="40">
        <f>SUM(G2:G25)</f>
        <v>1361.8</v>
      </c>
      <c r="H27" s="40">
        <f>SUM(H2:H25)</f>
        <v>2057.8</v>
      </c>
      <c r="I27" s="40">
        <f>SUM(I2:I25)</f>
        <v>900.1</v>
      </c>
      <c r="J27" s="40">
        <f>SUM(J2:J25)</f>
        <v>1587.1</v>
      </c>
      <c r="K27" s="40">
        <f>J27-I27</f>
        <v>687</v>
      </c>
      <c r="L27" s="40">
        <f>SUM(L2:L25)</f>
        <v>1295.4</v>
      </c>
      <c r="M27" s="40">
        <f>SUM(M2:M25)</f>
        <v>1997.8</v>
      </c>
      <c r="N27" s="39" t="s">
        <v>492</v>
      </c>
    </row>
  </sheetData>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I921"/>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12" customWidth="1"/>
    <col min="3" max="3" width="42" customWidth="1"/>
    <col min="4" max="6" width="11" customWidth="1"/>
    <col min="7" max="7" width="26" customWidth="1"/>
    <col min="8" max="8" width="11" customWidth="1"/>
    <col min="9" max="9" width="13" customWidth="1"/>
  </cols>
  <sheetData>
    <row r="1" ht="30" customHeight="1" spans="1:9" s="21" customFormat="1" x14ac:dyDescent="0.25">
      <c r="A1" s="23" t="s">
        <v>493</v>
      </c>
      <c r="B1" s="23" t="s">
        <v>129</v>
      </c>
      <c r="C1" s="23" t="s">
        <v>494</v>
      </c>
      <c r="D1" s="23" t="s">
        <v>495</v>
      </c>
      <c r="E1" s="23" t="s">
        <v>496</v>
      </c>
      <c r="F1" s="23" t="s">
        <v>497</v>
      </c>
      <c r="G1" s="23" t="s">
        <v>498</v>
      </c>
      <c r="H1" s="23" t="s">
        <v>499</v>
      </c>
      <c r="I1" s="23" t="s">
        <v>500</v>
      </c>
    </row>
    <row r="2" spans="1:9" s="3" customFormat="1" x14ac:dyDescent="0.25">
      <c r="A2" s="3" t="s">
        <v>501</v>
      </c>
      <c r="B2" s="3" t="s">
        <v>284</v>
      </c>
      <c r="C2" s="3" t="s">
        <v>502</v>
      </c>
      <c r="D2" s="3">
        <v>3552.2</v>
      </c>
      <c r="E2" s="3">
        <v>2172.8</v>
      </c>
      <c r="F2" s="3">
        <v>1379.4</v>
      </c>
      <c r="G2" s="3" t="s">
        <v>503</v>
      </c>
      <c r="H2" s="3">
        <v>357.8</v>
      </c>
      <c r="I2" s="3">
        <v>25.9</v>
      </c>
    </row>
    <row r="3" spans="1:9" s="3" customFormat="1" x14ac:dyDescent="0.25">
      <c r="A3" s="3" t="s">
        <v>501</v>
      </c>
      <c r="B3" s="3" t="s">
        <v>284</v>
      </c>
      <c r="C3" s="3" t="s">
        <v>502</v>
      </c>
      <c r="G3" s="3" t="s">
        <v>504</v>
      </c>
      <c r="H3" s="3">
        <v>336.2</v>
      </c>
      <c r="I3" s="3">
        <v>24.4</v>
      </c>
    </row>
    <row r="4" spans="1:9" s="3" customFormat="1" x14ac:dyDescent="0.25">
      <c r="A4" s="3" t="s">
        <v>501</v>
      </c>
      <c r="B4" s="3" t="s">
        <v>284</v>
      </c>
      <c r="C4" s="3" t="s">
        <v>502</v>
      </c>
      <c r="G4" s="3" t="s">
        <v>505</v>
      </c>
      <c r="H4" s="3">
        <v>142.7</v>
      </c>
      <c r="I4" s="3">
        <v>10.3</v>
      </c>
    </row>
    <row r="5" spans="1:9" s="3" customFormat="1" x14ac:dyDescent="0.25">
      <c r="A5" s="3" t="s">
        <v>501</v>
      </c>
      <c r="B5" s="3" t="s">
        <v>284</v>
      </c>
      <c r="C5" s="3" t="s">
        <v>502</v>
      </c>
      <c r="G5" s="3" t="s">
        <v>506</v>
      </c>
      <c r="H5" s="3">
        <v>123.4</v>
      </c>
      <c r="I5" s="3">
        <v>8.9</v>
      </c>
    </row>
    <row r="6" spans="1:9" s="3" customFormat="1" x14ac:dyDescent="0.25">
      <c r="A6" s="3" t="s">
        <v>501</v>
      </c>
      <c r="B6" s="3" t="s">
        <v>284</v>
      </c>
      <c r="C6" s="3" t="s">
        <v>502</v>
      </c>
      <c r="G6" s="3" t="s">
        <v>507</v>
      </c>
      <c r="H6" s="3">
        <v>97.9</v>
      </c>
      <c r="I6" s="3">
        <v>7.1</v>
      </c>
    </row>
    <row r="7" spans="1:9" s="3" customFormat="1" x14ac:dyDescent="0.25">
      <c r="A7" s="3" t="s">
        <v>501</v>
      </c>
      <c r="B7" s="3" t="s">
        <v>284</v>
      </c>
      <c r="C7" s="3" t="s">
        <v>502</v>
      </c>
      <c r="G7" s="3" t="s">
        <v>508</v>
      </c>
      <c r="H7" s="3">
        <v>60.8</v>
      </c>
      <c r="I7" s="3">
        <v>4.4</v>
      </c>
    </row>
    <row r="8" spans="1:9" s="3" customFormat="1" x14ac:dyDescent="0.25">
      <c r="A8" s="3" t="s">
        <v>501</v>
      </c>
      <c r="B8" s="3" t="s">
        <v>284</v>
      </c>
      <c r="C8" s="3" t="s">
        <v>502</v>
      </c>
      <c r="G8" s="3" t="s">
        <v>509</v>
      </c>
      <c r="H8" s="3">
        <v>54.7</v>
      </c>
      <c r="I8" s="3">
        <v>4</v>
      </c>
    </row>
    <row r="9" spans="1:9" s="3" customFormat="1" x14ac:dyDescent="0.25">
      <c r="A9" s="3" t="s">
        <v>501</v>
      </c>
      <c r="B9" s="3" t="s">
        <v>284</v>
      </c>
      <c r="C9" s="3" t="s">
        <v>502</v>
      </c>
      <c r="G9" s="3" t="s">
        <v>510</v>
      </c>
      <c r="H9" s="3">
        <v>42.6</v>
      </c>
      <c r="I9" s="3">
        <v>3.1</v>
      </c>
    </row>
    <row r="10" spans="1:9" s="3" customFormat="1" x14ac:dyDescent="0.25">
      <c r="A10" s="3" t="s">
        <v>501</v>
      </c>
      <c r="B10" s="3" t="s">
        <v>284</v>
      </c>
      <c r="C10" s="3" t="s">
        <v>502</v>
      </c>
      <c r="G10" s="3" t="s">
        <v>511</v>
      </c>
      <c r="H10" s="3">
        <v>33.8</v>
      </c>
      <c r="I10" s="3">
        <v>2.4</v>
      </c>
    </row>
    <row r="11" spans="1:9" s="3" customFormat="1" x14ac:dyDescent="0.25">
      <c r="A11" s="3" t="s">
        <v>501</v>
      </c>
      <c r="B11" s="3" t="s">
        <v>284</v>
      </c>
      <c r="C11" s="3" t="s">
        <v>502</v>
      </c>
      <c r="G11" s="3" t="s">
        <v>512</v>
      </c>
      <c r="H11" s="3">
        <v>26.9</v>
      </c>
      <c r="I11" s="3">
        <v>2</v>
      </c>
    </row>
    <row r="12" spans="1:9" s="3" customFormat="1" x14ac:dyDescent="0.25">
      <c r="A12" s="3" t="s">
        <v>501</v>
      </c>
      <c r="B12" s="3" t="s">
        <v>284</v>
      </c>
      <c r="C12" s="3" t="s">
        <v>502</v>
      </c>
      <c r="G12" s="3" t="s">
        <v>513</v>
      </c>
      <c r="H12" s="3">
        <v>19.1</v>
      </c>
      <c r="I12" s="3">
        <v>1.4</v>
      </c>
    </row>
    <row r="13" spans="1:9" s="3" customFormat="1" x14ac:dyDescent="0.25">
      <c r="A13" s="3" t="s">
        <v>501</v>
      </c>
      <c r="B13" s="3" t="s">
        <v>284</v>
      </c>
      <c r="C13" s="3" t="s">
        <v>502</v>
      </c>
      <c r="G13" s="3" t="s">
        <v>514</v>
      </c>
      <c r="H13" s="3">
        <v>15.1</v>
      </c>
      <c r="I13" s="3">
        <v>1.1</v>
      </c>
    </row>
    <row r="14" spans="1:9" s="3" customFormat="1" x14ac:dyDescent="0.25">
      <c r="A14" s="3" t="s">
        <v>501</v>
      </c>
      <c r="B14" s="3" t="s">
        <v>284</v>
      </c>
      <c r="C14" s="3" t="s">
        <v>502</v>
      </c>
      <c r="G14" s="3" t="s">
        <v>515</v>
      </c>
      <c r="H14" s="3">
        <v>12.9</v>
      </c>
      <c r="I14" s="3">
        <v>0.9</v>
      </c>
    </row>
    <row r="15" spans="1:9" s="3" customFormat="1" x14ac:dyDescent="0.25">
      <c r="A15" s="3" t="s">
        <v>501</v>
      </c>
      <c r="B15" s="3" t="s">
        <v>284</v>
      </c>
      <c r="C15" s="3" t="s">
        <v>502</v>
      </c>
      <c r="G15" s="3" t="s">
        <v>516</v>
      </c>
      <c r="H15" s="3">
        <v>12.2</v>
      </c>
      <c r="I15" s="3">
        <v>0.9</v>
      </c>
    </row>
    <row r="16" spans="1:9" s="3" customFormat="1" x14ac:dyDescent="0.25">
      <c r="A16" s="3" t="s">
        <v>501</v>
      </c>
      <c r="B16" s="3" t="s">
        <v>284</v>
      </c>
      <c r="C16" s="3" t="s">
        <v>502</v>
      </c>
      <c r="G16" s="3" t="s">
        <v>517</v>
      </c>
      <c r="H16" s="3">
        <v>11.3</v>
      </c>
      <c r="I16" s="3">
        <v>0.8</v>
      </c>
    </row>
    <row r="17" spans="1:9" s="3" customFormat="1" x14ac:dyDescent="0.25">
      <c r="A17" s="3" t="s">
        <v>501</v>
      </c>
      <c r="B17" s="3" t="s">
        <v>284</v>
      </c>
      <c r="C17" s="3" t="s">
        <v>502</v>
      </c>
      <c r="G17" s="3" t="s">
        <v>518</v>
      </c>
      <c r="H17" s="3">
        <v>8.6</v>
      </c>
      <c r="I17" s="3">
        <v>0.6</v>
      </c>
    </row>
    <row r="18" spans="1:9" s="3" customFormat="1" x14ac:dyDescent="0.25">
      <c r="A18" s="3" t="s">
        <v>501</v>
      </c>
      <c r="B18" s="3" t="s">
        <v>284</v>
      </c>
      <c r="C18" s="3" t="s">
        <v>502</v>
      </c>
      <c r="G18" s="3" t="s">
        <v>519</v>
      </c>
      <c r="H18" s="3">
        <v>6.2</v>
      </c>
      <c r="I18" s="3">
        <v>0.4</v>
      </c>
    </row>
    <row r="19" spans="1:9" s="3" customFormat="1" x14ac:dyDescent="0.25">
      <c r="A19" s="3" t="s">
        <v>501</v>
      </c>
      <c r="B19" s="3" t="s">
        <v>284</v>
      </c>
      <c r="C19" s="3" t="s">
        <v>502</v>
      </c>
      <c r="G19" s="3" t="s">
        <v>520</v>
      </c>
      <c r="H19" s="3">
        <v>4.8</v>
      </c>
      <c r="I19" s="3">
        <v>0.4</v>
      </c>
    </row>
    <row r="20" spans="1:9" s="3" customFormat="1" x14ac:dyDescent="0.25">
      <c r="A20" s="3" t="s">
        <v>501</v>
      </c>
      <c r="B20" s="3" t="s">
        <v>284</v>
      </c>
      <c r="C20" s="3" t="s">
        <v>502</v>
      </c>
      <c r="G20" s="3" t="s">
        <v>521</v>
      </c>
      <c r="H20" s="3">
        <v>4.6</v>
      </c>
      <c r="I20" s="3">
        <v>0.3</v>
      </c>
    </row>
    <row r="21" spans="1:9" s="3" customFormat="1" x14ac:dyDescent="0.25">
      <c r="A21" s="3" t="s">
        <v>501</v>
      </c>
      <c r="B21" s="3" t="s">
        <v>284</v>
      </c>
      <c r="C21" s="3" t="s">
        <v>502</v>
      </c>
      <c r="G21" s="3" t="s">
        <v>522</v>
      </c>
      <c r="H21" s="3">
        <v>4.2</v>
      </c>
      <c r="I21" s="3">
        <v>0.3</v>
      </c>
    </row>
    <row r="22" spans="1:9" s="3" customFormat="1" x14ac:dyDescent="0.25">
      <c r="A22" s="3" t="s">
        <v>501</v>
      </c>
      <c r="B22" s="3" t="s">
        <v>284</v>
      </c>
      <c r="C22" s="3" t="s">
        <v>502</v>
      </c>
      <c r="G22" s="3" t="s">
        <v>523</v>
      </c>
      <c r="H22" s="3">
        <v>2.8</v>
      </c>
      <c r="I22" s="3">
        <v>0.2</v>
      </c>
    </row>
    <row r="23" spans="1:9" s="3" customFormat="1" x14ac:dyDescent="0.25">
      <c r="A23" s="3" t="s">
        <v>501</v>
      </c>
      <c r="B23" s="3" t="s">
        <v>284</v>
      </c>
      <c r="C23" s="3" t="s">
        <v>502</v>
      </c>
      <c r="G23" s="3" t="s">
        <v>524</v>
      </c>
      <c r="H23" s="3">
        <v>0.6</v>
      </c>
      <c r="I23" s="3">
        <v>0</v>
      </c>
    </row>
    <row r="24" spans="1:9" s="3" customFormat="1" x14ac:dyDescent="0.25">
      <c r="A24" s="3" t="s">
        <v>501</v>
      </c>
      <c r="B24" s="3" t="s">
        <v>284</v>
      </c>
      <c r="C24" s="3" t="s">
        <v>502</v>
      </c>
      <c r="G24" s="3" t="s">
        <v>525</v>
      </c>
      <c r="H24" s="3">
        <v>0.1</v>
      </c>
      <c r="I24" s="3">
        <v>0</v>
      </c>
    </row>
    <row r="25" spans="1:9" s="3" customFormat="1" x14ac:dyDescent="0.25">
      <c r="A25" s="3" t="s">
        <v>501</v>
      </c>
      <c r="B25" s="3" t="s">
        <v>526</v>
      </c>
      <c r="C25" s="3" t="s">
        <v>527</v>
      </c>
      <c r="D25" s="3">
        <v>329</v>
      </c>
      <c r="E25" s="3">
        <v>242.4</v>
      </c>
      <c r="F25" s="3">
        <v>86.6</v>
      </c>
      <c r="G25" s="3" t="s">
        <v>503</v>
      </c>
      <c r="H25" s="3">
        <v>38.5</v>
      </c>
      <c r="I25" s="3">
        <v>44.4</v>
      </c>
    </row>
    <row r="26" spans="1:9" s="3" customFormat="1" x14ac:dyDescent="0.25">
      <c r="A26" s="3" t="s">
        <v>501</v>
      </c>
      <c r="B26" s="3" t="s">
        <v>526</v>
      </c>
      <c r="C26" s="3" t="s">
        <v>527</v>
      </c>
      <c r="G26" s="3" t="s">
        <v>507</v>
      </c>
      <c r="H26" s="3">
        <v>10.8</v>
      </c>
      <c r="I26" s="3">
        <v>12.5</v>
      </c>
    </row>
    <row r="27" spans="1:9" s="3" customFormat="1" x14ac:dyDescent="0.25">
      <c r="A27" s="3" t="s">
        <v>501</v>
      </c>
      <c r="B27" s="3" t="s">
        <v>526</v>
      </c>
      <c r="C27" s="3" t="s">
        <v>527</v>
      </c>
      <c r="G27" s="3" t="s">
        <v>506</v>
      </c>
      <c r="H27" s="3">
        <v>7.2</v>
      </c>
      <c r="I27" s="3">
        <v>8.3</v>
      </c>
    </row>
    <row r="28" spans="1:9" s="3" customFormat="1" x14ac:dyDescent="0.25">
      <c r="A28" s="3" t="s">
        <v>501</v>
      </c>
      <c r="B28" s="3" t="s">
        <v>526</v>
      </c>
      <c r="C28" s="3" t="s">
        <v>527</v>
      </c>
      <c r="G28" s="3" t="s">
        <v>505</v>
      </c>
      <c r="H28" s="3">
        <v>5.5</v>
      </c>
      <c r="I28" s="3">
        <v>6.3</v>
      </c>
    </row>
    <row r="29" spans="1:9" s="3" customFormat="1" x14ac:dyDescent="0.25">
      <c r="A29" s="3" t="s">
        <v>501</v>
      </c>
      <c r="B29" s="3" t="s">
        <v>526</v>
      </c>
      <c r="C29" s="3" t="s">
        <v>527</v>
      </c>
      <c r="G29" s="3" t="s">
        <v>504</v>
      </c>
      <c r="H29" s="3">
        <v>5.4</v>
      </c>
      <c r="I29" s="3">
        <v>6.2</v>
      </c>
    </row>
    <row r="30" spans="1:9" s="3" customFormat="1" x14ac:dyDescent="0.25">
      <c r="A30" s="3" t="s">
        <v>501</v>
      </c>
      <c r="B30" s="3" t="s">
        <v>526</v>
      </c>
      <c r="C30" s="3" t="s">
        <v>527</v>
      </c>
      <c r="G30" s="3" t="s">
        <v>517</v>
      </c>
      <c r="H30" s="3">
        <v>4.1</v>
      </c>
      <c r="I30" s="3">
        <v>4.7</v>
      </c>
    </row>
    <row r="31" spans="1:9" s="3" customFormat="1" x14ac:dyDescent="0.25">
      <c r="A31" s="3" t="s">
        <v>501</v>
      </c>
      <c r="B31" s="3" t="s">
        <v>526</v>
      </c>
      <c r="C31" s="3" t="s">
        <v>527</v>
      </c>
      <c r="G31" s="3" t="s">
        <v>518</v>
      </c>
      <c r="H31" s="3">
        <v>2.4</v>
      </c>
      <c r="I31" s="3">
        <v>2.8</v>
      </c>
    </row>
    <row r="32" spans="1:9" s="3" customFormat="1" x14ac:dyDescent="0.25">
      <c r="A32" s="3" t="s">
        <v>501</v>
      </c>
      <c r="B32" s="3" t="s">
        <v>526</v>
      </c>
      <c r="C32" s="3" t="s">
        <v>527</v>
      </c>
      <c r="G32" s="3" t="s">
        <v>508</v>
      </c>
      <c r="H32" s="3">
        <v>2.3</v>
      </c>
      <c r="I32" s="3">
        <v>2.7</v>
      </c>
    </row>
    <row r="33" spans="1:9" s="3" customFormat="1" x14ac:dyDescent="0.25">
      <c r="A33" s="3" t="s">
        <v>501</v>
      </c>
      <c r="B33" s="3" t="s">
        <v>526</v>
      </c>
      <c r="C33" s="3" t="s">
        <v>527</v>
      </c>
      <c r="G33" s="3" t="s">
        <v>513</v>
      </c>
      <c r="H33" s="3">
        <v>2.3</v>
      </c>
      <c r="I33" s="3">
        <v>2.7</v>
      </c>
    </row>
    <row r="34" spans="1:9" s="3" customFormat="1" x14ac:dyDescent="0.25">
      <c r="A34" s="3" t="s">
        <v>501</v>
      </c>
      <c r="B34" s="3" t="s">
        <v>526</v>
      </c>
      <c r="C34" s="3" t="s">
        <v>527</v>
      </c>
      <c r="G34" s="3" t="s">
        <v>523</v>
      </c>
      <c r="H34" s="3">
        <v>1.9</v>
      </c>
      <c r="I34" s="3">
        <v>2.2</v>
      </c>
    </row>
    <row r="35" spans="1:9" s="3" customFormat="1" x14ac:dyDescent="0.25">
      <c r="A35" s="3" t="s">
        <v>501</v>
      </c>
      <c r="B35" s="3" t="s">
        <v>526</v>
      </c>
      <c r="C35" s="3" t="s">
        <v>527</v>
      </c>
      <c r="G35" s="3" t="s">
        <v>516</v>
      </c>
      <c r="H35" s="3">
        <v>1.3</v>
      </c>
      <c r="I35" s="3">
        <v>1.5</v>
      </c>
    </row>
    <row r="36" spans="1:9" s="3" customFormat="1" x14ac:dyDescent="0.25">
      <c r="A36" s="3" t="s">
        <v>501</v>
      </c>
      <c r="B36" s="3" t="s">
        <v>526</v>
      </c>
      <c r="C36" s="3" t="s">
        <v>527</v>
      </c>
      <c r="G36" s="3" t="s">
        <v>511</v>
      </c>
      <c r="H36" s="3">
        <v>1.2</v>
      </c>
      <c r="I36" s="3">
        <v>1.4</v>
      </c>
    </row>
    <row r="37" spans="1:9" s="3" customFormat="1" x14ac:dyDescent="0.25">
      <c r="A37" s="3" t="s">
        <v>501</v>
      </c>
      <c r="B37" s="3" t="s">
        <v>526</v>
      </c>
      <c r="C37" s="3" t="s">
        <v>527</v>
      </c>
      <c r="G37" s="3" t="s">
        <v>515</v>
      </c>
      <c r="H37" s="3">
        <v>0.8</v>
      </c>
      <c r="I37" s="3">
        <v>1</v>
      </c>
    </row>
    <row r="38" spans="1:9" s="3" customFormat="1" x14ac:dyDescent="0.25">
      <c r="A38" s="3" t="s">
        <v>501</v>
      </c>
      <c r="B38" s="3" t="s">
        <v>526</v>
      </c>
      <c r="C38" s="3" t="s">
        <v>527</v>
      </c>
      <c r="G38" s="3" t="s">
        <v>514</v>
      </c>
      <c r="H38" s="3">
        <v>0.5</v>
      </c>
      <c r="I38" s="3">
        <v>0.6</v>
      </c>
    </row>
    <row r="39" spans="1:9" s="3" customFormat="1" x14ac:dyDescent="0.25">
      <c r="A39" s="3" t="s">
        <v>501</v>
      </c>
      <c r="B39" s="3" t="s">
        <v>526</v>
      </c>
      <c r="C39" s="3" t="s">
        <v>527</v>
      </c>
      <c r="G39" s="3" t="s">
        <v>521</v>
      </c>
      <c r="H39" s="3">
        <v>0.5</v>
      </c>
      <c r="I39" s="3">
        <v>0.6</v>
      </c>
    </row>
    <row r="40" spans="1:9" s="3" customFormat="1" x14ac:dyDescent="0.25">
      <c r="A40" s="3" t="s">
        <v>501</v>
      </c>
      <c r="B40" s="3" t="s">
        <v>526</v>
      </c>
      <c r="C40" s="3" t="s">
        <v>527</v>
      </c>
      <c r="G40" s="3" t="s">
        <v>512</v>
      </c>
      <c r="H40" s="3">
        <v>0.5</v>
      </c>
      <c r="I40" s="3">
        <v>0.5</v>
      </c>
    </row>
    <row r="41" spans="1:9" s="3" customFormat="1" x14ac:dyDescent="0.25">
      <c r="A41" s="3" t="s">
        <v>501</v>
      </c>
      <c r="B41" s="3" t="s">
        <v>526</v>
      </c>
      <c r="C41" s="3" t="s">
        <v>527</v>
      </c>
      <c r="G41" s="3" t="s">
        <v>509</v>
      </c>
      <c r="H41" s="3">
        <v>0.4</v>
      </c>
      <c r="I41" s="3">
        <v>0.4</v>
      </c>
    </row>
    <row r="42" spans="1:9" s="3" customFormat="1" x14ac:dyDescent="0.25">
      <c r="A42" s="3" t="s">
        <v>501</v>
      </c>
      <c r="B42" s="3" t="s">
        <v>526</v>
      </c>
      <c r="C42" s="3" t="s">
        <v>527</v>
      </c>
      <c r="G42" s="3" t="s">
        <v>510</v>
      </c>
      <c r="H42" s="3">
        <v>0.4</v>
      </c>
      <c r="I42" s="3">
        <v>0.4</v>
      </c>
    </row>
    <row r="43" spans="1:9" s="3" customFormat="1" x14ac:dyDescent="0.25">
      <c r="A43" s="3" t="s">
        <v>501</v>
      </c>
      <c r="B43" s="3" t="s">
        <v>526</v>
      </c>
      <c r="C43" s="3" t="s">
        <v>527</v>
      </c>
      <c r="G43" s="3" t="s">
        <v>522</v>
      </c>
      <c r="H43" s="3">
        <v>0.3</v>
      </c>
      <c r="I43" s="3">
        <v>0.4</v>
      </c>
    </row>
    <row r="44" spans="1:9" s="3" customFormat="1" x14ac:dyDescent="0.25">
      <c r="A44" s="3" t="s">
        <v>501</v>
      </c>
      <c r="B44" s="3" t="s">
        <v>526</v>
      </c>
      <c r="C44" s="3" t="s">
        <v>527</v>
      </c>
      <c r="G44" s="3" t="s">
        <v>520</v>
      </c>
      <c r="H44" s="3">
        <v>0.2</v>
      </c>
      <c r="I44" s="3">
        <v>0.2</v>
      </c>
    </row>
    <row r="45" spans="1:9" s="3" customFormat="1" x14ac:dyDescent="0.25">
      <c r="A45" s="3" t="s">
        <v>501</v>
      </c>
      <c r="B45" s="3" t="s">
        <v>526</v>
      </c>
      <c r="C45" s="3" t="s">
        <v>527</v>
      </c>
      <c r="G45" s="3" t="s">
        <v>519</v>
      </c>
      <c r="H45" s="3">
        <v>0.1</v>
      </c>
      <c r="I45" s="3">
        <v>0.1</v>
      </c>
    </row>
    <row r="46" spans="1:9" s="3" customFormat="1" x14ac:dyDescent="0.25">
      <c r="A46" s="3" t="s">
        <v>501</v>
      </c>
      <c r="B46" s="3" t="s">
        <v>526</v>
      </c>
      <c r="C46" s="3" t="s">
        <v>527</v>
      </c>
      <c r="G46" s="3" t="s">
        <v>524</v>
      </c>
      <c r="H46" s="3">
        <v>0</v>
      </c>
      <c r="I46" s="3">
        <v>0</v>
      </c>
    </row>
    <row r="47" spans="1:9" s="3" customFormat="1" x14ac:dyDescent="0.25">
      <c r="A47" s="3" t="s">
        <v>501</v>
      </c>
      <c r="B47" s="3" t="s">
        <v>526</v>
      </c>
      <c r="C47" s="3" t="s">
        <v>527</v>
      </c>
      <c r="G47" s="3" t="s">
        <v>525</v>
      </c>
      <c r="H47" s="3">
        <v>0</v>
      </c>
      <c r="I47" s="3">
        <v>0</v>
      </c>
    </row>
    <row r="48" spans="1:9" s="3" customFormat="1" x14ac:dyDescent="0.25">
      <c r="A48" s="3" t="s">
        <v>501</v>
      </c>
      <c r="B48" s="3" t="s">
        <v>528</v>
      </c>
      <c r="C48" s="3" t="s">
        <v>529</v>
      </c>
      <c r="D48" s="3">
        <v>185.9</v>
      </c>
      <c r="E48" s="3">
        <v>59.3</v>
      </c>
      <c r="F48" s="3">
        <v>126.7</v>
      </c>
      <c r="G48" s="3" t="s">
        <v>504</v>
      </c>
      <c r="H48" s="3">
        <v>54.6</v>
      </c>
      <c r="I48" s="3">
        <v>43.1</v>
      </c>
    </row>
    <row r="49" spans="1:9" s="3" customFormat="1" x14ac:dyDescent="0.25">
      <c r="A49" s="3" t="s">
        <v>501</v>
      </c>
      <c r="B49" s="3" t="s">
        <v>528</v>
      </c>
      <c r="C49" s="3" t="s">
        <v>529</v>
      </c>
      <c r="G49" s="3" t="s">
        <v>503</v>
      </c>
      <c r="H49" s="3">
        <v>39.2</v>
      </c>
      <c r="I49" s="3">
        <v>31</v>
      </c>
    </row>
    <row r="50" spans="1:9" s="3" customFormat="1" x14ac:dyDescent="0.25">
      <c r="A50" s="3" t="s">
        <v>501</v>
      </c>
      <c r="B50" s="3" t="s">
        <v>528</v>
      </c>
      <c r="C50" s="3" t="s">
        <v>529</v>
      </c>
      <c r="G50" s="3" t="s">
        <v>508</v>
      </c>
      <c r="H50" s="3">
        <v>11.7</v>
      </c>
      <c r="I50" s="3">
        <v>9.2</v>
      </c>
    </row>
    <row r="51" spans="1:9" s="3" customFormat="1" x14ac:dyDescent="0.25">
      <c r="A51" s="3" t="s">
        <v>501</v>
      </c>
      <c r="B51" s="3" t="s">
        <v>528</v>
      </c>
      <c r="C51" s="3" t="s">
        <v>529</v>
      </c>
      <c r="G51" s="3" t="s">
        <v>511</v>
      </c>
      <c r="H51" s="3">
        <v>6.6</v>
      </c>
      <c r="I51" s="3">
        <v>5.2</v>
      </c>
    </row>
    <row r="52" spans="1:9" s="3" customFormat="1" x14ac:dyDescent="0.25">
      <c r="A52" s="3" t="s">
        <v>501</v>
      </c>
      <c r="B52" s="3" t="s">
        <v>528</v>
      </c>
      <c r="C52" s="3" t="s">
        <v>529</v>
      </c>
      <c r="G52" s="3" t="s">
        <v>507</v>
      </c>
      <c r="H52" s="3">
        <v>3.4</v>
      </c>
      <c r="I52" s="3">
        <v>2.7</v>
      </c>
    </row>
    <row r="53" spans="1:9" s="3" customFormat="1" x14ac:dyDescent="0.25">
      <c r="A53" s="3" t="s">
        <v>501</v>
      </c>
      <c r="B53" s="3" t="s">
        <v>528</v>
      </c>
      <c r="C53" s="3" t="s">
        <v>529</v>
      </c>
      <c r="G53" s="3" t="s">
        <v>506</v>
      </c>
      <c r="H53" s="3">
        <v>2.3</v>
      </c>
      <c r="I53" s="3">
        <v>1.8</v>
      </c>
    </row>
    <row r="54" spans="1:9" s="3" customFormat="1" x14ac:dyDescent="0.25">
      <c r="A54" s="3" t="s">
        <v>501</v>
      </c>
      <c r="B54" s="3" t="s">
        <v>528</v>
      </c>
      <c r="C54" s="3" t="s">
        <v>529</v>
      </c>
      <c r="G54" s="3" t="s">
        <v>505</v>
      </c>
      <c r="H54" s="3">
        <v>2</v>
      </c>
      <c r="I54" s="3">
        <v>1.6</v>
      </c>
    </row>
    <row r="55" spans="1:9" s="3" customFormat="1" x14ac:dyDescent="0.25">
      <c r="A55" s="3" t="s">
        <v>501</v>
      </c>
      <c r="B55" s="3" t="s">
        <v>528</v>
      </c>
      <c r="C55" s="3" t="s">
        <v>529</v>
      </c>
      <c r="G55" s="3" t="s">
        <v>518</v>
      </c>
      <c r="H55" s="3">
        <v>1.7</v>
      </c>
      <c r="I55" s="3">
        <v>1.4</v>
      </c>
    </row>
    <row r="56" spans="1:9" s="3" customFormat="1" x14ac:dyDescent="0.25">
      <c r="A56" s="3" t="s">
        <v>501</v>
      </c>
      <c r="B56" s="3" t="s">
        <v>528</v>
      </c>
      <c r="C56" s="3" t="s">
        <v>529</v>
      </c>
      <c r="G56" s="3" t="s">
        <v>509</v>
      </c>
      <c r="H56" s="3">
        <v>1.7</v>
      </c>
      <c r="I56" s="3">
        <v>1.3</v>
      </c>
    </row>
    <row r="57" spans="1:9" s="3" customFormat="1" x14ac:dyDescent="0.25">
      <c r="A57" s="3" t="s">
        <v>501</v>
      </c>
      <c r="B57" s="3" t="s">
        <v>528</v>
      </c>
      <c r="C57" s="3" t="s">
        <v>529</v>
      </c>
      <c r="G57" s="3" t="s">
        <v>516</v>
      </c>
      <c r="H57" s="3">
        <v>0.8</v>
      </c>
      <c r="I57" s="3">
        <v>0.6</v>
      </c>
    </row>
    <row r="58" spans="1:9" s="3" customFormat="1" x14ac:dyDescent="0.25">
      <c r="A58" s="3" t="s">
        <v>501</v>
      </c>
      <c r="B58" s="3" t="s">
        <v>528</v>
      </c>
      <c r="C58" s="3" t="s">
        <v>529</v>
      </c>
      <c r="G58" s="3" t="s">
        <v>510</v>
      </c>
      <c r="H58" s="3">
        <v>0.3</v>
      </c>
      <c r="I58" s="3">
        <v>0.2</v>
      </c>
    </row>
    <row r="59" spans="1:9" s="3" customFormat="1" x14ac:dyDescent="0.25">
      <c r="A59" s="3" t="s">
        <v>501</v>
      </c>
      <c r="B59" s="3" t="s">
        <v>528</v>
      </c>
      <c r="C59" s="3" t="s">
        <v>529</v>
      </c>
      <c r="G59" s="3" t="s">
        <v>512</v>
      </c>
      <c r="H59" s="3">
        <v>0.3</v>
      </c>
      <c r="I59" s="3">
        <v>0.2</v>
      </c>
    </row>
    <row r="60" spans="1:9" s="3" customFormat="1" x14ac:dyDescent="0.25">
      <c r="A60" s="3" t="s">
        <v>501</v>
      </c>
      <c r="B60" s="3" t="s">
        <v>528</v>
      </c>
      <c r="C60" s="3" t="s">
        <v>529</v>
      </c>
      <c r="G60" s="3" t="s">
        <v>513</v>
      </c>
      <c r="H60" s="3">
        <v>0.3</v>
      </c>
      <c r="I60" s="3">
        <v>0.2</v>
      </c>
    </row>
    <row r="61" spans="1:9" s="3" customFormat="1" x14ac:dyDescent="0.25">
      <c r="A61" s="3" t="s">
        <v>501</v>
      </c>
      <c r="B61" s="3" t="s">
        <v>528</v>
      </c>
      <c r="C61" s="3" t="s">
        <v>529</v>
      </c>
      <c r="G61" s="3" t="s">
        <v>520</v>
      </c>
      <c r="H61" s="3">
        <v>0.3</v>
      </c>
      <c r="I61" s="3">
        <v>0.2</v>
      </c>
    </row>
    <row r="62" spans="1:9" s="3" customFormat="1" x14ac:dyDescent="0.25">
      <c r="A62" s="3" t="s">
        <v>501</v>
      </c>
      <c r="B62" s="3" t="s">
        <v>528</v>
      </c>
      <c r="C62" s="3" t="s">
        <v>529</v>
      </c>
      <c r="G62" s="3" t="s">
        <v>517</v>
      </c>
      <c r="H62" s="3">
        <v>0.3</v>
      </c>
      <c r="I62" s="3">
        <v>0.2</v>
      </c>
    </row>
    <row r="63" spans="1:9" s="3" customFormat="1" x14ac:dyDescent="0.25">
      <c r="A63" s="3" t="s">
        <v>501</v>
      </c>
      <c r="B63" s="3" t="s">
        <v>528</v>
      </c>
      <c r="C63" s="3" t="s">
        <v>529</v>
      </c>
      <c r="G63" s="3" t="s">
        <v>519</v>
      </c>
      <c r="H63" s="3">
        <v>0.2</v>
      </c>
      <c r="I63" s="3">
        <v>0.2</v>
      </c>
    </row>
    <row r="64" spans="1:9" s="3" customFormat="1" x14ac:dyDescent="0.25">
      <c r="A64" s="3" t="s">
        <v>501</v>
      </c>
      <c r="B64" s="3" t="s">
        <v>528</v>
      </c>
      <c r="C64" s="3" t="s">
        <v>529</v>
      </c>
      <c r="G64" s="3" t="s">
        <v>524</v>
      </c>
      <c r="H64" s="3">
        <v>0.2</v>
      </c>
      <c r="I64" s="3">
        <v>0.2</v>
      </c>
    </row>
    <row r="65" spans="1:9" s="3" customFormat="1" x14ac:dyDescent="0.25">
      <c r="A65" s="3" t="s">
        <v>501</v>
      </c>
      <c r="B65" s="3" t="s">
        <v>528</v>
      </c>
      <c r="C65" s="3" t="s">
        <v>529</v>
      </c>
      <c r="G65" s="3" t="s">
        <v>515</v>
      </c>
      <c r="H65" s="3">
        <v>0.2</v>
      </c>
      <c r="I65" s="3">
        <v>0.2</v>
      </c>
    </row>
    <row r="66" spans="1:9" s="3" customFormat="1" x14ac:dyDescent="0.25">
      <c r="A66" s="3" t="s">
        <v>501</v>
      </c>
      <c r="B66" s="3" t="s">
        <v>528</v>
      </c>
      <c r="C66" s="3" t="s">
        <v>529</v>
      </c>
      <c r="G66" s="3" t="s">
        <v>521</v>
      </c>
      <c r="H66" s="3">
        <v>0.1</v>
      </c>
      <c r="I66" s="3">
        <v>0.1</v>
      </c>
    </row>
    <row r="67" spans="1:9" s="3" customFormat="1" x14ac:dyDescent="0.25">
      <c r="A67" s="3" t="s">
        <v>501</v>
      </c>
      <c r="B67" s="3" t="s">
        <v>528</v>
      </c>
      <c r="C67" s="3" t="s">
        <v>529</v>
      </c>
      <c r="G67" s="3" t="s">
        <v>522</v>
      </c>
      <c r="H67" s="3">
        <v>0.1</v>
      </c>
      <c r="I67" s="3">
        <v>0.1</v>
      </c>
    </row>
    <row r="68" spans="1:9" s="3" customFormat="1" x14ac:dyDescent="0.25">
      <c r="A68" s="3" t="s">
        <v>501</v>
      </c>
      <c r="B68" s="3" t="s">
        <v>528</v>
      </c>
      <c r="C68" s="3" t="s">
        <v>529</v>
      </c>
      <c r="G68" s="3" t="s">
        <v>514</v>
      </c>
      <c r="H68" s="3">
        <v>0.1</v>
      </c>
      <c r="I68" s="3">
        <v>0.1</v>
      </c>
    </row>
    <row r="69" spans="1:9" s="3" customFormat="1" x14ac:dyDescent="0.25">
      <c r="A69" s="3" t="s">
        <v>501</v>
      </c>
      <c r="B69" s="3" t="s">
        <v>528</v>
      </c>
      <c r="C69" s="3" t="s">
        <v>529</v>
      </c>
      <c r="G69" s="3" t="s">
        <v>523</v>
      </c>
      <c r="H69" s="3">
        <v>0.1</v>
      </c>
      <c r="I69" s="3">
        <v>0.1</v>
      </c>
    </row>
    <row r="70" spans="1:9" s="3" customFormat="1" x14ac:dyDescent="0.25">
      <c r="A70" s="3" t="s">
        <v>501</v>
      </c>
      <c r="B70" s="3" t="s">
        <v>528</v>
      </c>
      <c r="C70" s="3" t="s">
        <v>529</v>
      </c>
      <c r="G70" s="3" t="s">
        <v>525</v>
      </c>
      <c r="H70" s="3">
        <v>0</v>
      </c>
      <c r="I70" s="3">
        <v>0</v>
      </c>
    </row>
    <row r="71" spans="1:9" s="3" customFormat="1" x14ac:dyDescent="0.25">
      <c r="A71" s="3" t="s">
        <v>501</v>
      </c>
      <c r="B71" s="3" t="s">
        <v>85</v>
      </c>
      <c r="C71" s="3" t="s">
        <v>86</v>
      </c>
      <c r="D71" s="3">
        <v>49.3</v>
      </c>
      <c r="E71" s="3">
        <v>31.6</v>
      </c>
      <c r="F71" s="3">
        <v>17.7</v>
      </c>
      <c r="G71" s="3" t="s">
        <v>503</v>
      </c>
      <c r="H71" s="3">
        <v>6.9</v>
      </c>
      <c r="I71" s="3">
        <v>38.8</v>
      </c>
    </row>
    <row r="72" spans="1:9" s="3" customFormat="1" x14ac:dyDescent="0.25">
      <c r="A72" s="3" t="s">
        <v>501</v>
      </c>
      <c r="B72" s="3" t="s">
        <v>85</v>
      </c>
      <c r="C72" s="3" t="s">
        <v>86</v>
      </c>
      <c r="G72" s="3" t="s">
        <v>504</v>
      </c>
      <c r="H72" s="3">
        <v>4.8</v>
      </c>
      <c r="I72" s="3">
        <v>26.8</v>
      </c>
    </row>
    <row r="73" spans="1:9" s="3" customFormat="1" x14ac:dyDescent="0.25">
      <c r="A73" s="3" t="s">
        <v>501</v>
      </c>
      <c r="B73" s="3" t="s">
        <v>85</v>
      </c>
      <c r="C73" s="3" t="s">
        <v>86</v>
      </c>
      <c r="G73" s="3" t="s">
        <v>505</v>
      </c>
      <c r="H73" s="3">
        <v>1.4</v>
      </c>
      <c r="I73" s="3">
        <v>7.9</v>
      </c>
    </row>
    <row r="74" spans="1:9" s="3" customFormat="1" x14ac:dyDescent="0.25">
      <c r="A74" s="3" t="s">
        <v>501</v>
      </c>
      <c r="B74" s="3" t="s">
        <v>85</v>
      </c>
      <c r="C74" s="3" t="s">
        <v>86</v>
      </c>
      <c r="G74" s="3" t="s">
        <v>506</v>
      </c>
      <c r="H74" s="3">
        <v>1.3</v>
      </c>
      <c r="I74" s="3">
        <v>7.1</v>
      </c>
    </row>
    <row r="75" spans="1:9" s="3" customFormat="1" x14ac:dyDescent="0.25">
      <c r="A75" s="3" t="s">
        <v>501</v>
      </c>
      <c r="B75" s="3" t="s">
        <v>85</v>
      </c>
      <c r="C75" s="3" t="s">
        <v>86</v>
      </c>
      <c r="G75" s="3" t="s">
        <v>507</v>
      </c>
      <c r="H75" s="3">
        <v>0.6</v>
      </c>
      <c r="I75" s="3">
        <v>3.4</v>
      </c>
    </row>
    <row r="76" spans="1:9" s="3" customFormat="1" x14ac:dyDescent="0.25">
      <c r="A76" s="3" t="s">
        <v>501</v>
      </c>
      <c r="B76" s="3" t="s">
        <v>85</v>
      </c>
      <c r="C76" s="3" t="s">
        <v>86</v>
      </c>
      <c r="G76" s="3" t="s">
        <v>517</v>
      </c>
      <c r="H76" s="3">
        <v>0.6</v>
      </c>
      <c r="I76" s="3">
        <v>3.3</v>
      </c>
    </row>
    <row r="77" spans="1:9" s="3" customFormat="1" x14ac:dyDescent="0.25">
      <c r="A77" s="3" t="s">
        <v>501</v>
      </c>
      <c r="B77" s="3" t="s">
        <v>85</v>
      </c>
      <c r="C77" s="3" t="s">
        <v>86</v>
      </c>
      <c r="G77" s="3" t="s">
        <v>515</v>
      </c>
      <c r="H77" s="3">
        <v>0.4</v>
      </c>
      <c r="I77" s="3">
        <v>2.4</v>
      </c>
    </row>
    <row r="78" spans="1:9" s="3" customFormat="1" x14ac:dyDescent="0.25">
      <c r="A78" s="3" t="s">
        <v>501</v>
      </c>
      <c r="B78" s="3" t="s">
        <v>85</v>
      </c>
      <c r="C78" s="3" t="s">
        <v>86</v>
      </c>
      <c r="G78" s="3" t="s">
        <v>518</v>
      </c>
      <c r="H78" s="3">
        <v>0.4</v>
      </c>
      <c r="I78" s="3">
        <v>2.2</v>
      </c>
    </row>
    <row r="79" spans="1:9" s="3" customFormat="1" x14ac:dyDescent="0.25">
      <c r="A79" s="3" t="s">
        <v>501</v>
      </c>
      <c r="B79" s="3" t="s">
        <v>85</v>
      </c>
      <c r="C79" s="3" t="s">
        <v>86</v>
      </c>
      <c r="G79" s="3" t="s">
        <v>513</v>
      </c>
      <c r="H79" s="3">
        <v>0.4</v>
      </c>
      <c r="I79" s="3">
        <v>2</v>
      </c>
    </row>
    <row r="80" spans="1:9" s="3" customFormat="1" x14ac:dyDescent="0.25">
      <c r="A80" s="3" t="s">
        <v>501</v>
      </c>
      <c r="B80" s="3" t="s">
        <v>85</v>
      </c>
      <c r="C80" s="3" t="s">
        <v>86</v>
      </c>
      <c r="G80" s="3" t="s">
        <v>508</v>
      </c>
      <c r="H80" s="3">
        <v>0.3</v>
      </c>
      <c r="I80" s="3">
        <v>1.7</v>
      </c>
    </row>
    <row r="81" spans="1:9" s="3" customFormat="1" x14ac:dyDescent="0.25">
      <c r="A81" s="3" t="s">
        <v>501</v>
      </c>
      <c r="B81" s="3" t="s">
        <v>85</v>
      </c>
      <c r="C81" s="3" t="s">
        <v>86</v>
      </c>
      <c r="G81" s="3" t="s">
        <v>516</v>
      </c>
      <c r="H81" s="3">
        <v>0.2</v>
      </c>
      <c r="I81" s="3">
        <v>1.3</v>
      </c>
    </row>
    <row r="82" spans="1:9" s="3" customFormat="1" x14ac:dyDescent="0.25">
      <c r="A82" s="3" t="s">
        <v>501</v>
      </c>
      <c r="B82" s="3" t="s">
        <v>85</v>
      </c>
      <c r="C82" s="3" t="s">
        <v>86</v>
      </c>
      <c r="G82" s="3" t="s">
        <v>511</v>
      </c>
      <c r="H82" s="3">
        <v>0.1</v>
      </c>
      <c r="I82" s="3">
        <v>0.8</v>
      </c>
    </row>
    <row r="83" spans="1:9" s="3" customFormat="1" x14ac:dyDescent="0.25">
      <c r="A83" s="3" t="s">
        <v>501</v>
      </c>
      <c r="B83" s="3" t="s">
        <v>85</v>
      </c>
      <c r="C83" s="3" t="s">
        <v>86</v>
      </c>
      <c r="G83" s="3" t="s">
        <v>510</v>
      </c>
      <c r="H83" s="3">
        <v>0.1</v>
      </c>
      <c r="I83" s="3">
        <v>0.6</v>
      </c>
    </row>
    <row r="84" spans="1:9" s="3" customFormat="1" x14ac:dyDescent="0.25">
      <c r="A84" s="3" t="s">
        <v>501</v>
      </c>
      <c r="B84" s="3" t="s">
        <v>85</v>
      </c>
      <c r="C84" s="3" t="s">
        <v>86</v>
      </c>
      <c r="G84" s="3" t="s">
        <v>522</v>
      </c>
      <c r="H84" s="3">
        <v>0.1</v>
      </c>
      <c r="I84" s="3">
        <v>0.4</v>
      </c>
    </row>
    <row r="85" spans="1:9" s="3" customFormat="1" x14ac:dyDescent="0.25">
      <c r="A85" s="3" t="s">
        <v>501</v>
      </c>
      <c r="B85" s="3" t="s">
        <v>85</v>
      </c>
      <c r="C85" s="3" t="s">
        <v>86</v>
      </c>
      <c r="G85" s="3" t="s">
        <v>514</v>
      </c>
      <c r="H85" s="3">
        <v>0.1</v>
      </c>
      <c r="I85" s="3">
        <v>0.3</v>
      </c>
    </row>
    <row r="86" spans="1:9" s="3" customFormat="1" x14ac:dyDescent="0.25">
      <c r="A86" s="3" t="s">
        <v>501</v>
      </c>
      <c r="B86" s="3" t="s">
        <v>85</v>
      </c>
      <c r="C86" s="3" t="s">
        <v>86</v>
      </c>
      <c r="G86" s="3" t="s">
        <v>512</v>
      </c>
      <c r="H86" s="3">
        <v>0</v>
      </c>
      <c r="I86" s="3">
        <v>0.2</v>
      </c>
    </row>
    <row r="87" spans="1:9" s="3" customFormat="1" x14ac:dyDescent="0.25">
      <c r="A87" s="3" t="s">
        <v>501</v>
      </c>
      <c r="B87" s="3" t="s">
        <v>85</v>
      </c>
      <c r="C87" s="3" t="s">
        <v>86</v>
      </c>
      <c r="G87" s="3" t="s">
        <v>521</v>
      </c>
      <c r="H87" s="3">
        <v>0</v>
      </c>
      <c r="I87" s="3">
        <v>0.2</v>
      </c>
    </row>
    <row r="88" spans="1:9" s="3" customFormat="1" x14ac:dyDescent="0.25">
      <c r="A88" s="3" t="s">
        <v>501</v>
      </c>
      <c r="B88" s="3" t="s">
        <v>85</v>
      </c>
      <c r="C88" s="3" t="s">
        <v>86</v>
      </c>
      <c r="G88" s="3" t="s">
        <v>509</v>
      </c>
      <c r="H88" s="3">
        <v>0</v>
      </c>
      <c r="I88" s="3">
        <v>0.1</v>
      </c>
    </row>
    <row r="89" spans="1:9" s="3" customFormat="1" x14ac:dyDescent="0.25">
      <c r="A89" s="3" t="s">
        <v>501</v>
      </c>
      <c r="B89" s="3" t="s">
        <v>85</v>
      </c>
      <c r="C89" s="3" t="s">
        <v>86</v>
      </c>
      <c r="G89" s="3" t="s">
        <v>523</v>
      </c>
      <c r="H89" s="3">
        <v>0</v>
      </c>
      <c r="I89" s="3">
        <v>0.1</v>
      </c>
    </row>
    <row r="90" spans="1:9" s="3" customFormat="1" x14ac:dyDescent="0.25">
      <c r="A90" s="3" t="s">
        <v>501</v>
      </c>
      <c r="B90" s="3" t="s">
        <v>85</v>
      </c>
      <c r="C90" s="3" t="s">
        <v>86</v>
      </c>
      <c r="G90" s="3" t="s">
        <v>525</v>
      </c>
      <c r="H90" s="3">
        <v>0</v>
      </c>
      <c r="I90" s="3">
        <v>0.1</v>
      </c>
    </row>
    <row r="91" spans="1:9" s="3" customFormat="1" x14ac:dyDescent="0.25">
      <c r="A91" s="3" t="s">
        <v>501</v>
      </c>
      <c r="B91" s="3" t="s">
        <v>85</v>
      </c>
      <c r="C91" s="3" t="s">
        <v>86</v>
      </c>
      <c r="G91" s="3" t="s">
        <v>519</v>
      </c>
      <c r="H91" s="3">
        <v>0</v>
      </c>
      <c r="I91" s="3">
        <v>0.1</v>
      </c>
    </row>
    <row r="92" spans="1:9" s="3" customFormat="1" x14ac:dyDescent="0.25">
      <c r="A92" s="3" t="s">
        <v>501</v>
      </c>
      <c r="B92" s="3" t="s">
        <v>85</v>
      </c>
      <c r="C92" s="3" t="s">
        <v>86</v>
      </c>
      <c r="G92" s="3" t="s">
        <v>524</v>
      </c>
      <c r="H92" s="3">
        <v>0</v>
      </c>
      <c r="I92" s="3">
        <v>0.1</v>
      </c>
    </row>
    <row r="93" spans="1:9" s="3" customFormat="1" x14ac:dyDescent="0.25">
      <c r="A93" s="3" t="s">
        <v>501</v>
      </c>
      <c r="B93" s="3" t="s">
        <v>85</v>
      </c>
      <c r="C93" s="3" t="s">
        <v>86</v>
      </c>
      <c r="G93" s="3" t="s">
        <v>520</v>
      </c>
      <c r="H93" s="3">
        <v>0</v>
      </c>
      <c r="I93" s="3">
        <v>0.1</v>
      </c>
    </row>
    <row r="94" spans="1:9" s="3" customFormat="1" x14ac:dyDescent="0.25">
      <c r="A94" s="3" t="s">
        <v>501</v>
      </c>
      <c r="B94" s="3" t="s">
        <v>87</v>
      </c>
      <c r="C94" s="3" t="s">
        <v>88</v>
      </c>
      <c r="D94" s="3">
        <v>70.8</v>
      </c>
      <c r="E94" s="3">
        <v>53.5</v>
      </c>
      <c r="F94" s="3">
        <v>17.3</v>
      </c>
      <c r="G94" s="3" t="s">
        <v>503</v>
      </c>
      <c r="H94" s="3">
        <v>4.8</v>
      </c>
      <c r="I94" s="3">
        <v>28</v>
      </c>
    </row>
    <row r="95" spans="1:9" s="3" customFormat="1" x14ac:dyDescent="0.25">
      <c r="A95" s="3" t="s">
        <v>501</v>
      </c>
      <c r="B95" s="3" t="s">
        <v>87</v>
      </c>
      <c r="C95" s="3" t="s">
        <v>88</v>
      </c>
      <c r="G95" s="3" t="s">
        <v>505</v>
      </c>
      <c r="H95" s="3">
        <v>3.1</v>
      </c>
      <c r="I95" s="3">
        <v>18.2</v>
      </c>
    </row>
    <row r="96" spans="1:9" s="3" customFormat="1" x14ac:dyDescent="0.25">
      <c r="A96" s="3" t="s">
        <v>501</v>
      </c>
      <c r="B96" s="3" t="s">
        <v>87</v>
      </c>
      <c r="C96" s="3" t="s">
        <v>88</v>
      </c>
      <c r="G96" s="3" t="s">
        <v>504</v>
      </c>
      <c r="H96" s="3">
        <v>2</v>
      </c>
      <c r="I96" s="3">
        <v>11.4</v>
      </c>
    </row>
    <row r="97" spans="1:9" s="3" customFormat="1" x14ac:dyDescent="0.25">
      <c r="A97" s="3" t="s">
        <v>501</v>
      </c>
      <c r="B97" s="3" t="s">
        <v>87</v>
      </c>
      <c r="C97" s="3" t="s">
        <v>88</v>
      </c>
      <c r="G97" s="3" t="s">
        <v>507</v>
      </c>
      <c r="H97" s="3">
        <v>1.6</v>
      </c>
      <c r="I97" s="3">
        <v>9.5</v>
      </c>
    </row>
    <row r="98" spans="1:9" s="3" customFormat="1" x14ac:dyDescent="0.25">
      <c r="A98" s="3" t="s">
        <v>501</v>
      </c>
      <c r="B98" s="3" t="s">
        <v>87</v>
      </c>
      <c r="C98" s="3" t="s">
        <v>88</v>
      </c>
      <c r="G98" s="3" t="s">
        <v>506</v>
      </c>
      <c r="H98" s="3">
        <v>1.2</v>
      </c>
      <c r="I98" s="3">
        <v>6.9</v>
      </c>
    </row>
    <row r="99" spans="1:9" s="3" customFormat="1" x14ac:dyDescent="0.25">
      <c r="A99" s="3" t="s">
        <v>501</v>
      </c>
      <c r="B99" s="3" t="s">
        <v>87</v>
      </c>
      <c r="C99" s="3" t="s">
        <v>88</v>
      </c>
      <c r="G99" s="3" t="s">
        <v>517</v>
      </c>
      <c r="H99" s="3">
        <v>1</v>
      </c>
      <c r="I99" s="3">
        <v>5.7</v>
      </c>
    </row>
    <row r="100" spans="1:9" s="3" customFormat="1" x14ac:dyDescent="0.25">
      <c r="A100" s="3" t="s">
        <v>501</v>
      </c>
      <c r="B100" s="3" t="s">
        <v>87</v>
      </c>
      <c r="C100" s="3" t="s">
        <v>88</v>
      </c>
      <c r="G100" s="3" t="s">
        <v>513</v>
      </c>
      <c r="H100" s="3">
        <v>0.8</v>
      </c>
      <c r="I100" s="3">
        <v>4.4</v>
      </c>
    </row>
    <row r="101" spans="1:9" s="3" customFormat="1" x14ac:dyDescent="0.25">
      <c r="A101" s="3" t="s">
        <v>501</v>
      </c>
      <c r="B101" s="3" t="s">
        <v>87</v>
      </c>
      <c r="C101" s="3" t="s">
        <v>88</v>
      </c>
      <c r="G101" s="3" t="s">
        <v>508</v>
      </c>
      <c r="H101" s="3">
        <v>0.7</v>
      </c>
      <c r="I101" s="3">
        <v>3.8</v>
      </c>
    </row>
    <row r="102" spans="1:9" s="3" customFormat="1" x14ac:dyDescent="0.25">
      <c r="A102" s="3" t="s">
        <v>501</v>
      </c>
      <c r="B102" s="3" t="s">
        <v>87</v>
      </c>
      <c r="C102" s="3" t="s">
        <v>88</v>
      </c>
      <c r="G102" s="3" t="s">
        <v>510</v>
      </c>
      <c r="H102" s="3">
        <v>0.5</v>
      </c>
      <c r="I102" s="3">
        <v>2.7</v>
      </c>
    </row>
    <row r="103" spans="1:9" s="3" customFormat="1" x14ac:dyDescent="0.25">
      <c r="A103" s="3" t="s">
        <v>501</v>
      </c>
      <c r="B103" s="3" t="s">
        <v>87</v>
      </c>
      <c r="C103" s="3" t="s">
        <v>88</v>
      </c>
      <c r="G103" s="3" t="s">
        <v>515</v>
      </c>
      <c r="H103" s="3">
        <v>0.4</v>
      </c>
      <c r="I103" s="3">
        <v>2.2</v>
      </c>
    </row>
    <row r="104" spans="1:9" s="3" customFormat="1" x14ac:dyDescent="0.25">
      <c r="A104" s="3" t="s">
        <v>501</v>
      </c>
      <c r="B104" s="3" t="s">
        <v>87</v>
      </c>
      <c r="C104" s="3" t="s">
        <v>88</v>
      </c>
      <c r="G104" s="3" t="s">
        <v>516</v>
      </c>
      <c r="H104" s="3">
        <v>0.3</v>
      </c>
      <c r="I104" s="3">
        <v>1.9</v>
      </c>
    </row>
    <row r="105" spans="1:9" s="3" customFormat="1" x14ac:dyDescent="0.25">
      <c r="A105" s="3" t="s">
        <v>501</v>
      </c>
      <c r="B105" s="3" t="s">
        <v>87</v>
      </c>
      <c r="C105" s="3" t="s">
        <v>88</v>
      </c>
      <c r="G105" s="3" t="s">
        <v>509</v>
      </c>
      <c r="H105" s="3">
        <v>0.2</v>
      </c>
      <c r="I105" s="3">
        <v>1</v>
      </c>
    </row>
    <row r="106" spans="1:9" s="3" customFormat="1" x14ac:dyDescent="0.25">
      <c r="A106" s="3" t="s">
        <v>501</v>
      </c>
      <c r="B106" s="3" t="s">
        <v>87</v>
      </c>
      <c r="C106" s="3" t="s">
        <v>88</v>
      </c>
      <c r="G106" s="3" t="s">
        <v>518</v>
      </c>
      <c r="H106" s="3">
        <v>0.2</v>
      </c>
      <c r="I106" s="3">
        <v>0.9</v>
      </c>
    </row>
    <row r="107" spans="1:9" s="3" customFormat="1" x14ac:dyDescent="0.25">
      <c r="A107" s="3" t="s">
        <v>501</v>
      </c>
      <c r="B107" s="3" t="s">
        <v>87</v>
      </c>
      <c r="C107" s="3" t="s">
        <v>88</v>
      </c>
      <c r="G107" s="3" t="s">
        <v>511</v>
      </c>
      <c r="H107" s="3">
        <v>0.1</v>
      </c>
      <c r="I107" s="3">
        <v>0.8</v>
      </c>
    </row>
    <row r="108" spans="1:9" s="3" customFormat="1" x14ac:dyDescent="0.25">
      <c r="A108" s="3" t="s">
        <v>501</v>
      </c>
      <c r="B108" s="3" t="s">
        <v>87</v>
      </c>
      <c r="C108" s="3" t="s">
        <v>88</v>
      </c>
      <c r="G108" s="3" t="s">
        <v>519</v>
      </c>
      <c r="H108" s="3">
        <v>0.1</v>
      </c>
      <c r="I108" s="3">
        <v>0.6</v>
      </c>
    </row>
    <row r="109" spans="1:9" s="3" customFormat="1" x14ac:dyDescent="0.25">
      <c r="A109" s="3" t="s">
        <v>501</v>
      </c>
      <c r="B109" s="3" t="s">
        <v>87</v>
      </c>
      <c r="C109" s="3" t="s">
        <v>88</v>
      </c>
      <c r="G109" s="3" t="s">
        <v>512</v>
      </c>
      <c r="H109" s="3">
        <v>0.1</v>
      </c>
      <c r="I109" s="3">
        <v>0.5</v>
      </c>
    </row>
    <row r="110" spans="1:9" s="3" customFormat="1" x14ac:dyDescent="0.25">
      <c r="A110" s="3" t="s">
        <v>501</v>
      </c>
      <c r="B110" s="3" t="s">
        <v>87</v>
      </c>
      <c r="C110" s="3" t="s">
        <v>88</v>
      </c>
      <c r="G110" s="3" t="s">
        <v>522</v>
      </c>
      <c r="H110" s="3">
        <v>0.1</v>
      </c>
      <c r="I110" s="3">
        <v>0.5</v>
      </c>
    </row>
    <row r="111" spans="1:9" s="3" customFormat="1" x14ac:dyDescent="0.25">
      <c r="A111" s="3" t="s">
        <v>501</v>
      </c>
      <c r="B111" s="3" t="s">
        <v>87</v>
      </c>
      <c r="C111" s="3" t="s">
        <v>88</v>
      </c>
      <c r="G111" s="3" t="s">
        <v>514</v>
      </c>
      <c r="H111" s="3">
        <v>0.1</v>
      </c>
      <c r="I111" s="3">
        <v>0.3</v>
      </c>
    </row>
    <row r="112" spans="1:9" s="3" customFormat="1" x14ac:dyDescent="0.25">
      <c r="A112" s="3" t="s">
        <v>501</v>
      </c>
      <c r="B112" s="3" t="s">
        <v>87</v>
      </c>
      <c r="C112" s="3" t="s">
        <v>88</v>
      </c>
      <c r="G112" s="3" t="s">
        <v>521</v>
      </c>
      <c r="H112" s="3">
        <v>0</v>
      </c>
      <c r="I112" s="3">
        <v>0.2</v>
      </c>
    </row>
    <row r="113" spans="1:9" s="3" customFormat="1" x14ac:dyDescent="0.25">
      <c r="A113" s="3" t="s">
        <v>501</v>
      </c>
      <c r="B113" s="3" t="s">
        <v>87</v>
      </c>
      <c r="C113" s="3" t="s">
        <v>88</v>
      </c>
      <c r="G113" s="3" t="s">
        <v>523</v>
      </c>
      <c r="H113" s="3">
        <v>0</v>
      </c>
      <c r="I113" s="3">
        <v>0.1</v>
      </c>
    </row>
    <row r="114" spans="1:9" s="3" customFormat="1" x14ac:dyDescent="0.25">
      <c r="A114" s="3" t="s">
        <v>501</v>
      </c>
      <c r="B114" s="3" t="s">
        <v>87</v>
      </c>
      <c r="C114" s="3" t="s">
        <v>88</v>
      </c>
      <c r="G114" s="3" t="s">
        <v>520</v>
      </c>
      <c r="H114" s="3">
        <v>0</v>
      </c>
      <c r="I114" s="3">
        <v>0.1</v>
      </c>
    </row>
    <row r="115" spans="1:9" s="3" customFormat="1" x14ac:dyDescent="0.25">
      <c r="A115" s="3" t="s">
        <v>501</v>
      </c>
      <c r="B115" s="3" t="s">
        <v>87</v>
      </c>
      <c r="C115" s="3" t="s">
        <v>88</v>
      </c>
      <c r="G115" s="3" t="s">
        <v>524</v>
      </c>
      <c r="H115" s="3">
        <v>0</v>
      </c>
      <c r="I115" s="3">
        <v>0</v>
      </c>
    </row>
    <row r="116" spans="1:9" s="3" customFormat="1" x14ac:dyDescent="0.25">
      <c r="A116" s="3" t="s">
        <v>501</v>
      </c>
      <c r="B116" s="3" t="s">
        <v>87</v>
      </c>
      <c r="C116" s="3" t="s">
        <v>88</v>
      </c>
      <c r="G116" s="3" t="s">
        <v>525</v>
      </c>
      <c r="H116" s="3">
        <v>0</v>
      </c>
      <c r="I116" s="3">
        <v>0</v>
      </c>
    </row>
    <row r="117" spans="1:9" s="3" customFormat="1" x14ac:dyDescent="0.25">
      <c r="A117" s="3" t="s">
        <v>501</v>
      </c>
      <c r="B117" s="3" t="s">
        <v>89</v>
      </c>
      <c r="C117" s="3" t="s">
        <v>90</v>
      </c>
      <c r="D117" s="3">
        <v>7.6</v>
      </c>
      <c r="E117" s="3">
        <v>2.1</v>
      </c>
      <c r="F117" s="3">
        <v>5.5</v>
      </c>
      <c r="G117" s="3" t="s">
        <v>505</v>
      </c>
      <c r="H117" s="3">
        <v>2</v>
      </c>
      <c r="I117" s="3">
        <v>36.4</v>
      </c>
    </row>
    <row r="118" spans="1:9" s="3" customFormat="1" x14ac:dyDescent="0.25">
      <c r="A118" s="3" t="s">
        <v>501</v>
      </c>
      <c r="B118" s="3" t="s">
        <v>89</v>
      </c>
      <c r="C118" s="3" t="s">
        <v>90</v>
      </c>
      <c r="G118" s="3" t="s">
        <v>503</v>
      </c>
      <c r="H118" s="3">
        <v>1.3</v>
      </c>
      <c r="I118" s="3">
        <v>22.8</v>
      </c>
    </row>
    <row r="119" spans="1:9" s="3" customFormat="1" x14ac:dyDescent="0.25">
      <c r="A119" s="3" t="s">
        <v>501</v>
      </c>
      <c r="B119" s="3" t="s">
        <v>89</v>
      </c>
      <c r="C119" s="3" t="s">
        <v>90</v>
      </c>
      <c r="G119" s="3" t="s">
        <v>504</v>
      </c>
      <c r="H119" s="3">
        <v>0.4</v>
      </c>
      <c r="I119" s="3">
        <v>7.7</v>
      </c>
    </row>
    <row r="120" spans="1:9" s="3" customFormat="1" x14ac:dyDescent="0.25">
      <c r="A120" s="3" t="s">
        <v>501</v>
      </c>
      <c r="B120" s="3" t="s">
        <v>89</v>
      </c>
      <c r="C120" s="3" t="s">
        <v>90</v>
      </c>
      <c r="G120" s="3" t="s">
        <v>515</v>
      </c>
      <c r="H120" s="3">
        <v>0.4</v>
      </c>
      <c r="I120" s="3">
        <v>7.6</v>
      </c>
    </row>
    <row r="121" spans="1:9" s="3" customFormat="1" x14ac:dyDescent="0.25">
      <c r="A121" s="3" t="s">
        <v>501</v>
      </c>
      <c r="B121" s="3" t="s">
        <v>89</v>
      </c>
      <c r="C121" s="3" t="s">
        <v>90</v>
      </c>
      <c r="G121" s="3" t="s">
        <v>506</v>
      </c>
      <c r="H121" s="3">
        <v>0.4</v>
      </c>
      <c r="I121" s="3">
        <v>6.7</v>
      </c>
    </row>
    <row r="122" spans="1:9" s="3" customFormat="1" x14ac:dyDescent="0.25">
      <c r="A122" s="3" t="s">
        <v>501</v>
      </c>
      <c r="B122" s="3" t="s">
        <v>89</v>
      </c>
      <c r="C122" s="3" t="s">
        <v>90</v>
      </c>
      <c r="G122" s="3" t="s">
        <v>507</v>
      </c>
      <c r="H122" s="3">
        <v>0.3</v>
      </c>
      <c r="I122" s="3">
        <v>6.3</v>
      </c>
    </row>
    <row r="123" spans="1:9" s="3" customFormat="1" x14ac:dyDescent="0.25">
      <c r="A123" s="3" t="s">
        <v>501</v>
      </c>
      <c r="B123" s="3" t="s">
        <v>89</v>
      </c>
      <c r="C123" s="3" t="s">
        <v>90</v>
      </c>
      <c r="G123" s="3" t="s">
        <v>509</v>
      </c>
      <c r="H123" s="3">
        <v>0.2</v>
      </c>
      <c r="I123" s="3">
        <v>4</v>
      </c>
    </row>
    <row r="124" spans="1:9" s="3" customFormat="1" x14ac:dyDescent="0.25">
      <c r="A124" s="3" t="s">
        <v>501</v>
      </c>
      <c r="B124" s="3" t="s">
        <v>89</v>
      </c>
      <c r="C124" s="3" t="s">
        <v>90</v>
      </c>
      <c r="G124" s="3" t="s">
        <v>511</v>
      </c>
      <c r="H124" s="3">
        <v>0.1</v>
      </c>
      <c r="I124" s="3">
        <v>1.4</v>
      </c>
    </row>
    <row r="125" spans="1:9" s="3" customFormat="1" x14ac:dyDescent="0.25">
      <c r="A125" s="3" t="s">
        <v>501</v>
      </c>
      <c r="B125" s="3" t="s">
        <v>89</v>
      </c>
      <c r="C125" s="3" t="s">
        <v>90</v>
      </c>
      <c r="G125" s="3" t="s">
        <v>512</v>
      </c>
      <c r="H125" s="3">
        <v>0.1</v>
      </c>
      <c r="I125" s="3">
        <v>1.3</v>
      </c>
    </row>
    <row r="126" spans="1:9" s="3" customFormat="1" x14ac:dyDescent="0.25">
      <c r="A126" s="3" t="s">
        <v>501</v>
      </c>
      <c r="B126" s="3" t="s">
        <v>89</v>
      </c>
      <c r="C126" s="3" t="s">
        <v>90</v>
      </c>
      <c r="G126" s="3" t="s">
        <v>522</v>
      </c>
      <c r="H126" s="3">
        <v>0.1</v>
      </c>
      <c r="I126" s="3">
        <v>1.1</v>
      </c>
    </row>
    <row r="127" spans="1:9" s="3" customFormat="1" x14ac:dyDescent="0.25">
      <c r="A127" s="3" t="s">
        <v>501</v>
      </c>
      <c r="B127" s="3" t="s">
        <v>89</v>
      </c>
      <c r="C127" s="3" t="s">
        <v>90</v>
      </c>
      <c r="G127" s="3" t="s">
        <v>523</v>
      </c>
      <c r="H127" s="3">
        <v>0</v>
      </c>
      <c r="I127" s="3">
        <v>0.8</v>
      </c>
    </row>
    <row r="128" spans="1:9" s="3" customFormat="1" x14ac:dyDescent="0.25">
      <c r="A128" s="3" t="s">
        <v>501</v>
      </c>
      <c r="B128" s="3" t="s">
        <v>89</v>
      </c>
      <c r="C128" s="3" t="s">
        <v>90</v>
      </c>
      <c r="G128" s="3" t="s">
        <v>510</v>
      </c>
      <c r="H128" s="3">
        <v>0</v>
      </c>
      <c r="I128" s="3">
        <v>0.8</v>
      </c>
    </row>
    <row r="129" spans="1:9" s="3" customFormat="1" x14ac:dyDescent="0.25">
      <c r="A129" s="3" t="s">
        <v>501</v>
      </c>
      <c r="B129" s="3" t="s">
        <v>89</v>
      </c>
      <c r="C129" s="3" t="s">
        <v>90</v>
      </c>
      <c r="G129" s="3" t="s">
        <v>508</v>
      </c>
      <c r="H129" s="3">
        <v>0</v>
      </c>
      <c r="I129" s="3">
        <v>0.8</v>
      </c>
    </row>
    <row r="130" spans="1:9" s="3" customFormat="1" x14ac:dyDescent="0.25">
      <c r="A130" s="3" t="s">
        <v>501</v>
      </c>
      <c r="B130" s="3" t="s">
        <v>89</v>
      </c>
      <c r="C130" s="3" t="s">
        <v>90</v>
      </c>
      <c r="G130" s="3" t="s">
        <v>521</v>
      </c>
      <c r="H130" s="3">
        <v>0</v>
      </c>
      <c r="I130" s="3">
        <v>0.6</v>
      </c>
    </row>
    <row r="131" spans="1:9" s="3" customFormat="1" x14ac:dyDescent="0.25">
      <c r="A131" s="3" t="s">
        <v>501</v>
      </c>
      <c r="B131" s="3" t="s">
        <v>89</v>
      </c>
      <c r="C131" s="3" t="s">
        <v>90</v>
      </c>
      <c r="G131" s="3" t="s">
        <v>518</v>
      </c>
      <c r="H131" s="3">
        <v>0</v>
      </c>
      <c r="I131" s="3">
        <v>0.6</v>
      </c>
    </row>
    <row r="132" spans="1:9" s="3" customFormat="1" x14ac:dyDescent="0.25">
      <c r="A132" s="3" t="s">
        <v>501</v>
      </c>
      <c r="B132" s="3" t="s">
        <v>89</v>
      </c>
      <c r="C132" s="3" t="s">
        <v>90</v>
      </c>
      <c r="G132" s="3" t="s">
        <v>514</v>
      </c>
      <c r="H132" s="3">
        <v>0</v>
      </c>
      <c r="I132" s="3">
        <v>0.4</v>
      </c>
    </row>
    <row r="133" spans="1:9" s="3" customFormat="1" x14ac:dyDescent="0.25">
      <c r="A133" s="3" t="s">
        <v>501</v>
      </c>
      <c r="B133" s="3" t="s">
        <v>89</v>
      </c>
      <c r="C133" s="3" t="s">
        <v>90</v>
      </c>
      <c r="G133" s="3" t="s">
        <v>517</v>
      </c>
      <c r="H133" s="3">
        <v>0</v>
      </c>
      <c r="I133" s="3">
        <v>0.3</v>
      </c>
    </row>
    <row r="134" spans="1:9" s="3" customFormat="1" x14ac:dyDescent="0.25">
      <c r="A134" s="3" t="s">
        <v>501</v>
      </c>
      <c r="B134" s="3" t="s">
        <v>89</v>
      </c>
      <c r="C134" s="3" t="s">
        <v>90</v>
      </c>
      <c r="G134" s="3" t="s">
        <v>513</v>
      </c>
      <c r="H134" s="3">
        <v>0</v>
      </c>
      <c r="I134" s="3">
        <v>0.2</v>
      </c>
    </row>
    <row r="135" spans="1:9" s="3" customFormat="1" x14ac:dyDescent="0.25">
      <c r="A135" s="3" t="s">
        <v>501</v>
      </c>
      <c r="B135" s="3" t="s">
        <v>89</v>
      </c>
      <c r="C135" s="3" t="s">
        <v>90</v>
      </c>
      <c r="G135" s="3" t="s">
        <v>519</v>
      </c>
      <c r="H135" s="3">
        <v>0</v>
      </c>
      <c r="I135" s="3">
        <v>0.1</v>
      </c>
    </row>
    <row r="136" spans="1:9" s="3" customFormat="1" x14ac:dyDescent="0.25">
      <c r="A136" s="3" t="s">
        <v>501</v>
      </c>
      <c r="B136" s="3" t="s">
        <v>89</v>
      </c>
      <c r="C136" s="3" t="s">
        <v>90</v>
      </c>
      <c r="G136" s="3" t="s">
        <v>516</v>
      </c>
      <c r="H136" s="3">
        <v>0</v>
      </c>
      <c r="I136" s="3">
        <v>0.1</v>
      </c>
    </row>
    <row r="137" spans="1:9" s="3" customFormat="1" x14ac:dyDescent="0.25">
      <c r="A137" s="3" t="s">
        <v>501</v>
      </c>
      <c r="B137" s="3" t="s">
        <v>89</v>
      </c>
      <c r="C137" s="3" t="s">
        <v>90</v>
      </c>
      <c r="G137" s="3" t="s">
        <v>520</v>
      </c>
      <c r="H137" s="3">
        <v>0</v>
      </c>
      <c r="I137" s="3">
        <v>0</v>
      </c>
    </row>
    <row r="138" spans="1:9" s="3" customFormat="1" x14ac:dyDescent="0.25">
      <c r="A138" s="3" t="s">
        <v>501</v>
      </c>
      <c r="B138" s="3" t="s">
        <v>89</v>
      </c>
      <c r="C138" s="3" t="s">
        <v>90</v>
      </c>
      <c r="G138" s="3" t="s">
        <v>524</v>
      </c>
      <c r="H138" s="3">
        <v>0</v>
      </c>
      <c r="I138" s="3">
        <v>0</v>
      </c>
    </row>
    <row r="139" spans="1:9" s="3" customFormat="1" x14ac:dyDescent="0.25">
      <c r="A139" s="3" t="s">
        <v>501</v>
      </c>
      <c r="B139" s="3" t="s">
        <v>89</v>
      </c>
      <c r="C139" s="3" t="s">
        <v>90</v>
      </c>
      <c r="G139" s="3" t="s">
        <v>525</v>
      </c>
      <c r="H139" s="3">
        <v>0</v>
      </c>
      <c r="I139" s="3">
        <v>0</v>
      </c>
    </row>
    <row r="140" spans="1:9" s="3" customFormat="1" x14ac:dyDescent="0.25">
      <c r="A140" s="3" t="s">
        <v>501</v>
      </c>
      <c r="B140" s="3" t="s">
        <v>91</v>
      </c>
      <c r="C140" s="3" t="s">
        <v>92</v>
      </c>
      <c r="D140" s="3">
        <v>161.6</v>
      </c>
      <c r="E140" s="3">
        <v>99.4</v>
      </c>
      <c r="F140" s="3">
        <v>62.2</v>
      </c>
      <c r="G140" s="3" t="s">
        <v>503</v>
      </c>
      <c r="H140" s="3">
        <v>22.6</v>
      </c>
      <c r="I140" s="3">
        <v>36.4</v>
      </c>
    </row>
    <row r="141" spans="1:9" s="3" customFormat="1" x14ac:dyDescent="0.25">
      <c r="A141" s="3" t="s">
        <v>501</v>
      </c>
      <c r="B141" s="3" t="s">
        <v>91</v>
      </c>
      <c r="C141" s="3" t="s">
        <v>92</v>
      </c>
      <c r="G141" s="3" t="s">
        <v>505</v>
      </c>
      <c r="H141" s="3">
        <v>10.8</v>
      </c>
      <c r="I141" s="3">
        <v>17.4</v>
      </c>
    </row>
    <row r="142" spans="1:9" s="3" customFormat="1" x14ac:dyDescent="0.25">
      <c r="A142" s="3" t="s">
        <v>501</v>
      </c>
      <c r="B142" s="3" t="s">
        <v>91</v>
      </c>
      <c r="C142" s="3" t="s">
        <v>92</v>
      </c>
      <c r="G142" s="3" t="s">
        <v>507</v>
      </c>
      <c r="H142" s="3">
        <v>7.3</v>
      </c>
      <c r="I142" s="3">
        <v>11.7</v>
      </c>
    </row>
    <row r="143" spans="1:9" s="3" customFormat="1" x14ac:dyDescent="0.25">
      <c r="A143" s="3" t="s">
        <v>501</v>
      </c>
      <c r="B143" s="3" t="s">
        <v>91</v>
      </c>
      <c r="C143" s="3" t="s">
        <v>92</v>
      </c>
      <c r="G143" s="3" t="s">
        <v>514</v>
      </c>
      <c r="H143" s="3">
        <v>4.9</v>
      </c>
      <c r="I143" s="3">
        <v>7.9</v>
      </c>
    </row>
    <row r="144" spans="1:9" s="3" customFormat="1" x14ac:dyDescent="0.25">
      <c r="A144" s="3" t="s">
        <v>501</v>
      </c>
      <c r="B144" s="3" t="s">
        <v>91</v>
      </c>
      <c r="C144" s="3" t="s">
        <v>92</v>
      </c>
      <c r="G144" s="3" t="s">
        <v>508</v>
      </c>
      <c r="H144" s="3">
        <v>3.6</v>
      </c>
      <c r="I144" s="3">
        <v>5.9</v>
      </c>
    </row>
    <row r="145" spans="1:9" s="3" customFormat="1" x14ac:dyDescent="0.25">
      <c r="A145" s="3" t="s">
        <v>501</v>
      </c>
      <c r="B145" s="3" t="s">
        <v>91</v>
      </c>
      <c r="C145" s="3" t="s">
        <v>92</v>
      </c>
      <c r="G145" s="3" t="s">
        <v>519</v>
      </c>
      <c r="H145" s="3">
        <v>3.5</v>
      </c>
      <c r="I145" s="3">
        <v>5.6</v>
      </c>
    </row>
    <row r="146" spans="1:9" s="3" customFormat="1" x14ac:dyDescent="0.25">
      <c r="A146" s="3" t="s">
        <v>501</v>
      </c>
      <c r="B146" s="3" t="s">
        <v>91</v>
      </c>
      <c r="C146" s="3" t="s">
        <v>92</v>
      </c>
      <c r="G146" s="3" t="s">
        <v>509</v>
      </c>
      <c r="H146" s="3">
        <v>2.5</v>
      </c>
      <c r="I146" s="3">
        <v>4</v>
      </c>
    </row>
    <row r="147" spans="1:9" s="3" customFormat="1" x14ac:dyDescent="0.25">
      <c r="A147" s="3" t="s">
        <v>501</v>
      </c>
      <c r="B147" s="3" t="s">
        <v>91</v>
      </c>
      <c r="C147" s="3" t="s">
        <v>92</v>
      </c>
      <c r="G147" s="3" t="s">
        <v>511</v>
      </c>
      <c r="H147" s="3">
        <v>2.3</v>
      </c>
      <c r="I147" s="3">
        <v>3.6</v>
      </c>
    </row>
    <row r="148" spans="1:9" s="3" customFormat="1" x14ac:dyDescent="0.25">
      <c r="A148" s="3" t="s">
        <v>501</v>
      </c>
      <c r="B148" s="3" t="s">
        <v>91</v>
      </c>
      <c r="C148" s="3" t="s">
        <v>92</v>
      </c>
      <c r="G148" s="3" t="s">
        <v>513</v>
      </c>
      <c r="H148" s="3">
        <v>1.9</v>
      </c>
      <c r="I148" s="3">
        <v>3</v>
      </c>
    </row>
    <row r="149" spans="1:9" s="3" customFormat="1" x14ac:dyDescent="0.25">
      <c r="A149" s="3" t="s">
        <v>501</v>
      </c>
      <c r="B149" s="3" t="s">
        <v>91</v>
      </c>
      <c r="C149" s="3" t="s">
        <v>92</v>
      </c>
      <c r="G149" s="3" t="s">
        <v>504</v>
      </c>
      <c r="H149" s="3">
        <v>0.9</v>
      </c>
      <c r="I149" s="3">
        <v>1.5</v>
      </c>
    </row>
    <row r="150" spans="1:9" s="3" customFormat="1" x14ac:dyDescent="0.25">
      <c r="A150" s="3" t="s">
        <v>501</v>
      </c>
      <c r="B150" s="3" t="s">
        <v>91</v>
      </c>
      <c r="C150" s="3" t="s">
        <v>92</v>
      </c>
      <c r="G150" s="3" t="s">
        <v>510</v>
      </c>
      <c r="H150" s="3">
        <v>0.6</v>
      </c>
      <c r="I150" s="3">
        <v>1</v>
      </c>
    </row>
    <row r="151" spans="1:9" s="3" customFormat="1" x14ac:dyDescent="0.25">
      <c r="A151" s="3" t="s">
        <v>501</v>
      </c>
      <c r="B151" s="3" t="s">
        <v>91</v>
      </c>
      <c r="C151" s="3" t="s">
        <v>92</v>
      </c>
      <c r="G151" s="3" t="s">
        <v>515</v>
      </c>
      <c r="H151" s="3">
        <v>0.6</v>
      </c>
      <c r="I151" s="3">
        <v>1</v>
      </c>
    </row>
    <row r="152" spans="1:9" s="3" customFormat="1" x14ac:dyDescent="0.25">
      <c r="A152" s="3" t="s">
        <v>501</v>
      </c>
      <c r="B152" s="3" t="s">
        <v>91</v>
      </c>
      <c r="C152" s="3" t="s">
        <v>92</v>
      </c>
      <c r="G152" s="3" t="s">
        <v>517</v>
      </c>
      <c r="H152" s="3">
        <v>0.3</v>
      </c>
      <c r="I152" s="3">
        <v>0.5</v>
      </c>
    </row>
    <row r="153" spans="1:9" s="3" customFormat="1" x14ac:dyDescent="0.25">
      <c r="A153" s="3" t="s">
        <v>501</v>
      </c>
      <c r="B153" s="3" t="s">
        <v>91</v>
      </c>
      <c r="C153" s="3" t="s">
        <v>92</v>
      </c>
      <c r="G153" s="3" t="s">
        <v>516</v>
      </c>
      <c r="H153" s="3">
        <v>0.1</v>
      </c>
      <c r="I153" s="3">
        <v>0.2</v>
      </c>
    </row>
    <row r="154" spans="1:9" s="3" customFormat="1" x14ac:dyDescent="0.25">
      <c r="A154" s="3" t="s">
        <v>501</v>
      </c>
      <c r="B154" s="3" t="s">
        <v>91</v>
      </c>
      <c r="C154" s="3" t="s">
        <v>92</v>
      </c>
      <c r="G154" s="3" t="s">
        <v>512</v>
      </c>
      <c r="H154" s="3">
        <v>0.1</v>
      </c>
      <c r="I154" s="3">
        <v>0.1</v>
      </c>
    </row>
    <row r="155" spans="1:9" s="3" customFormat="1" x14ac:dyDescent="0.25">
      <c r="A155" s="3" t="s">
        <v>501</v>
      </c>
      <c r="B155" s="3" t="s">
        <v>91</v>
      </c>
      <c r="C155" s="3" t="s">
        <v>92</v>
      </c>
      <c r="G155" s="3" t="s">
        <v>521</v>
      </c>
      <c r="H155" s="3">
        <v>0.1</v>
      </c>
      <c r="I155" s="3">
        <v>0.1</v>
      </c>
    </row>
    <row r="156" spans="1:9" s="3" customFormat="1" x14ac:dyDescent="0.25">
      <c r="A156" s="3" t="s">
        <v>501</v>
      </c>
      <c r="B156" s="3" t="s">
        <v>91</v>
      </c>
      <c r="C156" s="3" t="s">
        <v>92</v>
      </c>
      <c r="G156" s="3" t="s">
        <v>518</v>
      </c>
      <c r="H156" s="3">
        <v>0.1</v>
      </c>
      <c r="I156" s="3">
        <v>0.1</v>
      </c>
    </row>
    <row r="157" spans="1:9" s="3" customFormat="1" x14ac:dyDescent="0.25">
      <c r="A157" s="3" t="s">
        <v>501</v>
      </c>
      <c r="B157" s="3" t="s">
        <v>91</v>
      </c>
      <c r="C157" s="3" t="s">
        <v>92</v>
      </c>
      <c r="G157" s="3" t="s">
        <v>523</v>
      </c>
      <c r="H157" s="3">
        <v>0</v>
      </c>
      <c r="I157" s="3">
        <v>0.1</v>
      </c>
    </row>
    <row r="158" spans="1:9" s="3" customFormat="1" x14ac:dyDescent="0.25">
      <c r="A158" s="3" t="s">
        <v>501</v>
      </c>
      <c r="B158" s="3" t="s">
        <v>91</v>
      </c>
      <c r="C158" s="3" t="s">
        <v>92</v>
      </c>
      <c r="G158" s="3" t="s">
        <v>522</v>
      </c>
      <c r="H158" s="3">
        <v>0</v>
      </c>
      <c r="I158" s="3">
        <v>0</v>
      </c>
    </row>
    <row r="159" spans="1:9" s="3" customFormat="1" x14ac:dyDescent="0.25">
      <c r="A159" s="3" t="s">
        <v>501</v>
      </c>
      <c r="B159" s="3" t="s">
        <v>91</v>
      </c>
      <c r="C159" s="3" t="s">
        <v>92</v>
      </c>
      <c r="G159" s="3" t="s">
        <v>520</v>
      </c>
      <c r="H159" s="3">
        <v>0</v>
      </c>
      <c r="I159" s="3">
        <v>0</v>
      </c>
    </row>
    <row r="160" spans="1:9" s="3" customFormat="1" x14ac:dyDescent="0.25">
      <c r="A160" s="3" t="s">
        <v>501</v>
      </c>
      <c r="B160" s="3" t="s">
        <v>91</v>
      </c>
      <c r="C160" s="3" t="s">
        <v>92</v>
      </c>
      <c r="G160" s="3" t="s">
        <v>525</v>
      </c>
      <c r="H160" s="3">
        <v>0</v>
      </c>
      <c r="I160" s="3">
        <v>0</v>
      </c>
    </row>
    <row r="161" spans="1:9" s="3" customFormat="1" x14ac:dyDescent="0.25">
      <c r="A161" s="3" t="s">
        <v>501</v>
      </c>
      <c r="B161" s="3" t="s">
        <v>91</v>
      </c>
      <c r="C161" s="3" t="s">
        <v>92</v>
      </c>
      <c r="G161" s="3" t="s">
        <v>524</v>
      </c>
      <c r="H161" s="3">
        <v>0</v>
      </c>
      <c r="I161" s="3">
        <v>0</v>
      </c>
    </row>
    <row r="162" spans="1:9" s="3" customFormat="1" x14ac:dyDescent="0.25">
      <c r="A162" s="3" t="s">
        <v>501</v>
      </c>
      <c r="B162" s="3" t="s">
        <v>91</v>
      </c>
      <c r="C162" s="3" t="s">
        <v>92</v>
      </c>
      <c r="G162" s="3" t="s">
        <v>506</v>
      </c>
      <c r="H162" s="3">
        <v>0</v>
      </c>
      <c r="I162" s="3">
        <v>0</v>
      </c>
    </row>
    <row r="163" spans="1:9" s="3" customFormat="1" x14ac:dyDescent="0.25">
      <c r="A163" s="3" t="s">
        <v>501</v>
      </c>
      <c r="B163" s="3" t="s">
        <v>93</v>
      </c>
      <c r="C163" s="3" t="s">
        <v>94</v>
      </c>
      <c r="D163" s="3">
        <v>340.3</v>
      </c>
      <c r="E163" s="3">
        <v>220.7</v>
      </c>
      <c r="F163" s="3">
        <v>119.6</v>
      </c>
      <c r="G163" s="3" t="s">
        <v>503</v>
      </c>
      <c r="H163" s="3">
        <v>32.6</v>
      </c>
      <c r="I163" s="3">
        <v>27.2</v>
      </c>
    </row>
    <row r="164" spans="1:9" s="3" customFormat="1" x14ac:dyDescent="0.25">
      <c r="A164" s="3" t="s">
        <v>501</v>
      </c>
      <c r="B164" s="3" t="s">
        <v>93</v>
      </c>
      <c r="C164" s="3" t="s">
        <v>94</v>
      </c>
      <c r="G164" s="3" t="s">
        <v>504</v>
      </c>
      <c r="H164" s="3">
        <v>15.8</v>
      </c>
      <c r="I164" s="3">
        <v>13.2</v>
      </c>
    </row>
    <row r="165" spans="1:9" s="3" customFormat="1" x14ac:dyDescent="0.25">
      <c r="A165" s="3" t="s">
        <v>501</v>
      </c>
      <c r="B165" s="3" t="s">
        <v>93</v>
      </c>
      <c r="C165" s="3" t="s">
        <v>94</v>
      </c>
      <c r="G165" s="3" t="s">
        <v>506</v>
      </c>
      <c r="H165" s="3">
        <v>15.3</v>
      </c>
      <c r="I165" s="3">
        <v>12.8</v>
      </c>
    </row>
    <row r="166" spans="1:9" s="3" customFormat="1" x14ac:dyDescent="0.25">
      <c r="A166" s="3" t="s">
        <v>501</v>
      </c>
      <c r="B166" s="3" t="s">
        <v>93</v>
      </c>
      <c r="C166" s="3" t="s">
        <v>94</v>
      </c>
      <c r="G166" s="3" t="s">
        <v>505</v>
      </c>
      <c r="H166" s="3">
        <v>14.2</v>
      </c>
      <c r="I166" s="3">
        <v>11.9</v>
      </c>
    </row>
    <row r="167" spans="1:9" s="3" customFormat="1" x14ac:dyDescent="0.25">
      <c r="A167" s="3" t="s">
        <v>501</v>
      </c>
      <c r="B167" s="3" t="s">
        <v>93</v>
      </c>
      <c r="C167" s="3" t="s">
        <v>94</v>
      </c>
      <c r="G167" s="3" t="s">
        <v>507</v>
      </c>
      <c r="H167" s="3">
        <v>10.9</v>
      </c>
      <c r="I167" s="3">
        <v>9.1</v>
      </c>
    </row>
    <row r="168" spans="1:9" s="3" customFormat="1" x14ac:dyDescent="0.25">
      <c r="A168" s="3" t="s">
        <v>501</v>
      </c>
      <c r="B168" s="3" t="s">
        <v>93</v>
      </c>
      <c r="C168" s="3" t="s">
        <v>94</v>
      </c>
      <c r="G168" s="3" t="s">
        <v>509</v>
      </c>
      <c r="H168" s="3">
        <v>7.6</v>
      </c>
      <c r="I168" s="3">
        <v>6.4</v>
      </c>
    </row>
    <row r="169" spans="1:9" s="3" customFormat="1" x14ac:dyDescent="0.25">
      <c r="A169" s="3" t="s">
        <v>501</v>
      </c>
      <c r="B169" s="3" t="s">
        <v>93</v>
      </c>
      <c r="C169" s="3" t="s">
        <v>94</v>
      </c>
      <c r="G169" s="3" t="s">
        <v>510</v>
      </c>
      <c r="H169" s="3">
        <v>5.5</v>
      </c>
      <c r="I169" s="3">
        <v>4.6</v>
      </c>
    </row>
    <row r="170" spans="1:9" s="3" customFormat="1" x14ac:dyDescent="0.25">
      <c r="A170" s="3" t="s">
        <v>501</v>
      </c>
      <c r="B170" s="3" t="s">
        <v>93</v>
      </c>
      <c r="C170" s="3" t="s">
        <v>94</v>
      </c>
      <c r="G170" s="3" t="s">
        <v>511</v>
      </c>
      <c r="H170" s="3">
        <v>3.5</v>
      </c>
      <c r="I170" s="3">
        <v>2.9</v>
      </c>
    </row>
    <row r="171" spans="1:9" s="3" customFormat="1" x14ac:dyDescent="0.25">
      <c r="A171" s="3" t="s">
        <v>501</v>
      </c>
      <c r="B171" s="3" t="s">
        <v>93</v>
      </c>
      <c r="C171" s="3" t="s">
        <v>94</v>
      </c>
      <c r="G171" s="3" t="s">
        <v>514</v>
      </c>
      <c r="H171" s="3">
        <v>2.5</v>
      </c>
      <c r="I171" s="3">
        <v>2.1</v>
      </c>
    </row>
    <row r="172" spans="1:9" s="3" customFormat="1" x14ac:dyDescent="0.25">
      <c r="A172" s="3" t="s">
        <v>501</v>
      </c>
      <c r="B172" s="3" t="s">
        <v>93</v>
      </c>
      <c r="C172" s="3" t="s">
        <v>94</v>
      </c>
      <c r="G172" s="3" t="s">
        <v>513</v>
      </c>
      <c r="H172" s="3">
        <v>2.3</v>
      </c>
      <c r="I172" s="3">
        <v>1.9</v>
      </c>
    </row>
    <row r="173" spans="1:9" s="3" customFormat="1" x14ac:dyDescent="0.25">
      <c r="A173" s="3" t="s">
        <v>501</v>
      </c>
      <c r="B173" s="3" t="s">
        <v>93</v>
      </c>
      <c r="C173" s="3" t="s">
        <v>94</v>
      </c>
      <c r="G173" s="3" t="s">
        <v>508</v>
      </c>
      <c r="H173" s="3">
        <v>2.1</v>
      </c>
      <c r="I173" s="3">
        <v>1.7</v>
      </c>
    </row>
    <row r="174" spans="1:9" s="3" customFormat="1" x14ac:dyDescent="0.25">
      <c r="A174" s="3" t="s">
        <v>501</v>
      </c>
      <c r="B174" s="3" t="s">
        <v>93</v>
      </c>
      <c r="C174" s="3" t="s">
        <v>94</v>
      </c>
      <c r="G174" s="3" t="s">
        <v>519</v>
      </c>
      <c r="H174" s="3">
        <v>1.8</v>
      </c>
      <c r="I174" s="3">
        <v>1.5</v>
      </c>
    </row>
    <row r="175" spans="1:9" s="3" customFormat="1" x14ac:dyDescent="0.25">
      <c r="A175" s="3" t="s">
        <v>501</v>
      </c>
      <c r="B175" s="3" t="s">
        <v>93</v>
      </c>
      <c r="C175" s="3" t="s">
        <v>94</v>
      </c>
      <c r="G175" s="3" t="s">
        <v>512</v>
      </c>
      <c r="H175" s="3">
        <v>1.1</v>
      </c>
      <c r="I175" s="3">
        <v>0.9</v>
      </c>
    </row>
    <row r="176" spans="1:9" s="3" customFormat="1" x14ac:dyDescent="0.25">
      <c r="A176" s="3" t="s">
        <v>501</v>
      </c>
      <c r="B176" s="3" t="s">
        <v>93</v>
      </c>
      <c r="C176" s="3" t="s">
        <v>94</v>
      </c>
      <c r="G176" s="3" t="s">
        <v>516</v>
      </c>
      <c r="H176" s="3">
        <v>1</v>
      </c>
      <c r="I176" s="3">
        <v>0.8</v>
      </c>
    </row>
    <row r="177" spans="1:9" s="3" customFormat="1" x14ac:dyDescent="0.25">
      <c r="A177" s="3" t="s">
        <v>501</v>
      </c>
      <c r="B177" s="3" t="s">
        <v>93</v>
      </c>
      <c r="C177" s="3" t="s">
        <v>94</v>
      </c>
      <c r="G177" s="3" t="s">
        <v>515</v>
      </c>
      <c r="H177" s="3">
        <v>0.9</v>
      </c>
      <c r="I177" s="3">
        <v>0.8</v>
      </c>
    </row>
    <row r="178" spans="1:9" s="3" customFormat="1" x14ac:dyDescent="0.25">
      <c r="A178" s="3" t="s">
        <v>501</v>
      </c>
      <c r="B178" s="3" t="s">
        <v>93</v>
      </c>
      <c r="C178" s="3" t="s">
        <v>94</v>
      </c>
      <c r="G178" s="3" t="s">
        <v>517</v>
      </c>
      <c r="H178" s="3">
        <v>0.9</v>
      </c>
      <c r="I178" s="3">
        <v>0.7</v>
      </c>
    </row>
    <row r="179" spans="1:9" s="3" customFormat="1" x14ac:dyDescent="0.25">
      <c r="A179" s="3" t="s">
        <v>501</v>
      </c>
      <c r="B179" s="3" t="s">
        <v>93</v>
      </c>
      <c r="C179" s="3" t="s">
        <v>94</v>
      </c>
      <c r="G179" s="3" t="s">
        <v>518</v>
      </c>
      <c r="H179" s="3">
        <v>0.8</v>
      </c>
      <c r="I179" s="3">
        <v>0.7</v>
      </c>
    </row>
    <row r="180" spans="1:9" s="3" customFormat="1" x14ac:dyDescent="0.25">
      <c r="A180" s="3" t="s">
        <v>501</v>
      </c>
      <c r="B180" s="3" t="s">
        <v>93</v>
      </c>
      <c r="C180" s="3" t="s">
        <v>94</v>
      </c>
      <c r="G180" s="3" t="s">
        <v>523</v>
      </c>
      <c r="H180" s="3">
        <v>0.3</v>
      </c>
      <c r="I180" s="3">
        <v>0.3</v>
      </c>
    </row>
    <row r="181" spans="1:9" s="3" customFormat="1" x14ac:dyDescent="0.25">
      <c r="A181" s="3" t="s">
        <v>501</v>
      </c>
      <c r="B181" s="3" t="s">
        <v>93</v>
      </c>
      <c r="C181" s="3" t="s">
        <v>94</v>
      </c>
      <c r="G181" s="3" t="s">
        <v>521</v>
      </c>
      <c r="H181" s="3">
        <v>0.3</v>
      </c>
      <c r="I181" s="3">
        <v>0.2</v>
      </c>
    </row>
    <row r="182" spans="1:9" s="3" customFormat="1" x14ac:dyDescent="0.25">
      <c r="A182" s="3" t="s">
        <v>501</v>
      </c>
      <c r="B182" s="3" t="s">
        <v>93</v>
      </c>
      <c r="C182" s="3" t="s">
        <v>94</v>
      </c>
      <c r="G182" s="3" t="s">
        <v>522</v>
      </c>
      <c r="H182" s="3">
        <v>0.3</v>
      </c>
      <c r="I182" s="3">
        <v>0.2</v>
      </c>
    </row>
    <row r="183" spans="1:9" s="3" customFormat="1" x14ac:dyDescent="0.25">
      <c r="A183" s="3" t="s">
        <v>501</v>
      </c>
      <c r="B183" s="3" t="s">
        <v>93</v>
      </c>
      <c r="C183" s="3" t="s">
        <v>94</v>
      </c>
      <c r="G183" s="3" t="s">
        <v>520</v>
      </c>
      <c r="H183" s="3">
        <v>0.1</v>
      </c>
      <c r="I183" s="3">
        <v>0.1</v>
      </c>
    </row>
    <row r="184" spans="1:9" s="3" customFormat="1" x14ac:dyDescent="0.25">
      <c r="A184" s="3" t="s">
        <v>501</v>
      </c>
      <c r="B184" s="3" t="s">
        <v>93</v>
      </c>
      <c r="C184" s="3" t="s">
        <v>94</v>
      </c>
      <c r="G184" s="3" t="s">
        <v>524</v>
      </c>
      <c r="H184" s="3">
        <v>0</v>
      </c>
      <c r="I184" s="3">
        <v>0</v>
      </c>
    </row>
    <row r="185" spans="1:9" s="3" customFormat="1" x14ac:dyDescent="0.25">
      <c r="A185" s="3" t="s">
        <v>501</v>
      </c>
      <c r="B185" s="3" t="s">
        <v>93</v>
      </c>
      <c r="C185" s="3" t="s">
        <v>94</v>
      </c>
      <c r="G185" s="3" t="s">
        <v>525</v>
      </c>
      <c r="H185" s="3">
        <v>0</v>
      </c>
      <c r="I185" s="3">
        <v>0</v>
      </c>
    </row>
    <row r="186" spans="1:9" s="3" customFormat="1" x14ac:dyDescent="0.25">
      <c r="A186" s="3" t="s">
        <v>501</v>
      </c>
      <c r="B186" s="3" t="s">
        <v>95</v>
      </c>
      <c r="C186" s="3" t="s">
        <v>96</v>
      </c>
      <c r="D186" s="3">
        <v>192.2</v>
      </c>
      <c r="E186" s="3">
        <v>102.1</v>
      </c>
      <c r="F186" s="3">
        <v>90.2</v>
      </c>
      <c r="G186" s="3" t="s">
        <v>506</v>
      </c>
      <c r="H186" s="3">
        <v>45.1</v>
      </c>
      <c r="I186" s="3">
        <v>50</v>
      </c>
    </row>
    <row r="187" spans="1:9" s="3" customFormat="1" x14ac:dyDescent="0.25">
      <c r="A187" s="3" t="s">
        <v>501</v>
      </c>
      <c r="B187" s="3" t="s">
        <v>95</v>
      </c>
      <c r="C187" s="3" t="s">
        <v>96</v>
      </c>
      <c r="G187" s="3" t="s">
        <v>505</v>
      </c>
      <c r="H187" s="3">
        <v>25.7</v>
      </c>
      <c r="I187" s="3">
        <v>28.5</v>
      </c>
    </row>
    <row r="188" spans="1:9" s="3" customFormat="1" x14ac:dyDescent="0.25">
      <c r="A188" s="3" t="s">
        <v>501</v>
      </c>
      <c r="B188" s="3" t="s">
        <v>95</v>
      </c>
      <c r="C188" s="3" t="s">
        <v>96</v>
      </c>
      <c r="G188" s="3" t="s">
        <v>503</v>
      </c>
      <c r="H188" s="3">
        <v>6.5</v>
      </c>
      <c r="I188" s="3">
        <v>7.2</v>
      </c>
    </row>
    <row r="189" spans="1:9" s="3" customFormat="1" x14ac:dyDescent="0.25">
      <c r="A189" s="3" t="s">
        <v>501</v>
      </c>
      <c r="B189" s="3" t="s">
        <v>95</v>
      </c>
      <c r="C189" s="3" t="s">
        <v>96</v>
      </c>
      <c r="G189" s="3" t="s">
        <v>507</v>
      </c>
      <c r="H189" s="3">
        <v>5.6</v>
      </c>
      <c r="I189" s="3">
        <v>6.2</v>
      </c>
    </row>
    <row r="190" spans="1:9" s="3" customFormat="1" x14ac:dyDescent="0.25">
      <c r="A190" s="3" t="s">
        <v>501</v>
      </c>
      <c r="B190" s="3" t="s">
        <v>95</v>
      </c>
      <c r="C190" s="3" t="s">
        <v>96</v>
      </c>
      <c r="G190" s="3" t="s">
        <v>511</v>
      </c>
      <c r="H190" s="3">
        <v>1.5</v>
      </c>
      <c r="I190" s="3">
        <v>1.7</v>
      </c>
    </row>
    <row r="191" spans="1:9" s="3" customFormat="1" x14ac:dyDescent="0.25">
      <c r="A191" s="3" t="s">
        <v>501</v>
      </c>
      <c r="B191" s="3" t="s">
        <v>95</v>
      </c>
      <c r="C191" s="3" t="s">
        <v>96</v>
      </c>
      <c r="G191" s="3" t="s">
        <v>515</v>
      </c>
      <c r="H191" s="3">
        <v>1.4</v>
      </c>
      <c r="I191" s="3">
        <v>1.6</v>
      </c>
    </row>
    <row r="192" spans="1:9" s="3" customFormat="1" x14ac:dyDescent="0.25">
      <c r="A192" s="3" t="s">
        <v>501</v>
      </c>
      <c r="B192" s="3" t="s">
        <v>95</v>
      </c>
      <c r="C192" s="3" t="s">
        <v>96</v>
      </c>
      <c r="G192" s="3" t="s">
        <v>509</v>
      </c>
      <c r="H192" s="3">
        <v>1.3</v>
      </c>
      <c r="I192" s="3">
        <v>1.5</v>
      </c>
    </row>
    <row r="193" spans="1:9" s="3" customFormat="1" x14ac:dyDescent="0.25">
      <c r="A193" s="3" t="s">
        <v>501</v>
      </c>
      <c r="B193" s="3" t="s">
        <v>95</v>
      </c>
      <c r="C193" s="3" t="s">
        <v>96</v>
      </c>
      <c r="G193" s="3" t="s">
        <v>504</v>
      </c>
      <c r="H193" s="3">
        <v>0.5</v>
      </c>
      <c r="I193" s="3">
        <v>0.6</v>
      </c>
    </row>
    <row r="194" spans="1:9" s="3" customFormat="1" x14ac:dyDescent="0.25">
      <c r="A194" s="3" t="s">
        <v>501</v>
      </c>
      <c r="B194" s="3" t="s">
        <v>95</v>
      </c>
      <c r="C194" s="3" t="s">
        <v>96</v>
      </c>
      <c r="G194" s="3" t="s">
        <v>513</v>
      </c>
      <c r="H194" s="3">
        <v>0.5</v>
      </c>
      <c r="I194" s="3">
        <v>0.6</v>
      </c>
    </row>
    <row r="195" spans="1:9" s="3" customFormat="1" x14ac:dyDescent="0.25">
      <c r="A195" s="3" t="s">
        <v>501</v>
      </c>
      <c r="B195" s="3" t="s">
        <v>95</v>
      </c>
      <c r="C195" s="3" t="s">
        <v>96</v>
      </c>
      <c r="G195" s="3" t="s">
        <v>508</v>
      </c>
      <c r="H195" s="3">
        <v>0.5</v>
      </c>
      <c r="I195" s="3">
        <v>0.6</v>
      </c>
    </row>
    <row r="196" spans="1:9" s="3" customFormat="1" x14ac:dyDescent="0.25">
      <c r="A196" s="3" t="s">
        <v>501</v>
      </c>
      <c r="B196" s="3" t="s">
        <v>95</v>
      </c>
      <c r="C196" s="3" t="s">
        <v>96</v>
      </c>
      <c r="G196" s="3" t="s">
        <v>510</v>
      </c>
      <c r="H196" s="3">
        <v>0.4</v>
      </c>
      <c r="I196" s="3">
        <v>0.4</v>
      </c>
    </row>
    <row r="197" spans="1:9" s="3" customFormat="1" x14ac:dyDescent="0.25">
      <c r="A197" s="3" t="s">
        <v>501</v>
      </c>
      <c r="B197" s="3" t="s">
        <v>95</v>
      </c>
      <c r="C197" s="3" t="s">
        <v>96</v>
      </c>
      <c r="G197" s="3" t="s">
        <v>512</v>
      </c>
      <c r="H197" s="3">
        <v>0.3</v>
      </c>
      <c r="I197" s="3">
        <v>0.3</v>
      </c>
    </row>
    <row r="198" spans="1:9" s="3" customFormat="1" x14ac:dyDescent="0.25">
      <c r="A198" s="3" t="s">
        <v>501</v>
      </c>
      <c r="B198" s="3" t="s">
        <v>95</v>
      </c>
      <c r="C198" s="3" t="s">
        <v>96</v>
      </c>
      <c r="G198" s="3" t="s">
        <v>516</v>
      </c>
      <c r="H198" s="3">
        <v>0.2</v>
      </c>
      <c r="I198" s="3">
        <v>0.2</v>
      </c>
    </row>
    <row r="199" spans="1:9" s="3" customFormat="1" x14ac:dyDescent="0.25">
      <c r="A199" s="3" t="s">
        <v>501</v>
      </c>
      <c r="B199" s="3" t="s">
        <v>95</v>
      </c>
      <c r="C199" s="3" t="s">
        <v>96</v>
      </c>
      <c r="G199" s="3" t="s">
        <v>517</v>
      </c>
      <c r="H199" s="3">
        <v>0.1</v>
      </c>
      <c r="I199" s="3">
        <v>0.1</v>
      </c>
    </row>
    <row r="200" spans="1:9" s="3" customFormat="1" x14ac:dyDescent="0.25">
      <c r="A200" s="3" t="s">
        <v>501</v>
      </c>
      <c r="B200" s="3" t="s">
        <v>95</v>
      </c>
      <c r="C200" s="3" t="s">
        <v>96</v>
      </c>
      <c r="G200" s="3" t="s">
        <v>518</v>
      </c>
      <c r="H200" s="3">
        <v>0.1</v>
      </c>
      <c r="I200" s="3">
        <v>0.1</v>
      </c>
    </row>
    <row r="201" spans="1:9" s="3" customFormat="1" x14ac:dyDescent="0.25">
      <c r="A201" s="3" t="s">
        <v>501</v>
      </c>
      <c r="B201" s="3" t="s">
        <v>95</v>
      </c>
      <c r="C201" s="3" t="s">
        <v>96</v>
      </c>
      <c r="G201" s="3" t="s">
        <v>519</v>
      </c>
      <c r="H201" s="3">
        <v>0.1</v>
      </c>
      <c r="I201" s="3">
        <v>0.1</v>
      </c>
    </row>
    <row r="202" spans="1:9" s="3" customFormat="1" x14ac:dyDescent="0.25">
      <c r="A202" s="3" t="s">
        <v>501</v>
      </c>
      <c r="B202" s="3" t="s">
        <v>95</v>
      </c>
      <c r="C202" s="3" t="s">
        <v>96</v>
      </c>
      <c r="G202" s="3" t="s">
        <v>514</v>
      </c>
      <c r="H202" s="3">
        <v>0.1</v>
      </c>
      <c r="I202" s="3">
        <v>0.1</v>
      </c>
    </row>
    <row r="203" spans="1:9" s="3" customFormat="1" x14ac:dyDescent="0.25">
      <c r="A203" s="3" t="s">
        <v>501</v>
      </c>
      <c r="B203" s="3" t="s">
        <v>95</v>
      </c>
      <c r="C203" s="3" t="s">
        <v>96</v>
      </c>
      <c r="G203" s="3" t="s">
        <v>523</v>
      </c>
      <c r="H203" s="3">
        <v>0.1</v>
      </c>
      <c r="I203" s="3">
        <v>0.1</v>
      </c>
    </row>
    <row r="204" spans="1:9" s="3" customFormat="1" x14ac:dyDescent="0.25">
      <c r="A204" s="3" t="s">
        <v>501</v>
      </c>
      <c r="B204" s="3" t="s">
        <v>95</v>
      </c>
      <c r="C204" s="3" t="s">
        <v>96</v>
      </c>
      <c r="G204" s="3" t="s">
        <v>522</v>
      </c>
      <c r="H204" s="3">
        <v>0.1</v>
      </c>
      <c r="I204" s="3">
        <v>0.1</v>
      </c>
    </row>
    <row r="205" spans="1:9" s="3" customFormat="1" x14ac:dyDescent="0.25">
      <c r="A205" s="3" t="s">
        <v>501</v>
      </c>
      <c r="B205" s="3" t="s">
        <v>95</v>
      </c>
      <c r="C205" s="3" t="s">
        <v>96</v>
      </c>
      <c r="G205" s="3" t="s">
        <v>520</v>
      </c>
      <c r="H205" s="3">
        <v>0</v>
      </c>
      <c r="I205" s="3">
        <v>0</v>
      </c>
    </row>
    <row r="206" spans="1:9" s="3" customFormat="1" x14ac:dyDescent="0.25">
      <c r="A206" s="3" t="s">
        <v>501</v>
      </c>
      <c r="B206" s="3" t="s">
        <v>95</v>
      </c>
      <c r="C206" s="3" t="s">
        <v>96</v>
      </c>
      <c r="G206" s="3" t="s">
        <v>525</v>
      </c>
      <c r="H206" s="3">
        <v>0</v>
      </c>
      <c r="I206" s="3">
        <v>0</v>
      </c>
    </row>
    <row r="207" spans="1:9" s="3" customFormat="1" x14ac:dyDescent="0.25">
      <c r="A207" s="3" t="s">
        <v>501</v>
      </c>
      <c r="B207" s="3" t="s">
        <v>95</v>
      </c>
      <c r="C207" s="3" t="s">
        <v>96</v>
      </c>
      <c r="G207" s="3" t="s">
        <v>521</v>
      </c>
      <c r="H207" s="3">
        <v>0</v>
      </c>
      <c r="I207" s="3">
        <v>0</v>
      </c>
    </row>
    <row r="208" spans="1:9" s="3" customFormat="1" x14ac:dyDescent="0.25">
      <c r="A208" s="3" t="s">
        <v>501</v>
      </c>
      <c r="B208" s="3" t="s">
        <v>95</v>
      </c>
      <c r="C208" s="3" t="s">
        <v>96</v>
      </c>
      <c r="G208" s="3" t="s">
        <v>524</v>
      </c>
      <c r="H208" s="3">
        <v>0</v>
      </c>
      <c r="I208" s="3">
        <v>0</v>
      </c>
    </row>
    <row r="209" spans="1:9" s="3" customFormat="1" x14ac:dyDescent="0.25">
      <c r="A209" s="3" t="s">
        <v>501</v>
      </c>
      <c r="B209" s="3" t="s">
        <v>97</v>
      </c>
      <c r="C209" s="3" t="s">
        <v>98</v>
      </c>
      <c r="D209" s="3">
        <v>146.4</v>
      </c>
      <c r="E209" s="3">
        <v>97.5</v>
      </c>
      <c r="F209" s="3">
        <v>48.9</v>
      </c>
      <c r="G209" s="3" t="s">
        <v>503</v>
      </c>
      <c r="H209" s="3">
        <v>14</v>
      </c>
      <c r="I209" s="3">
        <v>28.5</v>
      </c>
    </row>
    <row r="210" spans="1:9" s="3" customFormat="1" x14ac:dyDescent="0.25">
      <c r="A210" s="3" t="s">
        <v>501</v>
      </c>
      <c r="B210" s="3" t="s">
        <v>97</v>
      </c>
      <c r="C210" s="3" t="s">
        <v>98</v>
      </c>
      <c r="G210" s="3" t="s">
        <v>504</v>
      </c>
      <c r="H210" s="3">
        <v>9.7</v>
      </c>
      <c r="I210" s="3">
        <v>19.9</v>
      </c>
    </row>
    <row r="211" spans="1:9" s="3" customFormat="1" x14ac:dyDescent="0.25">
      <c r="A211" s="3" t="s">
        <v>501</v>
      </c>
      <c r="B211" s="3" t="s">
        <v>97</v>
      </c>
      <c r="C211" s="3" t="s">
        <v>98</v>
      </c>
      <c r="G211" s="3" t="s">
        <v>507</v>
      </c>
      <c r="H211" s="3">
        <v>5.9</v>
      </c>
      <c r="I211" s="3">
        <v>12</v>
      </c>
    </row>
    <row r="212" spans="1:9" s="3" customFormat="1" x14ac:dyDescent="0.25">
      <c r="A212" s="3" t="s">
        <v>501</v>
      </c>
      <c r="B212" s="3" t="s">
        <v>97</v>
      </c>
      <c r="C212" s="3" t="s">
        <v>98</v>
      </c>
      <c r="G212" s="3" t="s">
        <v>506</v>
      </c>
      <c r="H212" s="3">
        <v>4.6</v>
      </c>
      <c r="I212" s="3">
        <v>9.5</v>
      </c>
    </row>
    <row r="213" spans="1:9" s="3" customFormat="1" x14ac:dyDescent="0.25">
      <c r="A213" s="3" t="s">
        <v>501</v>
      </c>
      <c r="B213" s="3" t="s">
        <v>97</v>
      </c>
      <c r="C213" s="3" t="s">
        <v>98</v>
      </c>
      <c r="G213" s="3" t="s">
        <v>505</v>
      </c>
      <c r="H213" s="3">
        <v>3.3</v>
      </c>
      <c r="I213" s="3">
        <v>6.7</v>
      </c>
    </row>
    <row r="214" spans="1:9" s="3" customFormat="1" x14ac:dyDescent="0.25">
      <c r="A214" s="3" t="s">
        <v>501</v>
      </c>
      <c r="B214" s="3" t="s">
        <v>97</v>
      </c>
      <c r="C214" s="3" t="s">
        <v>98</v>
      </c>
      <c r="G214" s="3" t="s">
        <v>508</v>
      </c>
      <c r="H214" s="3">
        <v>3</v>
      </c>
      <c r="I214" s="3">
        <v>6.1</v>
      </c>
    </row>
    <row r="215" spans="1:9" s="3" customFormat="1" x14ac:dyDescent="0.25">
      <c r="A215" s="3" t="s">
        <v>501</v>
      </c>
      <c r="B215" s="3" t="s">
        <v>97</v>
      </c>
      <c r="C215" s="3" t="s">
        <v>98</v>
      </c>
      <c r="G215" s="3" t="s">
        <v>509</v>
      </c>
      <c r="H215" s="3">
        <v>2.2</v>
      </c>
      <c r="I215" s="3">
        <v>4.5</v>
      </c>
    </row>
    <row r="216" spans="1:9" s="3" customFormat="1" x14ac:dyDescent="0.25">
      <c r="A216" s="3" t="s">
        <v>501</v>
      </c>
      <c r="B216" s="3" t="s">
        <v>97</v>
      </c>
      <c r="C216" s="3" t="s">
        <v>98</v>
      </c>
      <c r="G216" s="3" t="s">
        <v>516</v>
      </c>
      <c r="H216" s="3">
        <v>1.4</v>
      </c>
      <c r="I216" s="3">
        <v>2.9</v>
      </c>
    </row>
    <row r="217" spans="1:9" s="3" customFormat="1" x14ac:dyDescent="0.25">
      <c r="A217" s="3" t="s">
        <v>501</v>
      </c>
      <c r="B217" s="3" t="s">
        <v>97</v>
      </c>
      <c r="C217" s="3" t="s">
        <v>98</v>
      </c>
      <c r="G217" s="3" t="s">
        <v>511</v>
      </c>
      <c r="H217" s="3">
        <v>1.2</v>
      </c>
      <c r="I217" s="3">
        <v>2.5</v>
      </c>
    </row>
    <row r="218" spans="1:9" s="3" customFormat="1" x14ac:dyDescent="0.25">
      <c r="A218" s="3" t="s">
        <v>501</v>
      </c>
      <c r="B218" s="3" t="s">
        <v>97</v>
      </c>
      <c r="C218" s="3" t="s">
        <v>98</v>
      </c>
      <c r="G218" s="3" t="s">
        <v>510</v>
      </c>
      <c r="H218" s="3">
        <v>1.1</v>
      </c>
      <c r="I218" s="3">
        <v>2.3</v>
      </c>
    </row>
    <row r="219" spans="1:9" s="3" customFormat="1" x14ac:dyDescent="0.25">
      <c r="A219" s="3" t="s">
        <v>501</v>
      </c>
      <c r="B219" s="3" t="s">
        <v>97</v>
      </c>
      <c r="C219" s="3" t="s">
        <v>98</v>
      </c>
      <c r="G219" s="3" t="s">
        <v>518</v>
      </c>
      <c r="H219" s="3">
        <v>0.5</v>
      </c>
      <c r="I219" s="3">
        <v>1.1</v>
      </c>
    </row>
    <row r="220" spans="1:9" s="3" customFormat="1" x14ac:dyDescent="0.25">
      <c r="A220" s="3" t="s">
        <v>501</v>
      </c>
      <c r="B220" s="3" t="s">
        <v>97</v>
      </c>
      <c r="C220" s="3" t="s">
        <v>98</v>
      </c>
      <c r="G220" s="3" t="s">
        <v>512</v>
      </c>
      <c r="H220" s="3">
        <v>0.5</v>
      </c>
      <c r="I220" s="3">
        <v>1</v>
      </c>
    </row>
    <row r="221" spans="1:9" s="3" customFormat="1" x14ac:dyDescent="0.25">
      <c r="A221" s="3" t="s">
        <v>501</v>
      </c>
      <c r="B221" s="3" t="s">
        <v>97</v>
      </c>
      <c r="C221" s="3" t="s">
        <v>98</v>
      </c>
      <c r="G221" s="3" t="s">
        <v>515</v>
      </c>
      <c r="H221" s="3">
        <v>0.3</v>
      </c>
      <c r="I221" s="3">
        <v>0.6</v>
      </c>
    </row>
    <row r="222" spans="1:9" s="3" customFormat="1" x14ac:dyDescent="0.25">
      <c r="A222" s="3" t="s">
        <v>501</v>
      </c>
      <c r="B222" s="3" t="s">
        <v>97</v>
      </c>
      <c r="C222" s="3" t="s">
        <v>98</v>
      </c>
      <c r="G222" s="3" t="s">
        <v>513</v>
      </c>
      <c r="H222" s="3">
        <v>0.3</v>
      </c>
      <c r="I222" s="3">
        <v>0.6</v>
      </c>
    </row>
    <row r="223" spans="1:9" s="3" customFormat="1" x14ac:dyDescent="0.25">
      <c r="A223" s="3" t="s">
        <v>501</v>
      </c>
      <c r="B223" s="3" t="s">
        <v>97</v>
      </c>
      <c r="C223" s="3" t="s">
        <v>98</v>
      </c>
      <c r="G223" s="3" t="s">
        <v>519</v>
      </c>
      <c r="H223" s="3">
        <v>0.3</v>
      </c>
      <c r="I223" s="3">
        <v>0.5</v>
      </c>
    </row>
    <row r="224" spans="1:9" s="3" customFormat="1" x14ac:dyDescent="0.25">
      <c r="A224" s="3" t="s">
        <v>501</v>
      </c>
      <c r="B224" s="3" t="s">
        <v>97</v>
      </c>
      <c r="C224" s="3" t="s">
        <v>98</v>
      </c>
      <c r="G224" s="3" t="s">
        <v>517</v>
      </c>
      <c r="H224" s="3">
        <v>0.1</v>
      </c>
      <c r="I224" s="3">
        <v>0.3</v>
      </c>
    </row>
    <row r="225" spans="1:9" s="3" customFormat="1" x14ac:dyDescent="0.25">
      <c r="A225" s="3" t="s">
        <v>501</v>
      </c>
      <c r="B225" s="3" t="s">
        <v>97</v>
      </c>
      <c r="C225" s="3" t="s">
        <v>98</v>
      </c>
      <c r="G225" s="3" t="s">
        <v>520</v>
      </c>
      <c r="H225" s="3">
        <v>0.1</v>
      </c>
      <c r="I225" s="3">
        <v>0.2</v>
      </c>
    </row>
    <row r="226" spans="1:9" s="3" customFormat="1" x14ac:dyDescent="0.25">
      <c r="A226" s="3" t="s">
        <v>501</v>
      </c>
      <c r="B226" s="3" t="s">
        <v>97</v>
      </c>
      <c r="C226" s="3" t="s">
        <v>98</v>
      </c>
      <c r="G226" s="3" t="s">
        <v>514</v>
      </c>
      <c r="H226" s="3">
        <v>0.1</v>
      </c>
      <c r="I226" s="3">
        <v>0.2</v>
      </c>
    </row>
    <row r="227" spans="1:9" s="3" customFormat="1" x14ac:dyDescent="0.25">
      <c r="A227" s="3" t="s">
        <v>501</v>
      </c>
      <c r="B227" s="3" t="s">
        <v>97</v>
      </c>
      <c r="C227" s="3" t="s">
        <v>98</v>
      </c>
      <c r="G227" s="3" t="s">
        <v>522</v>
      </c>
      <c r="H227" s="3">
        <v>0.1</v>
      </c>
      <c r="I227" s="3">
        <v>0.2</v>
      </c>
    </row>
    <row r="228" spans="1:9" s="3" customFormat="1" x14ac:dyDescent="0.25">
      <c r="A228" s="3" t="s">
        <v>501</v>
      </c>
      <c r="B228" s="3" t="s">
        <v>97</v>
      </c>
      <c r="C228" s="3" t="s">
        <v>98</v>
      </c>
      <c r="G228" s="3" t="s">
        <v>521</v>
      </c>
      <c r="H228" s="3">
        <v>0</v>
      </c>
      <c r="I228" s="3">
        <v>0.1</v>
      </c>
    </row>
    <row r="229" spans="1:9" s="3" customFormat="1" x14ac:dyDescent="0.25">
      <c r="A229" s="3" t="s">
        <v>501</v>
      </c>
      <c r="B229" s="3" t="s">
        <v>97</v>
      </c>
      <c r="C229" s="3" t="s">
        <v>98</v>
      </c>
      <c r="G229" s="3" t="s">
        <v>523</v>
      </c>
      <c r="H229" s="3">
        <v>0</v>
      </c>
      <c r="I229" s="3">
        <v>0.1</v>
      </c>
    </row>
    <row r="230" spans="1:9" s="3" customFormat="1" x14ac:dyDescent="0.25">
      <c r="A230" s="3" t="s">
        <v>501</v>
      </c>
      <c r="B230" s="3" t="s">
        <v>97</v>
      </c>
      <c r="C230" s="3" t="s">
        <v>98</v>
      </c>
      <c r="G230" s="3" t="s">
        <v>524</v>
      </c>
      <c r="H230" s="3">
        <v>0</v>
      </c>
      <c r="I230" s="3">
        <v>0</v>
      </c>
    </row>
    <row r="231" spans="1:9" s="3" customFormat="1" x14ac:dyDescent="0.25">
      <c r="A231" s="3" t="s">
        <v>501</v>
      </c>
      <c r="B231" s="3" t="s">
        <v>97</v>
      </c>
      <c r="C231" s="3" t="s">
        <v>98</v>
      </c>
      <c r="G231" s="3" t="s">
        <v>525</v>
      </c>
      <c r="H231" s="3">
        <v>0</v>
      </c>
      <c r="I231" s="3">
        <v>0</v>
      </c>
    </row>
    <row r="232" spans="1:9" s="3" customFormat="1" x14ac:dyDescent="0.25">
      <c r="A232" s="3" t="s">
        <v>501</v>
      </c>
      <c r="B232" s="3" t="s">
        <v>99</v>
      </c>
      <c r="C232" s="3" t="s">
        <v>100</v>
      </c>
      <c r="D232" s="3">
        <v>65.9</v>
      </c>
      <c r="E232" s="3">
        <v>37.5</v>
      </c>
      <c r="F232" s="3">
        <v>28.4</v>
      </c>
      <c r="G232" s="3" t="s">
        <v>504</v>
      </c>
      <c r="H232" s="3">
        <v>10.4</v>
      </c>
      <c r="I232" s="3">
        <v>36.5</v>
      </c>
    </row>
    <row r="233" spans="1:9" s="3" customFormat="1" x14ac:dyDescent="0.25">
      <c r="A233" s="3" t="s">
        <v>501</v>
      </c>
      <c r="B233" s="3" t="s">
        <v>99</v>
      </c>
      <c r="C233" s="3" t="s">
        <v>100</v>
      </c>
      <c r="G233" s="3" t="s">
        <v>503</v>
      </c>
      <c r="H233" s="3">
        <v>7.9</v>
      </c>
      <c r="I233" s="3">
        <v>28</v>
      </c>
    </row>
    <row r="234" spans="1:9" s="3" customFormat="1" x14ac:dyDescent="0.25">
      <c r="A234" s="3" t="s">
        <v>501</v>
      </c>
      <c r="B234" s="3" t="s">
        <v>99</v>
      </c>
      <c r="C234" s="3" t="s">
        <v>100</v>
      </c>
      <c r="G234" s="3" t="s">
        <v>505</v>
      </c>
      <c r="H234" s="3">
        <v>2</v>
      </c>
      <c r="I234" s="3">
        <v>7.1</v>
      </c>
    </row>
    <row r="235" spans="1:9" s="3" customFormat="1" x14ac:dyDescent="0.25">
      <c r="A235" s="3" t="s">
        <v>501</v>
      </c>
      <c r="B235" s="3" t="s">
        <v>99</v>
      </c>
      <c r="C235" s="3" t="s">
        <v>100</v>
      </c>
      <c r="G235" s="3" t="s">
        <v>506</v>
      </c>
      <c r="H235" s="3">
        <v>1.7</v>
      </c>
      <c r="I235" s="3">
        <v>6.1</v>
      </c>
    </row>
    <row r="236" spans="1:9" s="3" customFormat="1" x14ac:dyDescent="0.25">
      <c r="A236" s="3" t="s">
        <v>501</v>
      </c>
      <c r="B236" s="3" t="s">
        <v>99</v>
      </c>
      <c r="C236" s="3" t="s">
        <v>100</v>
      </c>
      <c r="G236" s="3" t="s">
        <v>507</v>
      </c>
      <c r="H236" s="3">
        <v>1.7</v>
      </c>
      <c r="I236" s="3">
        <v>5.9</v>
      </c>
    </row>
    <row r="237" spans="1:9" s="3" customFormat="1" x14ac:dyDescent="0.25">
      <c r="A237" s="3" t="s">
        <v>501</v>
      </c>
      <c r="B237" s="3" t="s">
        <v>99</v>
      </c>
      <c r="C237" s="3" t="s">
        <v>100</v>
      </c>
      <c r="G237" s="3" t="s">
        <v>508</v>
      </c>
      <c r="H237" s="3">
        <v>1.5</v>
      </c>
      <c r="I237" s="3">
        <v>5.2</v>
      </c>
    </row>
    <row r="238" spans="1:9" s="3" customFormat="1" x14ac:dyDescent="0.25">
      <c r="A238" s="3" t="s">
        <v>501</v>
      </c>
      <c r="B238" s="3" t="s">
        <v>99</v>
      </c>
      <c r="C238" s="3" t="s">
        <v>100</v>
      </c>
      <c r="G238" s="3" t="s">
        <v>510</v>
      </c>
      <c r="H238" s="3">
        <v>0.8</v>
      </c>
      <c r="I238" s="3">
        <v>2.9</v>
      </c>
    </row>
    <row r="239" spans="1:9" s="3" customFormat="1" x14ac:dyDescent="0.25">
      <c r="A239" s="3" t="s">
        <v>501</v>
      </c>
      <c r="B239" s="3" t="s">
        <v>99</v>
      </c>
      <c r="C239" s="3" t="s">
        <v>100</v>
      </c>
      <c r="G239" s="3" t="s">
        <v>511</v>
      </c>
      <c r="H239" s="3">
        <v>0.4</v>
      </c>
      <c r="I239" s="3">
        <v>1.3</v>
      </c>
    </row>
    <row r="240" spans="1:9" s="3" customFormat="1" x14ac:dyDescent="0.25">
      <c r="A240" s="3" t="s">
        <v>501</v>
      </c>
      <c r="B240" s="3" t="s">
        <v>99</v>
      </c>
      <c r="C240" s="3" t="s">
        <v>100</v>
      </c>
      <c r="G240" s="3" t="s">
        <v>513</v>
      </c>
      <c r="H240" s="3">
        <v>0.3</v>
      </c>
      <c r="I240" s="3">
        <v>1.2</v>
      </c>
    </row>
    <row r="241" spans="1:9" s="3" customFormat="1" x14ac:dyDescent="0.25">
      <c r="A241" s="3" t="s">
        <v>501</v>
      </c>
      <c r="B241" s="3" t="s">
        <v>99</v>
      </c>
      <c r="C241" s="3" t="s">
        <v>100</v>
      </c>
      <c r="G241" s="3" t="s">
        <v>515</v>
      </c>
      <c r="H241" s="3">
        <v>0.3</v>
      </c>
      <c r="I241" s="3">
        <v>1</v>
      </c>
    </row>
    <row r="242" spans="1:9" s="3" customFormat="1" x14ac:dyDescent="0.25">
      <c r="A242" s="3" t="s">
        <v>501</v>
      </c>
      <c r="B242" s="3" t="s">
        <v>99</v>
      </c>
      <c r="C242" s="3" t="s">
        <v>100</v>
      </c>
      <c r="G242" s="3" t="s">
        <v>509</v>
      </c>
      <c r="H242" s="3">
        <v>0.3</v>
      </c>
      <c r="I242" s="3">
        <v>0.9</v>
      </c>
    </row>
    <row r="243" spans="1:9" s="3" customFormat="1" x14ac:dyDescent="0.25">
      <c r="A243" s="3" t="s">
        <v>501</v>
      </c>
      <c r="B243" s="3" t="s">
        <v>99</v>
      </c>
      <c r="C243" s="3" t="s">
        <v>100</v>
      </c>
      <c r="G243" s="3" t="s">
        <v>516</v>
      </c>
      <c r="H243" s="3">
        <v>0.2</v>
      </c>
      <c r="I243" s="3">
        <v>0.7</v>
      </c>
    </row>
    <row r="244" spans="1:9" s="3" customFormat="1" x14ac:dyDescent="0.25">
      <c r="A244" s="3" t="s">
        <v>501</v>
      </c>
      <c r="B244" s="3" t="s">
        <v>99</v>
      </c>
      <c r="C244" s="3" t="s">
        <v>100</v>
      </c>
      <c r="G244" s="3" t="s">
        <v>512</v>
      </c>
      <c r="H244" s="3">
        <v>0.2</v>
      </c>
      <c r="I244" s="3">
        <v>0.7</v>
      </c>
    </row>
    <row r="245" spans="1:9" s="3" customFormat="1" x14ac:dyDescent="0.25">
      <c r="A245" s="3" t="s">
        <v>501</v>
      </c>
      <c r="B245" s="3" t="s">
        <v>99</v>
      </c>
      <c r="C245" s="3" t="s">
        <v>100</v>
      </c>
      <c r="G245" s="3" t="s">
        <v>517</v>
      </c>
      <c r="H245" s="3">
        <v>0.2</v>
      </c>
      <c r="I245" s="3">
        <v>0.6</v>
      </c>
    </row>
    <row r="246" spans="1:9" s="3" customFormat="1" x14ac:dyDescent="0.25">
      <c r="A246" s="3" t="s">
        <v>501</v>
      </c>
      <c r="B246" s="3" t="s">
        <v>99</v>
      </c>
      <c r="C246" s="3" t="s">
        <v>100</v>
      </c>
      <c r="G246" s="3" t="s">
        <v>514</v>
      </c>
      <c r="H246" s="3">
        <v>0.1</v>
      </c>
      <c r="I246" s="3">
        <v>0.3</v>
      </c>
    </row>
    <row r="247" spans="1:9" s="3" customFormat="1" x14ac:dyDescent="0.25">
      <c r="A247" s="3" t="s">
        <v>501</v>
      </c>
      <c r="B247" s="3" t="s">
        <v>99</v>
      </c>
      <c r="C247" s="3" t="s">
        <v>100</v>
      </c>
      <c r="G247" s="3" t="s">
        <v>518</v>
      </c>
      <c r="H247" s="3">
        <v>0.1</v>
      </c>
      <c r="I247" s="3">
        <v>0.3</v>
      </c>
    </row>
    <row r="248" spans="1:9" s="3" customFormat="1" x14ac:dyDescent="0.25">
      <c r="A248" s="3" t="s">
        <v>501</v>
      </c>
      <c r="B248" s="3" t="s">
        <v>99</v>
      </c>
      <c r="C248" s="3" t="s">
        <v>100</v>
      </c>
      <c r="G248" s="3" t="s">
        <v>520</v>
      </c>
      <c r="H248" s="3">
        <v>0.1</v>
      </c>
      <c r="I248" s="3">
        <v>0.2</v>
      </c>
    </row>
    <row r="249" spans="1:9" s="3" customFormat="1" x14ac:dyDescent="0.25">
      <c r="A249" s="3" t="s">
        <v>501</v>
      </c>
      <c r="B249" s="3" t="s">
        <v>99</v>
      </c>
      <c r="C249" s="3" t="s">
        <v>100</v>
      </c>
      <c r="G249" s="3" t="s">
        <v>522</v>
      </c>
      <c r="H249" s="3">
        <v>0.1</v>
      </c>
      <c r="I249" s="3">
        <v>0.2</v>
      </c>
    </row>
    <row r="250" spans="1:9" s="3" customFormat="1" x14ac:dyDescent="0.25">
      <c r="A250" s="3" t="s">
        <v>501</v>
      </c>
      <c r="B250" s="3" t="s">
        <v>99</v>
      </c>
      <c r="C250" s="3" t="s">
        <v>100</v>
      </c>
      <c r="G250" s="3" t="s">
        <v>519</v>
      </c>
      <c r="H250" s="3">
        <v>0.1</v>
      </c>
      <c r="I250" s="3">
        <v>0.2</v>
      </c>
    </row>
    <row r="251" spans="1:9" s="3" customFormat="1" x14ac:dyDescent="0.25">
      <c r="A251" s="3" t="s">
        <v>501</v>
      </c>
      <c r="B251" s="3" t="s">
        <v>99</v>
      </c>
      <c r="C251" s="3" t="s">
        <v>100</v>
      </c>
      <c r="G251" s="3" t="s">
        <v>524</v>
      </c>
      <c r="H251" s="3">
        <v>0.1</v>
      </c>
      <c r="I251" s="3">
        <v>0.2</v>
      </c>
    </row>
    <row r="252" spans="1:9" s="3" customFormat="1" x14ac:dyDescent="0.25">
      <c r="A252" s="3" t="s">
        <v>501</v>
      </c>
      <c r="B252" s="3" t="s">
        <v>99</v>
      </c>
      <c r="C252" s="3" t="s">
        <v>100</v>
      </c>
      <c r="G252" s="3" t="s">
        <v>521</v>
      </c>
      <c r="H252" s="3">
        <v>0</v>
      </c>
      <c r="I252" s="3">
        <v>0.1</v>
      </c>
    </row>
    <row r="253" spans="1:9" s="3" customFormat="1" x14ac:dyDescent="0.25">
      <c r="A253" s="3" t="s">
        <v>501</v>
      </c>
      <c r="B253" s="3" t="s">
        <v>99</v>
      </c>
      <c r="C253" s="3" t="s">
        <v>100</v>
      </c>
      <c r="G253" s="3" t="s">
        <v>523</v>
      </c>
      <c r="H253" s="3">
        <v>0</v>
      </c>
      <c r="I253" s="3">
        <v>0</v>
      </c>
    </row>
    <row r="254" spans="1:9" s="3" customFormat="1" x14ac:dyDescent="0.25">
      <c r="A254" s="3" t="s">
        <v>501</v>
      </c>
      <c r="B254" s="3" t="s">
        <v>99</v>
      </c>
      <c r="C254" s="3" t="s">
        <v>100</v>
      </c>
      <c r="G254" s="3" t="s">
        <v>525</v>
      </c>
      <c r="H254" s="3">
        <v>0</v>
      </c>
      <c r="I254" s="3">
        <v>0</v>
      </c>
    </row>
    <row r="255" spans="1:9" s="3" customFormat="1" x14ac:dyDescent="0.25">
      <c r="A255" s="3" t="s">
        <v>501</v>
      </c>
      <c r="B255" s="3" t="s">
        <v>101</v>
      </c>
      <c r="C255" s="3" t="s">
        <v>102</v>
      </c>
      <c r="D255" s="3">
        <v>231.5</v>
      </c>
      <c r="E255" s="3">
        <v>165.2</v>
      </c>
      <c r="F255" s="3">
        <v>66.3</v>
      </c>
      <c r="G255" s="3" t="s">
        <v>503</v>
      </c>
      <c r="H255" s="3">
        <v>20</v>
      </c>
      <c r="I255" s="3">
        <v>30.2</v>
      </c>
    </row>
    <row r="256" spans="1:9" s="3" customFormat="1" x14ac:dyDescent="0.25">
      <c r="A256" s="3" t="s">
        <v>501</v>
      </c>
      <c r="B256" s="3" t="s">
        <v>101</v>
      </c>
      <c r="C256" s="3" t="s">
        <v>102</v>
      </c>
      <c r="G256" s="3" t="s">
        <v>504</v>
      </c>
      <c r="H256" s="3">
        <v>10</v>
      </c>
      <c r="I256" s="3">
        <v>15</v>
      </c>
    </row>
    <row r="257" spans="1:9" s="3" customFormat="1" x14ac:dyDescent="0.25">
      <c r="A257" s="3" t="s">
        <v>501</v>
      </c>
      <c r="B257" s="3" t="s">
        <v>101</v>
      </c>
      <c r="C257" s="3" t="s">
        <v>102</v>
      </c>
      <c r="G257" s="3" t="s">
        <v>514</v>
      </c>
      <c r="H257" s="3">
        <v>4.9</v>
      </c>
      <c r="I257" s="3">
        <v>7.4</v>
      </c>
    </row>
    <row r="258" spans="1:9" s="3" customFormat="1" x14ac:dyDescent="0.25">
      <c r="A258" s="3" t="s">
        <v>501</v>
      </c>
      <c r="B258" s="3" t="s">
        <v>101</v>
      </c>
      <c r="C258" s="3" t="s">
        <v>102</v>
      </c>
      <c r="G258" s="3" t="s">
        <v>513</v>
      </c>
      <c r="H258" s="3">
        <v>4.6</v>
      </c>
      <c r="I258" s="3">
        <v>6.9</v>
      </c>
    </row>
    <row r="259" spans="1:9" s="3" customFormat="1" x14ac:dyDescent="0.25">
      <c r="A259" s="3" t="s">
        <v>501</v>
      </c>
      <c r="B259" s="3" t="s">
        <v>101</v>
      </c>
      <c r="C259" s="3" t="s">
        <v>102</v>
      </c>
      <c r="G259" s="3" t="s">
        <v>508</v>
      </c>
      <c r="H259" s="3">
        <v>4</v>
      </c>
      <c r="I259" s="3">
        <v>6</v>
      </c>
    </row>
    <row r="260" spans="1:9" s="3" customFormat="1" x14ac:dyDescent="0.25">
      <c r="A260" s="3" t="s">
        <v>501</v>
      </c>
      <c r="B260" s="3" t="s">
        <v>101</v>
      </c>
      <c r="C260" s="3" t="s">
        <v>102</v>
      </c>
      <c r="G260" s="3" t="s">
        <v>505</v>
      </c>
      <c r="H260" s="3">
        <v>4</v>
      </c>
      <c r="I260" s="3">
        <v>6</v>
      </c>
    </row>
    <row r="261" spans="1:9" s="3" customFormat="1" x14ac:dyDescent="0.25">
      <c r="A261" s="3" t="s">
        <v>501</v>
      </c>
      <c r="B261" s="3" t="s">
        <v>101</v>
      </c>
      <c r="C261" s="3" t="s">
        <v>102</v>
      </c>
      <c r="G261" s="3" t="s">
        <v>511</v>
      </c>
      <c r="H261" s="3">
        <v>3.9</v>
      </c>
      <c r="I261" s="3">
        <v>5.9</v>
      </c>
    </row>
    <row r="262" spans="1:9" s="3" customFormat="1" x14ac:dyDescent="0.25">
      <c r="A262" s="3" t="s">
        <v>501</v>
      </c>
      <c r="B262" s="3" t="s">
        <v>101</v>
      </c>
      <c r="C262" s="3" t="s">
        <v>102</v>
      </c>
      <c r="G262" s="3" t="s">
        <v>509</v>
      </c>
      <c r="H262" s="3">
        <v>3.6</v>
      </c>
      <c r="I262" s="3">
        <v>5.4</v>
      </c>
    </row>
    <row r="263" spans="1:9" s="3" customFormat="1" x14ac:dyDescent="0.25">
      <c r="A263" s="3" t="s">
        <v>501</v>
      </c>
      <c r="B263" s="3" t="s">
        <v>101</v>
      </c>
      <c r="C263" s="3" t="s">
        <v>102</v>
      </c>
      <c r="G263" s="3" t="s">
        <v>507</v>
      </c>
      <c r="H263" s="3">
        <v>2.3</v>
      </c>
      <c r="I263" s="3">
        <v>3.5</v>
      </c>
    </row>
    <row r="264" spans="1:9" s="3" customFormat="1" x14ac:dyDescent="0.25">
      <c r="A264" s="3" t="s">
        <v>501</v>
      </c>
      <c r="B264" s="3" t="s">
        <v>101</v>
      </c>
      <c r="C264" s="3" t="s">
        <v>102</v>
      </c>
      <c r="G264" s="3" t="s">
        <v>510</v>
      </c>
      <c r="H264" s="3">
        <v>2.1</v>
      </c>
      <c r="I264" s="3">
        <v>3.2</v>
      </c>
    </row>
    <row r="265" spans="1:9" s="3" customFormat="1" x14ac:dyDescent="0.25">
      <c r="A265" s="3" t="s">
        <v>501</v>
      </c>
      <c r="B265" s="3" t="s">
        <v>101</v>
      </c>
      <c r="C265" s="3" t="s">
        <v>102</v>
      </c>
      <c r="G265" s="3" t="s">
        <v>517</v>
      </c>
      <c r="H265" s="3">
        <v>1.6</v>
      </c>
      <c r="I265" s="3">
        <v>2.4</v>
      </c>
    </row>
    <row r="266" spans="1:9" s="3" customFormat="1" x14ac:dyDescent="0.25">
      <c r="A266" s="3" t="s">
        <v>501</v>
      </c>
      <c r="B266" s="3" t="s">
        <v>101</v>
      </c>
      <c r="C266" s="3" t="s">
        <v>102</v>
      </c>
      <c r="G266" s="3" t="s">
        <v>516</v>
      </c>
      <c r="H266" s="3">
        <v>1.3</v>
      </c>
      <c r="I266" s="3">
        <v>1.9</v>
      </c>
    </row>
    <row r="267" spans="1:9" s="3" customFormat="1" x14ac:dyDescent="0.25">
      <c r="A267" s="3" t="s">
        <v>501</v>
      </c>
      <c r="B267" s="3" t="s">
        <v>101</v>
      </c>
      <c r="C267" s="3" t="s">
        <v>102</v>
      </c>
      <c r="G267" s="3" t="s">
        <v>512</v>
      </c>
      <c r="H267" s="3">
        <v>1.1</v>
      </c>
      <c r="I267" s="3">
        <v>1.6</v>
      </c>
    </row>
    <row r="268" spans="1:9" s="3" customFormat="1" x14ac:dyDescent="0.25">
      <c r="A268" s="3" t="s">
        <v>501</v>
      </c>
      <c r="B268" s="3" t="s">
        <v>101</v>
      </c>
      <c r="C268" s="3" t="s">
        <v>102</v>
      </c>
      <c r="G268" s="3" t="s">
        <v>521</v>
      </c>
      <c r="H268" s="3">
        <v>1</v>
      </c>
      <c r="I268" s="3">
        <v>1.5</v>
      </c>
    </row>
    <row r="269" spans="1:9" s="3" customFormat="1" x14ac:dyDescent="0.25">
      <c r="A269" s="3" t="s">
        <v>501</v>
      </c>
      <c r="B269" s="3" t="s">
        <v>101</v>
      </c>
      <c r="C269" s="3" t="s">
        <v>102</v>
      </c>
      <c r="G269" s="3" t="s">
        <v>515</v>
      </c>
      <c r="H269" s="3">
        <v>0.9</v>
      </c>
      <c r="I269" s="3">
        <v>1.4</v>
      </c>
    </row>
    <row r="270" spans="1:9" s="3" customFormat="1" x14ac:dyDescent="0.25">
      <c r="A270" s="3" t="s">
        <v>501</v>
      </c>
      <c r="B270" s="3" t="s">
        <v>101</v>
      </c>
      <c r="C270" s="3" t="s">
        <v>102</v>
      </c>
      <c r="G270" s="3" t="s">
        <v>522</v>
      </c>
      <c r="H270" s="3">
        <v>0.6</v>
      </c>
      <c r="I270" s="3">
        <v>0.9</v>
      </c>
    </row>
    <row r="271" spans="1:9" s="3" customFormat="1" x14ac:dyDescent="0.25">
      <c r="A271" s="3" t="s">
        <v>501</v>
      </c>
      <c r="B271" s="3" t="s">
        <v>101</v>
      </c>
      <c r="C271" s="3" t="s">
        <v>102</v>
      </c>
      <c r="G271" s="3" t="s">
        <v>520</v>
      </c>
      <c r="H271" s="3">
        <v>0.5</v>
      </c>
      <c r="I271" s="3">
        <v>0.8</v>
      </c>
    </row>
    <row r="272" spans="1:9" s="3" customFormat="1" x14ac:dyDescent="0.25">
      <c r="A272" s="3" t="s">
        <v>501</v>
      </c>
      <c r="B272" s="3" t="s">
        <v>101</v>
      </c>
      <c r="C272" s="3" t="s">
        <v>102</v>
      </c>
      <c r="G272" s="3" t="s">
        <v>519</v>
      </c>
      <c r="H272" s="3">
        <v>0.3</v>
      </c>
      <c r="I272" s="3">
        <v>0.4</v>
      </c>
    </row>
    <row r="273" spans="1:9" s="3" customFormat="1" x14ac:dyDescent="0.25">
      <c r="A273" s="3" t="s">
        <v>501</v>
      </c>
      <c r="B273" s="3" t="s">
        <v>101</v>
      </c>
      <c r="C273" s="3" t="s">
        <v>102</v>
      </c>
      <c r="G273" s="3" t="s">
        <v>518</v>
      </c>
      <c r="H273" s="3">
        <v>0.2</v>
      </c>
      <c r="I273" s="3">
        <v>0.3</v>
      </c>
    </row>
    <row r="274" spans="1:9" s="3" customFormat="1" x14ac:dyDescent="0.25">
      <c r="A274" s="3" t="s">
        <v>501</v>
      </c>
      <c r="B274" s="3" t="s">
        <v>101</v>
      </c>
      <c r="C274" s="3" t="s">
        <v>102</v>
      </c>
      <c r="G274" s="3" t="s">
        <v>524</v>
      </c>
      <c r="H274" s="3">
        <v>0.1</v>
      </c>
      <c r="I274" s="3">
        <v>0.1</v>
      </c>
    </row>
    <row r="275" spans="1:9" s="3" customFormat="1" x14ac:dyDescent="0.25">
      <c r="A275" s="3" t="s">
        <v>501</v>
      </c>
      <c r="B275" s="3" t="s">
        <v>101</v>
      </c>
      <c r="C275" s="3" t="s">
        <v>102</v>
      </c>
      <c r="G275" s="3" t="s">
        <v>525</v>
      </c>
      <c r="H275" s="3">
        <v>0</v>
      </c>
      <c r="I275" s="3">
        <v>0.1</v>
      </c>
    </row>
    <row r="276" spans="1:9" s="3" customFormat="1" x14ac:dyDescent="0.25">
      <c r="A276" s="3" t="s">
        <v>501</v>
      </c>
      <c r="B276" s="3" t="s">
        <v>101</v>
      </c>
      <c r="C276" s="3" t="s">
        <v>102</v>
      </c>
      <c r="G276" s="3" t="s">
        <v>523</v>
      </c>
      <c r="H276" s="3">
        <v>0</v>
      </c>
      <c r="I276" s="3">
        <v>0.1</v>
      </c>
    </row>
    <row r="277" spans="1:9" s="3" customFormat="1" x14ac:dyDescent="0.25">
      <c r="A277" s="3" t="s">
        <v>501</v>
      </c>
      <c r="B277" s="3" t="s">
        <v>101</v>
      </c>
      <c r="C277" s="3" t="s">
        <v>102</v>
      </c>
      <c r="G277" s="3" t="s">
        <v>506</v>
      </c>
      <c r="H277" s="3">
        <v>-0.7</v>
      </c>
      <c r="I277" s="3">
        <v>-1</v>
      </c>
    </row>
    <row r="278" spans="1:9" s="3" customFormat="1" x14ac:dyDescent="0.25">
      <c r="A278" s="3" t="s">
        <v>501</v>
      </c>
      <c r="B278" s="3" t="s">
        <v>103</v>
      </c>
      <c r="C278" s="3" t="s">
        <v>104</v>
      </c>
      <c r="D278" s="3">
        <v>163.5</v>
      </c>
      <c r="E278" s="3">
        <v>106.1</v>
      </c>
      <c r="F278" s="3">
        <v>57.3</v>
      </c>
      <c r="G278" s="3" t="s">
        <v>504</v>
      </c>
      <c r="H278" s="3">
        <v>17</v>
      </c>
      <c r="I278" s="3">
        <v>29.6</v>
      </c>
    </row>
    <row r="279" spans="1:9" s="3" customFormat="1" x14ac:dyDescent="0.25">
      <c r="A279" s="3" t="s">
        <v>501</v>
      </c>
      <c r="B279" s="3" t="s">
        <v>103</v>
      </c>
      <c r="C279" s="3" t="s">
        <v>104</v>
      </c>
      <c r="G279" s="3" t="s">
        <v>503</v>
      </c>
      <c r="H279" s="3">
        <v>14.9</v>
      </c>
      <c r="I279" s="3">
        <v>26</v>
      </c>
    </row>
    <row r="280" spans="1:9" s="3" customFormat="1" x14ac:dyDescent="0.25">
      <c r="A280" s="3" t="s">
        <v>501</v>
      </c>
      <c r="B280" s="3" t="s">
        <v>103</v>
      </c>
      <c r="C280" s="3" t="s">
        <v>104</v>
      </c>
      <c r="G280" s="3" t="s">
        <v>506</v>
      </c>
      <c r="H280" s="3">
        <v>6.7</v>
      </c>
      <c r="I280" s="3">
        <v>11.7</v>
      </c>
    </row>
    <row r="281" spans="1:9" s="3" customFormat="1" x14ac:dyDescent="0.25">
      <c r="A281" s="3" t="s">
        <v>501</v>
      </c>
      <c r="B281" s="3" t="s">
        <v>103</v>
      </c>
      <c r="C281" s="3" t="s">
        <v>104</v>
      </c>
      <c r="G281" s="3" t="s">
        <v>505</v>
      </c>
      <c r="H281" s="3">
        <v>4</v>
      </c>
      <c r="I281" s="3">
        <v>7.1</v>
      </c>
    </row>
    <row r="282" spans="1:9" s="3" customFormat="1" x14ac:dyDescent="0.25">
      <c r="A282" s="3" t="s">
        <v>501</v>
      </c>
      <c r="B282" s="3" t="s">
        <v>103</v>
      </c>
      <c r="C282" s="3" t="s">
        <v>104</v>
      </c>
      <c r="G282" s="3" t="s">
        <v>507</v>
      </c>
      <c r="H282" s="3">
        <v>3.9</v>
      </c>
      <c r="I282" s="3">
        <v>6.9</v>
      </c>
    </row>
    <row r="283" spans="1:9" s="3" customFormat="1" x14ac:dyDescent="0.25">
      <c r="A283" s="3" t="s">
        <v>501</v>
      </c>
      <c r="B283" s="3" t="s">
        <v>103</v>
      </c>
      <c r="C283" s="3" t="s">
        <v>104</v>
      </c>
      <c r="G283" s="3" t="s">
        <v>508</v>
      </c>
      <c r="H283" s="3">
        <v>3.9</v>
      </c>
      <c r="I283" s="3">
        <v>6.7</v>
      </c>
    </row>
    <row r="284" spans="1:9" s="3" customFormat="1" x14ac:dyDescent="0.25">
      <c r="A284" s="3" t="s">
        <v>501</v>
      </c>
      <c r="B284" s="3" t="s">
        <v>103</v>
      </c>
      <c r="C284" s="3" t="s">
        <v>104</v>
      </c>
      <c r="G284" s="3" t="s">
        <v>509</v>
      </c>
      <c r="H284" s="3">
        <v>1.5</v>
      </c>
      <c r="I284" s="3">
        <v>2.7</v>
      </c>
    </row>
    <row r="285" spans="1:9" s="3" customFormat="1" x14ac:dyDescent="0.25">
      <c r="A285" s="3" t="s">
        <v>501</v>
      </c>
      <c r="B285" s="3" t="s">
        <v>103</v>
      </c>
      <c r="C285" s="3" t="s">
        <v>104</v>
      </c>
      <c r="G285" s="3" t="s">
        <v>511</v>
      </c>
      <c r="H285" s="3">
        <v>0.8</v>
      </c>
      <c r="I285" s="3">
        <v>1.4</v>
      </c>
    </row>
    <row r="286" spans="1:9" s="3" customFormat="1" x14ac:dyDescent="0.25">
      <c r="A286" s="3" t="s">
        <v>501</v>
      </c>
      <c r="B286" s="3" t="s">
        <v>103</v>
      </c>
      <c r="C286" s="3" t="s">
        <v>104</v>
      </c>
      <c r="G286" s="3" t="s">
        <v>516</v>
      </c>
      <c r="H286" s="3">
        <v>0.8</v>
      </c>
      <c r="I286" s="3">
        <v>1.4</v>
      </c>
    </row>
    <row r="287" spans="1:9" s="3" customFormat="1" x14ac:dyDescent="0.25">
      <c r="A287" s="3" t="s">
        <v>501</v>
      </c>
      <c r="B287" s="3" t="s">
        <v>103</v>
      </c>
      <c r="C287" s="3" t="s">
        <v>104</v>
      </c>
      <c r="G287" s="3" t="s">
        <v>513</v>
      </c>
      <c r="H287" s="3">
        <v>0.8</v>
      </c>
      <c r="I287" s="3">
        <v>1.4</v>
      </c>
    </row>
    <row r="288" spans="1:9" s="3" customFormat="1" x14ac:dyDescent="0.25">
      <c r="A288" s="3" t="s">
        <v>501</v>
      </c>
      <c r="B288" s="3" t="s">
        <v>103</v>
      </c>
      <c r="C288" s="3" t="s">
        <v>104</v>
      </c>
      <c r="G288" s="3" t="s">
        <v>510</v>
      </c>
      <c r="H288" s="3">
        <v>0.6</v>
      </c>
      <c r="I288" s="3">
        <v>1</v>
      </c>
    </row>
    <row r="289" spans="1:9" s="3" customFormat="1" x14ac:dyDescent="0.25">
      <c r="A289" s="3" t="s">
        <v>501</v>
      </c>
      <c r="B289" s="3" t="s">
        <v>103</v>
      </c>
      <c r="C289" s="3" t="s">
        <v>104</v>
      </c>
      <c r="G289" s="3" t="s">
        <v>512</v>
      </c>
      <c r="H289" s="3">
        <v>0.5</v>
      </c>
      <c r="I289" s="3">
        <v>0.9</v>
      </c>
    </row>
    <row r="290" spans="1:9" s="3" customFormat="1" x14ac:dyDescent="0.25">
      <c r="A290" s="3" t="s">
        <v>501</v>
      </c>
      <c r="B290" s="3" t="s">
        <v>103</v>
      </c>
      <c r="C290" s="3" t="s">
        <v>104</v>
      </c>
      <c r="G290" s="3" t="s">
        <v>515</v>
      </c>
      <c r="H290" s="3">
        <v>0.5</v>
      </c>
      <c r="I290" s="3">
        <v>0.9</v>
      </c>
    </row>
    <row r="291" spans="1:9" s="3" customFormat="1" x14ac:dyDescent="0.25">
      <c r="A291" s="3" t="s">
        <v>501</v>
      </c>
      <c r="B291" s="3" t="s">
        <v>103</v>
      </c>
      <c r="C291" s="3" t="s">
        <v>104</v>
      </c>
      <c r="G291" s="3" t="s">
        <v>514</v>
      </c>
      <c r="H291" s="3">
        <v>0.2</v>
      </c>
      <c r="I291" s="3">
        <v>0.4</v>
      </c>
    </row>
    <row r="292" spans="1:9" s="3" customFormat="1" x14ac:dyDescent="0.25">
      <c r="A292" s="3" t="s">
        <v>501</v>
      </c>
      <c r="B292" s="3" t="s">
        <v>103</v>
      </c>
      <c r="C292" s="3" t="s">
        <v>104</v>
      </c>
      <c r="G292" s="3" t="s">
        <v>518</v>
      </c>
      <c r="H292" s="3">
        <v>0.2</v>
      </c>
      <c r="I292" s="3">
        <v>0.4</v>
      </c>
    </row>
    <row r="293" spans="1:9" s="3" customFormat="1" x14ac:dyDescent="0.25">
      <c r="A293" s="3" t="s">
        <v>501</v>
      </c>
      <c r="B293" s="3" t="s">
        <v>103</v>
      </c>
      <c r="C293" s="3" t="s">
        <v>104</v>
      </c>
      <c r="G293" s="3" t="s">
        <v>517</v>
      </c>
      <c r="H293" s="3">
        <v>0.2</v>
      </c>
      <c r="I293" s="3">
        <v>0.3</v>
      </c>
    </row>
    <row r="294" spans="1:9" s="3" customFormat="1" x14ac:dyDescent="0.25">
      <c r="A294" s="3" t="s">
        <v>501</v>
      </c>
      <c r="B294" s="3" t="s">
        <v>103</v>
      </c>
      <c r="C294" s="3" t="s">
        <v>104</v>
      </c>
      <c r="G294" s="3" t="s">
        <v>522</v>
      </c>
      <c r="H294" s="3">
        <v>0.2</v>
      </c>
      <c r="I294" s="3">
        <v>0.3</v>
      </c>
    </row>
    <row r="295" spans="1:9" s="3" customFormat="1" x14ac:dyDescent="0.25">
      <c r="A295" s="3" t="s">
        <v>501</v>
      </c>
      <c r="B295" s="3" t="s">
        <v>103</v>
      </c>
      <c r="C295" s="3" t="s">
        <v>104</v>
      </c>
      <c r="G295" s="3" t="s">
        <v>520</v>
      </c>
      <c r="H295" s="3">
        <v>0.1</v>
      </c>
      <c r="I295" s="3">
        <v>0.3</v>
      </c>
    </row>
    <row r="296" spans="1:9" s="3" customFormat="1" x14ac:dyDescent="0.25">
      <c r="A296" s="3" t="s">
        <v>501</v>
      </c>
      <c r="B296" s="3" t="s">
        <v>103</v>
      </c>
      <c r="C296" s="3" t="s">
        <v>104</v>
      </c>
      <c r="G296" s="3" t="s">
        <v>519</v>
      </c>
      <c r="H296" s="3">
        <v>0.1</v>
      </c>
      <c r="I296" s="3">
        <v>0.2</v>
      </c>
    </row>
    <row r="297" spans="1:9" s="3" customFormat="1" x14ac:dyDescent="0.25">
      <c r="A297" s="3" t="s">
        <v>501</v>
      </c>
      <c r="B297" s="3" t="s">
        <v>103</v>
      </c>
      <c r="C297" s="3" t="s">
        <v>104</v>
      </c>
      <c r="G297" s="3" t="s">
        <v>521</v>
      </c>
      <c r="H297" s="3">
        <v>0.1</v>
      </c>
      <c r="I297" s="3">
        <v>0.2</v>
      </c>
    </row>
    <row r="298" spans="1:9" s="3" customFormat="1" x14ac:dyDescent="0.25">
      <c r="A298" s="3" t="s">
        <v>501</v>
      </c>
      <c r="B298" s="3" t="s">
        <v>103</v>
      </c>
      <c r="C298" s="3" t="s">
        <v>104</v>
      </c>
      <c r="G298" s="3" t="s">
        <v>524</v>
      </c>
      <c r="H298" s="3">
        <v>0</v>
      </c>
      <c r="I298" s="3">
        <v>0.1</v>
      </c>
    </row>
    <row r="299" spans="1:9" s="3" customFormat="1" x14ac:dyDescent="0.25">
      <c r="A299" s="3" t="s">
        <v>501</v>
      </c>
      <c r="B299" s="3" t="s">
        <v>103</v>
      </c>
      <c r="C299" s="3" t="s">
        <v>104</v>
      </c>
      <c r="G299" s="3" t="s">
        <v>523</v>
      </c>
      <c r="H299" s="3">
        <v>0</v>
      </c>
      <c r="I299" s="3">
        <v>0</v>
      </c>
    </row>
    <row r="300" spans="1:9" s="3" customFormat="1" x14ac:dyDescent="0.25">
      <c r="A300" s="3" t="s">
        <v>501</v>
      </c>
      <c r="B300" s="3" t="s">
        <v>103</v>
      </c>
      <c r="C300" s="3" t="s">
        <v>104</v>
      </c>
      <c r="G300" s="3" t="s">
        <v>525</v>
      </c>
      <c r="H300" s="3">
        <v>0</v>
      </c>
      <c r="I300" s="3">
        <v>0</v>
      </c>
    </row>
    <row r="301" spans="1:9" s="3" customFormat="1" x14ac:dyDescent="0.25">
      <c r="A301" s="3" t="s">
        <v>501</v>
      </c>
      <c r="B301" s="3" t="s">
        <v>105</v>
      </c>
      <c r="C301" s="3" t="s">
        <v>106</v>
      </c>
      <c r="D301" s="3">
        <v>304.5</v>
      </c>
      <c r="E301" s="3">
        <v>134.8</v>
      </c>
      <c r="F301" s="3">
        <v>169.8</v>
      </c>
      <c r="G301" s="3" t="s">
        <v>504</v>
      </c>
      <c r="H301" s="3">
        <v>64.3</v>
      </c>
      <c r="I301" s="3">
        <v>37.9</v>
      </c>
    </row>
    <row r="302" spans="1:9" s="3" customFormat="1" x14ac:dyDescent="0.25">
      <c r="A302" s="3" t="s">
        <v>501</v>
      </c>
      <c r="B302" s="3" t="s">
        <v>105</v>
      </c>
      <c r="C302" s="3" t="s">
        <v>106</v>
      </c>
      <c r="G302" s="3" t="s">
        <v>503</v>
      </c>
      <c r="H302" s="3">
        <v>59.4</v>
      </c>
      <c r="I302" s="3">
        <v>35</v>
      </c>
    </row>
    <row r="303" spans="1:9" s="3" customFormat="1" x14ac:dyDescent="0.25">
      <c r="A303" s="3" t="s">
        <v>501</v>
      </c>
      <c r="B303" s="3" t="s">
        <v>105</v>
      </c>
      <c r="C303" s="3" t="s">
        <v>106</v>
      </c>
      <c r="G303" s="3" t="s">
        <v>505</v>
      </c>
      <c r="H303" s="3">
        <v>14.4</v>
      </c>
      <c r="I303" s="3">
        <v>8.5</v>
      </c>
    </row>
    <row r="304" spans="1:9" s="3" customFormat="1" x14ac:dyDescent="0.25">
      <c r="A304" s="3" t="s">
        <v>501</v>
      </c>
      <c r="B304" s="3" t="s">
        <v>105</v>
      </c>
      <c r="C304" s="3" t="s">
        <v>106</v>
      </c>
      <c r="G304" s="3" t="s">
        <v>506</v>
      </c>
      <c r="H304" s="3">
        <v>12.6</v>
      </c>
      <c r="I304" s="3">
        <v>7.4</v>
      </c>
    </row>
    <row r="305" spans="1:9" s="3" customFormat="1" x14ac:dyDescent="0.25">
      <c r="A305" s="3" t="s">
        <v>501</v>
      </c>
      <c r="B305" s="3" t="s">
        <v>105</v>
      </c>
      <c r="C305" s="3" t="s">
        <v>106</v>
      </c>
      <c r="G305" s="3" t="s">
        <v>512</v>
      </c>
      <c r="H305" s="3">
        <v>5.3</v>
      </c>
      <c r="I305" s="3">
        <v>3.1</v>
      </c>
    </row>
    <row r="306" spans="1:9" s="3" customFormat="1" x14ac:dyDescent="0.25">
      <c r="A306" s="3" t="s">
        <v>501</v>
      </c>
      <c r="B306" s="3" t="s">
        <v>105</v>
      </c>
      <c r="C306" s="3" t="s">
        <v>106</v>
      </c>
      <c r="G306" s="3" t="s">
        <v>509</v>
      </c>
      <c r="H306" s="3">
        <v>4.9</v>
      </c>
      <c r="I306" s="3">
        <v>2.9</v>
      </c>
    </row>
    <row r="307" spans="1:9" s="3" customFormat="1" x14ac:dyDescent="0.25">
      <c r="A307" s="3" t="s">
        <v>501</v>
      </c>
      <c r="B307" s="3" t="s">
        <v>105</v>
      </c>
      <c r="C307" s="3" t="s">
        <v>106</v>
      </c>
      <c r="G307" s="3" t="s">
        <v>507</v>
      </c>
      <c r="H307" s="3">
        <v>2.9</v>
      </c>
      <c r="I307" s="3">
        <v>1.7</v>
      </c>
    </row>
    <row r="308" spans="1:9" s="3" customFormat="1" x14ac:dyDescent="0.25">
      <c r="A308" s="3" t="s">
        <v>501</v>
      </c>
      <c r="B308" s="3" t="s">
        <v>105</v>
      </c>
      <c r="C308" s="3" t="s">
        <v>106</v>
      </c>
      <c r="G308" s="3" t="s">
        <v>510</v>
      </c>
      <c r="H308" s="3">
        <v>2</v>
      </c>
      <c r="I308" s="3">
        <v>1.2</v>
      </c>
    </row>
    <row r="309" spans="1:9" s="3" customFormat="1" x14ac:dyDescent="0.25">
      <c r="A309" s="3" t="s">
        <v>501</v>
      </c>
      <c r="B309" s="3" t="s">
        <v>105</v>
      </c>
      <c r="C309" s="3" t="s">
        <v>106</v>
      </c>
      <c r="G309" s="3" t="s">
        <v>515</v>
      </c>
      <c r="H309" s="3">
        <v>0.9</v>
      </c>
      <c r="I309" s="3">
        <v>0.5</v>
      </c>
    </row>
    <row r="310" spans="1:9" s="3" customFormat="1" x14ac:dyDescent="0.25">
      <c r="A310" s="3" t="s">
        <v>501</v>
      </c>
      <c r="B310" s="3" t="s">
        <v>105</v>
      </c>
      <c r="C310" s="3" t="s">
        <v>106</v>
      </c>
      <c r="G310" s="3" t="s">
        <v>508</v>
      </c>
      <c r="H310" s="3">
        <v>0.8</v>
      </c>
      <c r="I310" s="3">
        <v>0.5</v>
      </c>
    </row>
    <row r="311" spans="1:9" s="3" customFormat="1" x14ac:dyDescent="0.25">
      <c r="A311" s="3" t="s">
        <v>501</v>
      </c>
      <c r="B311" s="3" t="s">
        <v>105</v>
      </c>
      <c r="C311" s="3" t="s">
        <v>106</v>
      </c>
      <c r="G311" s="3" t="s">
        <v>513</v>
      </c>
      <c r="H311" s="3">
        <v>0.6</v>
      </c>
      <c r="I311" s="3">
        <v>0.3</v>
      </c>
    </row>
    <row r="312" spans="1:9" s="3" customFormat="1" x14ac:dyDescent="0.25">
      <c r="A312" s="3" t="s">
        <v>501</v>
      </c>
      <c r="B312" s="3" t="s">
        <v>105</v>
      </c>
      <c r="C312" s="3" t="s">
        <v>106</v>
      </c>
      <c r="G312" s="3" t="s">
        <v>522</v>
      </c>
      <c r="H312" s="3">
        <v>0.4</v>
      </c>
      <c r="I312" s="3">
        <v>0.2</v>
      </c>
    </row>
    <row r="313" spans="1:9" s="3" customFormat="1" x14ac:dyDescent="0.25">
      <c r="A313" s="3" t="s">
        <v>501</v>
      </c>
      <c r="B313" s="3" t="s">
        <v>105</v>
      </c>
      <c r="C313" s="3" t="s">
        <v>106</v>
      </c>
      <c r="G313" s="3" t="s">
        <v>511</v>
      </c>
      <c r="H313" s="3">
        <v>0.4</v>
      </c>
      <c r="I313" s="3">
        <v>0.2</v>
      </c>
    </row>
    <row r="314" spans="1:9" s="3" customFormat="1" x14ac:dyDescent="0.25">
      <c r="A314" s="3" t="s">
        <v>501</v>
      </c>
      <c r="B314" s="3" t="s">
        <v>105</v>
      </c>
      <c r="C314" s="3" t="s">
        <v>106</v>
      </c>
      <c r="G314" s="3" t="s">
        <v>518</v>
      </c>
      <c r="H314" s="3">
        <v>0.4</v>
      </c>
      <c r="I314" s="3">
        <v>0.2</v>
      </c>
    </row>
    <row r="315" spans="1:9" s="3" customFormat="1" x14ac:dyDescent="0.25">
      <c r="A315" s="3" t="s">
        <v>501</v>
      </c>
      <c r="B315" s="3" t="s">
        <v>105</v>
      </c>
      <c r="C315" s="3" t="s">
        <v>106</v>
      </c>
      <c r="G315" s="3" t="s">
        <v>516</v>
      </c>
      <c r="H315" s="3">
        <v>0.2</v>
      </c>
      <c r="I315" s="3">
        <v>0.1</v>
      </c>
    </row>
    <row r="316" spans="1:9" s="3" customFormat="1" x14ac:dyDescent="0.25">
      <c r="A316" s="3" t="s">
        <v>501</v>
      </c>
      <c r="B316" s="3" t="s">
        <v>105</v>
      </c>
      <c r="C316" s="3" t="s">
        <v>106</v>
      </c>
      <c r="G316" s="3" t="s">
        <v>514</v>
      </c>
      <c r="H316" s="3">
        <v>0.2</v>
      </c>
      <c r="I316" s="3">
        <v>0.1</v>
      </c>
    </row>
    <row r="317" spans="1:9" s="3" customFormat="1" x14ac:dyDescent="0.25">
      <c r="A317" s="3" t="s">
        <v>501</v>
      </c>
      <c r="B317" s="3" t="s">
        <v>105</v>
      </c>
      <c r="C317" s="3" t="s">
        <v>106</v>
      </c>
      <c r="G317" s="3" t="s">
        <v>517</v>
      </c>
      <c r="H317" s="3">
        <v>0.1</v>
      </c>
      <c r="I317" s="3">
        <v>0</v>
      </c>
    </row>
    <row r="318" spans="1:9" s="3" customFormat="1" x14ac:dyDescent="0.25">
      <c r="A318" s="3" t="s">
        <v>501</v>
      </c>
      <c r="B318" s="3" t="s">
        <v>105</v>
      </c>
      <c r="C318" s="3" t="s">
        <v>106</v>
      </c>
      <c r="G318" s="3" t="s">
        <v>520</v>
      </c>
      <c r="H318" s="3">
        <v>0.1</v>
      </c>
      <c r="I318" s="3">
        <v>0</v>
      </c>
    </row>
    <row r="319" spans="1:9" s="3" customFormat="1" x14ac:dyDescent="0.25">
      <c r="A319" s="3" t="s">
        <v>501</v>
      </c>
      <c r="B319" s="3" t="s">
        <v>105</v>
      </c>
      <c r="C319" s="3" t="s">
        <v>106</v>
      </c>
      <c r="G319" s="3" t="s">
        <v>523</v>
      </c>
      <c r="H319" s="3">
        <v>0</v>
      </c>
      <c r="I319" s="3">
        <v>0</v>
      </c>
    </row>
    <row r="320" spans="1:9" s="3" customFormat="1" x14ac:dyDescent="0.25">
      <c r="A320" s="3" t="s">
        <v>501</v>
      </c>
      <c r="B320" s="3" t="s">
        <v>105</v>
      </c>
      <c r="C320" s="3" t="s">
        <v>106</v>
      </c>
      <c r="G320" s="3" t="s">
        <v>519</v>
      </c>
      <c r="H320" s="3">
        <v>0</v>
      </c>
      <c r="I320" s="3">
        <v>0</v>
      </c>
    </row>
    <row r="321" spans="1:9" s="3" customFormat="1" x14ac:dyDescent="0.25">
      <c r="A321" s="3" t="s">
        <v>501</v>
      </c>
      <c r="B321" s="3" t="s">
        <v>105</v>
      </c>
      <c r="C321" s="3" t="s">
        <v>106</v>
      </c>
      <c r="G321" s="3" t="s">
        <v>524</v>
      </c>
      <c r="H321" s="3">
        <v>0</v>
      </c>
      <c r="I321" s="3">
        <v>0</v>
      </c>
    </row>
    <row r="322" spans="1:9" s="3" customFormat="1" x14ac:dyDescent="0.25">
      <c r="A322" s="3" t="s">
        <v>501</v>
      </c>
      <c r="B322" s="3" t="s">
        <v>105</v>
      </c>
      <c r="C322" s="3" t="s">
        <v>106</v>
      </c>
      <c r="G322" s="3" t="s">
        <v>521</v>
      </c>
      <c r="H322" s="3">
        <v>0</v>
      </c>
      <c r="I322" s="3">
        <v>0</v>
      </c>
    </row>
    <row r="323" spans="1:9" s="3" customFormat="1" x14ac:dyDescent="0.25">
      <c r="A323" s="3" t="s">
        <v>501</v>
      </c>
      <c r="B323" s="3" t="s">
        <v>105</v>
      </c>
      <c r="C323" s="3" t="s">
        <v>106</v>
      </c>
      <c r="G323" s="3" t="s">
        <v>525</v>
      </c>
      <c r="H323" s="3">
        <v>0</v>
      </c>
      <c r="I323" s="3">
        <v>0</v>
      </c>
    </row>
    <row r="324" spans="1:9" s="3" customFormat="1" x14ac:dyDescent="0.25">
      <c r="A324" s="3" t="s">
        <v>501</v>
      </c>
      <c r="B324" s="3" t="s">
        <v>107</v>
      </c>
      <c r="C324" s="3" t="s">
        <v>108</v>
      </c>
      <c r="D324" s="3">
        <v>229.8</v>
      </c>
      <c r="E324" s="3">
        <v>126.5</v>
      </c>
      <c r="F324" s="3">
        <v>103.3</v>
      </c>
      <c r="G324" s="3" t="s">
        <v>504</v>
      </c>
      <c r="H324" s="3">
        <v>55.6</v>
      </c>
      <c r="I324" s="3">
        <v>53.8</v>
      </c>
    </row>
    <row r="325" spans="1:9" s="3" customFormat="1" x14ac:dyDescent="0.25">
      <c r="A325" s="3" t="s">
        <v>501</v>
      </c>
      <c r="B325" s="3" t="s">
        <v>107</v>
      </c>
      <c r="C325" s="3" t="s">
        <v>108</v>
      </c>
      <c r="G325" s="3" t="s">
        <v>503</v>
      </c>
      <c r="H325" s="3">
        <v>18.2</v>
      </c>
      <c r="I325" s="3">
        <v>17.6</v>
      </c>
    </row>
    <row r="326" spans="1:9" s="3" customFormat="1" x14ac:dyDescent="0.25">
      <c r="A326" s="3" t="s">
        <v>501</v>
      </c>
      <c r="B326" s="3" t="s">
        <v>107</v>
      </c>
      <c r="C326" s="3" t="s">
        <v>108</v>
      </c>
      <c r="G326" s="3" t="s">
        <v>506</v>
      </c>
      <c r="H326" s="3">
        <v>6.1</v>
      </c>
      <c r="I326" s="3">
        <v>5.9</v>
      </c>
    </row>
    <row r="327" spans="1:9" s="3" customFormat="1" x14ac:dyDescent="0.25">
      <c r="A327" s="3" t="s">
        <v>501</v>
      </c>
      <c r="B327" s="3" t="s">
        <v>107</v>
      </c>
      <c r="C327" s="3" t="s">
        <v>108</v>
      </c>
      <c r="G327" s="3" t="s">
        <v>508</v>
      </c>
      <c r="H327" s="3">
        <v>4.9</v>
      </c>
      <c r="I327" s="3">
        <v>4.7</v>
      </c>
    </row>
    <row r="328" spans="1:9" s="3" customFormat="1" x14ac:dyDescent="0.25">
      <c r="A328" s="3" t="s">
        <v>501</v>
      </c>
      <c r="B328" s="3" t="s">
        <v>107</v>
      </c>
      <c r="C328" s="3" t="s">
        <v>108</v>
      </c>
      <c r="G328" s="3" t="s">
        <v>509</v>
      </c>
      <c r="H328" s="3">
        <v>3.9</v>
      </c>
      <c r="I328" s="3">
        <v>3.8</v>
      </c>
    </row>
    <row r="329" spans="1:9" s="3" customFormat="1" x14ac:dyDescent="0.25">
      <c r="A329" s="3" t="s">
        <v>501</v>
      </c>
      <c r="B329" s="3" t="s">
        <v>107</v>
      </c>
      <c r="C329" s="3" t="s">
        <v>108</v>
      </c>
      <c r="G329" s="3" t="s">
        <v>505</v>
      </c>
      <c r="H329" s="3">
        <v>3.8</v>
      </c>
      <c r="I329" s="3">
        <v>3.7</v>
      </c>
    </row>
    <row r="330" spans="1:9" s="3" customFormat="1" x14ac:dyDescent="0.25">
      <c r="A330" s="3" t="s">
        <v>501</v>
      </c>
      <c r="B330" s="3" t="s">
        <v>107</v>
      </c>
      <c r="C330" s="3" t="s">
        <v>108</v>
      </c>
      <c r="G330" s="3" t="s">
        <v>510</v>
      </c>
      <c r="H330" s="3">
        <v>2.5</v>
      </c>
      <c r="I330" s="3">
        <v>2.4</v>
      </c>
    </row>
    <row r="331" spans="1:9" s="3" customFormat="1" x14ac:dyDescent="0.25">
      <c r="A331" s="3" t="s">
        <v>501</v>
      </c>
      <c r="B331" s="3" t="s">
        <v>107</v>
      </c>
      <c r="C331" s="3" t="s">
        <v>108</v>
      </c>
      <c r="G331" s="3" t="s">
        <v>512</v>
      </c>
      <c r="H331" s="3">
        <v>1.9</v>
      </c>
      <c r="I331" s="3">
        <v>1.8</v>
      </c>
    </row>
    <row r="332" spans="1:9" s="3" customFormat="1" x14ac:dyDescent="0.25">
      <c r="A332" s="3" t="s">
        <v>501</v>
      </c>
      <c r="B332" s="3" t="s">
        <v>107</v>
      </c>
      <c r="C332" s="3" t="s">
        <v>108</v>
      </c>
      <c r="G332" s="3" t="s">
        <v>511</v>
      </c>
      <c r="H332" s="3">
        <v>1.8</v>
      </c>
      <c r="I332" s="3">
        <v>1.7</v>
      </c>
    </row>
    <row r="333" spans="1:9" s="3" customFormat="1" x14ac:dyDescent="0.25">
      <c r="A333" s="3" t="s">
        <v>501</v>
      </c>
      <c r="B333" s="3" t="s">
        <v>107</v>
      </c>
      <c r="C333" s="3" t="s">
        <v>108</v>
      </c>
      <c r="G333" s="3" t="s">
        <v>507</v>
      </c>
      <c r="H333" s="3">
        <v>1.7</v>
      </c>
      <c r="I333" s="3">
        <v>1.6</v>
      </c>
    </row>
    <row r="334" spans="1:9" s="3" customFormat="1" x14ac:dyDescent="0.25">
      <c r="A334" s="3" t="s">
        <v>501</v>
      </c>
      <c r="B334" s="3" t="s">
        <v>107</v>
      </c>
      <c r="C334" s="3" t="s">
        <v>108</v>
      </c>
      <c r="G334" s="3" t="s">
        <v>516</v>
      </c>
      <c r="H334" s="3">
        <v>1</v>
      </c>
      <c r="I334" s="3">
        <v>1</v>
      </c>
    </row>
    <row r="335" spans="1:9" s="3" customFormat="1" x14ac:dyDescent="0.25">
      <c r="A335" s="3" t="s">
        <v>501</v>
      </c>
      <c r="B335" s="3" t="s">
        <v>107</v>
      </c>
      <c r="C335" s="3" t="s">
        <v>108</v>
      </c>
      <c r="G335" s="3" t="s">
        <v>513</v>
      </c>
      <c r="H335" s="3">
        <v>0.6</v>
      </c>
      <c r="I335" s="3">
        <v>0.6</v>
      </c>
    </row>
    <row r="336" spans="1:9" s="3" customFormat="1" x14ac:dyDescent="0.25">
      <c r="A336" s="3" t="s">
        <v>501</v>
      </c>
      <c r="B336" s="3" t="s">
        <v>107</v>
      </c>
      <c r="C336" s="3" t="s">
        <v>108</v>
      </c>
      <c r="G336" s="3" t="s">
        <v>515</v>
      </c>
      <c r="H336" s="3">
        <v>0.3</v>
      </c>
      <c r="I336" s="3">
        <v>0.3</v>
      </c>
    </row>
    <row r="337" spans="1:9" s="3" customFormat="1" x14ac:dyDescent="0.25">
      <c r="A337" s="3" t="s">
        <v>501</v>
      </c>
      <c r="B337" s="3" t="s">
        <v>107</v>
      </c>
      <c r="C337" s="3" t="s">
        <v>108</v>
      </c>
      <c r="G337" s="3" t="s">
        <v>518</v>
      </c>
      <c r="H337" s="3">
        <v>0.2</v>
      </c>
      <c r="I337" s="3">
        <v>0.2</v>
      </c>
    </row>
    <row r="338" spans="1:9" s="3" customFormat="1" x14ac:dyDescent="0.25">
      <c r="A338" s="3" t="s">
        <v>501</v>
      </c>
      <c r="B338" s="3" t="s">
        <v>107</v>
      </c>
      <c r="C338" s="3" t="s">
        <v>108</v>
      </c>
      <c r="G338" s="3" t="s">
        <v>520</v>
      </c>
      <c r="H338" s="3">
        <v>0.2</v>
      </c>
      <c r="I338" s="3">
        <v>0.2</v>
      </c>
    </row>
    <row r="339" spans="1:9" s="3" customFormat="1" x14ac:dyDescent="0.25">
      <c r="A339" s="3" t="s">
        <v>501</v>
      </c>
      <c r="B339" s="3" t="s">
        <v>107</v>
      </c>
      <c r="C339" s="3" t="s">
        <v>108</v>
      </c>
      <c r="G339" s="3" t="s">
        <v>517</v>
      </c>
      <c r="H339" s="3">
        <v>0.2</v>
      </c>
      <c r="I339" s="3">
        <v>0.2</v>
      </c>
    </row>
    <row r="340" spans="1:9" s="3" customFormat="1" x14ac:dyDescent="0.25">
      <c r="A340" s="3" t="s">
        <v>501</v>
      </c>
      <c r="B340" s="3" t="s">
        <v>107</v>
      </c>
      <c r="C340" s="3" t="s">
        <v>108</v>
      </c>
      <c r="G340" s="3" t="s">
        <v>514</v>
      </c>
      <c r="H340" s="3">
        <v>0.2</v>
      </c>
      <c r="I340" s="3">
        <v>0.1</v>
      </c>
    </row>
    <row r="341" spans="1:9" s="3" customFormat="1" x14ac:dyDescent="0.25">
      <c r="A341" s="3" t="s">
        <v>501</v>
      </c>
      <c r="B341" s="3" t="s">
        <v>107</v>
      </c>
      <c r="C341" s="3" t="s">
        <v>108</v>
      </c>
      <c r="G341" s="3" t="s">
        <v>519</v>
      </c>
      <c r="H341" s="3">
        <v>0.1</v>
      </c>
      <c r="I341" s="3">
        <v>0.1</v>
      </c>
    </row>
    <row r="342" spans="1:9" s="3" customFormat="1" x14ac:dyDescent="0.25">
      <c r="A342" s="3" t="s">
        <v>501</v>
      </c>
      <c r="B342" s="3" t="s">
        <v>107</v>
      </c>
      <c r="C342" s="3" t="s">
        <v>108</v>
      </c>
      <c r="G342" s="3" t="s">
        <v>522</v>
      </c>
      <c r="H342" s="3">
        <v>0.1</v>
      </c>
      <c r="I342" s="3">
        <v>0.1</v>
      </c>
    </row>
    <row r="343" spans="1:9" s="3" customFormat="1" x14ac:dyDescent="0.25">
      <c r="A343" s="3" t="s">
        <v>501</v>
      </c>
      <c r="B343" s="3" t="s">
        <v>107</v>
      </c>
      <c r="C343" s="3" t="s">
        <v>108</v>
      </c>
      <c r="G343" s="3" t="s">
        <v>521</v>
      </c>
      <c r="H343" s="3">
        <v>0</v>
      </c>
      <c r="I343" s="3">
        <v>0</v>
      </c>
    </row>
    <row r="344" spans="1:9" s="3" customFormat="1" x14ac:dyDescent="0.25">
      <c r="A344" s="3" t="s">
        <v>501</v>
      </c>
      <c r="B344" s="3" t="s">
        <v>107</v>
      </c>
      <c r="C344" s="3" t="s">
        <v>108</v>
      </c>
      <c r="G344" s="3" t="s">
        <v>524</v>
      </c>
      <c r="H344" s="3">
        <v>0</v>
      </c>
      <c r="I344" s="3">
        <v>0</v>
      </c>
    </row>
    <row r="345" spans="1:9" s="3" customFormat="1" x14ac:dyDescent="0.25">
      <c r="A345" s="3" t="s">
        <v>501</v>
      </c>
      <c r="B345" s="3" t="s">
        <v>107</v>
      </c>
      <c r="C345" s="3" t="s">
        <v>108</v>
      </c>
      <c r="G345" s="3" t="s">
        <v>523</v>
      </c>
      <c r="H345" s="3">
        <v>0</v>
      </c>
      <c r="I345" s="3">
        <v>0</v>
      </c>
    </row>
    <row r="346" spans="1:9" s="3" customFormat="1" x14ac:dyDescent="0.25">
      <c r="A346" s="3" t="s">
        <v>501</v>
      </c>
      <c r="B346" s="3" t="s">
        <v>107</v>
      </c>
      <c r="C346" s="3" t="s">
        <v>108</v>
      </c>
      <c r="G346" s="3" t="s">
        <v>525</v>
      </c>
      <c r="H346" s="3">
        <v>0</v>
      </c>
      <c r="I346" s="3">
        <v>0</v>
      </c>
    </row>
    <row r="347" spans="1:9" s="3" customFormat="1" x14ac:dyDescent="0.25">
      <c r="A347" s="3" t="s">
        <v>501</v>
      </c>
      <c r="B347" s="3" t="s">
        <v>109</v>
      </c>
      <c r="C347" s="3" t="s">
        <v>110</v>
      </c>
      <c r="D347" s="3">
        <v>322.3</v>
      </c>
      <c r="E347" s="3">
        <v>212.5</v>
      </c>
      <c r="F347" s="3">
        <v>109.8</v>
      </c>
      <c r="G347" s="3" t="s">
        <v>504</v>
      </c>
      <c r="H347" s="3">
        <v>33.8</v>
      </c>
      <c r="I347" s="3">
        <v>30.8</v>
      </c>
    </row>
    <row r="348" spans="1:9" s="3" customFormat="1" x14ac:dyDescent="0.25">
      <c r="A348" s="3" t="s">
        <v>501</v>
      </c>
      <c r="B348" s="3" t="s">
        <v>109</v>
      </c>
      <c r="C348" s="3" t="s">
        <v>110</v>
      </c>
      <c r="G348" s="3" t="s">
        <v>503</v>
      </c>
      <c r="H348" s="3">
        <v>15.1</v>
      </c>
      <c r="I348" s="3">
        <v>13.7</v>
      </c>
    </row>
    <row r="349" spans="1:9" s="3" customFormat="1" x14ac:dyDescent="0.25">
      <c r="A349" s="3" t="s">
        <v>501</v>
      </c>
      <c r="B349" s="3" t="s">
        <v>109</v>
      </c>
      <c r="C349" s="3" t="s">
        <v>110</v>
      </c>
      <c r="G349" s="3" t="s">
        <v>505</v>
      </c>
      <c r="H349" s="3">
        <v>13.9</v>
      </c>
      <c r="I349" s="3">
        <v>12.7</v>
      </c>
    </row>
    <row r="350" spans="1:9" s="3" customFormat="1" x14ac:dyDescent="0.25">
      <c r="A350" s="3" t="s">
        <v>501</v>
      </c>
      <c r="B350" s="3" t="s">
        <v>109</v>
      </c>
      <c r="C350" s="3" t="s">
        <v>110</v>
      </c>
      <c r="G350" s="3" t="s">
        <v>506</v>
      </c>
      <c r="H350" s="3">
        <v>12.5</v>
      </c>
      <c r="I350" s="3">
        <v>11.4</v>
      </c>
    </row>
    <row r="351" spans="1:9" s="3" customFormat="1" x14ac:dyDescent="0.25">
      <c r="A351" s="3" t="s">
        <v>501</v>
      </c>
      <c r="B351" s="3" t="s">
        <v>109</v>
      </c>
      <c r="C351" s="3" t="s">
        <v>110</v>
      </c>
      <c r="G351" s="3" t="s">
        <v>507</v>
      </c>
      <c r="H351" s="3">
        <v>7.7</v>
      </c>
      <c r="I351" s="3">
        <v>7</v>
      </c>
    </row>
    <row r="352" spans="1:9" s="3" customFormat="1" x14ac:dyDescent="0.25">
      <c r="A352" s="3" t="s">
        <v>501</v>
      </c>
      <c r="B352" s="3" t="s">
        <v>109</v>
      </c>
      <c r="C352" s="3" t="s">
        <v>110</v>
      </c>
      <c r="G352" s="3" t="s">
        <v>510</v>
      </c>
      <c r="H352" s="3">
        <v>6.1</v>
      </c>
      <c r="I352" s="3">
        <v>5.6</v>
      </c>
    </row>
    <row r="353" spans="1:9" s="3" customFormat="1" x14ac:dyDescent="0.25">
      <c r="A353" s="3" t="s">
        <v>501</v>
      </c>
      <c r="B353" s="3" t="s">
        <v>109</v>
      </c>
      <c r="C353" s="3" t="s">
        <v>110</v>
      </c>
      <c r="G353" s="3" t="s">
        <v>509</v>
      </c>
      <c r="H353" s="3">
        <v>6</v>
      </c>
      <c r="I353" s="3">
        <v>5.5</v>
      </c>
    </row>
    <row r="354" spans="1:9" s="3" customFormat="1" x14ac:dyDescent="0.25">
      <c r="A354" s="3" t="s">
        <v>501</v>
      </c>
      <c r="B354" s="3" t="s">
        <v>109</v>
      </c>
      <c r="C354" s="3" t="s">
        <v>110</v>
      </c>
      <c r="G354" s="3" t="s">
        <v>508</v>
      </c>
      <c r="H354" s="3">
        <v>2.9</v>
      </c>
      <c r="I354" s="3">
        <v>2.7</v>
      </c>
    </row>
    <row r="355" spans="1:9" s="3" customFormat="1" x14ac:dyDescent="0.25">
      <c r="A355" s="3" t="s">
        <v>501</v>
      </c>
      <c r="B355" s="3" t="s">
        <v>109</v>
      </c>
      <c r="C355" s="3" t="s">
        <v>110</v>
      </c>
      <c r="G355" s="3" t="s">
        <v>511</v>
      </c>
      <c r="H355" s="3">
        <v>2.8</v>
      </c>
      <c r="I355" s="3">
        <v>2.6</v>
      </c>
    </row>
    <row r="356" spans="1:9" s="3" customFormat="1" x14ac:dyDescent="0.25">
      <c r="A356" s="3" t="s">
        <v>501</v>
      </c>
      <c r="B356" s="3" t="s">
        <v>109</v>
      </c>
      <c r="C356" s="3" t="s">
        <v>110</v>
      </c>
      <c r="G356" s="3" t="s">
        <v>512</v>
      </c>
      <c r="H356" s="3">
        <v>2.3</v>
      </c>
      <c r="I356" s="3">
        <v>2.1</v>
      </c>
    </row>
    <row r="357" spans="1:9" s="3" customFormat="1" x14ac:dyDescent="0.25">
      <c r="A357" s="3" t="s">
        <v>501</v>
      </c>
      <c r="B357" s="3" t="s">
        <v>109</v>
      </c>
      <c r="C357" s="3" t="s">
        <v>110</v>
      </c>
      <c r="G357" s="3" t="s">
        <v>520</v>
      </c>
      <c r="H357" s="3">
        <v>2.2</v>
      </c>
      <c r="I357" s="3">
        <v>2</v>
      </c>
    </row>
    <row r="358" spans="1:9" s="3" customFormat="1" x14ac:dyDescent="0.25">
      <c r="A358" s="3" t="s">
        <v>501</v>
      </c>
      <c r="B358" s="3" t="s">
        <v>109</v>
      </c>
      <c r="C358" s="3" t="s">
        <v>110</v>
      </c>
      <c r="G358" s="3" t="s">
        <v>513</v>
      </c>
      <c r="H358" s="3">
        <v>1.3</v>
      </c>
      <c r="I358" s="3">
        <v>1.2</v>
      </c>
    </row>
    <row r="359" spans="1:9" s="3" customFormat="1" x14ac:dyDescent="0.25">
      <c r="A359" s="3" t="s">
        <v>501</v>
      </c>
      <c r="B359" s="3" t="s">
        <v>109</v>
      </c>
      <c r="C359" s="3" t="s">
        <v>110</v>
      </c>
      <c r="G359" s="3" t="s">
        <v>515</v>
      </c>
      <c r="H359" s="3">
        <v>0.9</v>
      </c>
      <c r="I359" s="3">
        <v>0.8</v>
      </c>
    </row>
    <row r="360" spans="1:9" s="3" customFormat="1" x14ac:dyDescent="0.25">
      <c r="A360" s="3" t="s">
        <v>501</v>
      </c>
      <c r="B360" s="3" t="s">
        <v>109</v>
      </c>
      <c r="C360" s="3" t="s">
        <v>110</v>
      </c>
      <c r="G360" s="3" t="s">
        <v>516</v>
      </c>
      <c r="H360" s="3">
        <v>0.5</v>
      </c>
      <c r="I360" s="3">
        <v>0.4</v>
      </c>
    </row>
    <row r="361" spans="1:9" s="3" customFormat="1" x14ac:dyDescent="0.25">
      <c r="A361" s="3" t="s">
        <v>501</v>
      </c>
      <c r="B361" s="3" t="s">
        <v>109</v>
      </c>
      <c r="C361" s="3" t="s">
        <v>110</v>
      </c>
      <c r="G361" s="3" t="s">
        <v>521</v>
      </c>
      <c r="H361" s="3">
        <v>0.5</v>
      </c>
      <c r="I361" s="3">
        <v>0.4</v>
      </c>
    </row>
    <row r="362" spans="1:9" s="3" customFormat="1" x14ac:dyDescent="0.25">
      <c r="A362" s="3" t="s">
        <v>501</v>
      </c>
      <c r="B362" s="3" t="s">
        <v>109</v>
      </c>
      <c r="C362" s="3" t="s">
        <v>110</v>
      </c>
      <c r="G362" s="3" t="s">
        <v>517</v>
      </c>
      <c r="H362" s="3">
        <v>0.4</v>
      </c>
      <c r="I362" s="3">
        <v>0.3</v>
      </c>
    </row>
    <row r="363" spans="1:9" s="3" customFormat="1" x14ac:dyDescent="0.25">
      <c r="A363" s="3" t="s">
        <v>501</v>
      </c>
      <c r="B363" s="3" t="s">
        <v>109</v>
      </c>
      <c r="C363" s="3" t="s">
        <v>110</v>
      </c>
      <c r="G363" s="3" t="s">
        <v>518</v>
      </c>
      <c r="H363" s="3">
        <v>0.3</v>
      </c>
      <c r="I363" s="3">
        <v>0.2</v>
      </c>
    </row>
    <row r="364" spans="1:9" s="3" customFormat="1" x14ac:dyDescent="0.25">
      <c r="A364" s="3" t="s">
        <v>501</v>
      </c>
      <c r="B364" s="3" t="s">
        <v>109</v>
      </c>
      <c r="C364" s="3" t="s">
        <v>110</v>
      </c>
      <c r="G364" s="3" t="s">
        <v>522</v>
      </c>
      <c r="H364" s="3">
        <v>0.2</v>
      </c>
      <c r="I364" s="3">
        <v>0.2</v>
      </c>
    </row>
    <row r="365" spans="1:9" s="3" customFormat="1" x14ac:dyDescent="0.25">
      <c r="A365" s="3" t="s">
        <v>501</v>
      </c>
      <c r="B365" s="3" t="s">
        <v>109</v>
      </c>
      <c r="C365" s="3" t="s">
        <v>110</v>
      </c>
      <c r="G365" s="3" t="s">
        <v>514</v>
      </c>
      <c r="H365" s="3">
        <v>0.1</v>
      </c>
      <c r="I365" s="3">
        <v>0.1</v>
      </c>
    </row>
    <row r="366" spans="1:9" s="3" customFormat="1" x14ac:dyDescent="0.25">
      <c r="A366" s="3" t="s">
        <v>501</v>
      </c>
      <c r="B366" s="3" t="s">
        <v>109</v>
      </c>
      <c r="C366" s="3" t="s">
        <v>110</v>
      </c>
      <c r="G366" s="3" t="s">
        <v>519</v>
      </c>
      <c r="H366" s="3">
        <v>0.1</v>
      </c>
      <c r="I366" s="3">
        <v>0.1</v>
      </c>
    </row>
    <row r="367" spans="1:9" s="3" customFormat="1" x14ac:dyDescent="0.25">
      <c r="A367" s="3" t="s">
        <v>501</v>
      </c>
      <c r="B367" s="3" t="s">
        <v>109</v>
      </c>
      <c r="C367" s="3" t="s">
        <v>110</v>
      </c>
      <c r="G367" s="3" t="s">
        <v>523</v>
      </c>
      <c r="H367" s="3">
        <v>0</v>
      </c>
      <c r="I367" s="3">
        <v>0</v>
      </c>
    </row>
    <row r="368" spans="1:9" s="3" customFormat="1" x14ac:dyDescent="0.25">
      <c r="A368" s="3" t="s">
        <v>501</v>
      </c>
      <c r="B368" s="3" t="s">
        <v>109</v>
      </c>
      <c r="C368" s="3" t="s">
        <v>110</v>
      </c>
      <c r="G368" s="3" t="s">
        <v>525</v>
      </c>
      <c r="H368" s="3">
        <v>0</v>
      </c>
      <c r="I368" s="3">
        <v>0</v>
      </c>
    </row>
    <row r="369" spans="1:9" s="3" customFormat="1" x14ac:dyDescent="0.25">
      <c r="A369" s="3" t="s">
        <v>501</v>
      </c>
      <c r="B369" s="3" t="s">
        <v>109</v>
      </c>
      <c r="C369" s="3" t="s">
        <v>110</v>
      </c>
      <c r="G369" s="3" t="s">
        <v>524</v>
      </c>
      <c r="H369" s="3">
        <v>0</v>
      </c>
      <c r="I369" s="3">
        <v>0</v>
      </c>
    </row>
    <row r="370" spans="1:9" s="3" customFormat="1" x14ac:dyDescent="0.25">
      <c r="A370" s="3" t="s">
        <v>501</v>
      </c>
      <c r="B370" s="3" t="s">
        <v>111</v>
      </c>
      <c r="C370" s="3" t="s">
        <v>112</v>
      </c>
      <c r="D370" s="3">
        <v>454.4</v>
      </c>
      <c r="E370" s="3">
        <v>341.1</v>
      </c>
      <c r="F370" s="3">
        <v>113.2</v>
      </c>
      <c r="G370" s="3" t="s">
        <v>503</v>
      </c>
      <c r="H370" s="3">
        <v>22.2</v>
      </c>
      <c r="I370" s="3">
        <v>19.6</v>
      </c>
    </row>
    <row r="371" spans="1:9" s="3" customFormat="1" x14ac:dyDescent="0.25">
      <c r="A371" s="3" t="s">
        <v>501</v>
      </c>
      <c r="B371" s="3" t="s">
        <v>111</v>
      </c>
      <c r="C371" s="3" t="s">
        <v>112</v>
      </c>
      <c r="G371" s="3" t="s">
        <v>507</v>
      </c>
      <c r="H371" s="3">
        <v>18.8</v>
      </c>
      <c r="I371" s="3">
        <v>16.6</v>
      </c>
    </row>
    <row r="372" spans="1:9" s="3" customFormat="1" x14ac:dyDescent="0.25">
      <c r="A372" s="3" t="s">
        <v>501</v>
      </c>
      <c r="B372" s="3" t="s">
        <v>111</v>
      </c>
      <c r="C372" s="3" t="s">
        <v>112</v>
      </c>
      <c r="G372" s="3" t="s">
        <v>508</v>
      </c>
      <c r="H372" s="3">
        <v>13.8</v>
      </c>
      <c r="I372" s="3">
        <v>12.2</v>
      </c>
    </row>
    <row r="373" spans="1:9" s="3" customFormat="1" x14ac:dyDescent="0.25">
      <c r="A373" s="3" t="s">
        <v>501</v>
      </c>
      <c r="B373" s="3" t="s">
        <v>111</v>
      </c>
      <c r="C373" s="3" t="s">
        <v>112</v>
      </c>
      <c r="G373" s="3" t="s">
        <v>504</v>
      </c>
      <c r="H373" s="3">
        <v>12.6</v>
      </c>
      <c r="I373" s="3">
        <v>11.1</v>
      </c>
    </row>
    <row r="374" spans="1:9" s="3" customFormat="1" x14ac:dyDescent="0.25">
      <c r="A374" s="3" t="s">
        <v>501</v>
      </c>
      <c r="B374" s="3" t="s">
        <v>111</v>
      </c>
      <c r="C374" s="3" t="s">
        <v>112</v>
      </c>
      <c r="G374" s="3" t="s">
        <v>509</v>
      </c>
      <c r="H374" s="3">
        <v>10.3</v>
      </c>
      <c r="I374" s="3">
        <v>9.1</v>
      </c>
    </row>
    <row r="375" spans="1:9" s="3" customFormat="1" x14ac:dyDescent="0.25">
      <c r="A375" s="3" t="s">
        <v>501</v>
      </c>
      <c r="B375" s="3" t="s">
        <v>111</v>
      </c>
      <c r="C375" s="3" t="s">
        <v>112</v>
      </c>
      <c r="G375" s="3" t="s">
        <v>510</v>
      </c>
      <c r="H375" s="3">
        <v>10.2</v>
      </c>
      <c r="I375" s="3">
        <v>9</v>
      </c>
    </row>
    <row r="376" spans="1:9" s="3" customFormat="1" x14ac:dyDescent="0.25">
      <c r="A376" s="3" t="s">
        <v>501</v>
      </c>
      <c r="B376" s="3" t="s">
        <v>111</v>
      </c>
      <c r="C376" s="3" t="s">
        <v>112</v>
      </c>
      <c r="G376" s="3" t="s">
        <v>512</v>
      </c>
      <c r="H376" s="3">
        <v>9.1</v>
      </c>
      <c r="I376" s="3">
        <v>8.1</v>
      </c>
    </row>
    <row r="377" spans="1:9" s="3" customFormat="1" x14ac:dyDescent="0.25">
      <c r="A377" s="3" t="s">
        <v>501</v>
      </c>
      <c r="B377" s="3" t="s">
        <v>111</v>
      </c>
      <c r="C377" s="3" t="s">
        <v>112</v>
      </c>
      <c r="G377" s="3" t="s">
        <v>505</v>
      </c>
      <c r="H377" s="3">
        <v>6.5</v>
      </c>
      <c r="I377" s="3">
        <v>5.8</v>
      </c>
    </row>
    <row r="378" spans="1:9" s="3" customFormat="1" x14ac:dyDescent="0.25">
      <c r="A378" s="3" t="s">
        <v>501</v>
      </c>
      <c r="B378" s="3" t="s">
        <v>111</v>
      </c>
      <c r="C378" s="3" t="s">
        <v>112</v>
      </c>
      <c r="G378" s="3" t="s">
        <v>516</v>
      </c>
      <c r="H378" s="3">
        <v>2.3</v>
      </c>
      <c r="I378" s="3">
        <v>2</v>
      </c>
    </row>
    <row r="379" spans="1:9" s="3" customFormat="1" x14ac:dyDescent="0.25">
      <c r="A379" s="3" t="s">
        <v>501</v>
      </c>
      <c r="B379" s="3" t="s">
        <v>111</v>
      </c>
      <c r="C379" s="3" t="s">
        <v>112</v>
      </c>
      <c r="G379" s="3" t="s">
        <v>521</v>
      </c>
      <c r="H379" s="3">
        <v>1.7</v>
      </c>
      <c r="I379" s="3">
        <v>1.5</v>
      </c>
    </row>
    <row r="380" spans="1:9" s="3" customFormat="1" x14ac:dyDescent="0.25">
      <c r="A380" s="3" t="s">
        <v>501</v>
      </c>
      <c r="B380" s="3" t="s">
        <v>111</v>
      </c>
      <c r="C380" s="3" t="s">
        <v>112</v>
      </c>
      <c r="G380" s="3" t="s">
        <v>511</v>
      </c>
      <c r="H380" s="3">
        <v>1.6</v>
      </c>
      <c r="I380" s="3">
        <v>1.4</v>
      </c>
    </row>
    <row r="381" spans="1:9" s="3" customFormat="1" x14ac:dyDescent="0.25">
      <c r="A381" s="3" t="s">
        <v>501</v>
      </c>
      <c r="B381" s="3" t="s">
        <v>111</v>
      </c>
      <c r="C381" s="3" t="s">
        <v>112</v>
      </c>
      <c r="G381" s="3" t="s">
        <v>506</v>
      </c>
      <c r="H381" s="3">
        <v>1.4</v>
      </c>
      <c r="I381" s="3">
        <v>1.2</v>
      </c>
    </row>
    <row r="382" spans="1:9" s="3" customFormat="1" x14ac:dyDescent="0.25">
      <c r="A382" s="3" t="s">
        <v>501</v>
      </c>
      <c r="B382" s="3" t="s">
        <v>111</v>
      </c>
      <c r="C382" s="3" t="s">
        <v>112</v>
      </c>
      <c r="G382" s="3" t="s">
        <v>520</v>
      </c>
      <c r="H382" s="3">
        <v>0.7</v>
      </c>
      <c r="I382" s="3">
        <v>0.6</v>
      </c>
    </row>
    <row r="383" spans="1:9" s="3" customFormat="1" x14ac:dyDescent="0.25">
      <c r="A383" s="3" t="s">
        <v>501</v>
      </c>
      <c r="B383" s="3" t="s">
        <v>111</v>
      </c>
      <c r="C383" s="3" t="s">
        <v>112</v>
      </c>
      <c r="G383" s="3" t="s">
        <v>517</v>
      </c>
      <c r="H383" s="3">
        <v>0.5</v>
      </c>
      <c r="I383" s="3">
        <v>0.5</v>
      </c>
    </row>
    <row r="384" spans="1:9" s="3" customFormat="1" x14ac:dyDescent="0.25">
      <c r="A384" s="3" t="s">
        <v>501</v>
      </c>
      <c r="B384" s="3" t="s">
        <v>111</v>
      </c>
      <c r="C384" s="3" t="s">
        <v>112</v>
      </c>
      <c r="G384" s="3" t="s">
        <v>515</v>
      </c>
      <c r="H384" s="3">
        <v>0.4</v>
      </c>
      <c r="I384" s="3">
        <v>0.3</v>
      </c>
    </row>
    <row r="385" spans="1:9" s="3" customFormat="1" x14ac:dyDescent="0.25">
      <c r="A385" s="3" t="s">
        <v>501</v>
      </c>
      <c r="B385" s="3" t="s">
        <v>111</v>
      </c>
      <c r="C385" s="3" t="s">
        <v>112</v>
      </c>
      <c r="G385" s="3" t="s">
        <v>513</v>
      </c>
      <c r="H385" s="3">
        <v>0.4</v>
      </c>
      <c r="I385" s="3">
        <v>0.3</v>
      </c>
    </row>
    <row r="386" spans="1:9" s="3" customFormat="1" x14ac:dyDescent="0.25">
      <c r="A386" s="3" t="s">
        <v>501</v>
      </c>
      <c r="B386" s="3" t="s">
        <v>111</v>
      </c>
      <c r="C386" s="3" t="s">
        <v>112</v>
      </c>
      <c r="G386" s="3" t="s">
        <v>522</v>
      </c>
      <c r="H386" s="3">
        <v>0.2</v>
      </c>
      <c r="I386" s="3">
        <v>0.2</v>
      </c>
    </row>
    <row r="387" spans="1:9" s="3" customFormat="1" x14ac:dyDescent="0.25">
      <c r="A387" s="3" t="s">
        <v>501</v>
      </c>
      <c r="B387" s="3" t="s">
        <v>111</v>
      </c>
      <c r="C387" s="3" t="s">
        <v>112</v>
      </c>
      <c r="G387" s="3" t="s">
        <v>514</v>
      </c>
      <c r="H387" s="3">
        <v>0.2</v>
      </c>
      <c r="I387" s="3">
        <v>0.2</v>
      </c>
    </row>
    <row r="388" spans="1:9" s="3" customFormat="1" x14ac:dyDescent="0.25">
      <c r="A388" s="3" t="s">
        <v>501</v>
      </c>
      <c r="B388" s="3" t="s">
        <v>111</v>
      </c>
      <c r="C388" s="3" t="s">
        <v>112</v>
      </c>
      <c r="G388" s="3" t="s">
        <v>523</v>
      </c>
      <c r="H388" s="3">
        <v>0.1</v>
      </c>
      <c r="I388" s="3">
        <v>0.1</v>
      </c>
    </row>
    <row r="389" spans="1:9" s="3" customFormat="1" x14ac:dyDescent="0.25">
      <c r="A389" s="3" t="s">
        <v>501</v>
      </c>
      <c r="B389" s="3" t="s">
        <v>111</v>
      </c>
      <c r="C389" s="3" t="s">
        <v>112</v>
      </c>
      <c r="G389" s="3" t="s">
        <v>518</v>
      </c>
      <c r="H389" s="3">
        <v>0.1</v>
      </c>
      <c r="I389" s="3">
        <v>0.1</v>
      </c>
    </row>
    <row r="390" spans="1:9" s="3" customFormat="1" x14ac:dyDescent="0.25">
      <c r="A390" s="3" t="s">
        <v>501</v>
      </c>
      <c r="B390" s="3" t="s">
        <v>111</v>
      </c>
      <c r="C390" s="3" t="s">
        <v>112</v>
      </c>
      <c r="G390" s="3" t="s">
        <v>524</v>
      </c>
      <c r="H390" s="3">
        <v>0</v>
      </c>
      <c r="I390" s="3">
        <v>0</v>
      </c>
    </row>
    <row r="391" spans="1:9" s="3" customFormat="1" x14ac:dyDescent="0.25">
      <c r="A391" s="3" t="s">
        <v>501</v>
      </c>
      <c r="B391" s="3" t="s">
        <v>111</v>
      </c>
      <c r="C391" s="3" t="s">
        <v>112</v>
      </c>
      <c r="G391" s="3" t="s">
        <v>525</v>
      </c>
      <c r="H391" s="3">
        <v>0</v>
      </c>
      <c r="I391" s="3">
        <v>0</v>
      </c>
    </row>
    <row r="392" spans="1:9" s="3" customFormat="1" x14ac:dyDescent="0.25">
      <c r="A392" s="3" t="s">
        <v>501</v>
      </c>
      <c r="B392" s="3" t="s">
        <v>111</v>
      </c>
      <c r="C392" s="3" t="s">
        <v>112</v>
      </c>
      <c r="G392" s="3" t="s">
        <v>519</v>
      </c>
      <c r="H392" s="3">
        <v>0</v>
      </c>
      <c r="I392" s="3">
        <v>0</v>
      </c>
    </row>
    <row r="393" spans="1:9" s="3" customFormat="1" x14ac:dyDescent="0.25">
      <c r="A393" s="3" t="s">
        <v>501</v>
      </c>
      <c r="B393" s="3" t="s">
        <v>113</v>
      </c>
      <c r="C393" s="3" t="s">
        <v>114</v>
      </c>
      <c r="D393" s="3">
        <v>133.4</v>
      </c>
      <c r="E393" s="3">
        <v>59.1</v>
      </c>
      <c r="F393" s="3">
        <v>74.3</v>
      </c>
      <c r="G393" s="3" t="s">
        <v>505</v>
      </c>
      <c r="H393" s="3">
        <v>18.4</v>
      </c>
      <c r="I393" s="3">
        <v>24.8</v>
      </c>
    </row>
    <row r="394" spans="1:9" s="3" customFormat="1" x14ac:dyDescent="0.25">
      <c r="A394" s="3" t="s">
        <v>501</v>
      </c>
      <c r="B394" s="3" t="s">
        <v>113</v>
      </c>
      <c r="C394" s="3" t="s">
        <v>114</v>
      </c>
      <c r="G394" s="3" t="s">
        <v>504</v>
      </c>
      <c r="H394" s="3">
        <v>13.5</v>
      </c>
      <c r="I394" s="3">
        <v>18.1</v>
      </c>
    </row>
    <row r="395" spans="1:9" s="3" customFormat="1" x14ac:dyDescent="0.25">
      <c r="A395" s="3" t="s">
        <v>501</v>
      </c>
      <c r="B395" s="3" t="s">
        <v>113</v>
      </c>
      <c r="C395" s="3" t="s">
        <v>114</v>
      </c>
      <c r="G395" s="3" t="s">
        <v>503</v>
      </c>
      <c r="H395" s="3">
        <v>12.8</v>
      </c>
      <c r="I395" s="3">
        <v>17.3</v>
      </c>
    </row>
    <row r="396" spans="1:9" s="3" customFormat="1" x14ac:dyDescent="0.25">
      <c r="A396" s="3" t="s">
        <v>501</v>
      </c>
      <c r="B396" s="3" t="s">
        <v>113</v>
      </c>
      <c r="C396" s="3" t="s">
        <v>114</v>
      </c>
      <c r="G396" s="3" t="s">
        <v>509</v>
      </c>
      <c r="H396" s="3">
        <v>7.7</v>
      </c>
      <c r="I396" s="3">
        <v>10.4</v>
      </c>
    </row>
    <row r="397" spans="1:9" s="3" customFormat="1" x14ac:dyDescent="0.25">
      <c r="A397" s="3" t="s">
        <v>501</v>
      </c>
      <c r="B397" s="3" t="s">
        <v>113</v>
      </c>
      <c r="C397" s="3" t="s">
        <v>114</v>
      </c>
      <c r="G397" s="3" t="s">
        <v>507</v>
      </c>
      <c r="H397" s="3">
        <v>7</v>
      </c>
      <c r="I397" s="3">
        <v>9.4</v>
      </c>
    </row>
    <row r="398" spans="1:9" s="3" customFormat="1" x14ac:dyDescent="0.25">
      <c r="A398" s="3" t="s">
        <v>501</v>
      </c>
      <c r="B398" s="3" t="s">
        <v>113</v>
      </c>
      <c r="C398" s="3" t="s">
        <v>114</v>
      </c>
      <c r="G398" s="3" t="s">
        <v>510</v>
      </c>
      <c r="H398" s="3">
        <v>3.6</v>
      </c>
      <c r="I398" s="3">
        <v>4.8</v>
      </c>
    </row>
    <row r="399" spans="1:9" s="3" customFormat="1" x14ac:dyDescent="0.25">
      <c r="A399" s="3" t="s">
        <v>501</v>
      </c>
      <c r="B399" s="3" t="s">
        <v>113</v>
      </c>
      <c r="C399" s="3" t="s">
        <v>114</v>
      </c>
      <c r="G399" s="3" t="s">
        <v>508</v>
      </c>
      <c r="H399" s="3">
        <v>2.4</v>
      </c>
      <c r="I399" s="3">
        <v>3.2</v>
      </c>
    </row>
    <row r="400" spans="1:9" s="3" customFormat="1" x14ac:dyDescent="0.25">
      <c r="A400" s="3" t="s">
        <v>501</v>
      </c>
      <c r="B400" s="3" t="s">
        <v>113</v>
      </c>
      <c r="C400" s="3" t="s">
        <v>114</v>
      </c>
      <c r="G400" s="3" t="s">
        <v>515</v>
      </c>
      <c r="H400" s="3">
        <v>2.3</v>
      </c>
      <c r="I400" s="3">
        <v>3.2</v>
      </c>
    </row>
    <row r="401" spans="1:9" s="3" customFormat="1" x14ac:dyDescent="0.25">
      <c r="A401" s="3" t="s">
        <v>501</v>
      </c>
      <c r="B401" s="3" t="s">
        <v>113</v>
      </c>
      <c r="C401" s="3" t="s">
        <v>114</v>
      </c>
      <c r="G401" s="3" t="s">
        <v>506</v>
      </c>
      <c r="H401" s="3">
        <v>2.2</v>
      </c>
      <c r="I401" s="3">
        <v>3</v>
      </c>
    </row>
    <row r="402" spans="1:9" s="3" customFormat="1" x14ac:dyDescent="0.25">
      <c r="A402" s="3" t="s">
        <v>501</v>
      </c>
      <c r="B402" s="3" t="s">
        <v>113</v>
      </c>
      <c r="C402" s="3" t="s">
        <v>114</v>
      </c>
      <c r="G402" s="3" t="s">
        <v>511</v>
      </c>
      <c r="H402" s="3">
        <v>1.3</v>
      </c>
      <c r="I402" s="3">
        <v>1.8</v>
      </c>
    </row>
    <row r="403" spans="1:9" s="3" customFormat="1" x14ac:dyDescent="0.25">
      <c r="A403" s="3" t="s">
        <v>501</v>
      </c>
      <c r="B403" s="3" t="s">
        <v>113</v>
      </c>
      <c r="C403" s="3" t="s">
        <v>114</v>
      </c>
      <c r="G403" s="3" t="s">
        <v>512</v>
      </c>
      <c r="H403" s="3">
        <v>1.3</v>
      </c>
      <c r="I403" s="3">
        <v>1.7</v>
      </c>
    </row>
    <row r="404" spans="1:9" s="3" customFormat="1" x14ac:dyDescent="0.25">
      <c r="A404" s="3" t="s">
        <v>501</v>
      </c>
      <c r="B404" s="3" t="s">
        <v>113</v>
      </c>
      <c r="C404" s="3" t="s">
        <v>114</v>
      </c>
      <c r="G404" s="3" t="s">
        <v>513</v>
      </c>
      <c r="H404" s="3">
        <v>0.8</v>
      </c>
      <c r="I404" s="3">
        <v>1.1</v>
      </c>
    </row>
    <row r="405" spans="1:9" s="3" customFormat="1" x14ac:dyDescent="0.25">
      <c r="A405" s="3" t="s">
        <v>501</v>
      </c>
      <c r="B405" s="3" t="s">
        <v>113</v>
      </c>
      <c r="C405" s="3" t="s">
        <v>114</v>
      </c>
      <c r="G405" s="3" t="s">
        <v>514</v>
      </c>
      <c r="H405" s="3">
        <v>0.6</v>
      </c>
      <c r="I405" s="3">
        <v>0.8</v>
      </c>
    </row>
    <row r="406" spans="1:9" s="3" customFormat="1" x14ac:dyDescent="0.25">
      <c r="A406" s="3" t="s">
        <v>501</v>
      </c>
      <c r="B406" s="3" t="s">
        <v>113</v>
      </c>
      <c r="C406" s="3" t="s">
        <v>114</v>
      </c>
      <c r="G406" s="3" t="s">
        <v>522</v>
      </c>
      <c r="H406" s="3">
        <v>0.5</v>
      </c>
      <c r="I406" s="3">
        <v>0.6</v>
      </c>
    </row>
    <row r="407" spans="1:9" s="3" customFormat="1" x14ac:dyDescent="0.25">
      <c r="A407" s="3" t="s">
        <v>501</v>
      </c>
      <c r="B407" s="3" t="s">
        <v>113</v>
      </c>
      <c r="C407" s="3" t="s">
        <v>114</v>
      </c>
      <c r="G407" s="3" t="s">
        <v>517</v>
      </c>
      <c r="H407" s="3">
        <v>0.3</v>
      </c>
      <c r="I407" s="3">
        <v>0.3</v>
      </c>
    </row>
    <row r="408" spans="1:9" s="3" customFormat="1" x14ac:dyDescent="0.25">
      <c r="A408" s="3" t="s">
        <v>501</v>
      </c>
      <c r="B408" s="3" t="s">
        <v>113</v>
      </c>
      <c r="C408" s="3" t="s">
        <v>114</v>
      </c>
      <c r="G408" s="3" t="s">
        <v>518</v>
      </c>
      <c r="H408" s="3">
        <v>0.1</v>
      </c>
      <c r="I408" s="3">
        <v>0.2</v>
      </c>
    </row>
    <row r="409" spans="1:9" s="3" customFormat="1" x14ac:dyDescent="0.25">
      <c r="A409" s="3" t="s">
        <v>501</v>
      </c>
      <c r="B409" s="3" t="s">
        <v>113</v>
      </c>
      <c r="C409" s="3" t="s">
        <v>114</v>
      </c>
      <c r="G409" s="3" t="s">
        <v>516</v>
      </c>
      <c r="H409" s="3">
        <v>0.1</v>
      </c>
      <c r="I409" s="3">
        <v>0.1</v>
      </c>
    </row>
    <row r="410" spans="1:9" s="3" customFormat="1" x14ac:dyDescent="0.25">
      <c r="A410" s="3" t="s">
        <v>501</v>
      </c>
      <c r="B410" s="3" t="s">
        <v>113</v>
      </c>
      <c r="C410" s="3" t="s">
        <v>114</v>
      </c>
      <c r="G410" s="3" t="s">
        <v>521</v>
      </c>
      <c r="H410" s="3">
        <v>0</v>
      </c>
      <c r="I410" s="3">
        <v>0</v>
      </c>
    </row>
    <row r="411" spans="1:9" s="3" customFormat="1" x14ac:dyDescent="0.25">
      <c r="A411" s="3" t="s">
        <v>501</v>
      </c>
      <c r="B411" s="3" t="s">
        <v>113</v>
      </c>
      <c r="C411" s="3" t="s">
        <v>114</v>
      </c>
      <c r="G411" s="3" t="s">
        <v>520</v>
      </c>
      <c r="H411" s="3">
        <v>0</v>
      </c>
      <c r="I411" s="3">
        <v>0</v>
      </c>
    </row>
    <row r="412" spans="1:9" s="3" customFormat="1" x14ac:dyDescent="0.25">
      <c r="A412" s="3" t="s">
        <v>501</v>
      </c>
      <c r="B412" s="3" t="s">
        <v>113</v>
      </c>
      <c r="C412" s="3" t="s">
        <v>114</v>
      </c>
      <c r="G412" s="3" t="s">
        <v>523</v>
      </c>
      <c r="H412" s="3">
        <v>0</v>
      </c>
      <c r="I412" s="3">
        <v>0</v>
      </c>
    </row>
    <row r="413" spans="1:9" s="3" customFormat="1" x14ac:dyDescent="0.25">
      <c r="A413" s="3" t="s">
        <v>501</v>
      </c>
      <c r="B413" s="3" t="s">
        <v>113</v>
      </c>
      <c r="C413" s="3" t="s">
        <v>114</v>
      </c>
      <c r="G413" s="3" t="s">
        <v>525</v>
      </c>
      <c r="H413" s="3">
        <v>0</v>
      </c>
      <c r="I413" s="3">
        <v>0</v>
      </c>
    </row>
    <row r="414" spans="1:9" s="3" customFormat="1" x14ac:dyDescent="0.25">
      <c r="A414" s="3" t="s">
        <v>501</v>
      </c>
      <c r="B414" s="3" t="s">
        <v>113</v>
      </c>
      <c r="C414" s="3" t="s">
        <v>114</v>
      </c>
      <c r="G414" s="3" t="s">
        <v>524</v>
      </c>
      <c r="H414" s="3">
        <v>0</v>
      </c>
      <c r="I414" s="3">
        <v>0</v>
      </c>
    </row>
    <row r="415" spans="1:9" s="3" customFormat="1" x14ac:dyDescent="0.25">
      <c r="A415" s="3" t="s">
        <v>501</v>
      </c>
      <c r="B415" s="3" t="s">
        <v>113</v>
      </c>
      <c r="C415" s="3" t="s">
        <v>114</v>
      </c>
      <c r="G415" s="3" t="s">
        <v>519</v>
      </c>
      <c r="H415" s="3">
        <v>-0.6</v>
      </c>
      <c r="I415" s="3">
        <v>-0.9</v>
      </c>
    </row>
    <row r="416" spans="1:9" s="3" customFormat="1" x14ac:dyDescent="0.25">
      <c r="A416" s="3" t="s">
        <v>501</v>
      </c>
      <c r="B416" s="3" t="s">
        <v>530</v>
      </c>
      <c r="C416" s="3" t="s">
        <v>531</v>
      </c>
      <c r="D416" s="3">
        <v>131.4</v>
      </c>
      <c r="E416" s="3">
        <v>65.4</v>
      </c>
      <c r="F416" s="3">
        <v>66</v>
      </c>
      <c r="G416" s="3" t="s">
        <v>504</v>
      </c>
      <c r="H416" s="3">
        <v>24.9</v>
      </c>
      <c r="I416" s="3">
        <v>37.6</v>
      </c>
    </row>
    <row r="417" spans="1:9" s="3" customFormat="1" x14ac:dyDescent="0.25">
      <c r="A417" s="3" t="s">
        <v>501</v>
      </c>
      <c r="B417" s="3" t="s">
        <v>530</v>
      </c>
      <c r="C417" s="3" t="s">
        <v>531</v>
      </c>
      <c r="G417" s="3" t="s">
        <v>503</v>
      </c>
      <c r="H417" s="3">
        <v>12.4</v>
      </c>
      <c r="I417" s="3">
        <v>18.8</v>
      </c>
    </row>
    <row r="418" spans="1:9" s="3" customFormat="1" x14ac:dyDescent="0.25">
      <c r="A418" s="3" t="s">
        <v>501</v>
      </c>
      <c r="B418" s="3" t="s">
        <v>530</v>
      </c>
      <c r="C418" s="3" t="s">
        <v>531</v>
      </c>
      <c r="G418" s="3" t="s">
        <v>505</v>
      </c>
      <c r="H418" s="3">
        <v>7.4</v>
      </c>
      <c r="I418" s="3">
        <v>11.2</v>
      </c>
    </row>
    <row r="419" spans="1:9" s="3" customFormat="1" x14ac:dyDescent="0.25">
      <c r="A419" s="3" t="s">
        <v>501</v>
      </c>
      <c r="B419" s="3" t="s">
        <v>530</v>
      </c>
      <c r="C419" s="3" t="s">
        <v>531</v>
      </c>
      <c r="G419" s="3" t="s">
        <v>510</v>
      </c>
      <c r="H419" s="3">
        <v>5.7</v>
      </c>
      <c r="I419" s="3">
        <v>8.6</v>
      </c>
    </row>
    <row r="420" spans="1:9" s="3" customFormat="1" x14ac:dyDescent="0.25">
      <c r="A420" s="3" t="s">
        <v>501</v>
      </c>
      <c r="B420" s="3" t="s">
        <v>530</v>
      </c>
      <c r="C420" s="3" t="s">
        <v>531</v>
      </c>
      <c r="G420" s="3" t="s">
        <v>506</v>
      </c>
      <c r="H420" s="3">
        <v>3.4</v>
      </c>
      <c r="I420" s="3">
        <v>5.2</v>
      </c>
    </row>
    <row r="421" spans="1:9" s="3" customFormat="1" x14ac:dyDescent="0.25">
      <c r="A421" s="3" t="s">
        <v>501</v>
      </c>
      <c r="B421" s="3" t="s">
        <v>530</v>
      </c>
      <c r="C421" s="3" t="s">
        <v>531</v>
      </c>
      <c r="G421" s="3" t="s">
        <v>507</v>
      </c>
      <c r="H421" s="3">
        <v>3.2</v>
      </c>
      <c r="I421" s="3">
        <v>4.8</v>
      </c>
    </row>
    <row r="422" spans="1:9" s="3" customFormat="1" x14ac:dyDescent="0.25">
      <c r="A422" s="3" t="s">
        <v>501</v>
      </c>
      <c r="B422" s="3" t="s">
        <v>530</v>
      </c>
      <c r="C422" s="3" t="s">
        <v>531</v>
      </c>
      <c r="G422" s="3" t="s">
        <v>512</v>
      </c>
      <c r="H422" s="3">
        <v>2.3</v>
      </c>
      <c r="I422" s="3">
        <v>3.4</v>
      </c>
    </row>
    <row r="423" spans="1:9" s="3" customFormat="1" x14ac:dyDescent="0.25">
      <c r="A423" s="3" t="s">
        <v>501</v>
      </c>
      <c r="B423" s="3" t="s">
        <v>530</v>
      </c>
      <c r="C423" s="3" t="s">
        <v>531</v>
      </c>
      <c r="G423" s="3" t="s">
        <v>511</v>
      </c>
      <c r="H423" s="3">
        <v>2.2</v>
      </c>
      <c r="I423" s="3">
        <v>3.3</v>
      </c>
    </row>
    <row r="424" spans="1:9" s="3" customFormat="1" x14ac:dyDescent="0.25">
      <c r="A424" s="3" t="s">
        <v>501</v>
      </c>
      <c r="B424" s="3" t="s">
        <v>530</v>
      </c>
      <c r="C424" s="3" t="s">
        <v>531</v>
      </c>
      <c r="G424" s="3" t="s">
        <v>508</v>
      </c>
      <c r="H424" s="3">
        <v>1.4</v>
      </c>
      <c r="I424" s="3">
        <v>2.1</v>
      </c>
    </row>
    <row r="425" spans="1:9" s="3" customFormat="1" x14ac:dyDescent="0.25">
      <c r="A425" s="3" t="s">
        <v>501</v>
      </c>
      <c r="B425" s="3" t="s">
        <v>530</v>
      </c>
      <c r="C425" s="3" t="s">
        <v>531</v>
      </c>
      <c r="G425" s="3" t="s">
        <v>515</v>
      </c>
      <c r="H425" s="3">
        <v>0.7</v>
      </c>
      <c r="I425" s="3">
        <v>1</v>
      </c>
    </row>
    <row r="426" spans="1:9" s="3" customFormat="1" x14ac:dyDescent="0.25">
      <c r="A426" s="3" t="s">
        <v>501</v>
      </c>
      <c r="B426" s="3" t="s">
        <v>530</v>
      </c>
      <c r="C426" s="3" t="s">
        <v>531</v>
      </c>
      <c r="G426" s="3" t="s">
        <v>518</v>
      </c>
      <c r="H426" s="3">
        <v>0.6</v>
      </c>
      <c r="I426" s="3">
        <v>1</v>
      </c>
    </row>
    <row r="427" spans="1:9" s="3" customFormat="1" x14ac:dyDescent="0.25">
      <c r="A427" s="3" t="s">
        <v>501</v>
      </c>
      <c r="B427" s="3" t="s">
        <v>530</v>
      </c>
      <c r="C427" s="3" t="s">
        <v>531</v>
      </c>
      <c r="G427" s="3" t="s">
        <v>516</v>
      </c>
      <c r="H427" s="3">
        <v>0.5</v>
      </c>
      <c r="I427" s="3">
        <v>0.7</v>
      </c>
    </row>
    <row r="428" spans="1:9" s="3" customFormat="1" x14ac:dyDescent="0.25">
      <c r="A428" s="3" t="s">
        <v>501</v>
      </c>
      <c r="B428" s="3" t="s">
        <v>530</v>
      </c>
      <c r="C428" s="3" t="s">
        <v>531</v>
      </c>
      <c r="G428" s="3" t="s">
        <v>509</v>
      </c>
      <c r="H428" s="3">
        <v>0.4</v>
      </c>
      <c r="I428" s="3">
        <v>0.6</v>
      </c>
    </row>
    <row r="429" spans="1:9" s="3" customFormat="1" x14ac:dyDescent="0.25">
      <c r="A429" s="3" t="s">
        <v>501</v>
      </c>
      <c r="B429" s="3" t="s">
        <v>530</v>
      </c>
      <c r="C429" s="3" t="s">
        <v>531</v>
      </c>
      <c r="G429" s="3" t="s">
        <v>513</v>
      </c>
      <c r="H429" s="3">
        <v>0.3</v>
      </c>
      <c r="I429" s="3">
        <v>0.5</v>
      </c>
    </row>
    <row r="430" spans="1:9" s="3" customFormat="1" x14ac:dyDescent="0.25">
      <c r="A430" s="3" t="s">
        <v>501</v>
      </c>
      <c r="B430" s="3" t="s">
        <v>530</v>
      </c>
      <c r="C430" s="3" t="s">
        <v>531</v>
      </c>
      <c r="G430" s="3" t="s">
        <v>522</v>
      </c>
      <c r="H430" s="3">
        <v>0.2</v>
      </c>
      <c r="I430" s="3">
        <v>0.2</v>
      </c>
    </row>
    <row r="431" spans="1:9" s="3" customFormat="1" x14ac:dyDescent="0.25">
      <c r="A431" s="3" t="s">
        <v>501</v>
      </c>
      <c r="B431" s="3" t="s">
        <v>530</v>
      </c>
      <c r="C431" s="3" t="s">
        <v>531</v>
      </c>
      <c r="G431" s="3" t="s">
        <v>520</v>
      </c>
      <c r="H431" s="3">
        <v>0.2</v>
      </c>
      <c r="I431" s="3">
        <v>0.2</v>
      </c>
    </row>
    <row r="432" spans="1:9" s="3" customFormat="1" x14ac:dyDescent="0.25">
      <c r="A432" s="3" t="s">
        <v>501</v>
      </c>
      <c r="B432" s="3" t="s">
        <v>530</v>
      </c>
      <c r="C432" s="3" t="s">
        <v>531</v>
      </c>
      <c r="G432" s="3" t="s">
        <v>517</v>
      </c>
      <c r="H432" s="3">
        <v>0.1</v>
      </c>
      <c r="I432" s="3">
        <v>0.2</v>
      </c>
    </row>
    <row r="433" spans="1:9" s="3" customFormat="1" x14ac:dyDescent="0.25">
      <c r="A433" s="3" t="s">
        <v>501</v>
      </c>
      <c r="B433" s="3" t="s">
        <v>530</v>
      </c>
      <c r="C433" s="3" t="s">
        <v>531</v>
      </c>
      <c r="G433" s="3" t="s">
        <v>521</v>
      </c>
      <c r="H433" s="3">
        <v>0.1</v>
      </c>
      <c r="I433" s="3">
        <v>0.1</v>
      </c>
    </row>
    <row r="434" spans="1:9" s="3" customFormat="1" x14ac:dyDescent="0.25">
      <c r="A434" s="3" t="s">
        <v>501</v>
      </c>
      <c r="B434" s="3" t="s">
        <v>530</v>
      </c>
      <c r="C434" s="3" t="s">
        <v>531</v>
      </c>
      <c r="G434" s="3" t="s">
        <v>514</v>
      </c>
      <c r="H434" s="3">
        <v>0.1</v>
      </c>
      <c r="I434" s="3">
        <v>0.1</v>
      </c>
    </row>
    <row r="435" spans="1:9" s="3" customFormat="1" x14ac:dyDescent="0.25">
      <c r="A435" s="3" t="s">
        <v>501</v>
      </c>
      <c r="B435" s="3" t="s">
        <v>530</v>
      </c>
      <c r="C435" s="3" t="s">
        <v>531</v>
      </c>
      <c r="G435" s="3" t="s">
        <v>519</v>
      </c>
      <c r="H435" s="3">
        <v>0.1</v>
      </c>
      <c r="I435" s="3">
        <v>0.1</v>
      </c>
    </row>
    <row r="436" spans="1:9" s="3" customFormat="1" x14ac:dyDescent="0.25">
      <c r="A436" s="3" t="s">
        <v>501</v>
      </c>
      <c r="B436" s="3" t="s">
        <v>530</v>
      </c>
      <c r="C436" s="3" t="s">
        <v>531</v>
      </c>
      <c r="G436" s="3" t="s">
        <v>524</v>
      </c>
      <c r="H436" s="3">
        <v>0</v>
      </c>
      <c r="I436" s="3">
        <v>0</v>
      </c>
    </row>
    <row r="437" spans="1:9" s="3" customFormat="1" x14ac:dyDescent="0.25">
      <c r="A437" s="3" t="s">
        <v>501</v>
      </c>
      <c r="B437" s="3" t="s">
        <v>530</v>
      </c>
      <c r="C437" s="3" t="s">
        <v>531</v>
      </c>
      <c r="G437" s="3" t="s">
        <v>523</v>
      </c>
      <c r="H437" s="3">
        <v>0</v>
      </c>
      <c r="I437" s="3">
        <v>0</v>
      </c>
    </row>
    <row r="438" spans="1:9" s="3" customFormat="1" x14ac:dyDescent="0.25">
      <c r="A438" s="3" t="s">
        <v>501</v>
      </c>
      <c r="B438" s="3" t="s">
        <v>530</v>
      </c>
      <c r="C438" s="3" t="s">
        <v>531</v>
      </c>
      <c r="G438" s="3" t="s">
        <v>525</v>
      </c>
      <c r="H438" s="3">
        <v>0</v>
      </c>
      <c r="I438" s="3">
        <v>0</v>
      </c>
    </row>
    <row r="439" spans="1:9" s="3" customFormat="1" x14ac:dyDescent="0.25">
      <c r="A439" s="3" t="s">
        <v>501</v>
      </c>
      <c r="B439" s="3" t="s">
        <v>119</v>
      </c>
      <c r="C439" s="3" t="s">
        <v>120</v>
      </c>
      <c r="D439" s="3">
        <v>32.6</v>
      </c>
      <c r="E439" s="3">
        <v>16.3</v>
      </c>
      <c r="F439" s="3">
        <v>16.3</v>
      </c>
      <c r="G439" s="3" t="s">
        <v>503</v>
      </c>
      <c r="H439" s="3">
        <v>8.5</v>
      </c>
      <c r="I439" s="3">
        <v>52</v>
      </c>
    </row>
    <row r="440" spans="1:9" s="3" customFormat="1" x14ac:dyDescent="0.25">
      <c r="A440" s="3" t="s">
        <v>501</v>
      </c>
      <c r="B440" s="3" t="s">
        <v>119</v>
      </c>
      <c r="C440" s="3" t="s">
        <v>120</v>
      </c>
      <c r="G440" s="3" t="s">
        <v>507</v>
      </c>
      <c r="H440" s="3">
        <v>2.2</v>
      </c>
      <c r="I440" s="3">
        <v>13.2</v>
      </c>
    </row>
    <row r="441" spans="1:9" s="3" customFormat="1" x14ac:dyDescent="0.25">
      <c r="A441" s="3" t="s">
        <v>501</v>
      </c>
      <c r="B441" s="3" t="s">
        <v>119</v>
      </c>
      <c r="C441" s="3" t="s">
        <v>120</v>
      </c>
      <c r="G441" s="3" t="s">
        <v>511</v>
      </c>
      <c r="H441" s="3">
        <v>1.8</v>
      </c>
      <c r="I441" s="3">
        <v>11</v>
      </c>
    </row>
    <row r="442" spans="1:9" s="3" customFormat="1" x14ac:dyDescent="0.25">
      <c r="A442" s="3" t="s">
        <v>501</v>
      </c>
      <c r="B442" s="3" t="s">
        <v>119</v>
      </c>
      <c r="C442" s="3" t="s">
        <v>120</v>
      </c>
      <c r="G442" s="3" t="s">
        <v>508</v>
      </c>
      <c r="H442" s="3">
        <v>0.9</v>
      </c>
      <c r="I442" s="3">
        <v>5.3</v>
      </c>
    </row>
    <row r="443" spans="1:9" s="3" customFormat="1" x14ac:dyDescent="0.25">
      <c r="A443" s="3" t="s">
        <v>501</v>
      </c>
      <c r="B443" s="3" t="s">
        <v>119</v>
      </c>
      <c r="C443" s="3" t="s">
        <v>120</v>
      </c>
      <c r="G443" s="3" t="s">
        <v>513</v>
      </c>
      <c r="H443" s="3">
        <v>0.8</v>
      </c>
      <c r="I443" s="3">
        <v>4.8</v>
      </c>
    </row>
    <row r="444" spans="1:9" s="3" customFormat="1" x14ac:dyDescent="0.25">
      <c r="A444" s="3" t="s">
        <v>501</v>
      </c>
      <c r="B444" s="3" t="s">
        <v>119</v>
      </c>
      <c r="C444" s="3" t="s">
        <v>120</v>
      </c>
      <c r="G444" s="3" t="s">
        <v>522</v>
      </c>
      <c r="H444" s="3">
        <v>0.7</v>
      </c>
      <c r="I444" s="3">
        <v>4.1</v>
      </c>
    </row>
    <row r="445" spans="1:9" s="3" customFormat="1" x14ac:dyDescent="0.25">
      <c r="A445" s="3" t="s">
        <v>501</v>
      </c>
      <c r="B445" s="3" t="s">
        <v>119</v>
      </c>
      <c r="C445" s="3" t="s">
        <v>120</v>
      </c>
      <c r="G445" s="3" t="s">
        <v>517</v>
      </c>
      <c r="H445" s="3">
        <v>0.4</v>
      </c>
      <c r="I445" s="3">
        <v>2.4</v>
      </c>
    </row>
    <row r="446" spans="1:9" s="3" customFormat="1" x14ac:dyDescent="0.25">
      <c r="A446" s="3" t="s">
        <v>501</v>
      </c>
      <c r="B446" s="3" t="s">
        <v>119</v>
      </c>
      <c r="C446" s="3" t="s">
        <v>120</v>
      </c>
      <c r="G446" s="3" t="s">
        <v>504</v>
      </c>
      <c r="H446" s="3">
        <v>0.2</v>
      </c>
      <c r="I446" s="3">
        <v>1.5</v>
      </c>
    </row>
    <row r="447" spans="1:9" s="3" customFormat="1" x14ac:dyDescent="0.25">
      <c r="A447" s="3" t="s">
        <v>501</v>
      </c>
      <c r="B447" s="3" t="s">
        <v>119</v>
      </c>
      <c r="C447" s="3" t="s">
        <v>120</v>
      </c>
      <c r="G447" s="3" t="s">
        <v>518</v>
      </c>
      <c r="H447" s="3">
        <v>0.2</v>
      </c>
      <c r="I447" s="3">
        <v>1.3</v>
      </c>
    </row>
    <row r="448" spans="1:9" s="3" customFormat="1" x14ac:dyDescent="0.25">
      <c r="A448" s="3" t="s">
        <v>501</v>
      </c>
      <c r="B448" s="3" t="s">
        <v>119</v>
      </c>
      <c r="C448" s="3" t="s">
        <v>120</v>
      </c>
      <c r="G448" s="3" t="s">
        <v>514</v>
      </c>
      <c r="H448" s="3">
        <v>0.2</v>
      </c>
      <c r="I448" s="3">
        <v>1.2</v>
      </c>
    </row>
    <row r="449" spans="1:9" s="3" customFormat="1" x14ac:dyDescent="0.25">
      <c r="A449" s="3" t="s">
        <v>501</v>
      </c>
      <c r="B449" s="3" t="s">
        <v>119</v>
      </c>
      <c r="C449" s="3" t="s">
        <v>120</v>
      </c>
      <c r="G449" s="3" t="s">
        <v>506</v>
      </c>
      <c r="H449" s="3">
        <v>0.2</v>
      </c>
      <c r="I449" s="3">
        <v>0.9</v>
      </c>
    </row>
    <row r="450" spans="1:9" s="3" customFormat="1" x14ac:dyDescent="0.25">
      <c r="A450" s="3" t="s">
        <v>501</v>
      </c>
      <c r="B450" s="3" t="s">
        <v>119</v>
      </c>
      <c r="C450" s="3" t="s">
        <v>120</v>
      </c>
      <c r="G450" s="3" t="s">
        <v>505</v>
      </c>
      <c r="H450" s="3">
        <v>0.1</v>
      </c>
      <c r="I450" s="3">
        <v>0.8</v>
      </c>
    </row>
    <row r="451" spans="1:9" s="3" customFormat="1" x14ac:dyDescent="0.25">
      <c r="A451" s="3" t="s">
        <v>501</v>
      </c>
      <c r="B451" s="3" t="s">
        <v>119</v>
      </c>
      <c r="C451" s="3" t="s">
        <v>120</v>
      </c>
      <c r="G451" s="3" t="s">
        <v>509</v>
      </c>
      <c r="H451" s="3">
        <v>0.1</v>
      </c>
      <c r="I451" s="3">
        <v>0.6</v>
      </c>
    </row>
    <row r="452" spans="1:9" s="3" customFormat="1" x14ac:dyDescent="0.25">
      <c r="A452" s="3" t="s">
        <v>501</v>
      </c>
      <c r="B452" s="3" t="s">
        <v>119</v>
      </c>
      <c r="C452" s="3" t="s">
        <v>120</v>
      </c>
      <c r="G452" s="3" t="s">
        <v>516</v>
      </c>
      <c r="H452" s="3">
        <v>0.1</v>
      </c>
      <c r="I452" s="3">
        <v>0.5</v>
      </c>
    </row>
    <row r="453" spans="1:9" s="3" customFormat="1" x14ac:dyDescent="0.25">
      <c r="A453" s="3" t="s">
        <v>501</v>
      </c>
      <c r="B453" s="3" t="s">
        <v>119</v>
      </c>
      <c r="C453" s="3" t="s">
        <v>120</v>
      </c>
      <c r="G453" s="3" t="s">
        <v>523</v>
      </c>
      <c r="H453" s="3">
        <v>0</v>
      </c>
      <c r="I453" s="3">
        <v>0.1</v>
      </c>
    </row>
    <row r="454" spans="1:9" s="3" customFormat="1" x14ac:dyDescent="0.25">
      <c r="A454" s="3" t="s">
        <v>501</v>
      </c>
      <c r="B454" s="3" t="s">
        <v>119</v>
      </c>
      <c r="C454" s="3" t="s">
        <v>120</v>
      </c>
      <c r="G454" s="3" t="s">
        <v>512</v>
      </c>
      <c r="H454" s="3">
        <v>0</v>
      </c>
      <c r="I454" s="3">
        <v>0.1</v>
      </c>
    </row>
    <row r="455" spans="1:9" s="3" customFormat="1" x14ac:dyDescent="0.25">
      <c r="A455" s="3" t="s">
        <v>501</v>
      </c>
      <c r="B455" s="3" t="s">
        <v>119</v>
      </c>
      <c r="C455" s="3" t="s">
        <v>120</v>
      </c>
      <c r="G455" s="3" t="s">
        <v>525</v>
      </c>
      <c r="H455" s="3">
        <v>0</v>
      </c>
      <c r="I455" s="3">
        <v>0</v>
      </c>
    </row>
    <row r="456" spans="1:9" s="3" customFormat="1" x14ac:dyDescent="0.25">
      <c r="A456" s="3" t="s">
        <v>501</v>
      </c>
      <c r="B456" s="3" t="s">
        <v>119</v>
      </c>
      <c r="C456" s="3" t="s">
        <v>120</v>
      </c>
      <c r="G456" s="3" t="s">
        <v>520</v>
      </c>
      <c r="H456" s="3">
        <v>0</v>
      </c>
      <c r="I456" s="3">
        <v>0</v>
      </c>
    </row>
    <row r="457" spans="1:9" s="3" customFormat="1" x14ac:dyDescent="0.25">
      <c r="A457" s="3" t="s">
        <v>501</v>
      </c>
      <c r="B457" s="3" t="s">
        <v>119</v>
      </c>
      <c r="C457" s="3" t="s">
        <v>120</v>
      </c>
      <c r="G457" s="3" t="s">
        <v>519</v>
      </c>
      <c r="H457" s="3">
        <v>0</v>
      </c>
      <c r="I457" s="3">
        <v>0</v>
      </c>
    </row>
    <row r="458" spans="1:9" s="3" customFormat="1" x14ac:dyDescent="0.25">
      <c r="A458" s="3" t="s">
        <v>501</v>
      </c>
      <c r="B458" s="3" t="s">
        <v>119</v>
      </c>
      <c r="C458" s="3" t="s">
        <v>120</v>
      </c>
      <c r="G458" s="3" t="s">
        <v>524</v>
      </c>
      <c r="H458" s="3">
        <v>0</v>
      </c>
      <c r="I458" s="3">
        <v>0</v>
      </c>
    </row>
    <row r="459" spans="1:9" s="3" customFormat="1" x14ac:dyDescent="0.25">
      <c r="A459" s="3" t="s">
        <v>501</v>
      </c>
      <c r="B459" s="3" t="s">
        <v>119</v>
      </c>
      <c r="C459" s="3" t="s">
        <v>120</v>
      </c>
      <c r="G459" s="3" t="s">
        <v>521</v>
      </c>
      <c r="H459" s="3">
        <v>0</v>
      </c>
      <c r="I459" s="3">
        <v>0</v>
      </c>
    </row>
    <row r="460" spans="1:9" s="3" customFormat="1" x14ac:dyDescent="0.25">
      <c r="A460" s="3" t="s">
        <v>501</v>
      </c>
      <c r="B460" s="3" t="s">
        <v>119</v>
      </c>
      <c r="C460" s="3" t="s">
        <v>120</v>
      </c>
      <c r="G460" s="3" t="s">
        <v>515</v>
      </c>
      <c r="H460" s="3">
        <v>0</v>
      </c>
      <c r="I460" s="3">
        <v>0</v>
      </c>
    </row>
    <row r="461" spans="1:9" s="3" customFormat="1" x14ac:dyDescent="0.25">
      <c r="A461" s="3" t="s">
        <v>501</v>
      </c>
      <c r="B461" s="3" t="s">
        <v>119</v>
      </c>
      <c r="C461" s="3" t="s">
        <v>120</v>
      </c>
      <c r="G461" s="3" t="s">
        <v>510</v>
      </c>
      <c r="H461" s="3">
        <v>0</v>
      </c>
      <c r="I461" s="3">
        <v>0</v>
      </c>
    </row>
    <row r="462" spans="1:9" s="3" customFormat="1" x14ac:dyDescent="0.25">
      <c r="A462" s="3" t="s">
        <v>532</v>
      </c>
      <c r="B462" s="3" t="s">
        <v>284</v>
      </c>
      <c r="C462" s="3" t="s">
        <v>502</v>
      </c>
      <c r="D462" s="3">
        <v>4214.2</v>
      </c>
      <c r="E462" s="3">
        <v>2172.8</v>
      </c>
      <c r="F462" s="3">
        <v>2041.4</v>
      </c>
      <c r="G462" s="3" t="s">
        <v>503</v>
      </c>
      <c r="H462" s="3">
        <v>528.3</v>
      </c>
      <c r="I462" s="3">
        <v>25.9</v>
      </c>
    </row>
    <row r="463" spans="1:9" s="3" customFormat="1" x14ac:dyDescent="0.25">
      <c r="A463" s="3" t="s">
        <v>532</v>
      </c>
      <c r="B463" s="3" t="s">
        <v>284</v>
      </c>
      <c r="C463" s="3" t="s">
        <v>502</v>
      </c>
      <c r="G463" s="3" t="s">
        <v>505</v>
      </c>
      <c r="H463" s="3">
        <v>371.7</v>
      </c>
      <c r="I463" s="3">
        <v>18.2</v>
      </c>
    </row>
    <row r="464" spans="1:9" s="3" customFormat="1" x14ac:dyDescent="0.25">
      <c r="A464" s="3" t="s">
        <v>532</v>
      </c>
      <c r="B464" s="3" t="s">
        <v>284</v>
      </c>
      <c r="C464" s="3" t="s">
        <v>502</v>
      </c>
      <c r="G464" s="3" t="s">
        <v>504</v>
      </c>
      <c r="H464" s="3">
        <v>276.8</v>
      </c>
      <c r="I464" s="3">
        <v>13.6</v>
      </c>
    </row>
    <row r="465" spans="1:9" s="3" customFormat="1" x14ac:dyDescent="0.25">
      <c r="A465" s="3" t="s">
        <v>532</v>
      </c>
      <c r="B465" s="3" t="s">
        <v>284</v>
      </c>
      <c r="C465" s="3" t="s">
        <v>502</v>
      </c>
      <c r="G465" s="3" t="s">
        <v>507</v>
      </c>
      <c r="H465" s="3">
        <v>214</v>
      </c>
      <c r="I465" s="3">
        <v>10.5</v>
      </c>
    </row>
    <row r="466" spans="1:9" s="3" customFormat="1" x14ac:dyDescent="0.25">
      <c r="A466" s="3" t="s">
        <v>532</v>
      </c>
      <c r="B466" s="3" t="s">
        <v>284</v>
      </c>
      <c r="C466" s="3" t="s">
        <v>502</v>
      </c>
      <c r="G466" s="3" t="s">
        <v>506</v>
      </c>
      <c r="H466" s="3">
        <v>120.5</v>
      </c>
      <c r="I466" s="3">
        <v>5.9</v>
      </c>
    </row>
    <row r="467" spans="1:9" s="3" customFormat="1" x14ac:dyDescent="0.25">
      <c r="A467" s="3" t="s">
        <v>532</v>
      </c>
      <c r="B467" s="3" t="s">
        <v>284</v>
      </c>
      <c r="C467" s="3" t="s">
        <v>502</v>
      </c>
      <c r="G467" s="3" t="s">
        <v>508</v>
      </c>
      <c r="H467" s="3">
        <v>80.5</v>
      </c>
      <c r="I467" s="3">
        <v>3.9</v>
      </c>
    </row>
    <row r="468" spans="1:9" s="3" customFormat="1" x14ac:dyDescent="0.25">
      <c r="A468" s="3" t="s">
        <v>532</v>
      </c>
      <c r="B468" s="3" t="s">
        <v>284</v>
      </c>
      <c r="C468" s="3" t="s">
        <v>502</v>
      </c>
      <c r="G468" s="3" t="s">
        <v>510</v>
      </c>
      <c r="H468" s="3">
        <v>54.7</v>
      </c>
      <c r="I468" s="3">
        <v>2.7</v>
      </c>
    </row>
    <row r="469" spans="1:9" s="3" customFormat="1" x14ac:dyDescent="0.25">
      <c r="A469" s="3" t="s">
        <v>532</v>
      </c>
      <c r="B469" s="3" t="s">
        <v>284</v>
      </c>
      <c r="C469" s="3" t="s">
        <v>502</v>
      </c>
      <c r="G469" s="3" t="s">
        <v>515</v>
      </c>
      <c r="H469" s="3">
        <v>52.2</v>
      </c>
      <c r="I469" s="3">
        <v>2.6</v>
      </c>
    </row>
    <row r="470" spans="1:9" s="3" customFormat="1" x14ac:dyDescent="0.25">
      <c r="A470" s="3" t="s">
        <v>532</v>
      </c>
      <c r="B470" s="3" t="s">
        <v>284</v>
      </c>
      <c r="C470" s="3" t="s">
        <v>502</v>
      </c>
      <c r="G470" s="3" t="s">
        <v>509</v>
      </c>
      <c r="H470" s="3">
        <v>46.4</v>
      </c>
      <c r="I470" s="3">
        <v>2.3</v>
      </c>
    </row>
    <row r="471" spans="1:9" s="3" customFormat="1" x14ac:dyDescent="0.25">
      <c r="A471" s="3" t="s">
        <v>532</v>
      </c>
      <c r="B471" s="3" t="s">
        <v>284</v>
      </c>
      <c r="C471" s="3" t="s">
        <v>502</v>
      </c>
      <c r="G471" s="3" t="s">
        <v>512</v>
      </c>
      <c r="H471" s="3">
        <v>46.4</v>
      </c>
      <c r="I471" s="3">
        <v>2.3</v>
      </c>
    </row>
    <row r="472" spans="1:9" s="3" customFormat="1" x14ac:dyDescent="0.25">
      <c r="A472" s="3" t="s">
        <v>532</v>
      </c>
      <c r="B472" s="3" t="s">
        <v>284</v>
      </c>
      <c r="C472" s="3" t="s">
        <v>502</v>
      </c>
      <c r="G472" s="3" t="s">
        <v>513</v>
      </c>
      <c r="H472" s="3">
        <v>40.1</v>
      </c>
      <c r="I472" s="3">
        <v>2</v>
      </c>
    </row>
    <row r="473" spans="1:9" s="3" customFormat="1" x14ac:dyDescent="0.25">
      <c r="A473" s="3" t="s">
        <v>532</v>
      </c>
      <c r="B473" s="3" t="s">
        <v>284</v>
      </c>
      <c r="C473" s="3" t="s">
        <v>502</v>
      </c>
      <c r="G473" s="3" t="s">
        <v>511</v>
      </c>
      <c r="H473" s="3">
        <v>37.4</v>
      </c>
      <c r="I473" s="3">
        <v>1.8</v>
      </c>
    </row>
    <row r="474" spans="1:9" s="3" customFormat="1" x14ac:dyDescent="0.25">
      <c r="A474" s="3" t="s">
        <v>532</v>
      </c>
      <c r="B474" s="3" t="s">
        <v>284</v>
      </c>
      <c r="C474" s="3" t="s">
        <v>502</v>
      </c>
      <c r="G474" s="3" t="s">
        <v>517</v>
      </c>
      <c r="H474" s="3">
        <v>33.4</v>
      </c>
      <c r="I474" s="3">
        <v>1.6</v>
      </c>
    </row>
    <row r="475" spans="1:9" s="3" customFormat="1" x14ac:dyDescent="0.25">
      <c r="A475" s="3" t="s">
        <v>532</v>
      </c>
      <c r="B475" s="3" t="s">
        <v>284</v>
      </c>
      <c r="C475" s="3" t="s">
        <v>502</v>
      </c>
      <c r="G475" s="3" t="s">
        <v>519</v>
      </c>
      <c r="H475" s="3">
        <v>30.7</v>
      </c>
      <c r="I475" s="3">
        <v>1.5</v>
      </c>
    </row>
    <row r="476" spans="1:9" s="3" customFormat="1" x14ac:dyDescent="0.25">
      <c r="A476" s="3" t="s">
        <v>532</v>
      </c>
      <c r="B476" s="3" t="s">
        <v>284</v>
      </c>
      <c r="C476" s="3" t="s">
        <v>502</v>
      </c>
      <c r="G476" s="3" t="s">
        <v>522</v>
      </c>
      <c r="H476" s="3">
        <v>29</v>
      </c>
      <c r="I476" s="3">
        <v>1.4</v>
      </c>
    </row>
    <row r="477" spans="1:9" s="3" customFormat="1" x14ac:dyDescent="0.25">
      <c r="A477" s="3" t="s">
        <v>532</v>
      </c>
      <c r="B477" s="3" t="s">
        <v>284</v>
      </c>
      <c r="C477" s="3" t="s">
        <v>502</v>
      </c>
      <c r="G477" s="3" t="s">
        <v>514</v>
      </c>
      <c r="H477" s="3">
        <v>25.2</v>
      </c>
      <c r="I477" s="3">
        <v>1.2</v>
      </c>
    </row>
    <row r="478" spans="1:9" s="3" customFormat="1" x14ac:dyDescent="0.25">
      <c r="A478" s="3" t="s">
        <v>532</v>
      </c>
      <c r="B478" s="3" t="s">
        <v>284</v>
      </c>
      <c r="C478" s="3" t="s">
        <v>502</v>
      </c>
      <c r="G478" s="3" t="s">
        <v>516</v>
      </c>
      <c r="H478" s="3">
        <v>14.8</v>
      </c>
      <c r="I478" s="3">
        <v>0.7</v>
      </c>
    </row>
    <row r="479" spans="1:9" s="3" customFormat="1" x14ac:dyDescent="0.25">
      <c r="A479" s="3" t="s">
        <v>532</v>
      </c>
      <c r="B479" s="3" t="s">
        <v>284</v>
      </c>
      <c r="C479" s="3" t="s">
        <v>502</v>
      </c>
      <c r="G479" s="3" t="s">
        <v>521</v>
      </c>
      <c r="H479" s="3">
        <v>13.7</v>
      </c>
      <c r="I479" s="3">
        <v>0.7</v>
      </c>
    </row>
    <row r="480" spans="1:9" s="3" customFormat="1" x14ac:dyDescent="0.25">
      <c r="A480" s="3" t="s">
        <v>532</v>
      </c>
      <c r="B480" s="3" t="s">
        <v>284</v>
      </c>
      <c r="C480" s="3" t="s">
        <v>502</v>
      </c>
      <c r="G480" s="3" t="s">
        <v>518</v>
      </c>
      <c r="H480" s="3">
        <v>10.5</v>
      </c>
      <c r="I480" s="3">
        <v>0.5</v>
      </c>
    </row>
    <row r="481" spans="1:9" s="3" customFormat="1" x14ac:dyDescent="0.25">
      <c r="A481" s="3" t="s">
        <v>532</v>
      </c>
      <c r="B481" s="3" t="s">
        <v>284</v>
      </c>
      <c r="C481" s="3" t="s">
        <v>502</v>
      </c>
      <c r="G481" s="3" t="s">
        <v>523</v>
      </c>
      <c r="H481" s="3">
        <v>7</v>
      </c>
      <c r="I481" s="3">
        <v>0.3</v>
      </c>
    </row>
    <row r="482" spans="1:9" s="3" customFormat="1" x14ac:dyDescent="0.25">
      <c r="A482" s="3" t="s">
        <v>532</v>
      </c>
      <c r="B482" s="3" t="s">
        <v>284</v>
      </c>
      <c r="C482" s="3" t="s">
        <v>502</v>
      </c>
      <c r="G482" s="3" t="s">
        <v>520</v>
      </c>
      <c r="H482" s="3">
        <v>4.1</v>
      </c>
      <c r="I482" s="3">
        <v>0.2</v>
      </c>
    </row>
    <row r="483" spans="1:9" s="3" customFormat="1" x14ac:dyDescent="0.25">
      <c r="A483" s="3" t="s">
        <v>532</v>
      </c>
      <c r="B483" s="3" t="s">
        <v>284</v>
      </c>
      <c r="C483" s="3" t="s">
        <v>502</v>
      </c>
      <c r="G483" s="3" t="s">
        <v>524</v>
      </c>
      <c r="H483" s="3">
        <v>2.8</v>
      </c>
      <c r="I483" s="3">
        <v>0.1</v>
      </c>
    </row>
    <row r="484" spans="1:9" s="3" customFormat="1" x14ac:dyDescent="0.25">
      <c r="A484" s="3" t="s">
        <v>532</v>
      </c>
      <c r="B484" s="3" t="s">
        <v>284</v>
      </c>
      <c r="C484" s="3" t="s">
        <v>502</v>
      </c>
      <c r="G484" s="3" t="s">
        <v>525</v>
      </c>
      <c r="H484" s="3">
        <v>1.3</v>
      </c>
      <c r="I484" s="3">
        <v>0.1</v>
      </c>
    </row>
    <row r="485" spans="1:9" s="3" customFormat="1" x14ac:dyDescent="0.25">
      <c r="A485" s="3" t="s">
        <v>532</v>
      </c>
      <c r="B485" s="3" t="s">
        <v>526</v>
      </c>
      <c r="C485" s="3" t="s">
        <v>527</v>
      </c>
      <c r="D485" s="3">
        <v>424.1</v>
      </c>
      <c r="E485" s="3">
        <v>242.4</v>
      </c>
      <c r="F485" s="3">
        <v>181.8</v>
      </c>
      <c r="G485" s="3" t="s">
        <v>503</v>
      </c>
      <c r="H485" s="3">
        <v>54.9</v>
      </c>
      <c r="I485" s="3">
        <v>30.2</v>
      </c>
    </row>
    <row r="486" spans="1:9" s="3" customFormat="1" x14ac:dyDescent="0.25">
      <c r="A486" s="3" t="s">
        <v>532</v>
      </c>
      <c r="B486" s="3" t="s">
        <v>526</v>
      </c>
      <c r="C486" s="3" t="s">
        <v>527</v>
      </c>
      <c r="G486" s="3" t="s">
        <v>507</v>
      </c>
      <c r="H486" s="3">
        <v>37.7</v>
      </c>
      <c r="I486" s="3">
        <v>20.7</v>
      </c>
    </row>
    <row r="487" spans="1:9" s="3" customFormat="1" x14ac:dyDescent="0.25">
      <c r="A487" s="3" t="s">
        <v>532</v>
      </c>
      <c r="B487" s="3" t="s">
        <v>526</v>
      </c>
      <c r="C487" s="3" t="s">
        <v>527</v>
      </c>
      <c r="G487" s="3" t="s">
        <v>505</v>
      </c>
      <c r="H487" s="3">
        <v>24</v>
      </c>
      <c r="I487" s="3">
        <v>13.2</v>
      </c>
    </row>
    <row r="488" spans="1:9" s="3" customFormat="1" x14ac:dyDescent="0.25">
      <c r="A488" s="3" t="s">
        <v>532</v>
      </c>
      <c r="B488" s="3" t="s">
        <v>526</v>
      </c>
      <c r="C488" s="3" t="s">
        <v>527</v>
      </c>
      <c r="G488" s="3" t="s">
        <v>504</v>
      </c>
      <c r="H488" s="3">
        <v>16.3</v>
      </c>
      <c r="I488" s="3">
        <v>9</v>
      </c>
    </row>
    <row r="489" spans="1:9" s="3" customFormat="1" x14ac:dyDescent="0.25">
      <c r="A489" s="3" t="s">
        <v>532</v>
      </c>
      <c r="B489" s="3" t="s">
        <v>526</v>
      </c>
      <c r="C489" s="3" t="s">
        <v>527</v>
      </c>
      <c r="G489" s="3" t="s">
        <v>506</v>
      </c>
      <c r="H489" s="3">
        <v>8.7</v>
      </c>
      <c r="I489" s="3">
        <v>4.8</v>
      </c>
    </row>
    <row r="490" spans="1:9" s="3" customFormat="1" x14ac:dyDescent="0.25">
      <c r="A490" s="3" t="s">
        <v>532</v>
      </c>
      <c r="B490" s="3" t="s">
        <v>526</v>
      </c>
      <c r="C490" s="3" t="s">
        <v>527</v>
      </c>
      <c r="G490" s="3" t="s">
        <v>510</v>
      </c>
      <c r="H490" s="3">
        <v>7</v>
      </c>
      <c r="I490" s="3">
        <v>3.8</v>
      </c>
    </row>
    <row r="491" spans="1:9" s="3" customFormat="1" x14ac:dyDescent="0.25">
      <c r="A491" s="3" t="s">
        <v>532</v>
      </c>
      <c r="B491" s="3" t="s">
        <v>526</v>
      </c>
      <c r="C491" s="3" t="s">
        <v>527</v>
      </c>
      <c r="G491" s="3" t="s">
        <v>515</v>
      </c>
      <c r="H491" s="3">
        <v>4.3</v>
      </c>
      <c r="I491" s="3">
        <v>2.3</v>
      </c>
    </row>
    <row r="492" spans="1:9" s="3" customFormat="1" x14ac:dyDescent="0.25">
      <c r="A492" s="3" t="s">
        <v>532</v>
      </c>
      <c r="B492" s="3" t="s">
        <v>526</v>
      </c>
      <c r="C492" s="3" t="s">
        <v>527</v>
      </c>
      <c r="G492" s="3" t="s">
        <v>513</v>
      </c>
      <c r="H492" s="3">
        <v>3.9</v>
      </c>
      <c r="I492" s="3">
        <v>2.1</v>
      </c>
    </row>
    <row r="493" spans="1:9" s="3" customFormat="1" x14ac:dyDescent="0.25">
      <c r="A493" s="3" t="s">
        <v>532</v>
      </c>
      <c r="B493" s="3" t="s">
        <v>526</v>
      </c>
      <c r="C493" s="3" t="s">
        <v>527</v>
      </c>
      <c r="G493" s="3" t="s">
        <v>509</v>
      </c>
      <c r="H493" s="3">
        <v>3.6</v>
      </c>
      <c r="I493" s="3">
        <v>2</v>
      </c>
    </row>
    <row r="494" spans="1:9" s="3" customFormat="1" x14ac:dyDescent="0.25">
      <c r="A494" s="3" t="s">
        <v>532</v>
      </c>
      <c r="B494" s="3" t="s">
        <v>526</v>
      </c>
      <c r="C494" s="3" t="s">
        <v>527</v>
      </c>
      <c r="G494" s="3" t="s">
        <v>519</v>
      </c>
      <c r="H494" s="3">
        <v>3.5</v>
      </c>
      <c r="I494" s="3">
        <v>1.9</v>
      </c>
    </row>
    <row r="495" spans="1:9" s="3" customFormat="1" x14ac:dyDescent="0.25">
      <c r="A495" s="3" t="s">
        <v>532</v>
      </c>
      <c r="B495" s="3" t="s">
        <v>526</v>
      </c>
      <c r="C495" s="3" t="s">
        <v>527</v>
      </c>
      <c r="G495" s="3" t="s">
        <v>522</v>
      </c>
      <c r="H495" s="3">
        <v>3.1</v>
      </c>
      <c r="I495" s="3">
        <v>1.7</v>
      </c>
    </row>
    <row r="496" spans="1:9" s="3" customFormat="1" x14ac:dyDescent="0.25">
      <c r="A496" s="3" t="s">
        <v>532</v>
      </c>
      <c r="B496" s="3" t="s">
        <v>526</v>
      </c>
      <c r="C496" s="3" t="s">
        <v>527</v>
      </c>
      <c r="G496" s="3" t="s">
        <v>508</v>
      </c>
      <c r="H496" s="3">
        <v>2.9</v>
      </c>
      <c r="I496" s="3">
        <v>1.6</v>
      </c>
    </row>
    <row r="497" spans="1:9" s="3" customFormat="1" x14ac:dyDescent="0.25">
      <c r="A497" s="3" t="s">
        <v>532</v>
      </c>
      <c r="B497" s="3" t="s">
        <v>526</v>
      </c>
      <c r="C497" s="3" t="s">
        <v>527</v>
      </c>
      <c r="G497" s="3" t="s">
        <v>514</v>
      </c>
      <c r="H497" s="3">
        <v>2.1</v>
      </c>
      <c r="I497" s="3">
        <v>1.2</v>
      </c>
    </row>
    <row r="498" spans="1:9" s="3" customFormat="1" x14ac:dyDescent="0.25">
      <c r="A498" s="3" t="s">
        <v>532</v>
      </c>
      <c r="B498" s="3" t="s">
        <v>526</v>
      </c>
      <c r="C498" s="3" t="s">
        <v>527</v>
      </c>
      <c r="G498" s="3" t="s">
        <v>517</v>
      </c>
      <c r="H498" s="3">
        <v>1.8</v>
      </c>
      <c r="I498" s="3">
        <v>1</v>
      </c>
    </row>
    <row r="499" spans="1:9" s="3" customFormat="1" x14ac:dyDescent="0.25">
      <c r="A499" s="3" t="s">
        <v>532</v>
      </c>
      <c r="B499" s="3" t="s">
        <v>526</v>
      </c>
      <c r="C499" s="3" t="s">
        <v>527</v>
      </c>
      <c r="G499" s="3" t="s">
        <v>516</v>
      </c>
      <c r="H499" s="3">
        <v>1.7</v>
      </c>
      <c r="I499" s="3">
        <v>0.9</v>
      </c>
    </row>
    <row r="500" spans="1:9" s="3" customFormat="1" x14ac:dyDescent="0.25">
      <c r="A500" s="3" t="s">
        <v>532</v>
      </c>
      <c r="B500" s="3" t="s">
        <v>526</v>
      </c>
      <c r="C500" s="3" t="s">
        <v>527</v>
      </c>
      <c r="G500" s="3" t="s">
        <v>511</v>
      </c>
      <c r="H500" s="3">
        <v>1.5</v>
      </c>
      <c r="I500" s="3">
        <v>0.8</v>
      </c>
    </row>
    <row r="501" spans="1:9" s="3" customFormat="1" x14ac:dyDescent="0.25">
      <c r="A501" s="3" t="s">
        <v>532</v>
      </c>
      <c r="B501" s="3" t="s">
        <v>526</v>
      </c>
      <c r="C501" s="3" t="s">
        <v>527</v>
      </c>
      <c r="G501" s="3" t="s">
        <v>512</v>
      </c>
      <c r="H501" s="3">
        <v>1.4</v>
      </c>
      <c r="I501" s="3">
        <v>0.8</v>
      </c>
    </row>
    <row r="502" spans="1:9" s="3" customFormat="1" x14ac:dyDescent="0.25">
      <c r="A502" s="3" t="s">
        <v>532</v>
      </c>
      <c r="B502" s="3" t="s">
        <v>526</v>
      </c>
      <c r="C502" s="3" t="s">
        <v>527</v>
      </c>
      <c r="G502" s="3" t="s">
        <v>521</v>
      </c>
      <c r="H502" s="3">
        <v>1.4</v>
      </c>
      <c r="I502" s="3">
        <v>0.8</v>
      </c>
    </row>
    <row r="503" spans="1:9" s="3" customFormat="1" x14ac:dyDescent="0.25">
      <c r="A503" s="3" t="s">
        <v>532</v>
      </c>
      <c r="B503" s="3" t="s">
        <v>526</v>
      </c>
      <c r="C503" s="3" t="s">
        <v>527</v>
      </c>
      <c r="G503" s="3" t="s">
        <v>518</v>
      </c>
      <c r="H503" s="3">
        <v>0.9</v>
      </c>
      <c r="I503" s="3">
        <v>0.5</v>
      </c>
    </row>
    <row r="504" spans="1:9" s="3" customFormat="1" x14ac:dyDescent="0.25">
      <c r="A504" s="3" t="s">
        <v>532</v>
      </c>
      <c r="B504" s="3" t="s">
        <v>526</v>
      </c>
      <c r="C504" s="3" t="s">
        <v>527</v>
      </c>
      <c r="G504" s="3" t="s">
        <v>524</v>
      </c>
      <c r="H504" s="3">
        <v>0.5</v>
      </c>
      <c r="I504" s="3">
        <v>0.3</v>
      </c>
    </row>
    <row r="505" spans="1:9" s="3" customFormat="1" x14ac:dyDescent="0.25">
      <c r="A505" s="3" t="s">
        <v>532</v>
      </c>
      <c r="B505" s="3" t="s">
        <v>526</v>
      </c>
      <c r="C505" s="3" t="s">
        <v>527</v>
      </c>
      <c r="G505" s="3" t="s">
        <v>520</v>
      </c>
      <c r="H505" s="3">
        <v>0.3</v>
      </c>
      <c r="I505" s="3">
        <v>0.2</v>
      </c>
    </row>
    <row r="506" spans="1:9" s="3" customFormat="1" x14ac:dyDescent="0.25">
      <c r="A506" s="3" t="s">
        <v>532</v>
      </c>
      <c r="B506" s="3" t="s">
        <v>526</v>
      </c>
      <c r="C506" s="3" t="s">
        <v>527</v>
      </c>
      <c r="G506" s="3" t="s">
        <v>525</v>
      </c>
      <c r="H506" s="3">
        <v>0.3</v>
      </c>
      <c r="I506" s="3">
        <v>0.1</v>
      </c>
    </row>
    <row r="507" spans="1:9" s="3" customFormat="1" x14ac:dyDescent="0.25">
      <c r="A507" s="3" t="s">
        <v>532</v>
      </c>
      <c r="B507" s="3" t="s">
        <v>526</v>
      </c>
      <c r="C507" s="3" t="s">
        <v>527</v>
      </c>
      <c r="G507" s="3" t="s">
        <v>523</v>
      </c>
      <c r="H507" s="3">
        <v>0.2</v>
      </c>
      <c r="I507" s="3">
        <v>0.1</v>
      </c>
    </row>
    <row r="508" spans="1:9" s="3" customFormat="1" x14ac:dyDescent="0.25">
      <c r="A508" s="3" t="s">
        <v>532</v>
      </c>
      <c r="B508" s="3" t="s">
        <v>528</v>
      </c>
      <c r="C508" s="3" t="s">
        <v>529</v>
      </c>
      <c r="D508" s="3">
        <v>121.3</v>
      </c>
      <c r="E508" s="3">
        <v>59.3</v>
      </c>
      <c r="F508" s="3">
        <v>62</v>
      </c>
      <c r="G508" s="3" t="s">
        <v>503</v>
      </c>
      <c r="H508" s="3">
        <v>20.4</v>
      </c>
      <c r="I508" s="3">
        <v>33</v>
      </c>
    </row>
    <row r="509" spans="1:9" s="3" customFormat="1" x14ac:dyDescent="0.25">
      <c r="A509" s="3" t="s">
        <v>532</v>
      </c>
      <c r="B509" s="3" t="s">
        <v>528</v>
      </c>
      <c r="C509" s="3" t="s">
        <v>529</v>
      </c>
      <c r="G509" s="3" t="s">
        <v>504</v>
      </c>
      <c r="H509" s="3">
        <v>11</v>
      </c>
      <c r="I509" s="3">
        <v>17.8</v>
      </c>
    </row>
    <row r="510" spans="1:9" s="3" customFormat="1" x14ac:dyDescent="0.25">
      <c r="A510" s="3" t="s">
        <v>532</v>
      </c>
      <c r="B510" s="3" t="s">
        <v>528</v>
      </c>
      <c r="C510" s="3" t="s">
        <v>529</v>
      </c>
      <c r="G510" s="3" t="s">
        <v>505</v>
      </c>
      <c r="H510" s="3">
        <v>7.7</v>
      </c>
      <c r="I510" s="3">
        <v>12.5</v>
      </c>
    </row>
    <row r="511" spans="1:9" s="3" customFormat="1" x14ac:dyDescent="0.25">
      <c r="A511" s="3" t="s">
        <v>532</v>
      </c>
      <c r="B511" s="3" t="s">
        <v>528</v>
      </c>
      <c r="C511" s="3" t="s">
        <v>529</v>
      </c>
      <c r="G511" s="3" t="s">
        <v>507</v>
      </c>
      <c r="H511" s="3">
        <v>4.9</v>
      </c>
      <c r="I511" s="3">
        <v>7.9</v>
      </c>
    </row>
    <row r="512" spans="1:9" s="3" customFormat="1" x14ac:dyDescent="0.25">
      <c r="A512" s="3" t="s">
        <v>532</v>
      </c>
      <c r="B512" s="3" t="s">
        <v>528</v>
      </c>
      <c r="C512" s="3" t="s">
        <v>529</v>
      </c>
      <c r="G512" s="3" t="s">
        <v>506</v>
      </c>
      <c r="H512" s="3">
        <v>3.4</v>
      </c>
      <c r="I512" s="3">
        <v>5.5</v>
      </c>
    </row>
    <row r="513" spans="1:9" s="3" customFormat="1" x14ac:dyDescent="0.25">
      <c r="A513" s="3" t="s">
        <v>532</v>
      </c>
      <c r="B513" s="3" t="s">
        <v>528</v>
      </c>
      <c r="C513" s="3" t="s">
        <v>529</v>
      </c>
      <c r="G513" s="3" t="s">
        <v>509</v>
      </c>
      <c r="H513" s="3">
        <v>3.1</v>
      </c>
      <c r="I513" s="3">
        <v>5</v>
      </c>
    </row>
    <row r="514" spans="1:9" s="3" customFormat="1" x14ac:dyDescent="0.25">
      <c r="A514" s="3" t="s">
        <v>532</v>
      </c>
      <c r="B514" s="3" t="s">
        <v>528</v>
      </c>
      <c r="C514" s="3" t="s">
        <v>529</v>
      </c>
      <c r="G514" s="3" t="s">
        <v>510</v>
      </c>
      <c r="H514" s="3">
        <v>2.7</v>
      </c>
      <c r="I514" s="3">
        <v>4.4</v>
      </c>
    </row>
    <row r="515" spans="1:9" s="3" customFormat="1" x14ac:dyDescent="0.25">
      <c r="A515" s="3" t="s">
        <v>532</v>
      </c>
      <c r="B515" s="3" t="s">
        <v>528</v>
      </c>
      <c r="C515" s="3" t="s">
        <v>529</v>
      </c>
      <c r="G515" s="3" t="s">
        <v>508</v>
      </c>
      <c r="H515" s="3">
        <v>1.9</v>
      </c>
      <c r="I515" s="3">
        <v>3</v>
      </c>
    </row>
    <row r="516" spans="1:9" s="3" customFormat="1" x14ac:dyDescent="0.25">
      <c r="A516" s="3" t="s">
        <v>532</v>
      </c>
      <c r="B516" s="3" t="s">
        <v>528</v>
      </c>
      <c r="C516" s="3" t="s">
        <v>529</v>
      </c>
      <c r="G516" s="3" t="s">
        <v>515</v>
      </c>
      <c r="H516" s="3">
        <v>1.4</v>
      </c>
      <c r="I516" s="3">
        <v>2.2</v>
      </c>
    </row>
    <row r="517" spans="1:9" s="3" customFormat="1" x14ac:dyDescent="0.25">
      <c r="A517" s="3" t="s">
        <v>532</v>
      </c>
      <c r="B517" s="3" t="s">
        <v>528</v>
      </c>
      <c r="C517" s="3" t="s">
        <v>529</v>
      </c>
      <c r="G517" s="3" t="s">
        <v>512</v>
      </c>
      <c r="H517" s="3">
        <v>0.9</v>
      </c>
      <c r="I517" s="3">
        <v>1.4</v>
      </c>
    </row>
    <row r="518" spans="1:9" s="3" customFormat="1" x14ac:dyDescent="0.25">
      <c r="A518" s="3" t="s">
        <v>532</v>
      </c>
      <c r="B518" s="3" t="s">
        <v>528</v>
      </c>
      <c r="C518" s="3" t="s">
        <v>529</v>
      </c>
      <c r="G518" s="3" t="s">
        <v>522</v>
      </c>
      <c r="H518" s="3">
        <v>0.8</v>
      </c>
      <c r="I518" s="3">
        <v>1.2</v>
      </c>
    </row>
    <row r="519" spans="1:9" s="3" customFormat="1" x14ac:dyDescent="0.25">
      <c r="A519" s="3" t="s">
        <v>532</v>
      </c>
      <c r="B519" s="3" t="s">
        <v>528</v>
      </c>
      <c r="C519" s="3" t="s">
        <v>529</v>
      </c>
      <c r="G519" s="3" t="s">
        <v>514</v>
      </c>
      <c r="H519" s="3">
        <v>0.7</v>
      </c>
      <c r="I519" s="3">
        <v>1.1</v>
      </c>
    </row>
    <row r="520" spans="1:9" s="3" customFormat="1" x14ac:dyDescent="0.25">
      <c r="A520" s="3" t="s">
        <v>532</v>
      </c>
      <c r="B520" s="3" t="s">
        <v>528</v>
      </c>
      <c r="C520" s="3" t="s">
        <v>529</v>
      </c>
      <c r="G520" s="3" t="s">
        <v>516</v>
      </c>
      <c r="H520" s="3">
        <v>0.5</v>
      </c>
      <c r="I520" s="3">
        <v>0.9</v>
      </c>
    </row>
    <row r="521" spans="1:9" s="3" customFormat="1" x14ac:dyDescent="0.25">
      <c r="A521" s="3" t="s">
        <v>532</v>
      </c>
      <c r="B521" s="3" t="s">
        <v>528</v>
      </c>
      <c r="C521" s="3" t="s">
        <v>529</v>
      </c>
      <c r="G521" s="3" t="s">
        <v>511</v>
      </c>
      <c r="H521" s="3">
        <v>0.5</v>
      </c>
      <c r="I521" s="3">
        <v>0.8</v>
      </c>
    </row>
    <row r="522" spans="1:9" s="3" customFormat="1" x14ac:dyDescent="0.25">
      <c r="A522" s="3" t="s">
        <v>532</v>
      </c>
      <c r="B522" s="3" t="s">
        <v>528</v>
      </c>
      <c r="C522" s="3" t="s">
        <v>529</v>
      </c>
      <c r="G522" s="3" t="s">
        <v>519</v>
      </c>
      <c r="H522" s="3">
        <v>0.4</v>
      </c>
      <c r="I522" s="3">
        <v>0.7</v>
      </c>
    </row>
    <row r="523" spans="1:9" s="3" customFormat="1" x14ac:dyDescent="0.25">
      <c r="A523" s="3" t="s">
        <v>532</v>
      </c>
      <c r="B523" s="3" t="s">
        <v>528</v>
      </c>
      <c r="C523" s="3" t="s">
        <v>529</v>
      </c>
      <c r="G523" s="3" t="s">
        <v>513</v>
      </c>
      <c r="H523" s="3">
        <v>0.4</v>
      </c>
      <c r="I523" s="3">
        <v>0.6</v>
      </c>
    </row>
    <row r="524" spans="1:9" s="3" customFormat="1" x14ac:dyDescent="0.25">
      <c r="A524" s="3" t="s">
        <v>532</v>
      </c>
      <c r="B524" s="3" t="s">
        <v>528</v>
      </c>
      <c r="C524" s="3" t="s">
        <v>529</v>
      </c>
      <c r="G524" s="3" t="s">
        <v>524</v>
      </c>
      <c r="H524" s="3">
        <v>0.4</v>
      </c>
      <c r="I524" s="3">
        <v>0.6</v>
      </c>
    </row>
    <row r="525" spans="1:9" s="3" customFormat="1" x14ac:dyDescent="0.25">
      <c r="A525" s="3" t="s">
        <v>532</v>
      </c>
      <c r="B525" s="3" t="s">
        <v>528</v>
      </c>
      <c r="C525" s="3" t="s">
        <v>529</v>
      </c>
      <c r="G525" s="3" t="s">
        <v>517</v>
      </c>
      <c r="H525" s="3">
        <v>0.3</v>
      </c>
      <c r="I525" s="3">
        <v>0.4</v>
      </c>
    </row>
    <row r="526" spans="1:9" s="3" customFormat="1" x14ac:dyDescent="0.25">
      <c r="A526" s="3" t="s">
        <v>532</v>
      </c>
      <c r="B526" s="3" t="s">
        <v>528</v>
      </c>
      <c r="C526" s="3" t="s">
        <v>529</v>
      </c>
      <c r="G526" s="3" t="s">
        <v>521</v>
      </c>
      <c r="H526" s="3">
        <v>0.2</v>
      </c>
      <c r="I526" s="3">
        <v>0.3</v>
      </c>
    </row>
    <row r="527" spans="1:9" s="3" customFormat="1" x14ac:dyDescent="0.25">
      <c r="A527" s="3" t="s">
        <v>532</v>
      </c>
      <c r="B527" s="3" t="s">
        <v>528</v>
      </c>
      <c r="C527" s="3" t="s">
        <v>529</v>
      </c>
      <c r="G527" s="3" t="s">
        <v>518</v>
      </c>
      <c r="H527" s="3">
        <v>0.2</v>
      </c>
      <c r="I527" s="3">
        <v>0.3</v>
      </c>
    </row>
    <row r="528" spans="1:9" s="3" customFormat="1" x14ac:dyDescent="0.25">
      <c r="A528" s="3" t="s">
        <v>532</v>
      </c>
      <c r="B528" s="3" t="s">
        <v>528</v>
      </c>
      <c r="C528" s="3" t="s">
        <v>529</v>
      </c>
      <c r="G528" s="3" t="s">
        <v>520</v>
      </c>
      <c r="H528" s="3">
        <v>0.1</v>
      </c>
      <c r="I528" s="3">
        <v>0.2</v>
      </c>
    </row>
    <row r="529" spans="1:9" s="3" customFormat="1" x14ac:dyDescent="0.25">
      <c r="A529" s="3" t="s">
        <v>532</v>
      </c>
      <c r="B529" s="3" t="s">
        <v>528</v>
      </c>
      <c r="C529" s="3" t="s">
        <v>529</v>
      </c>
      <c r="G529" s="3" t="s">
        <v>523</v>
      </c>
      <c r="H529" s="3">
        <v>0.1</v>
      </c>
      <c r="I529" s="3">
        <v>0.1</v>
      </c>
    </row>
    <row r="530" spans="1:9" s="3" customFormat="1" x14ac:dyDescent="0.25">
      <c r="A530" s="3" t="s">
        <v>532</v>
      </c>
      <c r="B530" s="3" t="s">
        <v>528</v>
      </c>
      <c r="C530" s="3" t="s">
        <v>529</v>
      </c>
      <c r="G530" s="3" t="s">
        <v>525</v>
      </c>
      <c r="H530" s="3">
        <v>0</v>
      </c>
      <c r="I530" s="3">
        <v>0</v>
      </c>
    </row>
    <row r="531" spans="1:9" s="3" customFormat="1" x14ac:dyDescent="0.25">
      <c r="A531" s="3" t="s">
        <v>532</v>
      </c>
      <c r="B531" s="3" t="s">
        <v>85</v>
      </c>
      <c r="C531" s="3" t="s">
        <v>86</v>
      </c>
      <c r="D531" s="3">
        <v>59</v>
      </c>
      <c r="E531" s="3">
        <v>31.6</v>
      </c>
      <c r="F531" s="3">
        <v>27.4</v>
      </c>
      <c r="G531" s="3" t="s">
        <v>503</v>
      </c>
      <c r="H531" s="3">
        <v>8.3</v>
      </c>
      <c r="I531" s="3">
        <v>30.3</v>
      </c>
    </row>
    <row r="532" spans="1:9" s="3" customFormat="1" x14ac:dyDescent="0.25">
      <c r="A532" s="3" t="s">
        <v>532</v>
      </c>
      <c r="B532" s="3" t="s">
        <v>85</v>
      </c>
      <c r="C532" s="3" t="s">
        <v>86</v>
      </c>
      <c r="G532" s="3" t="s">
        <v>505</v>
      </c>
      <c r="H532" s="3">
        <v>3.8</v>
      </c>
      <c r="I532" s="3">
        <v>13.8</v>
      </c>
    </row>
    <row r="533" spans="1:9" s="3" customFormat="1" x14ac:dyDescent="0.25">
      <c r="A533" s="3" t="s">
        <v>532</v>
      </c>
      <c r="B533" s="3" t="s">
        <v>85</v>
      </c>
      <c r="C533" s="3" t="s">
        <v>86</v>
      </c>
      <c r="G533" s="3" t="s">
        <v>507</v>
      </c>
      <c r="H533" s="3">
        <v>3.8</v>
      </c>
      <c r="I533" s="3">
        <v>13.7</v>
      </c>
    </row>
    <row r="534" spans="1:9" s="3" customFormat="1" x14ac:dyDescent="0.25">
      <c r="A534" s="3" t="s">
        <v>532</v>
      </c>
      <c r="B534" s="3" t="s">
        <v>85</v>
      </c>
      <c r="C534" s="3" t="s">
        <v>86</v>
      </c>
      <c r="G534" s="3" t="s">
        <v>504</v>
      </c>
      <c r="H534" s="3">
        <v>2.5</v>
      </c>
      <c r="I534" s="3">
        <v>9.3</v>
      </c>
    </row>
    <row r="535" spans="1:9" s="3" customFormat="1" x14ac:dyDescent="0.25">
      <c r="A535" s="3" t="s">
        <v>532</v>
      </c>
      <c r="B535" s="3" t="s">
        <v>85</v>
      </c>
      <c r="C535" s="3" t="s">
        <v>86</v>
      </c>
      <c r="G535" s="3" t="s">
        <v>506</v>
      </c>
      <c r="H535" s="3">
        <v>2</v>
      </c>
      <c r="I535" s="3">
        <v>7.2</v>
      </c>
    </row>
    <row r="536" spans="1:9" s="3" customFormat="1" x14ac:dyDescent="0.25">
      <c r="A536" s="3" t="s">
        <v>532</v>
      </c>
      <c r="B536" s="3" t="s">
        <v>85</v>
      </c>
      <c r="C536" s="3" t="s">
        <v>86</v>
      </c>
      <c r="G536" s="3" t="s">
        <v>513</v>
      </c>
      <c r="H536" s="3">
        <v>1.6</v>
      </c>
      <c r="I536" s="3">
        <v>6</v>
      </c>
    </row>
    <row r="537" spans="1:9" s="3" customFormat="1" x14ac:dyDescent="0.25">
      <c r="A537" s="3" t="s">
        <v>532</v>
      </c>
      <c r="B537" s="3" t="s">
        <v>85</v>
      </c>
      <c r="C537" s="3" t="s">
        <v>86</v>
      </c>
      <c r="G537" s="3" t="s">
        <v>510</v>
      </c>
      <c r="H537" s="3">
        <v>1</v>
      </c>
      <c r="I537" s="3">
        <v>3.7</v>
      </c>
    </row>
    <row r="538" spans="1:9" s="3" customFormat="1" x14ac:dyDescent="0.25">
      <c r="A538" s="3" t="s">
        <v>532</v>
      </c>
      <c r="B538" s="3" t="s">
        <v>85</v>
      </c>
      <c r="C538" s="3" t="s">
        <v>86</v>
      </c>
      <c r="G538" s="3" t="s">
        <v>514</v>
      </c>
      <c r="H538" s="3">
        <v>0.6</v>
      </c>
      <c r="I538" s="3">
        <v>2</v>
      </c>
    </row>
    <row r="539" spans="1:9" s="3" customFormat="1" x14ac:dyDescent="0.25">
      <c r="A539" s="3" t="s">
        <v>532</v>
      </c>
      <c r="B539" s="3" t="s">
        <v>85</v>
      </c>
      <c r="C539" s="3" t="s">
        <v>86</v>
      </c>
      <c r="G539" s="3" t="s">
        <v>511</v>
      </c>
      <c r="H539" s="3">
        <v>0.5</v>
      </c>
      <c r="I539" s="3">
        <v>1.9</v>
      </c>
    </row>
    <row r="540" spans="1:9" s="3" customFormat="1" x14ac:dyDescent="0.25">
      <c r="A540" s="3" t="s">
        <v>532</v>
      </c>
      <c r="B540" s="3" t="s">
        <v>85</v>
      </c>
      <c r="C540" s="3" t="s">
        <v>86</v>
      </c>
      <c r="G540" s="3" t="s">
        <v>508</v>
      </c>
      <c r="H540" s="3">
        <v>0.5</v>
      </c>
      <c r="I540" s="3">
        <v>1.9</v>
      </c>
    </row>
    <row r="541" spans="1:9" s="3" customFormat="1" x14ac:dyDescent="0.25">
      <c r="A541" s="3" t="s">
        <v>532</v>
      </c>
      <c r="B541" s="3" t="s">
        <v>85</v>
      </c>
      <c r="C541" s="3" t="s">
        <v>86</v>
      </c>
      <c r="G541" s="3" t="s">
        <v>519</v>
      </c>
      <c r="H541" s="3">
        <v>0.5</v>
      </c>
      <c r="I541" s="3">
        <v>1.7</v>
      </c>
    </row>
    <row r="542" spans="1:9" s="3" customFormat="1" x14ac:dyDescent="0.25">
      <c r="A542" s="3" t="s">
        <v>532</v>
      </c>
      <c r="B542" s="3" t="s">
        <v>85</v>
      </c>
      <c r="C542" s="3" t="s">
        <v>86</v>
      </c>
      <c r="G542" s="3" t="s">
        <v>515</v>
      </c>
      <c r="H542" s="3">
        <v>0.5</v>
      </c>
      <c r="I542" s="3">
        <v>1.7</v>
      </c>
    </row>
    <row r="543" spans="1:9" s="3" customFormat="1" x14ac:dyDescent="0.25">
      <c r="A543" s="3" t="s">
        <v>532</v>
      </c>
      <c r="B543" s="3" t="s">
        <v>85</v>
      </c>
      <c r="C543" s="3" t="s">
        <v>86</v>
      </c>
      <c r="G543" s="3" t="s">
        <v>522</v>
      </c>
      <c r="H543" s="3">
        <v>0.4</v>
      </c>
      <c r="I543" s="3">
        <v>1.6</v>
      </c>
    </row>
    <row r="544" spans="1:9" s="3" customFormat="1" x14ac:dyDescent="0.25">
      <c r="A544" s="3" t="s">
        <v>532</v>
      </c>
      <c r="B544" s="3" t="s">
        <v>85</v>
      </c>
      <c r="C544" s="3" t="s">
        <v>86</v>
      </c>
      <c r="G544" s="3" t="s">
        <v>509</v>
      </c>
      <c r="H544" s="3">
        <v>0.4</v>
      </c>
      <c r="I544" s="3">
        <v>1.5</v>
      </c>
    </row>
    <row r="545" spans="1:9" s="3" customFormat="1" x14ac:dyDescent="0.25">
      <c r="A545" s="3" t="s">
        <v>532</v>
      </c>
      <c r="B545" s="3" t="s">
        <v>85</v>
      </c>
      <c r="C545" s="3" t="s">
        <v>86</v>
      </c>
      <c r="G545" s="3" t="s">
        <v>512</v>
      </c>
      <c r="H545" s="3">
        <v>0.3</v>
      </c>
      <c r="I545" s="3">
        <v>1.2</v>
      </c>
    </row>
    <row r="546" spans="1:9" s="3" customFormat="1" x14ac:dyDescent="0.25">
      <c r="A546" s="3" t="s">
        <v>532</v>
      </c>
      <c r="B546" s="3" t="s">
        <v>85</v>
      </c>
      <c r="C546" s="3" t="s">
        <v>86</v>
      </c>
      <c r="G546" s="3" t="s">
        <v>516</v>
      </c>
      <c r="H546" s="3">
        <v>0.2</v>
      </c>
      <c r="I546" s="3">
        <v>0.9</v>
      </c>
    </row>
    <row r="547" spans="1:9" s="3" customFormat="1" x14ac:dyDescent="0.25">
      <c r="A547" s="3" t="s">
        <v>532</v>
      </c>
      <c r="B547" s="3" t="s">
        <v>85</v>
      </c>
      <c r="C547" s="3" t="s">
        <v>86</v>
      </c>
      <c r="G547" s="3" t="s">
        <v>517</v>
      </c>
      <c r="H547" s="3">
        <v>0.1</v>
      </c>
      <c r="I547" s="3">
        <v>0.5</v>
      </c>
    </row>
    <row r="548" spans="1:9" s="3" customFormat="1" x14ac:dyDescent="0.25">
      <c r="A548" s="3" t="s">
        <v>532</v>
      </c>
      <c r="B548" s="3" t="s">
        <v>85</v>
      </c>
      <c r="C548" s="3" t="s">
        <v>86</v>
      </c>
      <c r="G548" s="3" t="s">
        <v>521</v>
      </c>
      <c r="H548" s="3">
        <v>0.1</v>
      </c>
      <c r="I548" s="3">
        <v>0.3</v>
      </c>
    </row>
    <row r="549" spans="1:9" s="3" customFormat="1" x14ac:dyDescent="0.25">
      <c r="A549" s="3" t="s">
        <v>532</v>
      </c>
      <c r="B549" s="3" t="s">
        <v>85</v>
      </c>
      <c r="C549" s="3" t="s">
        <v>86</v>
      </c>
      <c r="G549" s="3" t="s">
        <v>518</v>
      </c>
      <c r="H549" s="3">
        <v>0.1</v>
      </c>
      <c r="I549" s="3">
        <v>0.2</v>
      </c>
    </row>
    <row r="550" spans="1:9" s="3" customFormat="1" x14ac:dyDescent="0.25">
      <c r="A550" s="3" t="s">
        <v>532</v>
      </c>
      <c r="B550" s="3" t="s">
        <v>85</v>
      </c>
      <c r="C550" s="3" t="s">
        <v>86</v>
      </c>
      <c r="G550" s="3" t="s">
        <v>523</v>
      </c>
      <c r="H550" s="3">
        <v>0.1</v>
      </c>
      <c r="I550" s="3">
        <v>0.2</v>
      </c>
    </row>
    <row r="551" spans="1:9" s="3" customFormat="1" x14ac:dyDescent="0.25">
      <c r="A551" s="3" t="s">
        <v>532</v>
      </c>
      <c r="B551" s="3" t="s">
        <v>85</v>
      </c>
      <c r="C551" s="3" t="s">
        <v>86</v>
      </c>
      <c r="G551" s="3" t="s">
        <v>520</v>
      </c>
      <c r="H551" s="3">
        <v>0</v>
      </c>
      <c r="I551" s="3">
        <v>0.2</v>
      </c>
    </row>
    <row r="552" spans="1:9" s="3" customFormat="1" x14ac:dyDescent="0.25">
      <c r="A552" s="3" t="s">
        <v>532</v>
      </c>
      <c r="B552" s="3" t="s">
        <v>85</v>
      </c>
      <c r="C552" s="3" t="s">
        <v>86</v>
      </c>
      <c r="G552" s="3" t="s">
        <v>524</v>
      </c>
      <c r="H552" s="3">
        <v>0</v>
      </c>
      <c r="I552" s="3">
        <v>0.1</v>
      </c>
    </row>
    <row r="553" spans="1:9" s="3" customFormat="1" x14ac:dyDescent="0.25">
      <c r="A553" s="3" t="s">
        <v>532</v>
      </c>
      <c r="B553" s="3" t="s">
        <v>85</v>
      </c>
      <c r="C553" s="3" t="s">
        <v>86</v>
      </c>
      <c r="G553" s="3" t="s">
        <v>525</v>
      </c>
      <c r="H553" s="3">
        <v>0</v>
      </c>
      <c r="I553" s="3">
        <v>0.1</v>
      </c>
    </row>
    <row r="554" spans="1:9" s="3" customFormat="1" x14ac:dyDescent="0.25">
      <c r="A554" s="3" t="s">
        <v>532</v>
      </c>
      <c r="B554" s="3" t="s">
        <v>87</v>
      </c>
      <c r="C554" s="3" t="s">
        <v>88</v>
      </c>
      <c r="D554" s="3">
        <v>97</v>
      </c>
      <c r="E554" s="3">
        <v>53.5</v>
      </c>
      <c r="F554" s="3">
        <v>43.5</v>
      </c>
      <c r="G554" s="3" t="s">
        <v>503</v>
      </c>
      <c r="H554" s="3">
        <v>13.9</v>
      </c>
      <c r="I554" s="3">
        <v>32</v>
      </c>
    </row>
    <row r="555" spans="1:9" s="3" customFormat="1" x14ac:dyDescent="0.25">
      <c r="A555" s="3" t="s">
        <v>532</v>
      </c>
      <c r="B555" s="3" t="s">
        <v>87</v>
      </c>
      <c r="C555" s="3" t="s">
        <v>88</v>
      </c>
      <c r="G555" s="3" t="s">
        <v>507</v>
      </c>
      <c r="H555" s="3">
        <v>5.8</v>
      </c>
      <c r="I555" s="3">
        <v>13.3</v>
      </c>
    </row>
    <row r="556" spans="1:9" s="3" customFormat="1" x14ac:dyDescent="0.25">
      <c r="A556" s="3" t="s">
        <v>532</v>
      </c>
      <c r="B556" s="3" t="s">
        <v>87</v>
      </c>
      <c r="C556" s="3" t="s">
        <v>88</v>
      </c>
      <c r="G556" s="3" t="s">
        <v>504</v>
      </c>
      <c r="H556" s="3">
        <v>5.3</v>
      </c>
      <c r="I556" s="3">
        <v>12.2</v>
      </c>
    </row>
    <row r="557" spans="1:9" s="3" customFormat="1" x14ac:dyDescent="0.25">
      <c r="A557" s="3" t="s">
        <v>532</v>
      </c>
      <c r="B557" s="3" t="s">
        <v>87</v>
      </c>
      <c r="C557" s="3" t="s">
        <v>88</v>
      </c>
      <c r="G557" s="3" t="s">
        <v>505</v>
      </c>
      <c r="H557" s="3">
        <v>4.4</v>
      </c>
      <c r="I557" s="3">
        <v>10.2</v>
      </c>
    </row>
    <row r="558" spans="1:9" s="3" customFormat="1" x14ac:dyDescent="0.25">
      <c r="A558" s="3" t="s">
        <v>532</v>
      </c>
      <c r="B558" s="3" t="s">
        <v>87</v>
      </c>
      <c r="C558" s="3" t="s">
        <v>88</v>
      </c>
      <c r="G558" s="3" t="s">
        <v>506</v>
      </c>
      <c r="H558" s="3">
        <v>3</v>
      </c>
      <c r="I558" s="3">
        <v>7</v>
      </c>
    </row>
    <row r="559" spans="1:9" s="3" customFormat="1" x14ac:dyDescent="0.25">
      <c r="A559" s="3" t="s">
        <v>532</v>
      </c>
      <c r="B559" s="3" t="s">
        <v>87</v>
      </c>
      <c r="C559" s="3" t="s">
        <v>88</v>
      </c>
      <c r="G559" s="3" t="s">
        <v>508</v>
      </c>
      <c r="H559" s="3">
        <v>2.6</v>
      </c>
      <c r="I559" s="3">
        <v>5.9</v>
      </c>
    </row>
    <row r="560" spans="1:9" s="3" customFormat="1" x14ac:dyDescent="0.25">
      <c r="A560" s="3" t="s">
        <v>532</v>
      </c>
      <c r="B560" s="3" t="s">
        <v>87</v>
      </c>
      <c r="C560" s="3" t="s">
        <v>88</v>
      </c>
      <c r="G560" s="3" t="s">
        <v>511</v>
      </c>
      <c r="H560" s="3">
        <v>1.2</v>
      </c>
      <c r="I560" s="3">
        <v>2.8</v>
      </c>
    </row>
    <row r="561" spans="1:9" s="3" customFormat="1" x14ac:dyDescent="0.25">
      <c r="A561" s="3" t="s">
        <v>532</v>
      </c>
      <c r="B561" s="3" t="s">
        <v>87</v>
      </c>
      <c r="C561" s="3" t="s">
        <v>88</v>
      </c>
      <c r="G561" s="3" t="s">
        <v>513</v>
      </c>
      <c r="H561" s="3">
        <v>1</v>
      </c>
      <c r="I561" s="3">
        <v>2.4</v>
      </c>
    </row>
    <row r="562" spans="1:9" s="3" customFormat="1" x14ac:dyDescent="0.25">
      <c r="A562" s="3" t="s">
        <v>532</v>
      </c>
      <c r="B562" s="3" t="s">
        <v>87</v>
      </c>
      <c r="C562" s="3" t="s">
        <v>88</v>
      </c>
      <c r="G562" s="3" t="s">
        <v>514</v>
      </c>
      <c r="H562" s="3">
        <v>0.8</v>
      </c>
      <c r="I562" s="3">
        <v>1.9</v>
      </c>
    </row>
    <row r="563" spans="1:9" s="3" customFormat="1" x14ac:dyDescent="0.25">
      <c r="A563" s="3" t="s">
        <v>532</v>
      </c>
      <c r="B563" s="3" t="s">
        <v>87</v>
      </c>
      <c r="C563" s="3" t="s">
        <v>88</v>
      </c>
      <c r="G563" s="3" t="s">
        <v>512</v>
      </c>
      <c r="H563" s="3">
        <v>0.8</v>
      </c>
      <c r="I563" s="3">
        <v>1.8</v>
      </c>
    </row>
    <row r="564" spans="1:9" s="3" customFormat="1" x14ac:dyDescent="0.25">
      <c r="A564" s="3" t="s">
        <v>532</v>
      </c>
      <c r="B564" s="3" t="s">
        <v>87</v>
      </c>
      <c r="C564" s="3" t="s">
        <v>88</v>
      </c>
      <c r="G564" s="3" t="s">
        <v>515</v>
      </c>
      <c r="H564" s="3">
        <v>0.6</v>
      </c>
      <c r="I564" s="3">
        <v>1.5</v>
      </c>
    </row>
    <row r="565" spans="1:9" s="3" customFormat="1" x14ac:dyDescent="0.25">
      <c r="A565" s="3" t="s">
        <v>532</v>
      </c>
      <c r="B565" s="3" t="s">
        <v>87</v>
      </c>
      <c r="C565" s="3" t="s">
        <v>88</v>
      </c>
      <c r="G565" s="3" t="s">
        <v>516</v>
      </c>
      <c r="H565" s="3">
        <v>0.6</v>
      </c>
      <c r="I565" s="3">
        <v>1.3</v>
      </c>
    </row>
    <row r="566" spans="1:9" s="3" customFormat="1" x14ac:dyDescent="0.25">
      <c r="A566" s="3" t="s">
        <v>532</v>
      </c>
      <c r="B566" s="3" t="s">
        <v>87</v>
      </c>
      <c r="C566" s="3" t="s">
        <v>88</v>
      </c>
      <c r="G566" s="3" t="s">
        <v>510</v>
      </c>
      <c r="H566" s="3">
        <v>0.5</v>
      </c>
      <c r="I566" s="3">
        <v>1.2</v>
      </c>
    </row>
    <row r="567" spans="1:9" s="3" customFormat="1" x14ac:dyDescent="0.25">
      <c r="A567" s="3" t="s">
        <v>532</v>
      </c>
      <c r="B567" s="3" t="s">
        <v>87</v>
      </c>
      <c r="C567" s="3" t="s">
        <v>88</v>
      </c>
      <c r="G567" s="3" t="s">
        <v>522</v>
      </c>
      <c r="H567" s="3">
        <v>0.5</v>
      </c>
      <c r="I567" s="3">
        <v>1.2</v>
      </c>
    </row>
    <row r="568" spans="1:9" s="3" customFormat="1" x14ac:dyDescent="0.25">
      <c r="A568" s="3" t="s">
        <v>532</v>
      </c>
      <c r="B568" s="3" t="s">
        <v>87</v>
      </c>
      <c r="C568" s="3" t="s">
        <v>88</v>
      </c>
      <c r="G568" s="3" t="s">
        <v>519</v>
      </c>
      <c r="H568" s="3">
        <v>0.5</v>
      </c>
      <c r="I568" s="3">
        <v>1.2</v>
      </c>
    </row>
    <row r="569" spans="1:9" s="3" customFormat="1" x14ac:dyDescent="0.25">
      <c r="A569" s="3" t="s">
        <v>532</v>
      </c>
      <c r="B569" s="3" t="s">
        <v>87</v>
      </c>
      <c r="C569" s="3" t="s">
        <v>88</v>
      </c>
      <c r="G569" s="3" t="s">
        <v>521</v>
      </c>
      <c r="H569" s="3">
        <v>0.4</v>
      </c>
      <c r="I569" s="3">
        <v>0.9</v>
      </c>
    </row>
    <row r="570" spans="1:9" s="3" customFormat="1" x14ac:dyDescent="0.25">
      <c r="A570" s="3" t="s">
        <v>532</v>
      </c>
      <c r="B570" s="3" t="s">
        <v>87</v>
      </c>
      <c r="C570" s="3" t="s">
        <v>88</v>
      </c>
      <c r="G570" s="3" t="s">
        <v>509</v>
      </c>
      <c r="H570" s="3">
        <v>0.4</v>
      </c>
      <c r="I570" s="3">
        <v>0.9</v>
      </c>
    </row>
    <row r="571" spans="1:9" s="3" customFormat="1" x14ac:dyDescent="0.25">
      <c r="A571" s="3" t="s">
        <v>532</v>
      </c>
      <c r="B571" s="3" t="s">
        <v>87</v>
      </c>
      <c r="C571" s="3" t="s">
        <v>88</v>
      </c>
      <c r="G571" s="3" t="s">
        <v>517</v>
      </c>
      <c r="H571" s="3">
        <v>0.4</v>
      </c>
      <c r="I571" s="3">
        <v>0.9</v>
      </c>
    </row>
    <row r="572" spans="1:9" s="3" customFormat="1" x14ac:dyDescent="0.25">
      <c r="A572" s="3" t="s">
        <v>532</v>
      </c>
      <c r="B572" s="3" t="s">
        <v>87</v>
      </c>
      <c r="C572" s="3" t="s">
        <v>88</v>
      </c>
      <c r="G572" s="3" t="s">
        <v>518</v>
      </c>
      <c r="H572" s="3">
        <v>0.4</v>
      </c>
      <c r="I572" s="3">
        <v>0.8</v>
      </c>
    </row>
    <row r="573" spans="1:9" s="3" customFormat="1" x14ac:dyDescent="0.25">
      <c r="A573" s="3" t="s">
        <v>532</v>
      </c>
      <c r="B573" s="3" t="s">
        <v>87</v>
      </c>
      <c r="C573" s="3" t="s">
        <v>88</v>
      </c>
      <c r="G573" s="3" t="s">
        <v>523</v>
      </c>
      <c r="H573" s="3">
        <v>0.1</v>
      </c>
      <c r="I573" s="3">
        <v>0.3</v>
      </c>
    </row>
    <row r="574" spans="1:9" s="3" customFormat="1" x14ac:dyDescent="0.25">
      <c r="A574" s="3" t="s">
        <v>532</v>
      </c>
      <c r="B574" s="3" t="s">
        <v>87</v>
      </c>
      <c r="C574" s="3" t="s">
        <v>88</v>
      </c>
      <c r="G574" s="3" t="s">
        <v>524</v>
      </c>
      <c r="H574" s="3">
        <v>0.1</v>
      </c>
      <c r="I574" s="3">
        <v>0.2</v>
      </c>
    </row>
    <row r="575" spans="1:9" s="3" customFormat="1" x14ac:dyDescent="0.25">
      <c r="A575" s="3" t="s">
        <v>532</v>
      </c>
      <c r="B575" s="3" t="s">
        <v>87</v>
      </c>
      <c r="C575" s="3" t="s">
        <v>88</v>
      </c>
      <c r="G575" s="3" t="s">
        <v>520</v>
      </c>
      <c r="H575" s="3">
        <v>0.1</v>
      </c>
      <c r="I575" s="3">
        <v>0.1</v>
      </c>
    </row>
    <row r="576" spans="1:9" s="3" customFormat="1" x14ac:dyDescent="0.25">
      <c r="A576" s="3" t="s">
        <v>532</v>
      </c>
      <c r="B576" s="3" t="s">
        <v>87</v>
      </c>
      <c r="C576" s="3" t="s">
        <v>88</v>
      </c>
      <c r="G576" s="3" t="s">
        <v>525</v>
      </c>
      <c r="H576" s="3">
        <v>0</v>
      </c>
      <c r="I576" s="3">
        <v>0</v>
      </c>
    </row>
    <row r="577" spans="1:9" s="3" customFormat="1" x14ac:dyDescent="0.25">
      <c r="A577" s="3" t="s">
        <v>532</v>
      </c>
      <c r="B577" s="3" t="s">
        <v>89</v>
      </c>
      <c r="C577" s="3" t="s">
        <v>90</v>
      </c>
      <c r="D577" s="3">
        <v>6.8</v>
      </c>
      <c r="E577" s="3">
        <v>2.1</v>
      </c>
      <c r="F577" s="3">
        <v>4.7</v>
      </c>
      <c r="G577" s="3" t="s">
        <v>503</v>
      </c>
      <c r="H577" s="3">
        <v>1.7</v>
      </c>
      <c r="I577" s="3">
        <v>36.1</v>
      </c>
    </row>
    <row r="578" spans="1:9" s="3" customFormat="1" x14ac:dyDescent="0.25">
      <c r="A578" s="3" t="s">
        <v>532</v>
      </c>
      <c r="B578" s="3" t="s">
        <v>89</v>
      </c>
      <c r="C578" s="3" t="s">
        <v>90</v>
      </c>
      <c r="G578" s="3" t="s">
        <v>505</v>
      </c>
      <c r="H578" s="3">
        <v>0.7</v>
      </c>
      <c r="I578" s="3">
        <v>15.6</v>
      </c>
    </row>
    <row r="579" spans="1:9" s="3" customFormat="1" x14ac:dyDescent="0.25">
      <c r="A579" s="3" t="s">
        <v>532</v>
      </c>
      <c r="B579" s="3" t="s">
        <v>89</v>
      </c>
      <c r="C579" s="3" t="s">
        <v>90</v>
      </c>
      <c r="G579" s="3" t="s">
        <v>507</v>
      </c>
      <c r="H579" s="3">
        <v>0.7</v>
      </c>
      <c r="I579" s="3">
        <v>14.6</v>
      </c>
    </row>
    <row r="580" spans="1:9" s="3" customFormat="1" x14ac:dyDescent="0.25">
      <c r="A580" s="3" t="s">
        <v>532</v>
      </c>
      <c r="B580" s="3" t="s">
        <v>89</v>
      </c>
      <c r="C580" s="3" t="s">
        <v>90</v>
      </c>
      <c r="G580" s="3" t="s">
        <v>506</v>
      </c>
      <c r="H580" s="3">
        <v>0.5</v>
      </c>
      <c r="I580" s="3">
        <v>10.5</v>
      </c>
    </row>
    <row r="581" spans="1:9" s="3" customFormat="1" x14ac:dyDescent="0.25">
      <c r="A581" s="3" t="s">
        <v>532</v>
      </c>
      <c r="B581" s="3" t="s">
        <v>89</v>
      </c>
      <c r="C581" s="3" t="s">
        <v>90</v>
      </c>
      <c r="G581" s="3" t="s">
        <v>504</v>
      </c>
      <c r="H581" s="3">
        <v>0.5</v>
      </c>
      <c r="I581" s="3">
        <v>10</v>
      </c>
    </row>
    <row r="582" spans="1:9" s="3" customFormat="1" x14ac:dyDescent="0.25">
      <c r="A582" s="3" t="s">
        <v>532</v>
      </c>
      <c r="B582" s="3" t="s">
        <v>89</v>
      </c>
      <c r="C582" s="3" t="s">
        <v>90</v>
      </c>
      <c r="G582" s="3" t="s">
        <v>511</v>
      </c>
      <c r="H582" s="3">
        <v>0.1</v>
      </c>
      <c r="I582" s="3">
        <v>2.9</v>
      </c>
    </row>
    <row r="583" spans="1:9" s="3" customFormat="1" x14ac:dyDescent="0.25">
      <c r="A583" s="3" t="s">
        <v>532</v>
      </c>
      <c r="B583" s="3" t="s">
        <v>89</v>
      </c>
      <c r="C583" s="3" t="s">
        <v>90</v>
      </c>
      <c r="G583" s="3" t="s">
        <v>510</v>
      </c>
      <c r="H583" s="3">
        <v>0.1</v>
      </c>
      <c r="I583" s="3">
        <v>2.9</v>
      </c>
    </row>
    <row r="584" spans="1:9" s="3" customFormat="1" x14ac:dyDescent="0.25">
      <c r="A584" s="3" t="s">
        <v>532</v>
      </c>
      <c r="B584" s="3" t="s">
        <v>89</v>
      </c>
      <c r="C584" s="3" t="s">
        <v>90</v>
      </c>
      <c r="G584" s="3" t="s">
        <v>514</v>
      </c>
      <c r="H584" s="3">
        <v>0.1</v>
      </c>
      <c r="I584" s="3">
        <v>2.6</v>
      </c>
    </row>
    <row r="585" spans="1:9" s="3" customFormat="1" x14ac:dyDescent="0.25">
      <c r="A585" s="3" t="s">
        <v>532</v>
      </c>
      <c r="B585" s="3" t="s">
        <v>89</v>
      </c>
      <c r="C585" s="3" t="s">
        <v>90</v>
      </c>
      <c r="G585" s="3" t="s">
        <v>508</v>
      </c>
      <c r="H585" s="3">
        <v>0.1</v>
      </c>
      <c r="I585" s="3">
        <v>2.4</v>
      </c>
    </row>
    <row r="586" spans="1:9" s="3" customFormat="1" x14ac:dyDescent="0.25">
      <c r="A586" s="3" t="s">
        <v>532</v>
      </c>
      <c r="B586" s="3" t="s">
        <v>89</v>
      </c>
      <c r="C586" s="3" t="s">
        <v>90</v>
      </c>
      <c r="G586" s="3" t="s">
        <v>512</v>
      </c>
      <c r="H586" s="3">
        <v>0.1</v>
      </c>
      <c r="I586" s="3">
        <v>2.1</v>
      </c>
    </row>
    <row r="587" spans="1:9" s="3" customFormat="1" x14ac:dyDescent="0.25">
      <c r="A587" s="3" t="s">
        <v>532</v>
      </c>
      <c r="B587" s="3" t="s">
        <v>89</v>
      </c>
      <c r="C587" s="3" t="s">
        <v>90</v>
      </c>
      <c r="G587" s="3" t="s">
        <v>515</v>
      </c>
      <c r="H587" s="3">
        <v>0.1</v>
      </c>
      <c r="I587" s="3">
        <v>2</v>
      </c>
    </row>
    <row r="588" spans="1:9" s="3" customFormat="1" x14ac:dyDescent="0.25">
      <c r="A588" s="3" t="s">
        <v>532</v>
      </c>
      <c r="B588" s="3" t="s">
        <v>89</v>
      </c>
      <c r="C588" s="3" t="s">
        <v>90</v>
      </c>
      <c r="G588" s="3" t="s">
        <v>509</v>
      </c>
      <c r="H588" s="3">
        <v>0.1</v>
      </c>
      <c r="I588" s="3">
        <v>1.8</v>
      </c>
    </row>
    <row r="589" spans="1:9" s="3" customFormat="1" x14ac:dyDescent="0.25">
      <c r="A589" s="3" t="s">
        <v>532</v>
      </c>
      <c r="B589" s="3" t="s">
        <v>89</v>
      </c>
      <c r="C589" s="3" t="s">
        <v>90</v>
      </c>
      <c r="G589" s="3" t="s">
        <v>519</v>
      </c>
      <c r="H589" s="3">
        <v>0.1</v>
      </c>
      <c r="I589" s="3">
        <v>1.7</v>
      </c>
    </row>
    <row r="590" spans="1:9" s="3" customFormat="1" x14ac:dyDescent="0.25">
      <c r="A590" s="3" t="s">
        <v>532</v>
      </c>
      <c r="B590" s="3" t="s">
        <v>89</v>
      </c>
      <c r="C590" s="3" t="s">
        <v>90</v>
      </c>
      <c r="G590" s="3" t="s">
        <v>522</v>
      </c>
      <c r="H590" s="3">
        <v>0.1</v>
      </c>
      <c r="I590" s="3">
        <v>1.7</v>
      </c>
    </row>
    <row r="591" spans="1:9" s="3" customFormat="1" x14ac:dyDescent="0.25">
      <c r="A591" s="3" t="s">
        <v>532</v>
      </c>
      <c r="B591" s="3" t="s">
        <v>89</v>
      </c>
      <c r="C591" s="3" t="s">
        <v>90</v>
      </c>
      <c r="G591" s="3" t="s">
        <v>516</v>
      </c>
      <c r="H591" s="3">
        <v>0</v>
      </c>
      <c r="I591" s="3">
        <v>0.8</v>
      </c>
    </row>
    <row r="592" spans="1:9" s="3" customFormat="1" x14ac:dyDescent="0.25">
      <c r="A592" s="3" t="s">
        <v>532</v>
      </c>
      <c r="B592" s="3" t="s">
        <v>89</v>
      </c>
      <c r="C592" s="3" t="s">
        <v>90</v>
      </c>
      <c r="G592" s="3" t="s">
        <v>518</v>
      </c>
      <c r="H592" s="3">
        <v>0</v>
      </c>
      <c r="I592" s="3">
        <v>0.6</v>
      </c>
    </row>
    <row r="593" spans="1:9" s="3" customFormat="1" x14ac:dyDescent="0.25">
      <c r="A593" s="3" t="s">
        <v>532</v>
      </c>
      <c r="B593" s="3" t="s">
        <v>89</v>
      </c>
      <c r="C593" s="3" t="s">
        <v>90</v>
      </c>
      <c r="G593" s="3" t="s">
        <v>521</v>
      </c>
      <c r="H593" s="3">
        <v>0</v>
      </c>
      <c r="I593" s="3">
        <v>0.5</v>
      </c>
    </row>
    <row r="594" spans="1:9" s="3" customFormat="1" x14ac:dyDescent="0.25">
      <c r="A594" s="3" t="s">
        <v>532</v>
      </c>
      <c r="B594" s="3" t="s">
        <v>89</v>
      </c>
      <c r="C594" s="3" t="s">
        <v>90</v>
      </c>
      <c r="G594" s="3" t="s">
        <v>523</v>
      </c>
      <c r="H594" s="3">
        <v>0</v>
      </c>
      <c r="I594" s="3">
        <v>0.3</v>
      </c>
    </row>
    <row r="595" spans="1:9" s="3" customFormat="1" x14ac:dyDescent="0.25">
      <c r="A595" s="3" t="s">
        <v>532</v>
      </c>
      <c r="B595" s="3" t="s">
        <v>89</v>
      </c>
      <c r="C595" s="3" t="s">
        <v>90</v>
      </c>
      <c r="G595" s="3" t="s">
        <v>524</v>
      </c>
      <c r="H595" s="3">
        <v>0</v>
      </c>
      <c r="I595" s="3">
        <v>0.2</v>
      </c>
    </row>
    <row r="596" spans="1:9" s="3" customFormat="1" x14ac:dyDescent="0.25">
      <c r="A596" s="3" t="s">
        <v>532</v>
      </c>
      <c r="B596" s="3" t="s">
        <v>89</v>
      </c>
      <c r="C596" s="3" t="s">
        <v>90</v>
      </c>
      <c r="G596" s="3" t="s">
        <v>520</v>
      </c>
      <c r="H596" s="3">
        <v>0</v>
      </c>
      <c r="I596" s="3">
        <v>0.1</v>
      </c>
    </row>
    <row r="597" spans="1:9" s="3" customFormat="1" x14ac:dyDescent="0.25">
      <c r="A597" s="3" t="s">
        <v>532</v>
      </c>
      <c r="B597" s="3" t="s">
        <v>89</v>
      </c>
      <c r="C597" s="3" t="s">
        <v>90</v>
      </c>
      <c r="G597" s="3" t="s">
        <v>525</v>
      </c>
      <c r="H597" s="3">
        <v>0</v>
      </c>
      <c r="I597" s="3">
        <v>0</v>
      </c>
    </row>
    <row r="598" spans="1:9" s="3" customFormat="1" x14ac:dyDescent="0.25">
      <c r="A598" s="3" t="s">
        <v>532</v>
      </c>
      <c r="B598" s="3" t="s">
        <v>89</v>
      </c>
      <c r="C598" s="3" t="s">
        <v>90</v>
      </c>
      <c r="G598" s="3" t="s">
        <v>517</v>
      </c>
      <c r="H598" s="3">
        <v>-0.1</v>
      </c>
      <c r="I598" s="3">
        <v>-2.7</v>
      </c>
    </row>
    <row r="599" spans="1:9" s="3" customFormat="1" x14ac:dyDescent="0.25">
      <c r="A599" s="3" t="s">
        <v>532</v>
      </c>
      <c r="B599" s="3" t="s">
        <v>89</v>
      </c>
      <c r="C599" s="3" t="s">
        <v>90</v>
      </c>
      <c r="G599" s="3" t="s">
        <v>513</v>
      </c>
      <c r="H599" s="3">
        <v>-0.3</v>
      </c>
      <c r="I599" s="3">
        <v>-7</v>
      </c>
    </row>
    <row r="600" spans="1:9" s="3" customFormat="1" x14ac:dyDescent="0.25">
      <c r="A600" s="3" t="s">
        <v>532</v>
      </c>
      <c r="B600" s="3" t="s">
        <v>91</v>
      </c>
      <c r="C600" s="3" t="s">
        <v>92</v>
      </c>
      <c r="D600" s="3">
        <v>207.2</v>
      </c>
      <c r="E600" s="3">
        <v>99.4</v>
      </c>
      <c r="F600" s="3">
        <v>107.8</v>
      </c>
      <c r="G600" s="3" t="s">
        <v>503</v>
      </c>
      <c r="H600" s="3">
        <v>55.8</v>
      </c>
      <c r="I600" s="3">
        <v>51.8</v>
      </c>
    </row>
    <row r="601" spans="1:9" s="3" customFormat="1" x14ac:dyDescent="0.25">
      <c r="A601" s="3" t="s">
        <v>532</v>
      </c>
      <c r="B601" s="3" t="s">
        <v>91</v>
      </c>
      <c r="C601" s="3" t="s">
        <v>92</v>
      </c>
      <c r="G601" s="3" t="s">
        <v>505</v>
      </c>
      <c r="H601" s="3">
        <v>12.1</v>
      </c>
      <c r="I601" s="3">
        <v>11.2</v>
      </c>
    </row>
    <row r="602" spans="1:9" s="3" customFormat="1" x14ac:dyDescent="0.25">
      <c r="A602" s="3" t="s">
        <v>532</v>
      </c>
      <c r="B602" s="3" t="s">
        <v>91</v>
      </c>
      <c r="C602" s="3" t="s">
        <v>92</v>
      </c>
      <c r="G602" s="3" t="s">
        <v>506</v>
      </c>
      <c r="H602" s="3">
        <v>7.9</v>
      </c>
      <c r="I602" s="3">
        <v>7.3</v>
      </c>
    </row>
    <row r="603" spans="1:9" s="3" customFormat="1" x14ac:dyDescent="0.25">
      <c r="A603" s="3" t="s">
        <v>532</v>
      </c>
      <c r="B603" s="3" t="s">
        <v>91</v>
      </c>
      <c r="C603" s="3" t="s">
        <v>92</v>
      </c>
      <c r="G603" s="3" t="s">
        <v>507</v>
      </c>
      <c r="H603" s="3">
        <v>7.8</v>
      </c>
      <c r="I603" s="3">
        <v>7.2</v>
      </c>
    </row>
    <row r="604" spans="1:9" s="3" customFormat="1" x14ac:dyDescent="0.25">
      <c r="A604" s="3" t="s">
        <v>532</v>
      </c>
      <c r="B604" s="3" t="s">
        <v>91</v>
      </c>
      <c r="C604" s="3" t="s">
        <v>92</v>
      </c>
      <c r="G604" s="3" t="s">
        <v>513</v>
      </c>
      <c r="H604" s="3">
        <v>5.5</v>
      </c>
      <c r="I604" s="3">
        <v>5.1</v>
      </c>
    </row>
    <row r="605" spans="1:9" s="3" customFormat="1" x14ac:dyDescent="0.25">
      <c r="A605" s="3" t="s">
        <v>532</v>
      </c>
      <c r="B605" s="3" t="s">
        <v>91</v>
      </c>
      <c r="C605" s="3" t="s">
        <v>92</v>
      </c>
      <c r="G605" s="3" t="s">
        <v>504</v>
      </c>
      <c r="H605" s="3">
        <v>2.7</v>
      </c>
      <c r="I605" s="3">
        <v>2.5</v>
      </c>
    </row>
    <row r="606" spans="1:9" s="3" customFormat="1" x14ac:dyDescent="0.25">
      <c r="A606" s="3" t="s">
        <v>532</v>
      </c>
      <c r="B606" s="3" t="s">
        <v>91</v>
      </c>
      <c r="C606" s="3" t="s">
        <v>92</v>
      </c>
      <c r="G606" s="3" t="s">
        <v>508</v>
      </c>
      <c r="H606" s="3">
        <v>2.4</v>
      </c>
      <c r="I606" s="3">
        <v>2.2</v>
      </c>
    </row>
    <row r="607" spans="1:9" s="3" customFormat="1" x14ac:dyDescent="0.25">
      <c r="A607" s="3" t="s">
        <v>532</v>
      </c>
      <c r="B607" s="3" t="s">
        <v>91</v>
      </c>
      <c r="C607" s="3" t="s">
        <v>92</v>
      </c>
      <c r="G607" s="3" t="s">
        <v>515</v>
      </c>
      <c r="H607" s="3">
        <v>2</v>
      </c>
      <c r="I607" s="3">
        <v>1.9</v>
      </c>
    </row>
    <row r="608" spans="1:9" s="3" customFormat="1" x14ac:dyDescent="0.25">
      <c r="A608" s="3" t="s">
        <v>532</v>
      </c>
      <c r="B608" s="3" t="s">
        <v>91</v>
      </c>
      <c r="C608" s="3" t="s">
        <v>92</v>
      </c>
      <c r="G608" s="3" t="s">
        <v>517</v>
      </c>
      <c r="H608" s="3">
        <v>2</v>
      </c>
      <c r="I608" s="3">
        <v>1.8</v>
      </c>
    </row>
    <row r="609" spans="1:9" s="3" customFormat="1" x14ac:dyDescent="0.25">
      <c r="A609" s="3" t="s">
        <v>532</v>
      </c>
      <c r="B609" s="3" t="s">
        <v>91</v>
      </c>
      <c r="C609" s="3" t="s">
        <v>92</v>
      </c>
      <c r="G609" s="3" t="s">
        <v>519</v>
      </c>
      <c r="H609" s="3">
        <v>1.8</v>
      </c>
      <c r="I609" s="3">
        <v>1.7</v>
      </c>
    </row>
    <row r="610" spans="1:9" s="3" customFormat="1" x14ac:dyDescent="0.25">
      <c r="A610" s="3" t="s">
        <v>532</v>
      </c>
      <c r="B610" s="3" t="s">
        <v>91</v>
      </c>
      <c r="C610" s="3" t="s">
        <v>92</v>
      </c>
      <c r="G610" s="3" t="s">
        <v>511</v>
      </c>
      <c r="H610" s="3">
        <v>1.2</v>
      </c>
      <c r="I610" s="3">
        <v>1.1</v>
      </c>
    </row>
    <row r="611" spans="1:9" s="3" customFormat="1" x14ac:dyDescent="0.25">
      <c r="A611" s="3" t="s">
        <v>532</v>
      </c>
      <c r="B611" s="3" t="s">
        <v>91</v>
      </c>
      <c r="C611" s="3" t="s">
        <v>92</v>
      </c>
      <c r="G611" s="3" t="s">
        <v>509</v>
      </c>
      <c r="H611" s="3">
        <v>1.1</v>
      </c>
      <c r="I611" s="3">
        <v>1</v>
      </c>
    </row>
    <row r="612" spans="1:9" s="3" customFormat="1" x14ac:dyDescent="0.25">
      <c r="A612" s="3" t="s">
        <v>532</v>
      </c>
      <c r="B612" s="3" t="s">
        <v>91</v>
      </c>
      <c r="C612" s="3" t="s">
        <v>92</v>
      </c>
      <c r="G612" s="3" t="s">
        <v>510</v>
      </c>
      <c r="H612" s="3">
        <v>0.9</v>
      </c>
      <c r="I612" s="3">
        <v>0.8</v>
      </c>
    </row>
    <row r="613" spans="1:9" s="3" customFormat="1" x14ac:dyDescent="0.25">
      <c r="A613" s="3" t="s">
        <v>532</v>
      </c>
      <c r="B613" s="3" t="s">
        <v>91</v>
      </c>
      <c r="C613" s="3" t="s">
        <v>92</v>
      </c>
      <c r="G613" s="3" t="s">
        <v>521</v>
      </c>
      <c r="H613" s="3">
        <v>0.8</v>
      </c>
      <c r="I613" s="3">
        <v>0.7</v>
      </c>
    </row>
    <row r="614" spans="1:9" s="3" customFormat="1" x14ac:dyDescent="0.25">
      <c r="A614" s="3" t="s">
        <v>532</v>
      </c>
      <c r="B614" s="3" t="s">
        <v>91</v>
      </c>
      <c r="C614" s="3" t="s">
        <v>92</v>
      </c>
      <c r="G614" s="3" t="s">
        <v>512</v>
      </c>
      <c r="H614" s="3">
        <v>0.7</v>
      </c>
      <c r="I614" s="3">
        <v>0.6</v>
      </c>
    </row>
    <row r="615" spans="1:9" s="3" customFormat="1" x14ac:dyDescent="0.25">
      <c r="A615" s="3" t="s">
        <v>532</v>
      </c>
      <c r="B615" s="3" t="s">
        <v>91</v>
      </c>
      <c r="C615" s="3" t="s">
        <v>92</v>
      </c>
      <c r="G615" s="3" t="s">
        <v>514</v>
      </c>
      <c r="H615" s="3">
        <v>0.6</v>
      </c>
      <c r="I615" s="3">
        <v>0.6</v>
      </c>
    </row>
    <row r="616" spans="1:9" s="3" customFormat="1" x14ac:dyDescent="0.25">
      <c r="A616" s="3" t="s">
        <v>532</v>
      </c>
      <c r="B616" s="3" t="s">
        <v>91</v>
      </c>
      <c r="C616" s="3" t="s">
        <v>92</v>
      </c>
      <c r="G616" s="3" t="s">
        <v>523</v>
      </c>
      <c r="H616" s="3">
        <v>0.6</v>
      </c>
      <c r="I616" s="3">
        <v>0.6</v>
      </c>
    </row>
    <row r="617" spans="1:9" s="3" customFormat="1" x14ac:dyDescent="0.25">
      <c r="A617" s="3" t="s">
        <v>532</v>
      </c>
      <c r="B617" s="3" t="s">
        <v>91</v>
      </c>
      <c r="C617" s="3" t="s">
        <v>92</v>
      </c>
      <c r="G617" s="3" t="s">
        <v>520</v>
      </c>
      <c r="H617" s="3">
        <v>0.6</v>
      </c>
      <c r="I617" s="3">
        <v>0.5</v>
      </c>
    </row>
    <row r="618" spans="1:9" s="3" customFormat="1" x14ac:dyDescent="0.25">
      <c r="A618" s="3" t="s">
        <v>532</v>
      </c>
      <c r="B618" s="3" t="s">
        <v>91</v>
      </c>
      <c r="C618" s="3" t="s">
        <v>92</v>
      </c>
      <c r="G618" s="3" t="s">
        <v>516</v>
      </c>
      <c r="H618" s="3">
        <v>0.6</v>
      </c>
      <c r="I618" s="3">
        <v>0.5</v>
      </c>
    </row>
    <row r="619" spans="1:9" s="3" customFormat="1" x14ac:dyDescent="0.25">
      <c r="A619" s="3" t="s">
        <v>532</v>
      </c>
      <c r="B619" s="3" t="s">
        <v>91</v>
      </c>
      <c r="C619" s="3" t="s">
        <v>92</v>
      </c>
      <c r="G619" s="3" t="s">
        <v>522</v>
      </c>
      <c r="H619" s="3">
        <v>0.4</v>
      </c>
      <c r="I619" s="3">
        <v>0.3</v>
      </c>
    </row>
    <row r="620" spans="1:9" s="3" customFormat="1" x14ac:dyDescent="0.25">
      <c r="A620" s="3" t="s">
        <v>532</v>
      </c>
      <c r="B620" s="3" t="s">
        <v>91</v>
      </c>
      <c r="C620" s="3" t="s">
        <v>92</v>
      </c>
      <c r="G620" s="3" t="s">
        <v>525</v>
      </c>
      <c r="H620" s="3">
        <v>0.2</v>
      </c>
      <c r="I620" s="3">
        <v>0.2</v>
      </c>
    </row>
    <row r="621" spans="1:9" s="3" customFormat="1" x14ac:dyDescent="0.25">
      <c r="A621" s="3" t="s">
        <v>532</v>
      </c>
      <c r="B621" s="3" t="s">
        <v>91</v>
      </c>
      <c r="C621" s="3" t="s">
        <v>92</v>
      </c>
      <c r="G621" s="3" t="s">
        <v>518</v>
      </c>
      <c r="H621" s="3">
        <v>0.2</v>
      </c>
      <c r="I621" s="3">
        <v>0.1</v>
      </c>
    </row>
    <row r="622" spans="1:9" s="3" customFormat="1" x14ac:dyDescent="0.25">
      <c r="A622" s="3" t="s">
        <v>532</v>
      </c>
      <c r="B622" s="3" t="s">
        <v>91</v>
      </c>
      <c r="C622" s="3" t="s">
        <v>92</v>
      </c>
      <c r="G622" s="3" t="s">
        <v>524</v>
      </c>
      <c r="H622" s="3">
        <v>0.1</v>
      </c>
      <c r="I622" s="3">
        <v>0.1</v>
      </c>
    </row>
    <row r="623" spans="1:9" s="3" customFormat="1" x14ac:dyDescent="0.25">
      <c r="A623" s="3" t="s">
        <v>532</v>
      </c>
      <c r="B623" s="3" t="s">
        <v>93</v>
      </c>
      <c r="C623" s="3" t="s">
        <v>94</v>
      </c>
      <c r="D623" s="3">
        <v>410.2</v>
      </c>
      <c r="E623" s="3">
        <v>220.7</v>
      </c>
      <c r="F623" s="3">
        <v>189.6</v>
      </c>
      <c r="G623" s="3" t="s">
        <v>503</v>
      </c>
      <c r="H623" s="3">
        <v>56.2</v>
      </c>
      <c r="I623" s="3">
        <v>29.6</v>
      </c>
    </row>
    <row r="624" spans="1:9" s="3" customFormat="1" x14ac:dyDescent="0.25">
      <c r="A624" s="3" t="s">
        <v>532</v>
      </c>
      <c r="B624" s="3" t="s">
        <v>93</v>
      </c>
      <c r="C624" s="3" t="s">
        <v>94</v>
      </c>
      <c r="G624" s="3" t="s">
        <v>505</v>
      </c>
      <c r="H624" s="3">
        <v>30.6</v>
      </c>
      <c r="I624" s="3">
        <v>16.1</v>
      </c>
    </row>
    <row r="625" spans="1:9" s="3" customFormat="1" x14ac:dyDescent="0.25">
      <c r="A625" s="3" t="s">
        <v>532</v>
      </c>
      <c r="B625" s="3" t="s">
        <v>93</v>
      </c>
      <c r="C625" s="3" t="s">
        <v>94</v>
      </c>
      <c r="G625" s="3" t="s">
        <v>504</v>
      </c>
      <c r="H625" s="3">
        <v>23.7</v>
      </c>
      <c r="I625" s="3">
        <v>12.5</v>
      </c>
    </row>
    <row r="626" spans="1:9" s="3" customFormat="1" x14ac:dyDescent="0.25">
      <c r="A626" s="3" t="s">
        <v>532</v>
      </c>
      <c r="B626" s="3" t="s">
        <v>93</v>
      </c>
      <c r="C626" s="3" t="s">
        <v>94</v>
      </c>
      <c r="G626" s="3" t="s">
        <v>507</v>
      </c>
      <c r="H626" s="3">
        <v>14.7</v>
      </c>
      <c r="I626" s="3">
        <v>7.8</v>
      </c>
    </row>
    <row r="627" spans="1:9" s="3" customFormat="1" x14ac:dyDescent="0.25">
      <c r="A627" s="3" t="s">
        <v>532</v>
      </c>
      <c r="B627" s="3" t="s">
        <v>93</v>
      </c>
      <c r="C627" s="3" t="s">
        <v>94</v>
      </c>
      <c r="G627" s="3" t="s">
        <v>508</v>
      </c>
      <c r="H627" s="3">
        <v>11.3</v>
      </c>
      <c r="I627" s="3">
        <v>5.9</v>
      </c>
    </row>
    <row r="628" spans="1:9" s="3" customFormat="1" x14ac:dyDescent="0.25">
      <c r="A628" s="3" t="s">
        <v>532</v>
      </c>
      <c r="B628" s="3" t="s">
        <v>93</v>
      </c>
      <c r="C628" s="3" t="s">
        <v>94</v>
      </c>
      <c r="G628" s="3" t="s">
        <v>506</v>
      </c>
      <c r="H628" s="3">
        <v>9.3</v>
      </c>
      <c r="I628" s="3">
        <v>4.9</v>
      </c>
    </row>
    <row r="629" spans="1:9" s="3" customFormat="1" x14ac:dyDescent="0.25">
      <c r="A629" s="3" t="s">
        <v>532</v>
      </c>
      <c r="B629" s="3" t="s">
        <v>93</v>
      </c>
      <c r="C629" s="3" t="s">
        <v>94</v>
      </c>
      <c r="G629" s="3" t="s">
        <v>511</v>
      </c>
      <c r="H629" s="3">
        <v>5.6</v>
      </c>
      <c r="I629" s="3">
        <v>2.9</v>
      </c>
    </row>
    <row r="630" spans="1:9" s="3" customFormat="1" x14ac:dyDescent="0.25">
      <c r="A630" s="3" t="s">
        <v>532</v>
      </c>
      <c r="B630" s="3" t="s">
        <v>93</v>
      </c>
      <c r="C630" s="3" t="s">
        <v>94</v>
      </c>
      <c r="G630" s="3" t="s">
        <v>510</v>
      </c>
      <c r="H630" s="3">
        <v>5.3</v>
      </c>
      <c r="I630" s="3">
        <v>2.8</v>
      </c>
    </row>
    <row r="631" spans="1:9" s="3" customFormat="1" x14ac:dyDescent="0.25">
      <c r="A631" s="3" t="s">
        <v>532</v>
      </c>
      <c r="B631" s="3" t="s">
        <v>93</v>
      </c>
      <c r="C631" s="3" t="s">
        <v>94</v>
      </c>
      <c r="G631" s="3" t="s">
        <v>517</v>
      </c>
      <c r="H631" s="3">
        <v>4.6</v>
      </c>
      <c r="I631" s="3">
        <v>2.4</v>
      </c>
    </row>
    <row r="632" spans="1:9" s="3" customFormat="1" x14ac:dyDescent="0.25">
      <c r="A632" s="3" t="s">
        <v>532</v>
      </c>
      <c r="B632" s="3" t="s">
        <v>93</v>
      </c>
      <c r="C632" s="3" t="s">
        <v>94</v>
      </c>
      <c r="G632" s="3" t="s">
        <v>509</v>
      </c>
      <c r="H632" s="3">
        <v>4.1</v>
      </c>
      <c r="I632" s="3">
        <v>2.2</v>
      </c>
    </row>
    <row r="633" spans="1:9" s="3" customFormat="1" x14ac:dyDescent="0.25">
      <c r="A633" s="3" t="s">
        <v>532</v>
      </c>
      <c r="B633" s="3" t="s">
        <v>93</v>
      </c>
      <c r="C633" s="3" t="s">
        <v>94</v>
      </c>
      <c r="G633" s="3" t="s">
        <v>512</v>
      </c>
      <c r="H633" s="3">
        <v>3.9</v>
      </c>
      <c r="I633" s="3">
        <v>2</v>
      </c>
    </row>
    <row r="634" spans="1:9" s="3" customFormat="1" x14ac:dyDescent="0.25">
      <c r="A634" s="3" t="s">
        <v>532</v>
      </c>
      <c r="B634" s="3" t="s">
        <v>93</v>
      </c>
      <c r="C634" s="3" t="s">
        <v>94</v>
      </c>
      <c r="G634" s="3" t="s">
        <v>514</v>
      </c>
      <c r="H634" s="3">
        <v>3.5</v>
      </c>
      <c r="I634" s="3">
        <v>1.8</v>
      </c>
    </row>
    <row r="635" spans="1:9" s="3" customFormat="1" x14ac:dyDescent="0.25">
      <c r="A635" s="3" t="s">
        <v>532</v>
      </c>
      <c r="B635" s="3" t="s">
        <v>93</v>
      </c>
      <c r="C635" s="3" t="s">
        <v>94</v>
      </c>
      <c r="G635" s="3" t="s">
        <v>515</v>
      </c>
      <c r="H635" s="3">
        <v>3.5</v>
      </c>
      <c r="I635" s="3">
        <v>1.8</v>
      </c>
    </row>
    <row r="636" spans="1:9" s="3" customFormat="1" x14ac:dyDescent="0.25">
      <c r="A636" s="3" t="s">
        <v>532</v>
      </c>
      <c r="B636" s="3" t="s">
        <v>93</v>
      </c>
      <c r="C636" s="3" t="s">
        <v>94</v>
      </c>
      <c r="G636" s="3" t="s">
        <v>513</v>
      </c>
      <c r="H636" s="3">
        <v>2.8</v>
      </c>
      <c r="I636" s="3">
        <v>1.5</v>
      </c>
    </row>
    <row r="637" spans="1:9" s="3" customFormat="1" x14ac:dyDescent="0.25">
      <c r="A637" s="3" t="s">
        <v>532</v>
      </c>
      <c r="B637" s="3" t="s">
        <v>93</v>
      </c>
      <c r="C637" s="3" t="s">
        <v>94</v>
      </c>
      <c r="G637" s="3" t="s">
        <v>519</v>
      </c>
      <c r="H637" s="3">
        <v>2.2</v>
      </c>
      <c r="I637" s="3">
        <v>1.2</v>
      </c>
    </row>
    <row r="638" spans="1:9" s="3" customFormat="1" x14ac:dyDescent="0.25">
      <c r="A638" s="3" t="s">
        <v>532</v>
      </c>
      <c r="B638" s="3" t="s">
        <v>93</v>
      </c>
      <c r="C638" s="3" t="s">
        <v>94</v>
      </c>
      <c r="G638" s="3" t="s">
        <v>522</v>
      </c>
      <c r="H638" s="3">
        <v>2</v>
      </c>
      <c r="I638" s="3">
        <v>1</v>
      </c>
    </row>
    <row r="639" spans="1:9" s="3" customFormat="1" x14ac:dyDescent="0.25">
      <c r="A639" s="3" t="s">
        <v>532</v>
      </c>
      <c r="B639" s="3" t="s">
        <v>93</v>
      </c>
      <c r="C639" s="3" t="s">
        <v>94</v>
      </c>
      <c r="G639" s="3" t="s">
        <v>521</v>
      </c>
      <c r="H639" s="3">
        <v>1.8</v>
      </c>
      <c r="I639" s="3">
        <v>1</v>
      </c>
    </row>
    <row r="640" spans="1:9" s="3" customFormat="1" x14ac:dyDescent="0.25">
      <c r="A640" s="3" t="s">
        <v>532</v>
      </c>
      <c r="B640" s="3" t="s">
        <v>93</v>
      </c>
      <c r="C640" s="3" t="s">
        <v>94</v>
      </c>
      <c r="G640" s="3" t="s">
        <v>516</v>
      </c>
      <c r="H640" s="3">
        <v>1.6</v>
      </c>
      <c r="I640" s="3">
        <v>0.9</v>
      </c>
    </row>
    <row r="641" spans="1:9" s="3" customFormat="1" x14ac:dyDescent="0.25">
      <c r="A641" s="3" t="s">
        <v>532</v>
      </c>
      <c r="B641" s="3" t="s">
        <v>93</v>
      </c>
      <c r="C641" s="3" t="s">
        <v>94</v>
      </c>
      <c r="G641" s="3" t="s">
        <v>518</v>
      </c>
      <c r="H641" s="3">
        <v>1.2</v>
      </c>
      <c r="I641" s="3">
        <v>0.6</v>
      </c>
    </row>
    <row r="642" spans="1:9" s="3" customFormat="1" x14ac:dyDescent="0.25">
      <c r="A642" s="3" t="s">
        <v>532</v>
      </c>
      <c r="B642" s="3" t="s">
        <v>93</v>
      </c>
      <c r="C642" s="3" t="s">
        <v>94</v>
      </c>
      <c r="G642" s="3" t="s">
        <v>523</v>
      </c>
      <c r="H642" s="3">
        <v>1</v>
      </c>
      <c r="I642" s="3">
        <v>0.5</v>
      </c>
    </row>
    <row r="643" spans="1:9" s="3" customFormat="1" x14ac:dyDescent="0.25">
      <c r="A643" s="3" t="s">
        <v>532</v>
      </c>
      <c r="B643" s="3" t="s">
        <v>93</v>
      </c>
      <c r="C643" s="3" t="s">
        <v>94</v>
      </c>
      <c r="G643" s="3" t="s">
        <v>520</v>
      </c>
      <c r="H643" s="3">
        <v>0.5</v>
      </c>
      <c r="I643" s="3">
        <v>0.3</v>
      </c>
    </row>
    <row r="644" spans="1:9" s="3" customFormat="1" x14ac:dyDescent="0.25">
      <c r="A644" s="3" t="s">
        <v>532</v>
      </c>
      <c r="B644" s="3" t="s">
        <v>93</v>
      </c>
      <c r="C644" s="3" t="s">
        <v>94</v>
      </c>
      <c r="G644" s="3" t="s">
        <v>524</v>
      </c>
      <c r="H644" s="3">
        <v>0.2</v>
      </c>
      <c r="I644" s="3">
        <v>0.1</v>
      </c>
    </row>
    <row r="645" spans="1:9" s="3" customFormat="1" x14ac:dyDescent="0.25">
      <c r="A645" s="3" t="s">
        <v>532</v>
      </c>
      <c r="B645" s="3" t="s">
        <v>93</v>
      </c>
      <c r="C645" s="3" t="s">
        <v>94</v>
      </c>
      <c r="G645" s="3" t="s">
        <v>525</v>
      </c>
      <c r="H645" s="3">
        <v>0.1</v>
      </c>
      <c r="I645" s="3">
        <v>0</v>
      </c>
    </row>
    <row r="646" spans="1:9" s="3" customFormat="1" x14ac:dyDescent="0.25">
      <c r="A646" s="3" t="s">
        <v>532</v>
      </c>
      <c r="B646" s="3" t="s">
        <v>95</v>
      </c>
      <c r="C646" s="3" t="s">
        <v>96</v>
      </c>
      <c r="D646" s="3">
        <v>302</v>
      </c>
      <c r="E646" s="3">
        <v>102.1</v>
      </c>
      <c r="F646" s="3">
        <v>200</v>
      </c>
      <c r="G646" s="3" t="s">
        <v>505</v>
      </c>
      <c r="H646" s="3">
        <v>73.5</v>
      </c>
      <c r="I646" s="3">
        <v>36.8</v>
      </c>
    </row>
    <row r="647" spans="1:9" s="3" customFormat="1" x14ac:dyDescent="0.25">
      <c r="A647" s="3" t="s">
        <v>532</v>
      </c>
      <c r="B647" s="3" t="s">
        <v>95</v>
      </c>
      <c r="C647" s="3" t="s">
        <v>96</v>
      </c>
      <c r="G647" s="3" t="s">
        <v>503</v>
      </c>
      <c r="H647" s="3">
        <v>32.8</v>
      </c>
      <c r="I647" s="3">
        <v>16.4</v>
      </c>
    </row>
    <row r="648" spans="1:9" s="3" customFormat="1" x14ac:dyDescent="0.25">
      <c r="A648" s="3" t="s">
        <v>532</v>
      </c>
      <c r="B648" s="3" t="s">
        <v>95</v>
      </c>
      <c r="C648" s="3" t="s">
        <v>96</v>
      </c>
      <c r="G648" s="3" t="s">
        <v>504</v>
      </c>
      <c r="H648" s="3">
        <v>23.8</v>
      </c>
      <c r="I648" s="3">
        <v>11.9</v>
      </c>
    </row>
    <row r="649" spans="1:9" s="3" customFormat="1" x14ac:dyDescent="0.25">
      <c r="A649" s="3" t="s">
        <v>532</v>
      </c>
      <c r="B649" s="3" t="s">
        <v>95</v>
      </c>
      <c r="C649" s="3" t="s">
        <v>96</v>
      </c>
      <c r="G649" s="3" t="s">
        <v>506</v>
      </c>
      <c r="H649" s="3">
        <v>17.1</v>
      </c>
      <c r="I649" s="3">
        <v>8.6</v>
      </c>
    </row>
    <row r="650" spans="1:9" s="3" customFormat="1" x14ac:dyDescent="0.25">
      <c r="A650" s="3" t="s">
        <v>532</v>
      </c>
      <c r="B650" s="3" t="s">
        <v>95</v>
      </c>
      <c r="C650" s="3" t="s">
        <v>96</v>
      </c>
      <c r="G650" s="3" t="s">
        <v>507</v>
      </c>
      <c r="H650" s="3">
        <v>10.3</v>
      </c>
      <c r="I650" s="3">
        <v>5.1</v>
      </c>
    </row>
    <row r="651" spans="1:9" s="3" customFormat="1" x14ac:dyDescent="0.25">
      <c r="A651" s="3" t="s">
        <v>532</v>
      </c>
      <c r="B651" s="3" t="s">
        <v>95</v>
      </c>
      <c r="C651" s="3" t="s">
        <v>96</v>
      </c>
      <c r="G651" s="3" t="s">
        <v>510</v>
      </c>
      <c r="H651" s="3">
        <v>9.3</v>
      </c>
      <c r="I651" s="3">
        <v>4.6</v>
      </c>
    </row>
    <row r="652" spans="1:9" s="3" customFormat="1" x14ac:dyDescent="0.25">
      <c r="A652" s="3" t="s">
        <v>532</v>
      </c>
      <c r="B652" s="3" t="s">
        <v>95</v>
      </c>
      <c r="C652" s="3" t="s">
        <v>96</v>
      </c>
      <c r="G652" s="3" t="s">
        <v>515</v>
      </c>
      <c r="H652" s="3">
        <v>6.5</v>
      </c>
      <c r="I652" s="3">
        <v>3.2</v>
      </c>
    </row>
    <row r="653" spans="1:9" s="3" customFormat="1" x14ac:dyDescent="0.25">
      <c r="A653" s="3" t="s">
        <v>532</v>
      </c>
      <c r="B653" s="3" t="s">
        <v>95</v>
      </c>
      <c r="C653" s="3" t="s">
        <v>96</v>
      </c>
      <c r="G653" s="3" t="s">
        <v>514</v>
      </c>
      <c r="H653" s="3">
        <v>3.7</v>
      </c>
      <c r="I653" s="3">
        <v>1.9</v>
      </c>
    </row>
    <row r="654" spans="1:9" s="3" customFormat="1" x14ac:dyDescent="0.25">
      <c r="A654" s="3" t="s">
        <v>532</v>
      </c>
      <c r="B654" s="3" t="s">
        <v>95</v>
      </c>
      <c r="C654" s="3" t="s">
        <v>96</v>
      </c>
      <c r="G654" s="3" t="s">
        <v>517</v>
      </c>
      <c r="H654" s="3">
        <v>3.3</v>
      </c>
      <c r="I654" s="3">
        <v>1.6</v>
      </c>
    </row>
    <row r="655" spans="1:9" s="3" customFormat="1" x14ac:dyDescent="0.25">
      <c r="A655" s="3" t="s">
        <v>532</v>
      </c>
      <c r="B655" s="3" t="s">
        <v>95</v>
      </c>
      <c r="C655" s="3" t="s">
        <v>96</v>
      </c>
      <c r="G655" s="3" t="s">
        <v>519</v>
      </c>
      <c r="H655" s="3">
        <v>3.1</v>
      </c>
      <c r="I655" s="3">
        <v>1.6</v>
      </c>
    </row>
    <row r="656" spans="1:9" s="3" customFormat="1" x14ac:dyDescent="0.25">
      <c r="A656" s="3" t="s">
        <v>532</v>
      </c>
      <c r="B656" s="3" t="s">
        <v>95</v>
      </c>
      <c r="C656" s="3" t="s">
        <v>96</v>
      </c>
      <c r="G656" s="3" t="s">
        <v>522</v>
      </c>
      <c r="H656" s="3">
        <v>2.8</v>
      </c>
      <c r="I656" s="3">
        <v>1.4</v>
      </c>
    </row>
    <row r="657" spans="1:9" s="3" customFormat="1" x14ac:dyDescent="0.25">
      <c r="A657" s="3" t="s">
        <v>532</v>
      </c>
      <c r="B657" s="3" t="s">
        <v>95</v>
      </c>
      <c r="C657" s="3" t="s">
        <v>96</v>
      </c>
      <c r="G657" s="3" t="s">
        <v>512</v>
      </c>
      <c r="H657" s="3">
        <v>2.8</v>
      </c>
      <c r="I657" s="3">
        <v>1.4</v>
      </c>
    </row>
    <row r="658" spans="1:9" s="3" customFormat="1" x14ac:dyDescent="0.25">
      <c r="A658" s="3" t="s">
        <v>532</v>
      </c>
      <c r="B658" s="3" t="s">
        <v>95</v>
      </c>
      <c r="C658" s="3" t="s">
        <v>96</v>
      </c>
      <c r="G658" s="3" t="s">
        <v>509</v>
      </c>
      <c r="H658" s="3">
        <v>2.5</v>
      </c>
      <c r="I658" s="3">
        <v>1.2</v>
      </c>
    </row>
    <row r="659" spans="1:9" s="3" customFormat="1" x14ac:dyDescent="0.25">
      <c r="A659" s="3" t="s">
        <v>532</v>
      </c>
      <c r="B659" s="3" t="s">
        <v>95</v>
      </c>
      <c r="C659" s="3" t="s">
        <v>96</v>
      </c>
      <c r="G659" s="3" t="s">
        <v>508</v>
      </c>
      <c r="H659" s="3">
        <v>2.5</v>
      </c>
      <c r="I659" s="3">
        <v>1.2</v>
      </c>
    </row>
    <row r="660" spans="1:9" s="3" customFormat="1" x14ac:dyDescent="0.25">
      <c r="A660" s="3" t="s">
        <v>532</v>
      </c>
      <c r="B660" s="3" t="s">
        <v>95</v>
      </c>
      <c r="C660" s="3" t="s">
        <v>96</v>
      </c>
      <c r="G660" s="3" t="s">
        <v>511</v>
      </c>
      <c r="H660" s="3">
        <v>1.7</v>
      </c>
      <c r="I660" s="3">
        <v>0.8</v>
      </c>
    </row>
    <row r="661" spans="1:9" s="3" customFormat="1" x14ac:dyDescent="0.25">
      <c r="A661" s="3" t="s">
        <v>532</v>
      </c>
      <c r="B661" s="3" t="s">
        <v>95</v>
      </c>
      <c r="C661" s="3" t="s">
        <v>96</v>
      </c>
      <c r="G661" s="3" t="s">
        <v>513</v>
      </c>
      <c r="H661" s="3">
        <v>1.5</v>
      </c>
      <c r="I661" s="3">
        <v>0.8</v>
      </c>
    </row>
    <row r="662" spans="1:9" s="3" customFormat="1" x14ac:dyDescent="0.25">
      <c r="A662" s="3" t="s">
        <v>532</v>
      </c>
      <c r="B662" s="3" t="s">
        <v>95</v>
      </c>
      <c r="C662" s="3" t="s">
        <v>96</v>
      </c>
      <c r="G662" s="3" t="s">
        <v>523</v>
      </c>
      <c r="H662" s="3">
        <v>0.7</v>
      </c>
      <c r="I662" s="3">
        <v>0.4</v>
      </c>
    </row>
    <row r="663" spans="1:9" s="3" customFormat="1" x14ac:dyDescent="0.25">
      <c r="A663" s="3" t="s">
        <v>532</v>
      </c>
      <c r="B663" s="3" t="s">
        <v>95</v>
      </c>
      <c r="C663" s="3" t="s">
        <v>96</v>
      </c>
      <c r="G663" s="3" t="s">
        <v>521</v>
      </c>
      <c r="H663" s="3">
        <v>0.7</v>
      </c>
      <c r="I663" s="3">
        <v>0.3</v>
      </c>
    </row>
    <row r="664" spans="1:9" s="3" customFormat="1" x14ac:dyDescent="0.25">
      <c r="A664" s="3" t="s">
        <v>532</v>
      </c>
      <c r="B664" s="3" t="s">
        <v>95</v>
      </c>
      <c r="C664" s="3" t="s">
        <v>96</v>
      </c>
      <c r="G664" s="3" t="s">
        <v>516</v>
      </c>
      <c r="H664" s="3">
        <v>0.7</v>
      </c>
      <c r="I664" s="3">
        <v>0.3</v>
      </c>
    </row>
    <row r="665" spans="1:9" s="3" customFormat="1" x14ac:dyDescent="0.25">
      <c r="A665" s="3" t="s">
        <v>532</v>
      </c>
      <c r="B665" s="3" t="s">
        <v>95</v>
      </c>
      <c r="C665" s="3" t="s">
        <v>96</v>
      </c>
      <c r="G665" s="3" t="s">
        <v>518</v>
      </c>
      <c r="H665" s="3">
        <v>0.5</v>
      </c>
      <c r="I665" s="3">
        <v>0.2</v>
      </c>
    </row>
    <row r="666" spans="1:9" s="3" customFormat="1" x14ac:dyDescent="0.25">
      <c r="A666" s="3" t="s">
        <v>532</v>
      </c>
      <c r="B666" s="3" t="s">
        <v>95</v>
      </c>
      <c r="C666" s="3" t="s">
        <v>96</v>
      </c>
      <c r="G666" s="3" t="s">
        <v>520</v>
      </c>
      <c r="H666" s="3">
        <v>0.1</v>
      </c>
      <c r="I666" s="3">
        <v>0</v>
      </c>
    </row>
    <row r="667" spans="1:9" s="3" customFormat="1" x14ac:dyDescent="0.25">
      <c r="A667" s="3" t="s">
        <v>532</v>
      </c>
      <c r="B667" s="3" t="s">
        <v>95</v>
      </c>
      <c r="C667" s="3" t="s">
        <v>96</v>
      </c>
      <c r="G667" s="3" t="s">
        <v>524</v>
      </c>
      <c r="H667" s="3">
        <v>0.1</v>
      </c>
      <c r="I667" s="3">
        <v>0</v>
      </c>
    </row>
    <row r="668" spans="1:9" s="3" customFormat="1" x14ac:dyDescent="0.25">
      <c r="A668" s="3" t="s">
        <v>532</v>
      </c>
      <c r="B668" s="3" t="s">
        <v>95</v>
      </c>
      <c r="C668" s="3" t="s">
        <v>96</v>
      </c>
      <c r="G668" s="3" t="s">
        <v>525</v>
      </c>
      <c r="H668" s="3">
        <v>0.1</v>
      </c>
      <c r="I668" s="3">
        <v>0</v>
      </c>
    </row>
    <row r="669" spans="1:9" s="3" customFormat="1" x14ac:dyDescent="0.25">
      <c r="A669" s="3" t="s">
        <v>532</v>
      </c>
      <c r="B669" s="3" t="s">
        <v>97</v>
      </c>
      <c r="C669" s="3" t="s">
        <v>98</v>
      </c>
      <c r="D669" s="3">
        <v>162.6</v>
      </c>
      <c r="E669" s="3">
        <v>97.5</v>
      </c>
      <c r="F669" s="3">
        <v>65.1</v>
      </c>
      <c r="G669" s="3" t="s">
        <v>503</v>
      </c>
      <c r="H669" s="3">
        <v>19.4</v>
      </c>
      <c r="I669" s="3">
        <v>29.8</v>
      </c>
    </row>
    <row r="670" spans="1:9" s="3" customFormat="1" x14ac:dyDescent="0.25">
      <c r="A670" s="3" t="s">
        <v>532</v>
      </c>
      <c r="B670" s="3" t="s">
        <v>97</v>
      </c>
      <c r="C670" s="3" t="s">
        <v>98</v>
      </c>
      <c r="G670" s="3" t="s">
        <v>505</v>
      </c>
      <c r="H670" s="3">
        <v>9.1</v>
      </c>
      <c r="I670" s="3">
        <v>14</v>
      </c>
    </row>
    <row r="671" spans="1:9" s="3" customFormat="1" x14ac:dyDescent="0.25">
      <c r="A671" s="3" t="s">
        <v>532</v>
      </c>
      <c r="B671" s="3" t="s">
        <v>97</v>
      </c>
      <c r="C671" s="3" t="s">
        <v>98</v>
      </c>
      <c r="G671" s="3" t="s">
        <v>507</v>
      </c>
      <c r="H671" s="3">
        <v>7.3</v>
      </c>
      <c r="I671" s="3">
        <v>11.2</v>
      </c>
    </row>
    <row r="672" spans="1:9" s="3" customFormat="1" x14ac:dyDescent="0.25">
      <c r="A672" s="3" t="s">
        <v>532</v>
      </c>
      <c r="B672" s="3" t="s">
        <v>97</v>
      </c>
      <c r="C672" s="3" t="s">
        <v>98</v>
      </c>
      <c r="G672" s="3" t="s">
        <v>504</v>
      </c>
      <c r="H672" s="3">
        <v>5.9</v>
      </c>
      <c r="I672" s="3">
        <v>9.1</v>
      </c>
    </row>
    <row r="673" spans="1:9" s="3" customFormat="1" x14ac:dyDescent="0.25">
      <c r="A673" s="3" t="s">
        <v>532</v>
      </c>
      <c r="B673" s="3" t="s">
        <v>97</v>
      </c>
      <c r="C673" s="3" t="s">
        <v>98</v>
      </c>
      <c r="G673" s="3" t="s">
        <v>506</v>
      </c>
      <c r="H673" s="3">
        <v>4.2</v>
      </c>
      <c r="I673" s="3">
        <v>6.5</v>
      </c>
    </row>
    <row r="674" spans="1:9" s="3" customFormat="1" x14ac:dyDescent="0.25">
      <c r="A674" s="3" t="s">
        <v>532</v>
      </c>
      <c r="B674" s="3" t="s">
        <v>97</v>
      </c>
      <c r="C674" s="3" t="s">
        <v>98</v>
      </c>
      <c r="G674" s="3" t="s">
        <v>508</v>
      </c>
      <c r="H674" s="3">
        <v>3.5</v>
      </c>
      <c r="I674" s="3">
        <v>5.4</v>
      </c>
    </row>
    <row r="675" spans="1:9" s="3" customFormat="1" x14ac:dyDescent="0.25">
      <c r="A675" s="3" t="s">
        <v>532</v>
      </c>
      <c r="B675" s="3" t="s">
        <v>97</v>
      </c>
      <c r="C675" s="3" t="s">
        <v>98</v>
      </c>
      <c r="G675" s="3" t="s">
        <v>512</v>
      </c>
      <c r="H675" s="3">
        <v>2.6</v>
      </c>
      <c r="I675" s="3">
        <v>4.1</v>
      </c>
    </row>
    <row r="676" spans="1:9" s="3" customFormat="1" x14ac:dyDescent="0.25">
      <c r="A676" s="3" t="s">
        <v>532</v>
      </c>
      <c r="B676" s="3" t="s">
        <v>97</v>
      </c>
      <c r="C676" s="3" t="s">
        <v>98</v>
      </c>
      <c r="G676" s="3" t="s">
        <v>513</v>
      </c>
      <c r="H676" s="3">
        <v>1.7</v>
      </c>
      <c r="I676" s="3">
        <v>2.7</v>
      </c>
    </row>
    <row r="677" spans="1:9" s="3" customFormat="1" x14ac:dyDescent="0.25">
      <c r="A677" s="3" t="s">
        <v>532</v>
      </c>
      <c r="B677" s="3" t="s">
        <v>97</v>
      </c>
      <c r="C677" s="3" t="s">
        <v>98</v>
      </c>
      <c r="G677" s="3" t="s">
        <v>515</v>
      </c>
      <c r="H677" s="3">
        <v>1.5</v>
      </c>
      <c r="I677" s="3">
        <v>2.3</v>
      </c>
    </row>
    <row r="678" spans="1:9" s="3" customFormat="1" x14ac:dyDescent="0.25">
      <c r="A678" s="3" t="s">
        <v>532</v>
      </c>
      <c r="B678" s="3" t="s">
        <v>97</v>
      </c>
      <c r="C678" s="3" t="s">
        <v>98</v>
      </c>
      <c r="G678" s="3" t="s">
        <v>514</v>
      </c>
      <c r="H678" s="3">
        <v>1.4</v>
      </c>
      <c r="I678" s="3">
        <v>2.2</v>
      </c>
    </row>
    <row r="679" spans="1:9" s="3" customFormat="1" x14ac:dyDescent="0.25">
      <c r="A679" s="3" t="s">
        <v>532</v>
      </c>
      <c r="B679" s="3" t="s">
        <v>97</v>
      </c>
      <c r="C679" s="3" t="s">
        <v>98</v>
      </c>
      <c r="G679" s="3" t="s">
        <v>511</v>
      </c>
      <c r="H679" s="3">
        <v>1.3</v>
      </c>
      <c r="I679" s="3">
        <v>2</v>
      </c>
    </row>
    <row r="680" spans="1:9" s="3" customFormat="1" x14ac:dyDescent="0.25">
      <c r="A680" s="3" t="s">
        <v>532</v>
      </c>
      <c r="B680" s="3" t="s">
        <v>97</v>
      </c>
      <c r="C680" s="3" t="s">
        <v>98</v>
      </c>
      <c r="G680" s="3" t="s">
        <v>517</v>
      </c>
      <c r="H680" s="3">
        <v>1.1</v>
      </c>
      <c r="I680" s="3">
        <v>1.6</v>
      </c>
    </row>
    <row r="681" spans="1:9" s="3" customFormat="1" x14ac:dyDescent="0.25">
      <c r="A681" s="3" t="s">
        <v>532</v>
      </c>
      <c r="B681" s="3" t="s">
        <v>97</v>
      </c>
      <c r="C681" s="3" t="s">
        <v>98</v>
      </c>
      <c r="G681" s="3" t="s">
        <v>516</v>
      </c>
      <c r="H681" s="3">
        <v>1</v>
      </c>
      <c r="I681" s="3">
        <v>1.6</v>
      </c>
    </row>
    <row r="682" spans="1:9" s="3" customFormat="1" x14ac:dyDescent="0.25">
      <c r="A682" s="3" t="s">
        <v>532</v>
      </c>
      <c r="B682" s="3" t="s">
        <v>97</v>
      </c>
      <c r="C682" s="3" t="s">
        <v>98</v>
      </c>
      <c r="G682" s="3" t="s">
        <v>509</v>
      </c>
      <c r="H682" s="3">
        <v>1</v>
      </c>
      <c r="I682" s="3">
        <v>1.5</v>
      </c>
    </row>
    <row r="683" spans="1:9" s="3" customFormat="1" x14ac:dyDescent="0.25">
      <c r="A683" s="3" t="s">
        <v>532</v>
      </c>
      <c r="B683" s="3" t="s">
        <v>97</v>
      </c>
      <c r="C683" s="3" t="s">
        <v>98</v>
      </c>
      <c r="G683" s="3" t="s">
        <v>522</v>
      </c>
      <c r="H683" s="3">
        <v>0.9</v>
      </c>
      <c r="I683" s="3">
        <v>1.4</v>
      </c>
    </row>
    <row r="684" spans="1:9" s="3" customFormat="1" x14ac:dyDescent="0.25">
      <c r="A684" s="3" t="s">
        <v>532</v>
      </c>
      <c r="B684" s="3" t="s">
        <v>97</v>
      </c>
      <c r="C684" s="3" t="s">
        <v>98</v>
      </c>
      <c r="G684" s="3" t="s">
        <v>510</v>
      </c>
      <c r="H684" s="3">
        <v>0.9</v>
      </c>
      <c r="I684" s="3">
        <v>1.3</v>
      </c>
    </row>
    <row r="685" spans="1:9" s="3" customFormat="1" x14ac:dyDescent="0.25">
      <c r="A685" s="3" t="s">
        <v>532</v>
      </c>
      <c r="B685" s="3" t="s">
        <v>97</v>
      </c>
      <c r="C685" s="3" t="s">
        <v>98</v>
      </c>
      <c r="G685" s="3" t="s">
        <v>519</v>
      </c>
      <c r="H685" s="3">
        <v>0.6</v>
      </c>
      <c r="I685" s="3">
        <v>1</v>
      </c>
    </row>
    <row r="686" spans="1:9" s="3" customFormat="1" x14ac:dyDescent="0.25">
      <c r="A686" s="3" t="s">
        <v>532</v>
      </c>
      <c r="B686" s="3" t="s">
        <v>97</v>
      </c>
      <c r="C686" s="3" t="s">
        <v>98</v>
      </c>
      <c r="G686" s="3" t="s">
        <v>521</v>
      </c>
      <c r="H686" s="3">
        <v>0.6</v>
      </c>
      <c r="I686" s="3">
        <v>0.9</v>
      </c>
    </row>
    <row r="687" spans="1:9" s="3" customFormat="1" x14ac:dyDescent="0.25">
      <c r="A687" s="3" t="s">
        <v>532</v>
      </c>
      <c r="B687" s="3" t="s">
        <v>97</v>
      </c>
      <c r="C687" s="3" t="s">
        <v>98</v>
      </c>
      <c r="G687" s="3" t="s">
        <v>518</v>
      </c>
      <c r="H687" s="3">
        <v>0.3</v>
      </c>
      <c r="I687" s="3">
        <v>0.4</v>
      </c>
    </row>
    <row r="688" spans="1:9" s="3" customFormat="1" x14ac:dyDescent="0.25">
      <c r="A688" s="3" t="s">
        <v>532</v>
      </c>
      <c r="B688" s="3" t="s">
        <v>97</v>
      </c>
      <c r="C688" s="3" t="s">
        <v>98</v>
      </c>
      <c r="G688" s="3" t="s">
        <v>523</v>
      </c>
      <c r="H688" s="3">
        <v>0.2</v>
      </c>
      <c r="I688" s="3">
        <v>0.3</v>
      </c>
    </row>
    <row r="689" spans="1:9" s="3" customFormat="1" x14ac:dyDescent="0.25">
      <c r="A689" s="3" t="s">
        <v>532</v>
      </c>
      <c r="B689" s="3" t="s">
        <v>97</v>
      </c>
      <c r="C689" s="3" t="s">
        <v>98</v>
      </c>
      <c r="G689" s="3" t="s">
        <v>520</v>
      </c>
      <c r="H689" s="3">
        <v>0.2</v>
      </c>
      <c r="I689" s="3">
        <v>0.3</v>
      </c>
    </row>
    <row r="690" spans="1:9" s="3" customFormat="1" x14ac:dyDescent="0.25">
      <c r="A690" s="3" t="s">
        <v>532</v>
      </c>
      <c r="B690" s="3" t="s">
        <v>97</v>
      </c>
      <c r="C690" s="3" t="s">
        <v>98</v>
      </c>
      <c r="G690" s="3" t="s">
        <v>524</v>
      </c>
      <c r="H690" s="3">
        <v>0.1</v>
      </c>
      <c r="I690" s="3">
        <v>0.2</v>
      </c>
    </row>
    <row r="691" spans="1:9" s="3" customFormat="1" x14ac:dyDescent="0.25">
      <c r="A691" s="3" t="s">
        <v>532</v>
      </c>
      <c r="B691" s="3" t="s">
        <v>97</v>
      </c>
      <c r="C691" s="3" t="s">
        <v>98</v>
      </c>
      <c r="G691" s="3" t="s">
        <v>525</v>
      </c>
      <c r="H691" s="3">
        <v>0</v>
      </c>
      <c r="I691" s="3">
        <v>0.1</v>
      </c>
    </row>
    <row r="692" spans="1:9" s="3" customFormat="1" x14ac:dyDescent="0.25">
      <c r="A692" s="3" t="s">
        <v>532</v>
      </c>
      <c r="B692" s="3" t="s">
        <v>99</v>
      </c>
      <c r="C692" s="3" t="s">
        <v>100</v>
      </c>
      <c r="D692" s="3">
        <v>70.1</v>
      </c>
      <c r="E692" s="3">
        <v>37.5</v>
      </c>
      <c r="F692" s="3">
        <v>32.6</v>
      </c>
      <c r="G692" s="3" t="s">
        <v>503</v>
      </c>
      <c r="H692" s="3">
        <v>10</v>
      </c>
      <c r="I692" s="3">
        <v>30.7</v>
      </c>
    </row>
    <row r="693" spans="1:9" s="3" customFormat="1" x14ac:dyDescent="0.25">
      <c r="A693" s="3" t="s">
        <v>532</v>
      </c>
      <c r="B693" s="3" t="s">
        <v>99</v>
      </c>
      <c r="C693" s="3" t="s">
        <v>100</v>
      </c>
      <c r="G693" s="3" t="s">
        <v>505</v>
      </c>
      <c r="H693" s="3">
        <v>5.6</v>
      </c>
      <c r="I693" s="3">
        <v>17.1</v>
      </c>
    </row>
    <row r="694" spans="1:9" s="3" customFormat="1" x14ac:dyDescent="0.25">
      <c r="A694" s="3" t="s">
        <v>532</v>
      </c>
      <c r="B694" s="3" t="s">
        <v>99</v>
      </c>
      <c r="C694" s="3" t="s">
        <v>100</v>
      </c>
      <c r="G694" s="3" t="s">
        <v>507</v>
      </c>
      <c r="H694" s="3">
        <v>3.6</v>
      </c>
      <c r="I694" s="3">
        <v>11.1</v>
      </c>
    </row>
    <row r="695" spans="1:9" s="3" customFormat="1" x14ac:dyDescent="0.25">
      <c r="A695" s="3" t="s">
        <v>532</v>
      </c>
      <c r="B695" s="3" t="s">
        <v>99</v>
      </c>
      <c r="C695" s="3" t="s">
        <v>100</v>
      </c>
      <c r="G695" s="3" t="s">
        <v>504</v>
      </c>
      <c r="H695" s="3">
        <v>2.4</v>
      </c>
      <c r="I695" s="3">
        <v>7.4</v>
      </c>
    </row>
    <row r="696" spans="1:9" s="3" customFormat="1" x14ac:dyDescent="0.25">
      <c r="A696" s="3" t="s">
        <v>532</v>
      </c>
      <c r="B696" s="3" t="s">
        <v>99</v>
      </c>
      <c r="C696" s="3" t="s">
        <v>100</v>
      </c>
      <c r="G696" s="3" t="s">
        <v>506</v>
      </c>
      <c r="H696" s="3">
        <v>2</v>
      </c>
      <c r="I696" s="3">
        <v>6.1</v>
      </c>
    </row>
    <row r="697" spans="1:9" s="3" customFormat="1" x14ac:dyDescent="0.25">
      <c r="A697" s="3" t="s">
        <v>532</v>
      </c>
      <c r="B697" s="3" t="s">
        <v>99</v>
      </c>
      <c r="C697" s="3" t="s">
        <v>100</v>
      </c>
      <c r="G697" s="3" t="s">
        <v>508</v>
      </c>
      <c r="H697" s="3">
        <v>1.2</v>
      </c>
      <c r="I697" s="3">
        <v>3.7</v>
      </c>
    </row>
    <row r="698" spans="1:9" s="3" customFormat="1" x14ac:dyDescent="0.25">
      <c r="A698" s="3" t="s">
        <v>532</v>
      </c>
      <c r="B698" s="3" t="s">
        <v>99</v>
      </c>
      <c r="C698" s="3" t="s">
        <v>100</v>
      </c>
      <c r="G698" s="3" t="s">
        <v>511</v>
      </c>
      <c r="H698" s="3">
        <v>0.9</v>
      </c>
      <c r="I698" s="3">
        <v>2.7</v>
      </c>
    </row>
    <row r="699" spans="1:9" s="3" customFormat="1" x14ac:dyDescent="0.25">
      <c r="A699" s="3" t="s">
        <v>532</v>
      </c>
      <c r="B699" s="3" t="s">
        <v>99</v>
      </c>
      <c r="C699" s="3" t="s">
        <v>100</v>
      </c>
      <c r="G699" s="3" t="s">
        <v>515</v>
      </c>
      <c r="H699" s="3">
        <v>0.9</v>
      </c>
      <c r="I699" s="3">
        <v>2.7</v>
      </c>
    </row>
    <row r="700" spans="1:9" s="3" customFormat="1" x14ac:dyDescent="0.25">
      <c r="A700" s="3" t="s">
        <v>532</v>
      </c>
      <c r="B700" s="3" t="s">
        <v>99</v>
      </c>
      <c r="C700" s="3" t="s">
        <v>100</v>
      </c>
      <c r="G700" s="3" t="s">
        <v>513</v>
      </c>
      <c r="H700" s="3">
        <v>0.9</v>
      </c>
      <c r="I700" s="3">
        <v>2.6</v>
      </c>
    </row>
    <row r="701" spans="1:9" s="3" customFormat="1" x14ac:dyDescent="0.25">
      <c r="A701" s="3" t="s">
        <v>532</v>
      </c>
      <c r="B701" s="3" t="s">
        <v>99</v>
      </c>
      <c r="C701" s="3" t="s">
        <v>100</v>
      </c>
      <c r="G701" s="3" t="s">
        <v>512</v>
      </c>
      <c r="H701" s="3">
        <v>0.7</v>
      </c>
      <c r="I701" s="3">
        <v>2.3</v>
      </c>
    </row>
    <row r="702" spans="1:9" s="3" customFormat="1" x14ac:dyDescent="0.25">
      <c r="A702" s="3" t="s">
        <v>532</v>
      </c>
      <c r="B702" s="3" t="s">
        <v>99</v>
      </c>
      <c r="C702" s="3" t="s">
        <v>100</v>
      </c>
      <c r="G702" s="3" t="s">
        <v>514</v>
      </c>
      <c r="H702" s="3">
        <v>0.7</v>
      </c>
      <c r="I702" s="3">
        <v>2.1</v>
      </c>
    </row>
    <row r="703" spans="1:9" s="3" customFormat="1" x14ac:dyDescent="0.25">
      <c r="A703" s="3" t="s">
        <v>532</v>
      </c>
      <c r="B703" s="3" t="s">
        <v>99</v>
      </c>
      <c r="C703" s="3" t="s">
        <v>100</v>
      </c>
      <c r="G703" s="3" t="s">
        <v>509</v>
      </c>
      <c r="H703" s="3">
        <v>0.6</v>
      </c>
      <c r="I703" s="3">
        <v>1.9</v>
      </c>
    </row>
    <row r="704" spans="1:9" s="3" customFormat="1" x14ac:dyDescent="0.25">
      <c r="A704" s="3" t="s">
        <v>532</v>
      </c>
      <c r="B704" s="3" t="s">
        <v>99</v>
      </c>
      <c r="C704" s="3" t="s">
        <v>100</v>
      </c>
      <c r="G704" s="3" t="s">
        <v>519</v>
      </c>
      <c r="H704" s="3">
        <v>0.5</v>
      </c>
      <c r="I704" s="3">
        <v>1.7</v>
      </c>
    </row>
    <row r="705" spans="1:9" s="3" customFormat="1" x14ac:dyDescent="0.25">
      <c r="A705" s="3" t="s">
        <v>532</v>
      </c>
      <c r="B705" s="3" t="s">
        <v>99</v>
      </c>
      <c r="C705" s="3" t="s">
        <v>100</v>
      </c>
      <c r="G705" s="3" t="s">
        <v>510</v>
      </c>
      <c r="H705" s="3">
        <v>0.5</v>
      </c>
      <c r="I705" s="3">
        <v>1.6</v>
      </c>
    </row>
    <row r="706" spans="1:9" s="3" customFormat="1" x14ac:dyDescent="0.25">
      <c r="A706" s="3" t="s">
        <v>532</v>
      </c>
      <c r="B706" s="3" t="s">
        <v>99</v>
      </c>
      <c r="C706" s="3" t="s">
        <v>100</v>
      </c>
      <c r="G706" s="3" t="s">
        <v>522</v>
      </c>
      <c r="H706" s="3">
        <v>0.5</v>
      </c>
      <c r="I706" s="3">
        <v>1.5</v>
      </c>
    </row>
    <row r="707" spans="1:9" s="3" customFormat="1" x14ac:dyDescent="0.25">
      <c r="A707" s="3" t="s">
        <v>532</v>
      </c>
      <c r="B707" s="3" t="s">
        <v>99</v>
      </c>
      <c r="C707" s="3" t="s">
        <v>100</v>
      </c>
      <c r="G707" s="3" t="s">
        <v>517</v>
      </c>
      <c r="H707" s="3">
        <v>0.4</v>
      </c>
      <c r="I707" s="3">
        <v>1.3</v>
      </c>
    </row>
    <row r="708" spans="1:9" s="3" customFormat="1" x14ac:dyDescent="0.25">
      <c r="A708" s="3" t="s">
        <v>532</v>
      </c>
      <c r="B708" s="3" t="s">
        <v>99</v>
      </c>
      <c r="C708" s="3" t="s">
        <v>100</v>
      </c>
      <c r="G708" s="3" t="s">
        <v>516</v>
      </c>
      <c r="H708" s="3">
        <v>0.3</v>
      </c>
      <c r="I708" s="3">
        <v>1.1</v>
      </c>
    </row>
    <row r="709" spans="1:9" s="3" customFormat="1" x14ac:dyDescent="0.25">
      <c r="A709" s="3" t="s">
        <v>532</v>
      </c>
      <c r="B709" s="3" t="s">
        <v>99</v>
      </c>
      <c r="C709" s="3" t="s">
        <v>100</v>
      </c>
      <c r="G709" s="3" t="s">
        <v>520</v>
      </c>
      <c r="H709" s="3">
        <v>0.3</v>
      </c>
      <c r="I709" s="3">
        <v>0.8</v>
      </c>
    </row>
    <row r="710" spans="1:9" s="3" customFormat="1" x14ac:dyDescent="0.25">
      <c r="A710" s="3" t="s">
        <v>532</v>
      </c>
      <c r="B710" s="3" t="s">
        <v>99</v>
      </c>
      <c r="C710" s="3" t="s">
        <v>100</v>
      </c>
      <c r="G710" s="3" t="s">
        <v>521</v>
      </c>
      <c r="H710" s="3">
        <v>0.2</v>
      </c>
      <c r="I710" s="3">
        <v>0.7</v>
      </c>
    </row>
    <row r="711" spans="1:9" s="3" customFormat="1" x14ac:dyDescent="0.25">
      <c r="A711" s="3" t="s">
        <v>532</v>
      </c>
      <c r="B711" s="3" t="s">
        <v>99</v>
      </c>
      <c r="C711" s="3" t="s">
        <v>100</v>
      </c>
      <c r="G711" s="3" t="s">
        <v>523</v>
      </c>
      <c r="H711" s="3">
        <v>0.1</v>
      </c>
      <c r="I711" s="3">
        <v>0.4</v>
      </c>
    </row>
    <row r="712" spans="1:9" s="3" customFormat="1" x14ac:dyDescent="0.25">
      <c r="A712" s="3" t="s">
        <v>532</v>
      </c>
      <c r="B712" s="3" t="s">
        <v>99</v>
      </c>
      <c r="C712" s="3" t="s">
        <v>100</v>
      </c>
      <c r="G712" s="3" t="s">
        <v>518</v>
      </c>
      <c r="H712" s="3">
        <v>0.1</v>
      </c>
      <c r="I712" s="3">
        <v>0.3</v>
      </c>
    </row>
    <row r="713" spans="1:9" s="3" customFormat="1" x14ac:dyDescent="0.25">
      <c r="A713" s="3" t="s">
        <v>532</v>
      </c>
      <c r="B713" s="3" t="s">
        <v>99</v>
      </c>
      <c r="C713" s="3" t="s">
        <v>100</v>
      </c>
      <c r="G713" s="3" t="s">
        <v>524</v>
      </c>
      <c r="H713" s="3">
        <v>0.1</v>
      </c>
      <c r="I713" s="3">
        <v>0.2</v>
      </c>
    </row>
    <row r="714" spans="1:9" s="3" customFormat="1" x14ac:dyDescent="0.25">
      <c r="A714" s="3" t="s">
        <v>532</v>
      </c>
      <c r="B714" s="3" t="s">
        <v>99</v>
      </c>
      <c r="C714" s="3" t="s">
        <v>100</v>
      </c>
      <c r="G714" s="3" t="s">
        <v>525</v>
      </c>
      <c r="H714" s="3">
        <v>0</v>
      </c>
      <c r="I714" s="3">
        <v>0.1</v>
      </c>
    </row>
    <row r="715" spans="1:9" s="3" customFormat="1" x14ac:dyDescent="0.25">
      <c r="A715" s="3" t="s">
        <v>532</v>
      </c>
      <c r="B715" s="3" t="s">
        <v>101</v>
      </c>
      <c r="C715" s="3" t="s">
        <v>102</v>
      </c>
      <c r="D715" s="3">
        <v>252</v>
      </c>
      <c r="E715" s="3">
        <v>165.2</v>
      </c>
      <c r="F715" s="3">
        <v>86.8</v>
      </c>
      <c r="G715" s="3" t="s">
        <v>503</v>
      </c>
      <c r="H715" s="3">
        <v>21.4</v>
      </c>
      <c r="I715" s="3">
        <v>24.6</v>
      </c>
    </row>
    <row r="716" spans="1:9" s="3" customFormat="1" x14ac:dyDescent="0.25">
      <c r="A716" s="3" t="s">
        <v>532</v>
      </c>
      <c r="B716" s="3" t="s">
        <v>101</v>
      </c>
      <c r="C716" s="3" t="s">
        <v>102</v>
      </c>
      <c r="G716" s="3" t="s">
        <v>505</v>
      </c>
      <c r="H716" s="3">
        <v>14</v>
      </c>
      <c r="I716" s="3">
        <v>16.2</v>
      </c>
    </row>
    <row r="717" spans="1:9" s="3" customFormat="1" x14ac:dyDescent="0.25">
      <c r="A717" s="3" t="s">
        <v>532</v>
      </c>
      <c r="B717" s="3" t="s">
        <v>101</v>
      </c>
      <c r="C717" s="3" t="s">
        <v>102</v>
      </c>
      <c r="G717" s="3" t="s">
        <v>504</v>
      </c>
      <c r="H717" s="3">
        <v>8.4</v>
      </c>
      <c r="I717" s="3">
        <v>9.7</v>
      </c>
    </row>
    <row r="718" spans="1:9" s="3" customFormat="1" x14ac:dyDescent="0.25">
      <c r="A718" s="3" t="s">
        <v>532</v>
      </c>
      <c r="B718" s="3" t="s">
        <v>101</v>
      </c>
      <c r="C718" s="3" t="s">
        <v>102</v>
      </c>
      <c r="G718" s="3" t="s">
        <v>507</v>
      </c>
      <c r="H718" s="3">
        <v>7.5</v>
      </c>
      <c r="I718" s="3">
        <v>8.6</v>
      </c>
    </row>
    <row r="719" spans="1:9" s="3" customFormat="1" x14ac:dyDescent="0.25">
      <c r="A719" s="3" t="s">
        <v>532</v>
      </c>
      <c r="B719" s="3" t="s">
        <v>101</v>
      </c>
      <c r="C719" s="3" t="s">
        <v>102</v>
      </c>
      <c r="G719" s="3" t="s">
        <v>508</v>
      </c>
      <c r="H719" s="3">
        <v>6.8</v>
      </c>
      <c r="I719" s="3">
        <v>7.9</v>
      </c>
    </row>
    <row r="720" spans="1:9" s="3" customFormat="1" x14ac:dyDescent="0.25">
      <c r="A720" s="3" t="s">
        <v>532</v>
      </c>
      <c r="B720" s="3" t="s">
        <v>101</v>
      </c>
      <c r="C720" s="3" t="s">
        <v>102</v>
      </c>
      <c r="G720" s="3" t="s">
        <v>506</v>
      </c>
      <c r="H720" s="3">
        <v>6.6</v>
      </c>
      <c r="I720" s="3">
        <v>7.6</v>
      </c>
    </row>
    <row r="721" spans="1:9" s="3" customFormat="1" x14ac:dyDescent="0.25">
      <c r="A721" s="3" t="s">
        <v>532</v>
      </c>
      <c r="B721" s="3" t="s">
        <v>101</v>
      </c>
      <c r="C721" s="3" t="s">
        <v>102</v>
      </c>
      <c r="G721" s="3" t="s">
        <v>515</v>
      </c>
      <c r="H721" s="3">
        <v>4.6</v>
      </c>
      <c r="I721" s="3">
        <v>5.3</v>
      </c>
    </row>
    <row r="722" spans="1:9" s="3" customFormat="1" x14ac:dyDescent="0.25">
      <c r="A722" s="3" t="s">
        <v>532</v>
      </c>
      <c r="B722" s="3" t="s">
        <v>101</v>
      </c>
      <c r="C722" s="3" t="s">
        <v>102</v>
      </c>
      <c r="G722" s="3" t="s">
        <v>511</v>
      </c>
      <c r="H722" s="3">
        <v>2.6</v>
      </c>
      <c r="I722" s="3">
        <v>3</v>
      </c>
    </row>
    <row r="723" spans="1:9" s="3" customFormat="1" x14ac:dyDescent="0.25">
      <c r="A723" s="3" t="s">
        <v>532</v>
      </c>
      <c r="B723" s="3" t="s">
        <v>101</v>
      </c>
      <c r="C723" s="3" t="s">
        <v>102</v>
      </c>
      <c r="G723" s="3" t="s">
        <v>513</v>
      </c>
      <c r="H723" s="3">
        <v>2.2</v>
      </c>
      <c r="I723" s="3">
        <v>2.5</v>
      </c>
    </row>
    <row r="724" spans="1:9" s="3" customFormat="1" x14ac:dyDescent="0.25">
      <c r="A724" s="3" t="s">
        <v>532</v>
      </c>
      <c r="B724" s="3" t="s">
        <v>101</v>
      </c>
      <c r="C724" s="3" t="s">
        <v>102</v>
      </c>
      <c r="G724" s="3" t="s">
        <v>512</v>
      </c>
      <c r="H724" s="3">
        <v>2</v>
      </c>
      <c r="I724" s="3">
        <v>2.3</v>
      </c>
    </row>
    <row r="725" spans="1:9" s="3" customFormat="1" x14ac:dyDescent="0.25">
      <c r="A725" s="3" t="s">
        <v>532</v>
      </c>
      <c r="B725" s="3" t="s">
        <v>101</v>
      </c>
      <c r="C725" s="3" t="s">
        <v>102</v>
      </c>
      <c r="G725" s="3" t="s">
        <v>517</v>
      </c>
      <c r="H725" s="3">
        <v>1.6</v>
      </c>
      <c r="I725" s="3">
        <v>1.9</v>
      </c>
    </row>
    <row r="726" spans="1:9" s="3" customFormat="1" x14ac:dyDescent="0.25">
      <c r="A726" s="3" t="s">
        <v>532</v>
      </c>
      <c r="B726" s="3" t="s">
        <v>101</v>
      </c>
      <c r="C726" s="3" t="s">
        <v>102</v>
      </c>
      <c r="G726" s="3" t="s">
        <v>509</v>
      </c>
      <c r="H726" s="3">
        <v>1.6</v>
      </c>
      <c r="I726" s="3">
        <v>1.8</v>
      </c>
    </row>
    <row r="727" spans="1:9" s="3" customFormat="1" x14ac:dyDescent="0.25">
      <c r="A727" s="3" t="s">
        <v>532</v>
      </c>
      <c r="B727" s="3" t="s">
        <v>101</v>
      </c>
      <c r="C727" s="3" t="s">
        <v>102</v>
      </c>
      <c r="G727" s="3" t="s">
        <v>510</v>
      </c>
      <c r="H727" s="3">
        <v>1.4</v>
      </c>
      <c r="I727" s="3">
        <v>1.7</v>
      </c>
    </row>
    <row r="728" spans="1:9" s="3" customFormat="1" x14ac:dyDescent="0.25">
      <c r="A728" s="3" t="s">
        <v>532</v>
      </c>
      <c r="B728" s="3" t="s">
        <v>101</v>
      </c>
      <c r="C728" s="3" t="s">
        <v>102</v>
      </c>
      <c r="G728" s="3" t="s">
        <v>514</v>
      </c>
      <c r="H728" s="3">
        <v>1.4</v>
      </c>
      <c r="I728" s="3">
        <v>1.6</v>
      </c>
    </row>
    <row r="729" spans="1:9" s="3" customFormat="1" x14ac:dyDescent="0.25">
      <c r="A729" s="3" t="s">
        <v>532</v>
      </c>
      <c r="B729" s="3" t="s">
        <v>101</v>
      </c>
      <c r="C729" s="3" t="s">
        <v>102</v>
      </c>
      <c r="G729" s="3" t="s">
        <v>516</v>
      </c>
      <c r="H729" s="3">
        <v>1.3</v>
      </c>
      <c r="I729" s="3">
        <v>1.5</v>
      </c>
    </row>
    <row r="730" spans="1:9" s="3" customFormat="1" x14ac:dyDescent="0.25">
      <c r="A730" s="3" t="s">
        <v>532</v>
      </c>
      <c r="B730" s="3" t="s">
        <v>101</v>
      </c>
      <c r="C730" s="3" t="s">
        <v>102</v>
      </c>
      <c r="G730" s="3" t="s">
        <v>519</v>
      </c>
      <c r="H730" s="3">
        <v>1</v>
      </c>
      <c r="I730" s="3">
        <v>1.2</v>
      </c>
    </row>
    <row r="731" spans="1:9" s="3" customFormat="1" x14ac:dyDescent="0.25">
      <c r="A731" s="3" t="s">
        <v>532</v>
      </c>
      <c r="B731" s="3" t="s">
        <v>101</v>
      </c>
      <c r="C731" s="3" t="s">
        <v>102</v>
      </c>
      <c r="G731" s="3" t="s">
        <v>522</v>
      </c>
      <c r="H731" s="3">
        <v>0.7</v>
      </c>
      <c r="I731" s="3">
        <v>0.8</v>
      </c>
    </row>
    <row r="732" spans="1:9" s="3" customFormat="1" x14ac:dyDescent="0.25">
      <c r="A732" s="3" t="s">
        <v>532</v>
      </c>
      <c r="B732" s="3" t="s">
        <v>101</v>
      </c>
      <c r="C732" s="3" t="s">
        <v>102</v>
      </c>
      <c r="G732" s="3" t="s">
        <v>518</v>
      </c>
      <c r="H732" s="3">
        <v>0.5</v>
      </c>
      <c r="I732" s="3">
        <v>0.6</v>
      </c>
    </row>
    <row r="733" spans="1:9" s="3" customFormat="1" x14ac:dyDescent="0.25">
      <c r="A733" s="3" t="s">
        <v>532</v>
      </c>
      <c r="B733" s="3" t="s">
        <v>101</v>
      </c>
      <c r="C733" s="3" t="s">
        <v>102</v>
      </c>
      <c r="G733" s="3" t="s">
        <v>520</v>
      </c>
      <c r="H733" s="3">
        <v>0.5</v>
      </c>
      <c r="I733" s="3">
        <v>0.5</v>
      </c>
    </row>
    <row r="734" spans="1:9" s="3" customFormat="1" x14ac:dyDescent="0.25">
      <c r="A734" s="3" t="s">
        <v>532</v>
      </c>
      <c r="B734" s="3" t="s">
        <v>101</v>
      </c>
      <c r="C734" s="3" t="s">
        <v>102</v>
      </c>
      <c r="G734" s="3" t="s">
        <v>521</v>
      </c>
      <c r="H734" s="3">
        <v>0.4</v>
      </c>
      <c r="I734" s="3">
        <v>0.4</v>
      </c>
    </row>
    <row r="735" spans="1:9" s="3" customFormat="1" x14ac:dyDescent="0.25">
      <c r="A735" s="3" t="s">
        <v>532</v>
      </c>
      <c r="B735" s="3" t="s">
        <v>101</v>
      </c>
      <c r="C735" s="3" t="s">
        <v>102</v>
      </c>
      <c r="G735" s="3" t="s">
        <v>523</v>
      </c>
      <c r="H735" s="3">
        <v>0.3</v>
      </c>
      <c r="I735" s="3">
        <v>0.3</v>
      </c>
    </row>
    <row r="736" spans="1:9" s="3" customFormat="1" x14ac:dyDescent="0.25">
      <c r="A736" s="3" t="s">
        <v>532</v>
      </c>
      <c r="B736" s="3" t="s">
        <v>101</v>
      </c>
      <c r="C736" s="3" t="s">
        <v>102</v>
      </c>
      <c r="G736" s="3" t="s">
        <v>524</v>
      </c>
      <c r="H736" s="3">
        <v>0.1</v>
      </c>
      <c r="I736" s="3">
        <v>0.1</v>
      </c>
    </row>
    <row r="737" spans="1:9" s="3" customFormat="1" x14ac:dyDescent="0.25">
      <c r="A737" s="3" t="s">
        <v>532</v>
      </c>
      <c r="B737" s="3" t="s">
        <v>101</v>
      </c>
      <c r="C737" s="3" t="s">
        <v>102</v>
      </c>
      <c r="G737" s="3" t="s">
        <v>525</v>
      </c>
      <c r="H737" s="3">
        <v>0</v>
      </c>
      <c r="I737" s="3">
        <v>0</v>
      </c>
    </row>
    <row r="738" spans="1:9" s="3" customFormat="1" x14ac:dyDescent="0.25">
      <c r="A738" s="3" t="s">
        <v>532</v>
      </c>
      <c r="B738" s="3" t="s">
        <v>103</v>
      </c>
      <c r="C738" s="3" t="s">
        <v>104</v>
      </c>
      <c r="D738" s="3">
        <v>183</v>
      </c>
      <c r="E738" s="3">
        <v>106.1</v>
      </c>
      <c r="F738" s="3">
        <v>76.9</v>
      </c>
      <c r="G738" s="3" t="s">
        <v>503</v>
      </c>
      <c r="H738" s="3">
        <v>21.6</v>
      </c>
      <c r="I738" s="3">
        <v>28.1</v>
      </c>
    </row>
    <row r="739" spans="1:9" s="3" customFormat="1" x14ac:dyDescent="0.25">
      <c r="A739" s="3" t="s">
        <v>532</v>
      </c>
      <c r="B739" s="3" t="s">
        <v>103</v>
      </c>
      <c r="C739" s="3" t="s">
        <v>104</v>
      </c>
      <c r="G739" s="3" t="s">
        <v>505</v>
      </c>
      <c r="H739" s="3">
        <v>13.1</v>
      </c>
      <c r="I739" s="3">
        <v>17</v>
      </c>
    </row>
    <row r="740" spans="1:9" s="3" customFormat="1" x14ac:dyDescent="0.25">
      <c r="A740" s="3" t="s">
        <v>532</v>
      </c>
      <c r="B740" s="3" t="s">
        <v>103</v>
      </c>
      <c r="C740" s="3" t="s">
        <v>104</v>
      </c>
      <c r="G740" s="3" t="s">
        <v>504</v>
      </c>
      <c r="H740" s="3">
        <v>7.4</v>
      </c>
      <c r="I740" s="3">
        <v>9.6</v>
      </c>
    </row>
    <row r="741" spans="1:9" s="3" customFormat="1" x14ac:dyDescent="0.25">
      <c r="A741" s="3" t="s">
        <v>532</v>
      </c>
      <c r="B741" s="3" t="s">
        <v>103</v>
      </c>
      <c r="C741" s="3" t="s">
        <v>104</v>
      </c>
      <c r="G741" s="3" t="s">
        <v>507</v>
      </c>
      <c r="H741" s="3">
        <v>7.1</v>
      </c>
      <c r="I741" s="3">
        <v>9.2</v>
      </c>
    </row>
    <row r="742" spans="1:9" s="3" customFormat="1" x14ac:dyDescent="0.25">
      <c r="A742" s="3" t="s">
        <v>532</v>
      </c>
      <c r="B742" s="3" t="s">
        <v>103</v>
      </c>
      <c r="C742" s="3" t="s">
        <v>104</v>
      </c>
      <c r="G742" s="3" t="s">
        <v>506</v>
      </c>
      <c r="H742" s="3">
        <v>4.5</v>
      </c>
      <c r="I742" s="3">
        <v>5.9</v>
      </c>
    </row>
    <row r="743" spans="1:9" s="3" customFormat="1" x14ac:dyDescent="0.25">
      <c r="A743" s="3" t="s">
        <v>532</v>
      </c>
      <c r="B743" s="3" t="s">
        <v>103</v>
      </c>
      <c r="C743" s="3" t="s">
        <v>104</v>
      </c>
      <c r="G743" s="3" t="s">
        <v>508</v>
      </c>
      <c r="H743" s="3">
        <v>3.4</v>
      </c>
      <c r="I743" s="3">
        <v>4.5</v>
      </c>
    </row>
    <row r="744" spans="1:9" s="3" customFormat="1" x14ac:dyDescent="0.25">
      <c r="A744" s="3" t="s">
        <v>532</v>
      </c>
      <c r="B744" s="3" t="s">
        <v>103</v>
      </c>
      <c r="C744" s="3" t="s">
        <v>104</v>
      </c>
      <c r="G744" s="3" t="s">
        <v>512</v>
      </c>
      <c r="H744" s="3">
        <v>3</v>
      </c>
      <c r="I744" s="3">
        <v>3.9</v>
      </c>
    </row>
    <row r="745" spans="1:9" s="3" customFormat="1" x14ac:dyDescent="0.25">
      <c r="A745" s="3" t="s">
        <v>532</v>
      </c>
      <c r="B745" s="3" t="s">
        <v>103</v>
      </c>
      <c r="C745" s="3" t="s">
        <v>104</v>
      </c>
      <c r="G745" s="3" t="s">
        <v>513</v>
      </c>
      <c r="H745" s="3">
        <v>2.5</v>
      </c>
      <c r="I745" s="3">
        <v>3.3</v>
      </c>
    </row>
    <row r="746" spans="1:9" s="3" customFormat="1" x14ac:dyDescent="0.25">
      <c r="A746" s="3" t="s">
        <v>532</v>
      </c>
      <c r="B746" s="3" t="s">
        <v>103</v>
      </c>
      <c r="C746" s="3" t="s">
        <v>104</v>
      </c>
      <c r="G746" s="3" t="s">
        <v>515</v>
      </c>
      <c r="H746" s="3">
        <v>2.2</v>
      </c>
      <c r="I746" s="3">
        <v>2.9</v>
      </c>
    </row>
    <row r="747" spans="1:9" s="3" customFormat="1" x14ac:dyDescent="0.25">
      <c r="A747" s="3" t="s">
        <v>532</v>
      </c>
      <c r="B747" s="3" t="s">
        <v>103</v>
      </c>
      <c r="C747" s="3" t="s">
        <v>104</v>
      </c>
      <c r="G747" s="3" t="s">
        <v>511</v>
      </c>
      <c r="H747" s="3">
        <v>1.9</v>
      </c>
      <c r="I747" s="3">
        <v>2.5</v>
      </c>
    </row>
    <row r="748" spans="1:9" s="3" customFormat="1" x14ac:dyDescent="0.25">
      <c r="A748" s="3" t="s">
        <v>532</v>
      </c>
      <c r="B748" s="3" t="s">
        <v>103</v>
      </c>
      <c r="C748" s="3" t="s">
        <v>104</v>
      </c>
      <c r="G748" s="3" t="s">
        <v>517</v>
      </c>
      <c r="H748" s="3">
        <v>1.4</v>
      </c>
      <c r="I748" s="3">
        <v>1.9</v>
      </c>
    </row>
    <row r="749" spans="1:9" s="3" customFormat="1" x14ac:dyDescent="0.25">
      <c r="A749" s="3" t="s">
        <v>532</v>
      </c>
      <c r="B749" s="3" t="s">
        <v>103</v>
      </c>
      <c r="C749" s="3" t="s">
        <v>104</v>
      </c>
      <c r="G749" s="3" t="s">
        <v>514</v>
      </c>
      <c r="H749" s="3">
        <v>1.3</v>
      </c>
      <c r="I749" s="3">
        <v>1.7</v>
      </c>
    </row>
    <row r="750" spans="1:9" s="3" customFormat="1" x14ac:dyDescent="0.25">
      <c r="A750" s="3" t="s">
        <v>532</v>
      </c>
      <c r="B750" s="3" t="s">
        <v>103</v>
      </c>
      <c r="C750" s="3" t="s">
        <v>104</v>
      </c>
      <c r="G750" s="3" t="s">
        <v>519</v>
      </c>
      <c r="H750" s="3">
        <v>1.3</v>
      </c>
      <c r="I750" s="3">
        <v>1.7</v>
      </c>
    </row>
    <row r="751" spans="1:9" s="3" customFormat="1" x14ac:dyDescent="0.25">
      <c r="A751" s="3" t="s">
        <v>532</v>
      </c>
      <c r="B751" s="3" t="s">
        <v>103</v>
      </c>
      <c r="C751" s="3" t="s">
        <v>104</v>
      </c>
      <c r="G751" s="3" t="s">
        <v>509</v>
      </c>
      <c r="H751" s="3">
        <v>1.3</v>
      </c>
      <c r="I751" s="3">
        <v>1.6</v>
      </c>
    </row>
    <row r="752" spans="1:9" s="3" customFormat="1" x14ac:dyDescent="0.25">
      <c r="A752" s="3" t="s">
        <v>532</v>
      </c>
      <c r="B752" s="3" t="s">
        <v>103</v>
      </c>
      <c r="C752" s="3" t="s">
        <v>104</v>
      </c>
      <c r="G752" s="3" t="s">
        <v>510</v>
      </c>
      <c r="H752" s="3">
        <v>1.2</v>
      </c>
      <c r="I752" s="3">
        <v>1.5</v>
      </c>
    </row>
    <row r="753" spans="1:9" s="3" customFormat="1" x14ac:dyDescent="0.25">
      <c r="A753" s="3" t="s">
        <v>532</v>
      </c>
      <c r="B753" s="3" t="s">
        <v>103</v>
      </c>
      <c r="C753" s="3" t="s">
        <v>104</v>
      </c>
      <c r="G753" s="3" t="s">
        <v>522</v>
      </c>
      <c r="H753" s="3">
        <v>1.1</v>
      </c>
      <c r="I753" s="3">
        <v>1.4</v>
      </c>
    </row>
    <row r="754" spans="1:9" s="3" customFormat="1" x14ac:dyDescent="0.25">
      <c r="A754" s="3" t="s">
        <v>532</v>
      </c>
      <c r="B754" s="3" t="s">
        <v>103</v>
      </c>
      <c r="C754" s="3" t="s">
        <v>104</v>
      </c>
      <c r="G754" s="3" t="s">
        <v>516</v>
      </c>
      <c r="H754" s="3">
        <v>0.9</v>
      </c>
      <c r="I754" s="3">
        <v>1.2</v>
      </c>
    </row>
    <row r="755" spans="1:9" s="3" customFormat="1" x14ac:dyDescent="0.25">
      <c r="A755" s="3" t="s">
        <v>532</v>
      </c>
      <c r="B755" s="3" t="s">
        <v>103</v>
      </c>
      <c r="C755" s="3" t="s">
        <v>104</v>
      </c>
      <c r="G755" s="3" t="s">
        <v>518</v>
      </c>
      <c r="H755" s="3">
        <v>0.5</v>
      </c>
      <c r="I755" s="3">
        <v>0.6</v>
      </c>
    </row>
    <row r="756" spans="1:9" s="3" customFormat="1" x14ac:dyDescent="0.25">
      <c r="A756" s="3" t="s">
        <v>532</v>
      </c>
      <c r="B756" s="3" t="s">
        <v>103</v>
      </c>
      <c r="C756" s="3" t="s">
        <v>104</v>
      </c>
      <c r="G756" s="3" t="s">
        <v>521</v>
      </c>
      <c r="H756" s="3">
        <v>0.4</v>
      </c>
      <c r="I756" s="3">
        <v>0.6</v>
      </c>
    </row>
    <row r="757" spans="1:9" s="3" customFormat="1" x14ac:dyDescent="0.25">
      <c r="A757" s="3" t="s">
        <v>532</v>
      </c>
      <c r="B757" s="3" t="s">
        <v>103</v>
      </c>
      <c r="C757" s="3" t="s">
        <v>104</v>
      </c>
      <c r="G757" s="3" t="s">
        <v>523</v>
      </c>
      <c r="H757" s="3">
        <v>0.3</v>
      </c>
      <c r="I757" s="3">
        <v>0.4</v>
      </c>
    </row>
    <row r="758" spans="1:9" s="3" customFormat="1" x14ac:dyDescent="0.25">
      <c r="A758" s="3" t="s">
        <v>532</v>
      </c>
      <c r="B758" s="3" t="s">
        <v>103</v>
      </c>
      <c r="C758" s="3" t="s">
        <v>104</v>
      </c>
      <c r="G758" s="3" t="s">
        <v>520</v>
      </c>
      <c r="H758" s="3">
        <v>0.2</v>
      </c>
      <c r="I758" s="3">
        <v>0.2</v>
      </c>
    </row>
    <row r="759" spans="1:9" s="3" customFormat="1" x14ac:dyDescent="0.25">
      <c r="A759" s="3" t="s">
        <v>532</v>
      </c>
      <c r="B759" s="3" t="s">
        <v>103</v>
      </c>
      <c r="C759" s="3" t="s">
        <v>104</v>
      </c>
      <c r="G759" s="3" t="s">
        <v>524</v>
      </c>
      <c r="H759" s="3">
        <v>0.2</v>
      </c>
      <c r="I759" s="3">
        <v>0.2</v>
      </c>
    </row>
    <row r="760" spans="1:9" s="3" customFormat="1" x14ac:dyDescent="0.25">
      <c r="A760" s="3" t="s">
        <v>532</v>
      </c>
      <c r="B760" s="3" t="s">
        <v>103</v>
      </c>
      <c r="C760" s="3" t="s">
        <v>104</v>
      </c>
      <c r="G760" s="3" t="s">
        <v>525</v>
      </c>
      <c r="H760" s="3">
        <v>0.1</v>
      </c>
      <c r="I760" s="3">
        <v>0.1</v>
      </c>
    </row>
    <row r="761" spans="1:9" s="3" customFormat="1" x14ac:dyDescent="0.25">
      <c r="A761" s="3" t="s">
        <v>532</v>
      </c>
      <c r="B761" s="3" t="s">
        <v>105</v>
      </c>
      <c r="C761" s="3" t="s">
        <v>106</v>
      </c>
      <c r="D761" s="3">
        <v>276</v>
      </c>
      <c r="E761" s="3">
        <v>134.8</v>
      </c>
      <c r="F761" s="3">
        <v>141.2</v>
      </c>
      <c r="G761" s="3" t="s">
        <v>504</v>
      </c>
      <c r="H761" s="3">
        <v>40.6</v>
      </c>
      <c r="I761" s="3">
        <v>28.7</v>
      </c>
    </row>
    <row r="762" spans="1:9" s="3" customFormat="1" x14ac:dyDescent="0.25">
      <c r="A762" s="3" t="s">
        <v>532</v>
      </c>
      <c r="B762" s="3" t="s">
        <v>105</v>
      </c>
      <c r="C762" s="3" t="s">
        <v>106</v>
      </c>
      <c r="G762" s="3" t="s">
        <v>503</v>
      </c>
      <c r="H762" s="3">
        <v>33.7</v>
      </c>
      <c r="I762" s="3">
        <v>23.8</v>
      </c>
    </row>
    <row r="763" spans="1:9" s="3" customFormat="1" x14ac:dyDescent="0.25">
      <c r="A763" s="3" t="s">
        <v>532</v>
      </c>
      <c r="B763" s="3" t="s">
        <v>105</v>
      </c>
      <c r="C763" s="3" t="s">
        <v>106</v>
      </c>
      <c r="G763" s="3" t="s">
        <v>505</v>
      </c>
      <c r="H763" s="3">
        <v>23.9</v>
      </c>
      <c r="I763" s="3">
        <v>16.9</v>
      </c>
    </row>
    <row r="764" spans="1:9" s="3" customFormat="1" x14ac:dyDescent="0.25">
      <c r="A764" s="3" t="s">
        <v>532</v>
      </c>
      <c r="B764" s="3" t="s">
        <v>105</v>
      </c>
      <c r="C764" s="3" t="s">
        <v>106</v>
      </c>
      <c r="G764" s="3" t="s">
        <v>507</v>
      </c>
      <c r="H764" s="3">
        <v>9.9</v>
      </c>
      <c r="I764" s="3">
        <v>7</v>
      </c>
    </row>
    <row r="765" spans="1:9" s="3" customFormat="1" x14ac:dyDescent="0.25">
      <c r="A765" s="3" t="s">
        <v>532</v>
      </c>
      <c r="B765" s="3" t="s">
        <v>105</v>
      </c>
      <c r="C765" s="3" t="s">
        <v>106</v>
      </c>
      <c r="G765" s="3" t="s">
        <v>506</v>
      </c>
      <c r="H765" s="3">
        <v>6.5</v>
      </c>
      <c r="I765" s="3">
        <v>4.6</v>
      </c>
    </row>
    <row r="766" spans="1:9" s="3" customFormat="1" x14ac:dyDescent="0.25">
      <c r="A766" s="3" t="s">
        <v>532</v>
      </c>
      <c r="B766" s="3" t="s">
        <v>105</v>
      </c>
      <c r="C766" s="3" t="s">
        <v>106</v>
      </c>
      <c r="G766" s="3" t="s">
        <v>509</v>
      </c>
      <c r="H766" s="3">
        <v>3.8</v>
      </c>
      <c r="I766" s="3">
        <v>2.7</v>
      </c>
    </row>
    <row r="767" spans="1:9" s="3" customFormat="1" x14ac:dyDescent="0.25">
      <c r="A767" s="3" t="s">
        <v>532</v>
      </c>
      <c r="B767" s="3" t="s">
        <v>105</v>
      </c>
      <c r="C767" s="3" t="s">
        <v>106</v>
      </c>
      <c r="G767" s="3" t="s">
        <v>510</v>
      </c>
      <c r="H767" s="3">
        <v>3.7</v>
      </c>
      <c r="I767" s="3">
        <v>2.6</v>
      </c>
    </row>
    <row r="768" spans="1:9" s="3" customFormat="1" x14ac:dyDescent="0.25">
      <c r="A768" s="3" t="s">
        <v>532</v>
      </c>
      <c r="B768" s="3" t="s">
        <v>105</v>
      </c>
      <c r="C768" s="3" t="s">
        <v>106</v>
      </c>
      <c r="G768" s="3" t="s">
        <v>512</v>
      </c>
      <c r="H768" s="3">
        <v>2.9</v>
      </c>
      <c r="I768" s="3">
        <v>2.1</v>
      </c>
    </row>
    <row r="769" spans="1:9" s="3" customFormat="1" x14ac:dyDescent="0.25">
      <c r="A769" s="3" t="s">
        <v>532</v>
      </c>
      <c r="B769" s="3" t="s">
        <v>105</v>
      </c>
      <c r="C769" s="3" t="s">
        <v>106</v>
      </c>
      <c r="G769" s="3" t="s">
        <v>508</v>
      </c>
      <c r="H769" s="3">
        <v>2.8</v>
      </c>
      <c r="I769" s="3">
        <v>2</v>
      </c>
    </row>
    <row r="770" spans="1:9" s="3" customFormat="1" x14ac:dyDescent="0.25">
      <c r="A770" s="3" t="s">
        <v>532</v>
      </c>
      <c r="B770" s="3" t="s">
        <v>105</v>
      </c>
      <c r="C770" s="3" t="s">
        <v>106</v>
      </c>
      <c r="G770" s="3" t="s">
        <v>511</v>
      </c>
      <c r="H770" s="3">
        <v>2.5</v>
      </c>
      <c r="I770" s="3">
        <v>1.8</v>
      </c>
    </row>
    <row r="771" spans="1:9" s="3" customFormat="1" x14ac:dyDescent="0.25">
      <c r="A771" s="3" t="s">
        <v>532</v>
      </c>
      <c r="B771" s="3" t="s">
        <v>105</v>
      </c>
      <c r="C771" s="3" t="s">
        <v>106</v>
      </c>
      <c r="G771" s="3" t="s">
        <v>515</v>
      </c>
      <c r="H771" s="3">
        <v>2</v>
      </c>
      <c r="I771" s="3">
        <v>1.4</v>
      </c>
    </row>
    <row r="772" spans="1:9" s="3" customFormat="1" x14ac:dyDescent="0.25">
      <c r="A772" s="3" t="s">
        <v>532</v>
      </c>
      <c r="B772" s="3" t="s">
        <v>105</v>
      </c>
      <c r="C772" s="3" t="s">
        <v>106</v>
      </c>
      <c r="G772" s="3" t="s">
        <v>519</v>
      </c>
      <c r="H772" s="3">
        <v>1.7</v>
      </c>
      <c r="I772" s="3">
        <v>1.2</v>
      </c>
    </row>
    <row r="773" spans="1:9" s="3" customFormat="1" x14ac:dyDescent="0.25">
      <c r="A773" s="3" t="s">
        <v>532</v>
      </c>
      <c r="B773" s="3" t="s">
        <v>105</v>
      </c>
      <c r="C773" s="3" t="s">
        <v>106</v>
      </c>
      <c r="G773" s="3" t="s">
        <v>522</v>
      </c>
      <c r="H773" s="3">
        <v>1.6</v>
      </c>
      <c r="I773" s="3">
        <v>1.2</v>
      </c>
    </row>
    <row r="774" spans="1:9" s="3" customFormat="1" x14ac:dyDescent="0.25">
      <c r="A774" s="3" t="s">
        <v>532</v>
      </c>
      <c r="B774" s="3" t="s">
        <v>105</v>
      </c>
      <c r="C774" s="3" t="s">
        <v>106</v>
      </c>
      <c r="G774" s="3" t="s">
        <v>517</v>
      </c>
      <c r="H774" s="3">
        <v>1.4</v>
      </c>
      <c r="I774" s="3">
        <v>1</v>
      </c>
    </row>
    <row r="775" spans="1:9" s="3" customFormat="1" x14ac:dyDescent="0.25">
      <c r="A775" s="3" t="s">
        <v>532</v>
      </c>
      <c r="B775" s="3" t="s">
        <v>105</v>
      </c>
      <c r="C775" s="3" t="s">
        <v>106</v>
      </c>
      <c r="G775" s="3" t="s">
        <v>513</v>
      </c>
      <c r="H775" s="3">
        <v>1.2</v>
      </c>
      <c r="I775" s="3">
        <v>0.8</v>
      </c>
    </row>
    <row r="776" spans="1:9" s="3" customFormat="1" x14ac:dyDescent="0.25">
      <c r="A776" s="3" t="s">
        <v>532</v>
      </c>
      <c r="B776" s="3" t="s">
        <v>105</v>
      </c>
      <c r="C776" s="3" t="s">
        <v>106</v>
      </c>
      <c r="G776" s="3" t="s">
        <v>514</v>
      </c>
      <c r="H776" s="3">
        <v>0.9</v>
      </c>
      <c r="I776" s="3">
        <v>0.6</v>
      </c>
    </row>
    <row r="777" spans="1:9" s="3" customFormat="1" x14ac:dyDescent="0.25">
      <c r="A777" s="3" t="s">
        <v>532</v>
      </c>
      <c r="B777" s="3" t="s">
        <v>105</v>
      </c>
      <c r="C777" s="3" t="s">
        <v>106</v>
      </c>
      <c r="G777" s="3" t="s">
        <v>521</v>
      </c>
      <c r="H777" s="3">
        <v>0.7</v>
      </c>
      <c r="I777" s="3">
        <v>0.5</v>
      </c>
    </row>
    <row r="778" spans="1:9" s="3" customFormat="1" x14ac:dyDescent="0.25">
      <c r="A778" s="3" t="s">
        <v>532</v>
      </c>
      <c r="B778" s="3" t="s">
        <v>105</v>
      </c>
      <c r="C778" s="3" t="s">
        <v>106</v>
      </c>
      <c r="G778" s="3" t="s">
        <v>518</v>
      </c>
      <c r="H778" s="3">
        <v>0.6</v>
      </c>
      <c r="I778" s="3">
        <v>0.4</v>
      </c>
    </row>
    <row r="779" spans="1:9" s="3" customFormat="1" x14ac:dyDescent="0.25">
      <c r="A779" s="3" t="s">
        <v>532</v>
      </c>
      <c r="B779" s="3" t="s">
        <v>105</v>
      </c>
      <c r="C779" s="3" t="s">
        <v>106</v>
      </c>
      <c r="G779" s="3" t="s">
        <v>516</v>
      </c>
      <c r="H779" s="3">
        <v>0.4</v>
      </c>
      <c r="I779" s="3">
        <v>0.3</v>
      </c>
    </row>
    <row r="780" spans="1:9" s="3" customFormat="1" x14ac:dyDescent="0.25">
      <c r="A780" s="3" t="s">
        <v>532</v>
      </c>
      <c r="B780" s="3" t="s">
        <v>105</v>
      </c>
      <c r="C780" s="3" t="s">
        <v>106</v>
      </c>
      <c r="G780" s="3" t="s">
        <v>523</v>
      </c>
      <c r="H780" s="3">
        <v>0.3</v>
      </c>
      <c r="I780" s="3">
        <v>0.2</v>
      </c>
    </row>
    <row r="781" spans="1:9" s="3" customFormat="1" x14ac:dyDescent="0.25">
      <c r="A781" s="3" t="s">
        <v>532</v>
      </c>
      <c r="B781" s="3" t="s">
        <v>105</v>
      </c>
      <c r="C781" s="3" t="s">
        <v>106</v>
      </c>
      <c r="G781" s="3" t="s">
        <v>520</v>
      </c>
      <c r="H781" s="3">
        <v>0.1</v>
      </c>
      <c r="I781" s="3">
        <v>0.1</v>
      </c>
    </row>
    <row r="782" spans="1:9" s="3" customFormat="1" x14ac:dyDescent="0.25">
      <c r="A782" s="3" t="s">
        <v>532</v>
      </c>
      <c r="B782" s="3" t="s">
        <v>105</v>
      </c>
      <c r="C782" s="3" t="s">
        <v>106</v>
      </c>
      <c r="G782" s="3" t="s">
        <v>524</v>
      </c>
      <c r="H782" s="3">
        <v>0.1</v>
      </c>
      <c r="I782" s="3">
        <v>0.1</v>
      </c>
    </row>
    <row r="783" spans="1:9" s="3" customFormat="1" x14ac:dyDescent="0.25">
      <c r="A783" s="3" t="s">
        <v>532</v>
      </c>
      <c r="B783" s="3" t="s">
        <v>105</v>
      </c>
      <c r="C783" s="3" t="s">
        <v>106</v>
      </c>
      <c r="G783" s="3" t="s">
        <v>525</v>
      </c>
      <c r="H783" s="3">
        <v>0</v>
      </c>
      <c r="I783" s="3">
        <v>0</v>
      </c>
    </row>
    <row r="784" spans="1:9" s="3" customFormat="1" x14ac:dyDescent="0.25">
      <c r="A784" s="3" t="s">
        <v>532</v>
      </c>
      <c r="B784" s="3" t="s">
        <v>107</v>
      </c>
      <c r="C784" s="3" t="s">
        <v>108</v>
      </c>
      <c r="D784" s="3">
        <v>229.4</v>
      </c>
      <c r="E784" s="3">
        <v>126.5</v>
      </c>
      <c r="F784" s="3">
        <v>103</v>
      </c>
      <c r="G784" s="3" t="s">
        <v>503</v>
      </c>
      <c r="H784" s="3">
        <v>24.4</v>
      </c>
      <c r="I784" s="3">
        <v>23.7</v>
      </c>
    </row>
    <row r="785" spans="1:9" s="3" customFormat="1" x14ac:dyDescent="0.25">
      <c r="A785" s="3" t="s">
        <v>532</v>
      </c>
      <c r="B785" s="3" t="s">
        <v>107</v>
      </c>
      <c r="C785" s="3" t="s">
        <v>108</v>
      </c>
      <c r="G785" s="3" t="s">
        <v>504</v>
      </c>
      <c r="H785" s="3">
        <v>17.4</v>
      </c>
      <c r="I785" s="3">
        <v>16.9</v>
      </c>
    </row>
    <row r="786" spans="1:9" s="3" customFormat="1" x14ac:dyDescent="0.25">
      <c r="A786" s="3" t="s">
        <v>532</v>
      </c>
      <c r="B786" s="3" t="s">
        <v>107</v>
      </c>
      <c r="C786" s="3" t="s">
        <v>108</v>
      </c>
      <c r="G786" s="3" t="s">
        <v>505</v>
      </c>
      <c r="H786" s="3">
        <v>16.5</v>
      </c>
      <c r="I786" s="3">
        <v>16.1</v>
      </c>
    </row>
    <row r="787" spans="1:9" s="3" customFormat="1" x14ac:dyDescent="0.25">
      <c r="A787" s="3" t="s">
        <v>532</v>
      </c>
      <c r="B787" s="3" t="s">
        <v>107</v>
      </c>
      <c r="C787" s="3" t="s">
        <v>108</v>
      </c>
      <c r="G787" s="3" t="s">
        <v>507</v>
      </c>
      <c r="H787" s="3">
        <v>9</v>
      </c>
      <c r="I787" s="3">
        <v>8.7</v>
      </c>
    </row>
    <row r="788" spans="1:9" s="3" customFormat="1" x14ac:dyDescent="0.25">
      <c r="A788" s="3" t="s">
        <v>532</v>
      </c>
      <c r="B788" s="3" t="s">
        <v>107</v>
      </c>
      <c r="C788" s="3" t="s">
        <v>108</v>
      </c>
      <c r="G788" s="3" t="s">
        <v>506</v>
      </c>
      <c r="H788" s="3">
        <v>6</v>
      </c>
      <c r="I788" s="3">
        <v>5.8</v>
      </c>
    </row>
    <row r="789" spans="1:9" s="3" customFormat="1" x14ac:dyDescent="0.25">
      <c r="A789" s="3" t="s">
        <v>532</v>
      </c>
      <c r="B789" s="3" t="s">
        <v>107</v>
      </c>
      <c r="C789" s="3" t="s">
        <v>108</v>
      </c>
      <c r="G789" s="3" t="s">
        <v>512</v>
      </c>
      <c r="H789" s="3">
        <v>5.7</v>
      </c>
      <c r="I789" s="3">
        <v>5.5</v>
      </c>
    </row>
    <row r="790" spans="1:9" s="3" customFormat="1" x14ac:dyDescent="0.25">
      <c r="A790" s="3" t="s">
        <v>532</v>
      </c>
      <c r="B790" s="3" t="s">
        <v>107</v>
      </c>
      <c r="C790" s="3" t="s">
        <v>108</v>
      </c>
      <c r="G790" s="3" t="s">
        <v>508</v>
      </c>
      <c r="H790" s="3">
        <v>4.5</v>
      </c>
      <c r="I790" s="3">
        <v>4.3</v>
      </c>
    </row>
    <row r="791" spans="1:9" s="3" customFormat="1" x14ac:dyDescent="0.25">
      <c r="A791" s="3" t="s">
        <v>532</v>
      </c>
      <c r="B791" s="3" t="s">
        <v>107</v>
      </c>
      <c r="C791" s="3" t="s">
        <v>108</v>
      </c>
      <c r="G791" s="3" t="s">
        <v>515</v>
      </c>
      <c r="H791" s="3">
        <v>2.4</v>
      </c>
      <c r="I791" s="3">
        <v>2.3</v>
      </c>
    </row>
    <row r="792" spans="1:9" s="3" customFormat="1" x14ac:dyDescent="0.25">
      <c r="A792" s="3" t="s">
        <v>532</v>
      </c>
      <c r="B792" s="3" t="s">
        <v>107</v>
      </c>
      <c r="C792" s="3" t="s">
        <v>108</v>
      </c>
      <c r="G792" s="3" t="s">
        <v>509</v>
      </c>
      <c r="H792" s="3">
        <v>2.3</v>
      </c>
      <c r="I792" s="3">
        <v>2.2</v>
      </c>
    </row>
    <row r="793" spans="1:9" s="3" customFormat="1" x14ac:dyDescent="0.25">
      <c r="A793" s="3" t="s">
        <v>532</v>
      </c>
      <c r="B793" s="3" t="s">
        <v>107</v>
      </c>
      <c r="C793" s="3" t="s">
        <v>108</v>
      </c>
      <c r="G793" s="3" t="s">
        <v>513</v>
      </c>
      <c r="H793" s="3">
        <v>2.1</v>
      </c>
      <c r="I793" s="3">
        <v>2.1</v>
      </c>
    </row>
    <row r="794" spans="1:9" s="3" customFormat="1" x14ac:dyDescent="0.25">
      <c r="A794" s="3" t="s">
        <v>532</v>
      </c>
      <c r="B794" s="3" t="s">
        <v>107</v>
      </c>
      <c r="C794" s="3" t="s">
        <v>108</v>
      </c>
      <c r="G794" s="3" t="s">
        <v>511</v>
      </c>
      <c r="H794" s="3">
        <v>2.1</v>
      </c>
      <c r="I794" s="3">
        <v>2</v>
      </c>
    </row>
    <row r="795" spans="1:9" s="3" customFormat="1" x14ac:dyDescent="0.25">
      <c r="A795" s="3" t="s">
        <v>532</v>
      </c>
      <c r="B795" s="3" t="s">
        <v>107</v>
      </c>
      <c r="C795" s="3" t="s">
        <v>108</v>
      </c>
      <c r="G795" s="3" t="s">
        <v>510</v>
      </c>
      <c r="H795" s="3">
        <v>1.8</v>
      </c>
      <c r="I795" s="3">
        <v>1.8</v>
      </c>
    </row>
    <row r="796" spans="1:9" s="3" customFormat="1" x14ac:dyDescent="0.25">
      <c r="A796" s="3" t="s">
        <v>532</v>
      </c>
      <c r="B796" s="3" t="s">
        <v>107</v>
      </c>
      <c r="C796" s="3" t="s">
        <v>108</v>
      </c>
      <c r="G796" s="3" t="s">
        <v>519</v>
      </c>
      <c r="H796" s="3">
        <v>1.6</v>
      </c>
      <c r="I796" s="3">
        <v>1.5</v>
      </c>
    </row>
    <row r="797" spans="1:9" s="3" customFormat="1" x14ac:dyDescent="0.25">
      <c r="A797" s="3" t="s">
        <v>532</v>
      </c>
      <c r="B797" s="3" t="s">
        <v>107</v>
      </c>
      <c r="C797" s="3" t="s">
        <v>108</v>
      </c>
      <c r="G797" s="3" t="s">
        <v>517</v>
      </c>
      <c r="H797" s="3">
        <v>1.6</v>
      </c>
      <c r="I797" s="3">
        <v>1.5</v>
      </c>
    </row>
    <row r="798" spans="1:9" s="3" customFormat="1" x14ac:dyDescent="0.25">
      <c r="A798" s="3" t="s">
        <v>532</v>
      </c>
      <c r="B798" s="3" t="s">
        <v>107</v>
      </c>
      <c r="C798" s="3" t="s">
        <v>108</v>
      </c>
      <c r="G798" s="3" t="s">
        <v>522</v>
      </c>
      <c r="H798" s="3">
        <v>1.5</v>
      </c>
      <c r="I798" s="3">
        <v>1.5</v>
      </c>
    </row>
    <row r="799" spans="1:9" s="3" customFormat="1" x14ac:dyDescent="0.25">
      <c r="A799" s="3" t="s">
        <v>532</v>
      </c>
      <c r="B799" s="3" t="s">
        <v>107</v>
      </c>
      <c r="C799" s="3" t="s">
        <v>108</v>
      </c>
      <c r="G799" s="3" t="s">
        <v>516</v>
      </c>
      <c r="H799" s="3">
        <v>1.1</v>
      </c>
      <c r="I799" s="3">
        <v>1.1</v>
      </c>
    </row>
    <row r="800" spans="1:9" s="3" customFormat="1" x14ac:dyDescent="0.25">
      <c r="A800" s="3" t="s">
        <v>532</v>
      </c>
      <c r="B800" s="3" t="s">
        <v>107</v>
      </c>
      <c r="C800" s="3" t="s">
        <v>108</v>
      </c>
      <c r="G800" s="3" t="s">
        <v>514</v>
      </c>
      <c r="H800" s="3">
        <v>0.9</v>
      </c>
      <c r="I800" s="3">
        <v>0.9</v>
      </c>
    </row>
    <row r="801" spans="1:9" s="3" customFormat="1" x14ac:dyDescent="0.25">
      <c r="A801" s="3" t="s">
        <v>532</v>
      </c>
      <c r="B801" s="3" t="s">
        <v>107</v>
      </c>
      <c r="C801" s="3" t="s">
        <v>108</v>
      </c>
      <c r="G801" s="3" t="s">
        <v>521</v>
      </c>
      <c r="H801" s="3">
        <v>0.7</v>
      </c>
      <c r="I801" s="3">
        <v>0.7</v>
      </c>
    </row>
    <row r="802" spans="1:9" s="3" customFormat="1" x14ac:dyDescent="0.25">
      <c r="A802" s="3" t="s">
        <v>532</v>
      </c>
      <c r="B802" s="3" t="s">
        <v>107</v>
      </c>
      <c r="C802" s="3" t="s">
        <v>108</v>
      </c>
      <c r="G802" s="3" t="s">
        <v>518</v>
      </c>
      <c r="H802" s="3">
        <v>0.6</v>
      </c>
      <c r="I802" s="3">
        <v>0.6</v>
      </c>
    </row>
    <row r="803" spans="1:9" s="3" customFormat="1" x14ac:dyDescent="0.25">
      <c r="A803" s="3" t="s">
        <v>532</v>
      </c>
      <c r="B803" s="3" t="s">
        <v>107</v>
      </c>
      <c r="C803" s="3" t="s">
        <v>108</v>
      </c>
      <c r="G803" s="3" t="s">
        <v>520</v>
      </c>
      <c r="H803" s="3">
        <v>0.4</v>
      </c>
      <c r="I803" s="3">
        <v>0.4</v>
      </c>
    </row>
    <row r="804" spans="1:9" s="3" customFormat="1" x14ac:dyDescent="0.25">
      <c r="A804" s="3" t="s">
        <v>532</v>
      </c>
      <c r="B804" s="3" t="s">
        <v>107</v>
      </c>
      <c r="C804" s="3" t="s">
        <v>108</v>
      </c>
      <c r="G804" s="3" t="s">
        <v>523</v>
      </c>
      <c r="H804" s="3">
        <v>0.3</v>
      </c>
      <c r="I804" s="3">
        <v>0.3</v>
      </c>
    </row>
    <row r="805" spans="1:9" s="3" customFormat="1" x14ac:dyDescent="0.25">
      <c r="A805" s="3" t="s">
        <v>532</v>
      </c>
      <c r="B805" s="3" t="s">
        <v>107</v>
      </c>
      <c r="C805" s="3" t="s">
        <v>108</v>
      </c>
      <c r="G805" s="3" t="s">
        <v>524</v>
      </c>
      <c r="H805" s="3">
        <v>0.2</v>
      </c>
      <c r="I805" s="3">
        <v>0.2</v>
      </c>
    </row>
    <row r="806" spans="1:9" s="3" customFormat="1" x14ac:dyDescent="0.25">
      <c r="A806" s="3" t="s">
        <v>532</v>
      </c>
      <c r="B806" s="3" t="s">
        <v>107</v>
      </c>
      <c r="C806" s="3" t="s">
        <v>108</v>
      </c>
      <c r="G806" s="3" t="s">
        <v>525</v>
      </c>
      <c r="H806" s="3">
        <v>0.1</v>
      </c>
      <c r="I806" s="3">
        <v>0.1</v>
      </c>
    </row>
    <row r="807" spans="1:9" s="3" customFormat="1" x14ac:dyDescent="0.25">
      <c r="A807" s="3" t="s">
        <v>532</v>
      </c>
      <c r="B807" s="3" t="s">
        <v>109</v>
      </c>
      <c r="C807" s="3" t="s">
        <v>110</v>
      </c>
      <c r="D807" s="3">
        <v>472.9</v>
      </c>
      <c r="E807" s="3">
        <v>212.5</v>
      </c>
      <c r="F807" s="3">
        <v>260.4</v>
      </c>
      <c r="G807" s="3" t="s">
        <v>503</v>
      </c>
      <c r="H807" s="3">
        <v>51.2</v>
      </c>
      <c r="I807" s="3">
        <v>19.7</v>
      </c>
    </row>
    <row r="808" spans="1:9" s="3" customFormat="1" x14ac:dyDescent="0.25">
      <c r="A808" s="3" t="s">
        <v>532</v>
      </c>
      <c r="B808" s="3" t="s">
        <v>109</v>
      </c>
      <c r="C808" s="3" t="s">
        <v>110</v>
      </c>
      <c r="G808" s="3" t="s">
        <v>505</v>
      </c>
      <c r="H808" s="3">
        <v>48.8</v>
      </c>
      <c r="I808" s="3">
        <v>18.7</v>
      </c>
    </row>
    <row r="809" spans="1:9" s="3" customFormat="1" x14ac:dyDescent="0.25">
      <c r="A809" s="3" t="s">
        <v>532</v>
      </c>
      <c r="B809" s="3" t="s">
        <v>109</v>
      </c>
      <c r="C809" s="3" t="s">
        <v>110</v>
      </c>
      <c r="G809" s="3" t="s">
        <v>504</v>
      </c>
      <c r="H809" s="3">
        <v>45</v>
      </c>
      <c r="I809" s="3">
        <v>17.3</v>
      </c>
    </row>
    <row r="810" spans="1:9" s="3" customFormat="1" x14ac:dyDescent="0.25">
      <c r="A810" s="3" t="s">
        <v>532</v>
      </c>
      <c r="B810" s="3" t="s">
        <v>109</v>
      </c>
      <c r="C810" s="3" t="s">
        <v>110</v>
      </c>
      <c r="G810" s="3" t="s">
        <v>507</v>
      </c>
      <c r="H810" s="3">
        <v>17.7</v>
      </c>
      <c r="I810" s="3">
        <v>6.8</v>
      </c>
    </row>
    <row r="811" spans="1:9" s="3" customFormat="1" x14ac:dyDescent="0.25">
      <c r="A811" s="3" t="s">
        <v>532</v>
      </c>
      <c r="B811" s="3" t="s">
        <v>109</v>
      </c>
      <c r="C811" s="3" t="s">
        <v>110</v>
      </c>
      <c r="G811" s="3" t="s">
        <v>506</v>
      </c>
      <c r="H811" s="3">
        <v>12.6</v>
      </c>
      <c r="I811" s="3">
        <v>4.9</v>
      </c>
    </row>
    <row r="812" spans="1:9" s="3" customFormat="1" x14ac:dyDescent="0.25">
      <c r="A812" s="3" t="s">
        <v>532</v>
      </c>
      <c r="B812" s="3" t="s">
        <v>109</v>
      </c>
      <c r="C812" s="3" t="s">
        <v>110</v>
      </c>
      <c r="G812" s="3" t="s">
        <v>508</v>
      </c>
      <c r="H812" s="3">
        <v>11.9</v>
      </c>
      <c r="I812" s="3">
        <v>4.6</v>
      </c>
    </row>
    <row r="813" spans="1:9" s="3" customFormat="1" x14ac:dyDescent="0.25">
      <c r="A813" s="3" t="s">
        <v>532</v>
      </c>
      <c r="B813" s="3" t="s">
        <v>109</v>
      </c>
      <c r="C813" s="3" t="s">
        <v>110</v>
      </c>
      <c r="G813" s="3" t="s">
        <v>509</v>
      </c>
      <c r="H813" s="3">
        <v>9.6</v>
      </c>
      <c r="I813" s="3">
        <v>3.7</v>
      </c>
    </row>
    <row r="814" spans="1:9" s="3" customFormat="1" x14ac:dyDescent="0.25">
      <c r="A814" s="3" t="s">
        <v>532</v>
      </c>
      <c r="B814" s="3" t="s">
        <v>109</v>
      </c>
      <c r="C814" s="3" t="s">
        <v>110</v>
      </c>
      <c r="G814" s="3" t="s">
        <v>515</v>
      </c>
      <c r="H814" s="3">
        <v>9.3</v>
      </c>
      <c r="I814" s="3">
        <v>3.6</v>
      </c>
    </row>
    <row r="815" spans="1:9" s="3" customFormat="1" x14ac:dyDescent="0.25">
      <c r="A815" s="3" t="s">
        <v>532</v>
      </c>
      <c r="B815" s="3" t="s">
        <v>109</v>
      </c>
      <c r="C815" s="3" t="s">
        <v>110</v>
      </c>
      <c r="G815" s="3" t="s">
        <v>512</v>
      </c>
      <c r="H815" s="3">
        <v>9.2</v>
      </c>
      <c r="I815" s="3">
        <v>3.5</v>
      </c>
    </row>
    <row r="816" spans="1:9" s="3" customFormat="1" x14ac:dyDescent="0.25">
      <c r="A816" s="3" t="s">
        <v>532</v>
      </c>
      <c r="B816" s="3" t="s">
        <v>109</v>
      </c>
      <c r="C816" s="3" t="s">
        <v>110</v>
      </c>
      <c r="G816" s="3" t="s">
        <v>517</v>
      </c>
      <c r="H816" s="3">
        <v>6.4</v>
      </c>
      <c r="I816" s="3">
        <v>2.5</v>
      </c>
    </row>
    <row r="817" spans="1:9" s="3" customFormat="1" x14ac:dyDescent="0.25">
      <c r="A817" s="3" t="s">
        <v>532</v>
      </c>
      <c r="B817" s="3" t="s">
        <v>109</v>
      </c>
      <c r="C817" s="3" t="s">
        <v>110</v>
      </c>
      <c r="G817" s="3" t="s">
        <v>511</v>
      </c>
      <c r="H817" s="3">
        <v>6.1</v>
      </c>
      <c r="I817" s="3">
        <v>2.3</v>
      </c>
    </row>
    <row r="818" spans="1:9" s="3" customFormat="1" x14ac:dyDescent="0.25">
      <c r="A818" s="3" t="s">
        <v>532</v>
      </c>
      <c r="B818" s="3" t="s">
        <v>109</v>
      </c>
      <c r="C818" s="3" t="s">
        <v>110</v>
      </c>
      <c r="G818" s="3" t="s">
        <v>510</v>
      </c>
      <c r="H818" s="3">
        <v>6</v>
      </c>
      <c r="I818" s="3">
        <v>2.3</v>
      </c>
    </row>
    <row r="819" spans="1:9" s="3" customFormat="1" x14ac:dyDescent="0.25">
      <c r="A819" s="3" t="s">
        <v>532</v>
      </c>
      <c r="B819" s="3" t="s">
        <v>109</v>
      </c>
      <c r="C819" s="3" t="s">
        <v>110</v>
      </c>
      <c r="G819" s="3" t="s">
        <v>522</v>
      </c>
      <c r="H819" s="3">
        <v>5.5</v>
      </c>
      <c r="I819" s="3">
        <v>2.1</v>
      </c>
    </row>
    <row r="820" spans="1:9" s="3" customFormat="1" x14ac:dyDescent="0.25">
      <c r="A820" s="3" t="s">
        <v>532</v>
      </c>
      <c r="B820" s="3" t="s">
        <v>109</v>
      </c>
      <c r="C820" s="3" t="s">
        <v>110</v>
      </c>
      <c r="G820" s="3" t="s">
        <v>519</v>
      </c>
      <c r="H820" s="3">
        <v>5</v>
      </c>
      <c r="I820" s="3">
        <v>1.9</v>
      </c>
    </row>
    <row r="821" spans="1:9" s="3" customFormat="1" x14ac:dyDescent="0.25">
      <c r="A821" s="3" t="s">
        <v>532</v>
      </c>
      <c r="B821" s="3" t="s">
        <v>109</v>
      </c>
      <c r="C821" s="3" t="s">
        <v>110</v>
      </c>
      <c r="G821" s="3" t="s">
        <v>513</v>
      </c>
      <c r="H821" s="3">
        <v>4.9</v>
      </c>
      <c r="I821" s="3">
        <v>1.9</v>
      </c>
    </row>
    <row r="822" spans="1:9" s="3" customFormat="1" x14ac:dyDescent="0.25">
      <c r="A822" s="3" t="s">
        <v>532</v>
      </c>
      <c r="B822" s="3" t="s">
        <v>109</v>
      </c>
      <c r="C822" s="3" t="s">
        <v>110</v>
      </c>
      <c r="G822" s="3" t="s">
        <v>518</v>
      </c>
      <c r="H822" s="3">
        <v>2.8</v>
      </c>
      <c r="I822" s="3">
        <v>1.1</v>
      </c>
    </row>
    <row r="823" spans="1:9" s="3" customFormat="1" x14ac:dyDescent="0.25">
      <c r="A823" s="3" t="s">
        <v>532</v>
      </c>
      <c r="B823" s="3" t="s">
        <v>109</v>
      </c>
      <c r="C823" s="3" t="s">
        <v>110</v>
      </c>
      <c r="G823" s="3" t="s">
        <v>521</v>
      </c>
      <c r="H823" s="3">
        <v>2.4</v>
      </c>
      <c r="I823" s="3">
        <v>0.9</v>
      </c>
    </row>
    <row r="824" spans="1:9" s="3" customFormat="1" x14ac:dyDescent="0.25">
      <c r="A824" s="3" t="s">
        <v>532</v>
      </c>
      <c r="B824" s="3" t="s">
        <v>109</v>
      </c>
      <c r="C824" s="3" t="s">
        <v>110</v>
      </c>
      <c r="G824" s="3" t="s">
        <v>514</v>
      </c>
      <c r="H824" s="3">
        <v>2.2</v>
      </c>
      <c r="I824" s="3">
        <v>0.9</v>
      </c>
    </row>
    <row r="825" spans="1:9" s="3" customFormat="1" x14ac:dyDescent="0.25">
      <c r="A825" s="3" t="s">
        <v>532</v>
      </c>
      <c r="B825" s="3" t="s">
        <v>109</v>
      </c>
      <c r="C825" s="3" t="s">
        <v>110</v>
      </c>
      <c r="G825" s="3" t="s">
        <v>516</v>
      </c>
      <c r="H825" s="3">
        <v>1.6</v>
      </c>
      <c r="I825" s="3">
        <v>0.6</v>
      </c>
    </row>
    <row r="826" spans="1:9" s="3" customFormat="1" x14ac:dyDescent="0.25">
      <c r="A826" s="3" t="s">
        <v>532</v>
      </c>
      <c r="B826" s="3" t="s">
        <v>109</v>
      </c>
      <c r="C826" s="3" t="s">
        <v>110</v>
      </c>
      <c r="G826" s="3" t="s">
        <v>523</v>
      </c>
      <c r="H826" s="3">
        <v>1.5</v>
      </c>
      <c r="I826" s="3">
        <v>0.6</v>
      </c>
    </row>
    <row r="827" spans="1:9" s="3" customFormat="1" x14ac:dyDescent="0.25">
      <c r="A827" s="3" t="s">
        <v>532</v>
      </c>
      <c r="B827" s="3" t="s">
        <v>109</v>
      </c>
      <c r="C827" s="3" t="s">
        <v>110</v>
      </c>
      <c r="G827" s="3" t="s">
        <v>520</v>
      </c>
      <c r="H827" s="3">
        <v>0.3</v>
      </c>
      <c r="I827" s="3">
        <v>0.1</v>
      </c>
    </row>
    <row r="828" spans="1:9" s="3" customFormat="1" x14ac:dyDescent="0.25">
      <c r="A828" s="3" t="s">
        <v>532</v>
      </c>
      <c r="B828" s="3" t="s">
        <v>109</v>
      </c>
      <c r="C828" s="3" t="s">
        <v>110</v>
      </c>
      <c r="G828" s="3" t="s">
        <v>524</v>
      </c>
      <c r="H828" s="3">
        <v>0.2</v>
      </c>
      <c r="I828" s="3">
        <v>0.1</v>
      </c>
    </row>
    <row r="829" spans="1:9" s="3" customFormat="1" x14ac:dyDescent="0.25">
      <c r="A829" s="3" t="s">
        <v>532</v>
      </c>
      <c r="B829" s="3" t="s">
        <v>109</v>
      </c>
      <c r="C829" s="3" t="s">
        <v>110</v>
      </c>
      <c r="G829" s="3" t="s">
        <v>525</v>
      </c>
      <c r="H829" s="3">
        <v>0.1</v>
      </c>
      <c r="I829" s="3">
        <v>0</v>
      </c>
    </row>
    <row r="830" spans="1:9" s="3" customFormat="1" x14ac:dyDescent="0.25">
      <c r="A830" s="3" t="s">
        <v>532</v>
      </c>
      <c r="B830" s="3" t="s">
        <v>111</v>
      </c>
      <c r="C830" s="3" t="s">
        <v>112</v>
      </c>
      <c r="D830" s="3">
        <v>595.9</v>
      </c>
      <c r="E830" s="3">
        <v>341.1</v>
      </c>
      <c r="F830" s="3">
        <v>254.7</v>
      </c>
      <c r="G830" s="3" t="s">
        <v>507</v>
      </c>
      <c r="H830" s="3">
        <v>45.5</v>
      </c>
      <c r="I830" s="3">
        <v>17.9</v>
      </c>
    </row>
    <row r="831" spans="1:9" s="3" customFormat="1" x14ac:dyDescent="0.25">
      <c r="A831" s="3" t="s">
        <v>532</v>
      </c>
      <c r="B831" s="3" t="s">
        <v>111</v>
      </c>
      <c r="C831" s="3" t="s">
        <v>112</v>
      </c>
      <c r="G831" s="3" t="s">
        <v>503</v>
      </c>
      <c r="H831" s="3">
        <v>45.4</v>
      </c>
      <c r="I831" s="3">
        <v>17.8</v>
      </c>
    </row>
    <row r="832" spans="1:9" s="3" customFormat="1" x14ac:dyDescent="0.25">
      <c r="A832" s="3" t="s">
        <v>532</v>
      </c>
      <c r="B832" s="3" t="s">
        <v>111</v>
      </c>
      <c r="C832" s="3" t="s">
        <v>112</v>
      </c>
      <c r="G832" s="3" t="s">
        <v>505</v>
      </c>
      <c r="H832" s="3">
        <v>43</v>
      </c>
      <c r="I832" s="3">
        <v>16.9</v>
      </c>
    </row>
    <row r="833" spans="1:9" s="3" customFormat="1" x14ac:dyDescent="0.25">
      <c r="A833" s="3" t="s">
        <v>532</v>
      </c>
      <c r="B833" s="3" t="s">
        <v>111</v>
      </c>
      <c r="C833" s="3" t="s">
        <v>112</v>
      </c>
      <c r="G833" s="3" t="s">
        <v>504</v>
      </c>
      <c r="H833" s="3">
        <v>39.2</v>
      </c>
      <c r="I833" s="3">
        <v>15.4</v>
      </c>
    </row>
    <row r="834" spans="1:9" s="3" customFormat="1" x14ac:dyDescent="0.25">
      <c r="A834" s="3" t="s">
        <v>532</v>
      </c>
      <c r="B834" s="3" t="s">
        <v>111</v>
      </c>
      <c r="C834" s="3" t="s">
        <v>112</v>
      </c>
      <c r="G834" s="3" t="s">
        <v>508</v>
      </c>
      <c r="H834" s="3">
        <v>17.2</v>
      </c>
      <c r="I834" s="3">
        <v>6.8</v>
      </c>
    </row>
    <row r="835" spans="1:9" s="3" customFormat="1" x14ac:dyDescent="0.25">
      <c r="A835" s="3" t="s">
        <v>532</v>
      </c>
      <c r="B835" s="3" t="s">
        <v>111</v>
      </c>
      <c r="C835" s="3" t="s">
        <v>112</v>
      </c>
      <c r="G835" s="3" t="s">
        <v>506</v>
      </c>
      <c r="H835" s="3">
        <v>12.6</v>
      </c>
      <c r="I835" s="3">
        <v>4.9</v>
      </c>
    </row>
    <row r="836" spans="1:9" s="3" customFormat="1" x14ac:dyDescent="0.25">
      <c r="A836" s="3" t="s">
        <v>532</v>
      </c>
      <c r="B836" s="3" t="s">
        <v>111</v>
      </c>
      <c r="C836" s="3" t="s">
        <v>112</v>
      </c>
      <c r="G836" s="3" t="s">
        <v>509</v>
      </c>
      <c r="H836" s="3">
        <v>7.1</v>
      </c>
      <c r="I836" s="3">
        <v>2.8</v>
      </c>
    </row>
    <row r="837" spans="1:9" s="3" customFormat="1" x14ac:dyDescent="0.25">
      <c r="A837" s="3" t="s">
        <v>532</v>
      </c>
      <c r="B837" s="3" t="s">
        <v>111</v>
      </c>
      <c r="C837" s="3" t="s">
        <v>112</v>
      </c>
      <c r="G837" s="3" t="s">
        <v>512</v>
      </c>
      <c r="H837" s="3">
        <v>6.8</v>
      </c>
      <c r="I837" s="3">
        <v>2.7</v>
      </c>
    </row>
    <row r="838" spans="1:9" s="3" customFormat="1" x14ac:dyDescent="0.25">
      <c r="A838" s="3" t="s">
        <v>532</v>
      </c>
      <c r="B838" s="3" t="s">
        <v>111</v>
      </c>
      <c r="C838" s="3" t="s">
        <v>112</v>
      </c>
      <c r="G838" s="3" t="s">
        <v>510</v>
      </c>
      <c r="H838" s="3">
        <v>6.8</v>
      </c>
      <c r="I838" s="3">
        <v>2.7</v>
      </c>
    </row>
    <row r="839" spans="1:9" s="3" customFormat="1" x14ac:dyDescent="0.25">
      <c r="A839" s="3" t="s">
        <v>532</v>
      </c>
      <c r="B839" s="3" t="s">
        <v>111</v>
      </c>
      <c r="C839" s="3" t="s">
        <v>112</v>
      </c>
      <c r="G839" s="3" t="s">
        <v>515</v>
      </c>
      <c r="H839" s="3">
        <v>5.5</v>
      </c>
      <c r="I839" s="3">
        <v>2.2</v>
      </c>
    </row>
    <row r="840" spans="1:9" s="3" customFormat="1" x14ac:dyDescent="0.25">
      <c r="A840" s="3" t="s">
        <v>532</v>
      </c>
      <c r="B840" s="3" t="s">
        <v>111</v>
      </c>
      <c r="C840" s="3" t="s">
        <v>112</v>
      </c>
      <c r="G840" s="3" t="s">
        <v>513</v>
      </c>
      <c r="H840" s="3">
        <v>5.2</v>
      </c>
      <c r="I840" s="3">
        <v>2</v>
      </c>
    </row>
    <row r="841" spans="1:9" s="3" customFormat="1" x14ac:dyDescent="0.25">
      <c r="A841" s="3" t="s">
        <v>532</v>
      </c>
      <c r="B841" s="3" t="s">
        <v>111</v>
      </c>
      <c r="C841" s="3" t="s">
        <v>112</v>
      </c>
      <c r="G841" s="3" t="s">
        <v>522</v>
      </c>
      <c r="H841" s="3">
        <v>4.3</v>
      </c>
      <c r="I841" s="3">
        <v>1.7</v>
      </c>
    </row>
    <row r="842" spans="1:9" s="3" customFormat="1" x14ac:dyDescent="0.25">
      <c r="A842" s="3" t="s">
        <v>532</v>
      </c>
      <c r="B842" s="3" t="s">
        <v>111</v>
      </c>
      <c r="C842" s="3" t="s">
        <v>112</v>
      </c>
      <c r="G842" s="3" t="s">
        <v>517</v>
      </c>
      <c r="H842" s="3">
        <v>3.2</v>
      </c>
      <c r="I842" s="3">
        <v>1.3</v>
      </c>
    </row>
    <row r="843" spans="1:9" s="3" customFormat="1" x14ac:dyDescent="0.25">
      <c r="A843" s="3" t="s">
        <v>532</v>
      </c>
      <c r="B843" s="3" t="s">
        <v>111</v>
      </c>
      <c r="C843" s="3" t="s">
        <v>112</v>
      </c>
      <c r="G843" s="3" t="s">
        <v>519</v>
      </c>
      <c r="H843" s="3">
        <v>3.2</v>
      </c>
      <c r="I843" s="3">
        <v>1.3</v>
      </c>
    </row>
    <row r="844" spans="1:9" s="3" customFormat="1" x14ac:dyDescent="0.25">
      <c r="A844" s="3" t="s">
        <v>532</v>
      </c>
      <c r="B844" s="3" t="s">
        <v>111</v>
      </c>
      <c r="C844" s="3" t="s">
        <v>112</v>
      </c>
      <c r="G844" s="3" t="s">
        <v>511</v>
      </c>
      <c r="H844" s="3">
        <v>2.2</v>
      </c>
      <c r="I844" s="3">
        <v>0.9</v>
      </c>
    </row>
    <row r="845" spans="1:9" s="3" customFormat="1" x14ac:dyDescent="0.25">
      <c r="A845" s="3" t="s">
        <v>532</v>
      </c>
      <c r="B845" s="3" t="s">
        <v>111</v>
      </c>
      <c r="C845" s="3" t="s">
        <v>112</v>
      </c>
      <c r="G845" s="3" t="s">
        <v>521</v>
      </c>
      <c r="H845" s="3">
        <v>2.2</v>
      </c>
      <c r="I845" s="3">
        <v>0.9</v>
      </c>
    </row>
    <row r="846" spans="1:9" s="3" customFormat="1" x14ac:dyDescent="0.25">
      <c r="A846" s="3" t="s">
        <v>532</v>
      </c>
      <c r="B846" s="3" t="s">
        <v>111</v>
      </c>
      <c r="C846" s="3" t="s">
        <v>112</v>
      </c>
      <c r="G846" s="3" t="s">
        <v>514</v>
      </c>
      <c r="H846" s="3">
        <v>1.5</v>
      </c>
      <c r="I846" s="3">
        <v>0.6</v>
      </c>
    </row>
    <row r="847" spans="1:9" s="3" customFormat="1" x14ac:dyDescent="0.25">
      <c r="A847" s="3" t="s">
        <v>532</v>
      </c>
      <c r="B847" s="3" t="s">
        <v>111</v>
      </c>
      <c r="C847" s="3" t="s">
        <v>112</v>
      </c>
      <c r="G847" s="3" t="s">
        <v>516</v>
      </c>
      <c r="H847" s="3">
        <v>1.5</v>
      </c>
      <c r="I847" s="3">
        <v>0.6</v>
      </c>
    </row>
    <row r="848" spans="1:9" s="3" customFormat="1" x14ac:dyDescent="0.25">
      <c r="A848" s="3" t="s">
        <v>532</v>
      </c>
      <c r="B848" s="3" t="s">
        <v>111</v>
      </c>
      <c r="C848" s="3" t="s">
        <v>112</v>
      </c>
      <c r="G848" s="3" t="s">
        <v>523</v>
      </c>
      <c r="H848" s="3">
        <v>0.8</v>
      </c>
      <c r="I848" s="3">
        <v>0.3</v>
      </c>
    </row>
    <row r="849" spans="1:9" s="3" customFormat="1" x14ac:dyDescent="0.25">
      <c r="A849" s="3" t="s">
        <v>532</v>
      </c>
      <c r="B849" s="3" t="s">
        <v>111</v>
      </c>
      <c r="C849" s="3" t="s">
        <v>112</v>
      </c>
      <c r="G849" s="3" t="s">
        <v>518</v>
      </c>
      <c r="H849" s="3">
        <v>0.7</v>
      </c>
      <c r="I849" s="3">
        <v>0.3</v>
      </c>
    </row>
    <row r="850" spans="1:9" s="3" customFormat="1" x14ac:dyDescent="0.25">
      <c r="A850" s="3" t="s">
        <v>532</v>
      </c>
      <c r="B850" s="3" t="s">
        <v>111</v>
      </c>
      <c r="C850" s="3" t="s">
        <v>112</v>
      </c>
      <c r="G850" s="3" t="s">
        <v>520</v>
      </c>
      <c r="H850" s="3">
        <v>0.4</v>
      </c>
      <c r="I850" s="3">
        <v>0.2</v>
      </c>
    </row>
    <row r="851" spans="1:9" s="3" customFormat="1" x14ac:dyDescent="0.25">
      <c r="A851" s="3" t="s">
        <v>532</v>
      </c>
      <c r="B851" s="3" t="s">
        <v>111</v>
      </c>
      <c r="C851" s="3" t="s">
        <v>112</v>
      </c>
      <c r="G851" s="3" t="s">
        <v>524</v>
      </c>
      <c r="H851" s="3">
        <v>0.3</v>
      </c>
      <c r="I851" s="3">
        <v>0.1</v>
      </c>
    </row>
    <row r="852" spans="1:9" s="3" customFormat="1" x14ac:dyDescent="0.25">
      <c r="A852" s="3" t="s">
        <v>532</v>
      </c>
      <c r="B852" s="3" t="s">
        <v>111</v>
      </c>
      <c r="C852" s="3" t="s">
        <v>112</v>
      </c>
      <c r="G852" s="3" t="s">
        <v>525</v>
      </c>
      <c r="H852" s="3">
        <v>0.2</v>
      </c>
      <c r="I852" s="3">
        <v>0.1</v>
      </c>
    </row>
    <row r="853" spans="1:9" s="3" customFormat="1" x14ac:dyDescent="0.25">
      <c r="A853" s="3" t="s">
        <v>532</v>
      </c>
      <c r="B853" s="3" t="s">
        <v>113</v>
      </c>
      <c r="C853" s="3" t="s">
        <v>114</v>
      </c>
      <c r="D853" s="3">
        <v>162.6</v>
      </c>
      <c r="E853" s="3">
        <v>59.1</v>
      </c>
      <c r="F853" s="3">
        <v>103.5</v>
      </c>
      <c r="G853" s="3" t="s">
        <v>503</v>
      </c>
      <c r="H853" s="3">
        <v>32.8</v>
      </c>
      <c r="I853" s="3">
        <v>31.7</v>
      </c>
    </row>
    <row r="854" spans="1:9" s="3" customFormat="1" x14ac:dyDescent="0.25">
      <c r="A854" s="3" t="s">
        <v>532</v>
      </c>
      <c r="B854" s="3" t="s">
        <v>113</v>
      </c>
      <c r="C854" s="3" t="s">
        <v>114</v>
      </c>
      <c r="G854" s="3" t="s">
        <v>505</v>
      </c>
      <c r="H854" s="3">
        <v>17.5</v>
      </c>
      <c r="I854" s="3">
        <v>16.9</v>
      </c>
    </row>
    <row r="855" spans="1:9" s="3" customFormat="1" x14ac:dyDescent="0.25">
      <c r="A855" s="3" t="s">
        <v>532</v>
      </c>
      <c r="B855" s="3" t="s">
        <v>113</v>
      </c>
      <c r="C855" s="3" t="s">
        <v>114</v>
      </c>
      <c r="G855" s="3" t="s">
        <v>504</v>
      </c>
      <c r="H855" s="3">
        <v>13.7</v>
      </c>
      <c r="I855" s="3">
        <v>13.2</v>
      </c>
    </row>
    <row r="856" spans="1:9" s="3" customFormat="1" x14ac:dyDescent="0.25">
      <c r="A856" s="3" t="s">
        <v>532</v>
      </c>
      <c r="B856" s="3" t="s">
        <v>113</v>
      </c>
      <c r="C856" s="3" t="s">
        <v>114</v>
      </c>
      <c r="G856" s="3" t="s">
        <v>507</v>
      </c>
      <c r="H856" s="3">
        <v>10.1</v>
      </c>
      <c r="I856" s="3">
        <v>9.8</v>
      </c>
    </row>
    <row r="857" spans="1:9" s="3" customFormat="1" x14ac:dyDescent="0.25">
      <c r="A857" s="3" t="s">
        <v>532</v>
      </c>
      <c r="B857" s="3" t="s">
        <v>113</v>
      </c>
      <c r="C857" s="3" t="s">
        <v>114</v>
      </c>
      <c r="G857" s="3" t="s">
        <v>506</v>
      </c>
      <c r="H857" s="3">
        <v>5.1</v>
      </c>
      <c r="I857" s="3">
        <v>5</v>
      </c>
    </row>
    <row r="858" spans="1:9" s="3" customFormat="1" x14ac:dyDescent="0.25">
      <c r="A858" s="3" t="s">
        <v>532</v>
      </c>
      <c r="B858" s="3" t="s">
        <v>113</v>
      </c>
      <c r="C858" s="3" t="s">
        <v>114</v>
      </c>
      <c r="G858" s="3" t="s">
        <v>511</v>
      </c>
      <c r="H858" s="3">
        <v>4</v>
      </c>
      <c r="I858" s="3">
        <v>3.9</v>
      </c>
    </row>
    <row r="859" spans="1:9" s="3" customFormat="1" x14ac:dyDescent="0.25">
      <c r="A859" s="3" t="s">
        <v>532</v>
      </c>
      <c r="B859" s="3" t="s">
        <v>113</v>
      </c>
      <c r="C859" s="3" t="s">
        <v>114</v>
      </c>
      <c r="G859" s="3" t="s">
        <v>508</v>
      </c>
      <c r="H859" s="3">
        <v>2.9</v>
      </c>
      <c r="I859" s="3">
        <v>2.8</v>
      </c>
    </row>
    <row r="860" spans="1:9" s="3" customFormat="1" x14ac:dyDescent="0.25">
      <c r="A860" s="3" t="s">
        <v>532</v>
      </c>
      <c r="B860" s="3" t="s">
        <v>113</v>
      </c>
      <c r="C860" s="3" t="s">
        <v>114</v>
      </c>
      <c r="G860" s="3" t="s">
        <v>517</v>
      </c>
      <c r="H860" s="3">
        <v>2.9</v>
      </c>
      <c r="I860" s="3">
        <v>2.8</v>
      </c>
    </row>
    <row r="861" spans="1:9" s="3" customFormat="1" x14ac:dyDescent="0.25">
      <c r="A861" s="3" t="s">
        <v>532</v>
      </c>
      <c r="B861" s="3" t="s">
        <v>113</v>
      </c>
      <c r="C861" s="3" t="s">
        <v>114</v>
      </c>
      <c r="G861" s="3" t="s">
        <v>510</v>
      </c>
      <c r="H861" s="3">
        <v>2.7</v>
      </c>
      <c r="I861" s="3">
        <v>2.6</v>
      </c>
    </row>
    <row r="862" spans="1:9" s="3" customFormat="1" x14ac:dyDescent="0.25">
      <c r="A862" s="3" t="s">
        <v>532</v>
      </c>
      <c r="B862" s="3" t="s">
        <v>113</v>
      </c>
      <c r="C862" s="3" t="s">
        <v>114</v>
      </c>
      <c r="G862" s="3" t="s">
        <v>515</v>
      </c>
      <c r="H862" s="3">
        <v>2.4</v>
      </c>
      <c r="I862" s="3">
        <v>2.4</v>
      </c>
    </row>
    <row r="863" spans="1:9" s="3" customFormat="1" x14ac:dyDescent="0.25">
      <c r="A863" s="3" t="s">
        <v>532</v>
      </c>
      <c r="B863" s="3" t="s">
        <v>113</v>
      </c>
      <c r="C863" s="3" t="s">
        <v>114</v>
      </c>
      <c r="G863" s="3" t="s">
        <v>519</v>
      </c>
      <c r="H863" s="3">
        <v>2</v>
      </c>
      <c r="I863" s="3">
        <v>1.9</v>
      </c>
    </row>
    <row r="864" spans="1:9" s="3" customFormat="1" x14ac:dyDescent="0.25">
      <c r="A864" s="3" t="s">
        <v>532</v>
      </c>
      <c r="B864" s="3" t="s">
        <v>113</v>
      </c>
      <c r="C864" s="3" t="s">
        <v>114</v>
      </c>
      <c r="G864" s="3" t="s">
        <v>509</v>
      </c>
      <c r="H864" s="3">
        <v>1.7</v>
      </c>
      <c r="I864" s="3">
        <v>1.6</v>
      </c>
    </row>
    <row r="865" spans="1:9" s="3" customFormat="1" x14ac:dyDescent="0.25">
      <c r="A865" s="3" t="s">
        <v>532</v>
      </c>
      <c r="B865" s="3" t="s">
        <v>113</v>
      </c>
      <c r="C865" s="3" t="s">
        <v>114</v>
      </c>
      <c r="G865" s="3" t="s">
        <v>513</v>
      </c>
      <c r="H865" s="3">
        <v>1.4</v>
      </c>
      <c r="I865" s="3">
        <v>1.3</v>
      </c>
    </row>
    <row r="866" spans="1:9" s="3" customFormat="1" x14ac:dyDescent="0.25">
      <c r="A866" s="3" t="s">
        <v>532</v>
      </c>
      <c r="B866" s="3" t="s">
        <v>113</v>
      </c>
      <c r="C866" s="3" t="s">
        <v>114</v>
      </c>
      <c r="G866" s="3" t="s">
        <v>522</v>
      </c>
      <c r="H866" s="3">
        <v>1.1</v>
      </c>
      <c r="I866" s="3">
        <v>1.1</v>
      </c>
    </row>
    <row r="867" spans="1:9" s="3" customFormat="1" x14ac:dyDescent="0.25">
      <c r="A867" s="3" t="s">
        <v>532</v>
      </c>
      <c r="B867" s="3" t="s">
        <v>113</v>
      </c>
      <c r="C867" s="3" t="s">
        <v>114</v>
      </c>
      <c r="G867" s="3" t="s">
        <v>512</v>
      </c>
      <c r="H867" s="3">
        <v>0.9</v>
      </c>
      <c r="I867" s="3">
        <v>0.9</v>
      </c>
    </row>
    <row r="868" spans="1:9" s="3" customFormat="1" x14ac:dyDescent="0.25">
      <c r="A868" s="3" t="s">
        <v>532</v>
      </c>
      <c r="B868" s="3" t="s">
        <v>113</v>
      </c>
      <c r="C868" s="3" t="s">
        <v>114</v>
      </c>
      <c r="G868" s="3" t="s">
        <v>514</v>
      </c>
      <c r="H868" s="3">
        <v>0.7</v>
      </c>
      <c r="I868" s="3">
        <v>0.7</v>
      </c>
    </row>
    <row r="869" spans="1:9" s="3" customFormat="1" x14ac:dyDescent="0.25">
      <c r="A869" s="3" t="s">
        <v>532</v>
      </c>
      <c r="B869" s="3" t="s">
        <v>113</v>
      </c>
      <c r="C869" s="3" t="s">
        <v>114</v>
      </c>
      <c r="G869" s="3" t="s">
        <v>518</v>
      </c>
      <c r="H869" s="3">
        <v>0.7</v>
      </c>
      <c r="I869" s="3">
        <v>0.7</v>
      </c>
    </row>
    <row r="870" spans="1:9" s="3" customFormat="1" x14ac:dyDescent="0.25">
      <c r="A870" s="3" t="s">
        <v>532</v>
      </c>
      <c r="B870" s="3" t="s">
        <v>113</v>
      </c>
      <c r="C870" s="3" t="s">
        <v>114</v>
      </c>
      <c r="G870" s="3" t="s">
        <v>516</v>
      </c>
      <c r="H870" s="3">
        <v>0.3</v>
      </c>
      <c r="I870" s="3">
        <v>0.3</v>
      </c>
    </row>
    <row r="871" spans="1:9" s="3" customFormat="1" x14ac:dyDescent="0.25">
      <c r="A871" s="3" t="s">
        <v>532</v>
      </c>
      <c r="B871" s="3" t="s">
        <v>113</v>
      </c>
      <c r="C871" s="3" t="s">
        <v>114</v>
      </c>
      <c r="G871" s="3" t="s">
        <v>521</v>
      </c>
      <c r="H871" s="3">
        <v>0.3</v>
      </c>
      <c r="I871" s="3">
        <v>0.3</v>
      </c>
    </row>
    <row r="872" spans="1:9" s="3" customFormat="1" x14ac:dyDescent="0.25">
      <c r="A872" s="3" t="s">
        <v>532</v>
      </c>
      <c r="B872" s="3" t="s">
        <v>113</v>
      </c>
      <c r="C872" s="3" t="s">
        <v>114</v>
      </c>
      <c r="G872" s="3" t="s">
        <v>523</v>
      </c>
      <c r="H872" s="3">
        <v>0.1</v>
      </c>
      <c r="I872" s="3">
        <v>0.1</v>
      </c>
    </row>
    <row r="873" spans="1:9" s="3" customFormat="1" x14ac:dyDescent="0.25">
      <c r="A873" s="3" t="s">
        <v>532</v>
      </c>
      <c r="B873" s="3" t="s">
        <v>113</v>
      </c>
      <c r="C873" s="3" t="s">
        <v>114</v>
      </c>
      <c r="G873" s="3" t="s">
        <v>524</v>
      </c>
      <c r="H873" s="3">
        <v>0</v>
      </c>
      <c r="I873" s="3">
        <v>0</v>
      </c>
    </row>
    <row r="874" spans="1:9" s="3" customFormat="1" x14ac:dyDescent="0.25">
      <c r="A874" s="3" t="s">
        <v>532</v>
      </c>
      <c r="B874" s="3" t="s">
        <v>113</v>
      </c>
      <c r="C874" s="3" t="s">
        <v>114</v>
      </c>
      <c r="G874" s="3" t="s">
        <v>525</v>
      </c>
      <c r="H874" s="3">
        <v>0</v>
      </c>
      <c r="I874" s="3">
        <v>0</v>
      </c>
    </row>
    <row r="875" spans="1:9" s="3" customFormat="1" x14ac:dyDescent="0.25">
      <c r="A875" s="3" t="s">
        <v>532</v>
      </c>
      <c r="B875" s="3" t="s">
        <v>113</v>
      </c>
      <c r="C875" s="3" t="s">
        <v>114</v>
      </c>
      <c r="G875" s="3" t="s">
        <v>520</v>
      </c>
      <c r="H875" s="3">
        <v>0</v>
      </c>
      <c r="I875" s="3">
        <v>0</v>
      </c>
    </row>
    <row r="876" spans="1:9" s="3" customFormat="1" x14ac:dyDescent="0.25">
      <c r="A876" s="3" t="s">
        <v>532</v>
      </c>
      <c r="B876" s="3" t="s">
        <v>530</v>
      </c>
      <c r="C876" s="3" t="s">
        <v>531</v>
      </c>
      <c r="D876" s="3">
        <v>144.5</v>
      </c>
      <c r="E876" s="3">
        <v>65.4</v>
      </c>
      <c r="F876" s="3">
        <v>79.1</v>
      </c>
      <c r="G876" s="3" t="s">
        <v>505</v>
      </c>
      <c r="H876" s="3">
        <v>19.9</v>
      </c>
      <c r="I876" s="3">
        <v>25.2</v>
      </c>
    </row>
    <row r="877" spans="1:9" s="3" customFormat="1" x14ac:dyDescent="0.25">
      <c r="A877" s="3" t="s">
        <v>532</v>
      </c>
      <c r="B877" s="3" t="s">
        <v>530</v>
      </c>
      <c r="C877" s="3" t="s">
        <v>531</v>
      </c>
      <c r="G877" s="3" t="s">
        <v>503</v>
      </c>
      <c r="H877" s="3">
        <v>18.4</v>
      </c>
      <c r="I877" s="3">
        <v>23.3</v>
      </c>
    </row>
    <row r="878" spans="1:9" s="3" customFormat="1" x14ac:dyDescent="0.25">
      <c r="A878" s="3" t="s">
        <v>532</v>
      </c>
      <c r="B878" s="3" t="s">
        <v>530</v>
      </c>
      <c r="C878" s="3" t="s">
        <v>531</v>
      </c>
      <c r="G878" s="3" t="s">
        <v>504</v>
      </c>
      <c r="H878" s="3">
        <v>9</v>
      </c>
      <c r="I878" s="3">
        <v>11.4</v>
      </c>
    </row>
    <row r="879" spans="1:9" s="3" customFormat="1" x14ac:dyDescent="0.25">
      <c r="A879" s="3" t="s">
        <v>532</v>
      </c>
      <c r="B879" s="3" t="s">
        <v>530</v>
      </c>
      <c r="C879" s="3" t="s">
        <v>531</v>
      </c>
      <c r="G879" s="3" t="s">
        <v>507</v>
      </c>
      <c r="H879" s="3">
        <v>8.4</v>
      </c>
      <c r="I879" s="3">
        <v>10.6</v>
      </c>
    </row>
    <row r="880" spans="1:9" s="3" customFormat="1" x14ac:dyDescent="0.25">
      <c r="A880" s="3" t="s">
        <v>532</v>
      </c>
      <c r="B880" s="3" t="s">
        <v>530</v>
      </c>
      <c r="C880" s="3" t="s">
        <v>531</v>
      </c>
      <c r="G880" s="3" t="s">
        <v>506</v>
      </c>
      <c r="H880" s="3">
        <v>6.7</v>
      </c>
      <c r="I880" s="3">
        <v>8.5</v>
      </c>
    </row>
    <row r="881" spans="1:9" s="3" customFormat="1" x14ac:dyDescent="0.25">
      <c r="A881" s="3" t="s">
        <v>532</v>
      </c>
      <c r="B881" s="3" t="s">
        <v>530</v>
      </c>
      <c r="C881" s="3" t="s">
        <v>531</v>
      </c>
      <c r="G881" s="3" t="s">
        <v>510</v>
      </c>
      <c r="H881" s="3">
        <v>2.1</v>
      </c>
      <c r="I881" s="3">
        <v>2.7</v>
      </c>
    </row>
    <row r="882" spans="1:9" s="3" customFormat="1" x14ac:dyDescent="0.25">
      <c r="A882" s="3" t="s">
        <v>532</v>
      </c>
      <c r="B882" s="3" t="s">
        <v>530</v>
      </c>
      <c r="C882" s="3" t="s">
        <v>531</v>
      </c>
      <c r="G882" s="3" t="s">
        <v>515</v>
      </c>
      <c r="H882" s="3">
        <v>2.1</v>
      </c>
      <c r="I882" s="3">
        <v>2.6</v>
      </c>
    </row>
    <row r="883" spans="1:9" s="3" customFormat="1" x14ac:dyDescent="0.25">
      <c r="A883" s="3" t="s">
        <v>532</v>
      </c>
      <c r="B883" s="3" t="s">
        <v>530</v>
      </c>
      <c r="C883" s="3" t="s">
        <v>531</v>
      </c>
      <c r="G883" s="3" t="s">
        <v>513</v>
      </c>
      <c r="H883" s="3">
        <v>1.6</v>
      </c>
      <c r="I883" s="3">
        <v>2</v>
      </c>
    </row>
    <row r="884" spans="1:9" s="3" customFormat="1" x14ac:dyDescent="0.25">
      <c r="A884" s="3" t="s">
        <v>532</v>
      </c>
      <c r="B884" s="3" t="s">
        <v>530</v>
      </c>
      <c r="C884" s="3" t="s">
        <v>531</v>
      </c>
      <c r="G884" s="3" t="s">
        <v>508</v>
      </c>
      <c r="H884" s="3">
        <v>1.6</v>
      </c>
      <c r="I884" s="3">
        <v>2</v>
      </c>
    </row>
    <row r="885" spans="1:9" s="3" customFormat="1" x14ac:dyDescent="0.25">
      <c r="A885" s="3" t="s">
        <v>532</v>
      </c>
      <c r="B885" s="3" t="s">
        <v>530</v>
      </c>
      <c r="C885" s="3" t="s">
        <v>531</v>
      </c>
      <c r="G885" s="3" t="s">
        <v>509</v>
      </c>
      <c r="H885" s="3">
        <v>1.5</v>
      </c>
      <c r="I885" s="3">
        <v>1.9</v>
      </c>
    </row>
    <row r="886" spans="1:9" s="3" customFormat="1" x14ac:dyDescent="0.25">
      <c r="A886" s="3" t="s">
        <v>532</v>
      </c>
      <c r="B886" s="3" t="s">
        <v>530</v>
      </c>
      <c r="C886" s="3" t="s">
        <v>531</v>
      </c>
      <c r="G886" s="3" t="s">
        <v>522</v>
      </c>
      <c r="H886" s="3">
        <v>1.4</v>
      </c>
      <c r="I886" s="3">
        <v>1.7</v>
      </c>
    </row>
    <row r="887" spans="1:9" s="3" customFormat="1" x14ac:dyDescent="0.25">
      <c r="A887" s="3" t="s">
        <v>532</v>
      </c>
      <c r="B887" s="3" t="s">
        <v>530</v>
      </c>
      <c r="C887" s="3" t="s">
        <v>531</v>
      </c>
      <c r="G887" s="3" t="s">
        <v>512</v>
      </c>
      <c r="H887" s="3">
        <v>1.2</v>
      </c>
      <c r="I887" s="3">
        <v>1.6</v>
      </c>
    </row>
    <row r="888" spans="1:9" s="3" customFormat="1" x14ac:dyDescent="0.25">
      <c r="A888" s="3" t="s">
        <v>532</v>
      </c>
      <c r="B888" s="3" t="s">
        <v>530</v>
      </c>
      <c r="C888" s="3" t="s">
        <v>531</v>
      </c>
      <c r="G888" s="3" t="s">
        <v>514</v>
      </c>
      <c r="H888" s="3">
        <v>1.1</v>
      </c>
      <c r="I888" s="3">
        <v>1.4</v>
      </c>
    </row>
    <row r="889" spans="1:9" s="3" customFormat="1" x14ac:dyDescent="0.25">
      <c r="A889" s="3" t="s">
        <v>532</v>
      </c>
      <c r="B889" s="3" t="s">
        <v>530</v>
      </c>
      <c r="C889" s="3" t="s">
        <v>531</v>
      </c>
      <c r="G889" s="3" t="s">
        <v>519</v>
      </c>
      <c r="H889" s="3">
        <v>1.1</v>
      </c>
      <c r="I889" s="3">
        <v>1.4</v>
      </c>
    </row>
    <row r="890" spans="1:9" s="3" customFormat="1" x14ac:dyDescent="0.25">
      <c r="A890" s="3" t="s">
        <v>532</v>
      </c>
      <c r="B890" s="3" t="s">
        <v>530</v>
      </c>
      <c r="C890" s="3" t="s">
        <v>531</v>
      </c>
      <c r="G890" s="3" t="s">
        <v>511</v>
      </c>
      <c r="H890" s="3">
        <v>1</v>
      </c>
      <c r="I890" s="3">
        <v>1.3</v>
      </c>
    </row>
    <row r="891" spans="1:9" s="3" customFormat="1" x14ac:dyDescent="0.25">
      <c r="A891" s="3" t="s">
        <v>532</v>
      </c>
      <c r="B891" s="3" t="s">
        <v>530</v>
      </c>
      <c r="C891" s="3" t="s">
        <v>531</v>
      </c>
      <c r="G891" s="3" t="s">
        <v>517</v>
      </c>
      <c r="H891" s="3">
        <v>0.6</v>
      </c>
      <c r="I891" s="3">
        <v>0.8</v>
      </c>
    </row>
    <row r="892" spans="1:9" s="3" customFormat="1" x14ac:dyDescent="0.25">
      <c r="A892" s="3" t="s">
        <v>532</v>
      </c>
      <c r="B892" s="3" t="s">
        <v>530</v>
      </c>
      <c r="C892" s="3" t="s">
        <v>531</v>
      </c>
      <c r="G892" s="3" t="s">
        <v>521</v>
      </c>
      <c r="H892" s="3">
        <v>0.4</v>
      </c>
      <c r="I892" s="3">
        <v>0.5</v>
      </c>
    </row>
    <row r="893" spans="1:9" s="3" customFormat="1" x14ac:dyDescent="0.25">
      <c r="A893" s="3" t="s">
        <v>532</v>
      </c>
      <c r="B893" s="3" t="s">
        <v>530</v>
      </c>
      <c r="C893" s="3" t="s">
        <v>531</v>
      </c>
      <c r="G893" s="3" t="s">
        <v>516</v>
      </c>
      <c r="H893" s="3">
        <v>0.3</v>
      </c>
      <c r="I893" s="3">
        <v>0.4</v>
      </c>
    </row>
    <row r="894" spans="1:9" s="3" customFormat="1" x14ac:dyDescent="0.25">
      <c r="A894" s="3" t="s">
        <v>532</v>
      </c>
      <c r="B894" s="3" t="s">
        <v>530</v>
      </c>
      <c r="C894" s="3" t="s">
        <v>531</v>
      </c>
      <c r="G894" s="3" t="s">
        <v>518</v>
      </c>
      <c r="H894" s="3">
        <v>0.3</v>
      </c>
      <c r="I894" s="3">
        <v>0.3</v>
      </c>
    </row>
    <row r="895" spans="1:9" s="3" customFormat="1" x14ac:dyDescent="0.25">
      <c r="A895" s="3" t="s">
        <v>532</v>
      </c>
      <c r="B895" s="3" t="s">
        <v>530</v>
      </c>
      <c r="C895" s="3" t="s">
        <v>531</v>
      </c>
      <c r="G895" s="3" t="s">
        <v>523</v>
      </c>
      <c r="H895" s="3">
        <v>0.1</v>
      </c>
      <c r="I895" s="3">
        <v>0.2</v>
      </c>
    </row>
    <row r="896" spans="1:9" s="3" customFormat="1" x14ac:dyDescent="0.25">
      <c r="A896" s="3" t="s">
        <v>532</v>
      </c>
      <c r="B896" s="3" t="s">
        <v>530</v>
      </c>
      <c r="C896" s="3" t="s">
        <v>531</v>
      </c>
      <c r="G896" s="3" t="s">
        <v>520</v>
      </c>
      <c r="H896" s="3">
        <v>0.1</v>
      </c>
      <c r="I896" s="3">
        <v>0.1</v>
      </c>
    </row>
    <row r="897" spans="1:9" s="3" customFormat="1" x14ac:dyDescent="0.25">
      <c r="A897" s="3" t="s">
        <v>532</v>
      </c>
      <c r="B897" s="3" t="s">
        <v>530</v>
      </c>
      <c r="C897" s="3" t="s">
        <v>531</v>
      </c>
      <c r="G897" s="3" t="s">
        <v>524</v>
      </c>
      <c r="H897" s="3">
        <v>0.1</v>
      </c>
      <c r="I897" s="3">
        <v>0.1</v>
      </c>
    </row>
    <row r="898" spans="1:9" s="3" customFormat="1" x14ac:dyDescent="0.25">
      <c r="A898" s="3" t="s">
        <v>532</v>
      </c>
      <c r="B898" s="3" t="s">
        <v>530</v>
      </c>
      <c r="C898" s="3" t="s">
        <v>531</v>
      </c>
      <c r="G898" s="3" t="s">
        <v>525</v>
      </c>
      <c r="H898" s="3">
        <v>0</v>
      </c>
      <c r="I898" s="3">
        <v>0.1</v>
      </c>
    </row>
    <row r="899" spans="1:9" s="3" customFormat="1" x14ac:dyDescent="0.25">
      <c r="A899" s="3" t="s">
        <v>532</v>
      </c>
      <c r="B899" s="3" t="s">
        <v>119</v>
      </c>
      <c r="C899" s="3" t="s">
        <v>120</v>
      </c>
      <c r="D899" s="3">
        <v>37.7</v>
      </c>
      <c r="E899" s="3">
        <v>16.3</v>
      </c>
      <c r="F899" s="3">
        <v>21.4</v>
      </c>
      <c r="G899" s="3" t="s">
        <v>503</v>
      </c>
      <c r="H899" s="3">
        <v>6.1</v>
      </c>
      <c r="I899" s="3">
        <v>28.4</v>
      </c>
    </row>
    <row r="900" spans="1:9" s="3" customFormat="1" x14ac:dyDescent="0.25">
      <c r="A900" s="3" t="s">
        <v>532</v>
      </c>
      <c r="B900" s="3" t="s">
        <v>119</v>
      </c>
      <c r="C900" s="3" t="s">
        <v>120</v>
      </c>
      <c r="G900" s="3" t="s">
        <v>505</v>
      </c>
      <c r="H900" s="3">
        <v>3.5</v>
      </c>
      <c r="I900" s="3">
        <v>16.2</v>
      </c>
    </row>
    <row r="901" spans="1:9" s="3" customFormat="1" x14ac:dyDescent="0.25">
      <c r="A901" s="3" t="s">
        <v>532</v>
      </c>
      <c r="B901" s="3" t="s">
        <v>119</v>
      </c>
      <c r="C901" s="3" t="s">
        <v>120</v>
      </c>
      <c r="G901" s="3" t="s">
        <v>507</v>
      </c>
      <c r="H901" s="3">
        <v>2.2</v>
      </c>
      <c r="I901" s="3">
        <v>10.4</v>
      </c>
    </row>
    <row r="902" spans="1:9" s="3" customFormat="1" x14ac:dyDescent="0.25">
      <c r="A902" s="3" t="s">
        <v>532</v>
      </c>
      <c r="B902" s="3" t="s">
        <v>119</v>
      </c>
      <c r="C902" s="3" t="s">
        <v>120</v>
      </c>
      <c r="G902" s="3" t="s">
        <v>504</v>
      </c>
      <c r="H902" s="3">
        <v>2</v>
      </c>
      <c r="I902" s="3">
        <v>9.4</v>
      </c>
    </row>
    <row r="903" spans="1:9" s="3" customFormat="1" x14ac:dyDescent="0.25">
      <c r="A903" s="3" t="s">
        <v>532</v>
      </c>
      <c r="B903" s="3" t="s">
        <v>119</v>
      </c>
      <c r="C903" s="3" t="s">
        <v>120</v>
      </c>
      <c r="G903" s="3" t="s">
        <v>506</v>
      </c>
      <c r="H903" s="3">
        <v>1.7</v>
      </c>
      <c r="I903" s="3">
        <v>8.1</v>
      </c>
    </row>
    <row r="904" spans="1:9" s="3" customFormat="1" x14ac:dyDescent="0.25">
      <c r="A904" s="3" t="s">
        <v>532</v>
      </c>
      <c r="B904" s="3" t="s">
        <v>119</v>
      </c>
      <c r="C904" s="3" t="s">
        <v>120</v>
      </c>
      <c r="G904" s="3" t="s">
        <v>514</v>
      </c>
      <c r="H904" s="3">
        <v>0.9</v>
      </c>
      <c r="I904" s="3">
        <v>4.2</v>
      </c>
    </row>
    <row r="905" spans="1:9" s="3" customFormat="1" x14ac:dyDescent="0.25">
      <c r="A905" s="3" t="s">
        <v>532</v>
      </c>
      <c r="B905" s="3" t="s">
        <v>119</v>
      </c>
      <c r="C905" s="3" t="s">
        <v>120</v>
      </c>
      <c r="G905" s="3" t="s">
        <v>510</v>
      </c>
      <c r="H905" s="3">
        <v>0.7</v>
      </c>
      <c r="I905" s="3">
        <v>3.4</v>
      </c>
    </row>
    <row r="906" spans="1:9" s="3" customFormat="1" x14ac:dyDescent="0.25">
      <c r="A906" s="3" t="s">
        <v>532</v>
      </c>
      <c r="B906" s="3" t="s">
        <v>119</v>
      </c>
      <c r="C906" s="3" t="s">
        <v>120</v>
      </c>
      <c r="G906" s="3" t="s">
        <v>509</v>
      </c>
      <c r="H906" s="3">
        <v>0.6</v>
      </c>
      <c r="I906" s="3">
        <v>2.8</v>
      </c>
    </row>
    <row r="907" spans="1:9" s="3" customFormat="1" x14ac:dyDescent="0.25">
      <c r="A907" s="3" t="s">
        <v>532</v>
      </c>
      <c r="B907" s="3" t="s">
        <v>119</v>
      </c>
      <c r="C907" s="3" t="s">
        <v>120</v>
      </c>
      <c r="G907" s="3" t="s">
        <v>511</v>
      </c>
      <c r="H907" s="3">
        <v>0.6</v>
      </c>
      <c r="I907" s="3">
        <v>2.6</v>
      </c>
    </row>
    <row r="908" spans="1:9" s="3" customFormat="1" x14ac:dyDescent="0.25">
      <c r="A908" s="3" t="s">
        <v>532</v>
      </c>
      <c r="B908" s="3" t="s">
        <v>119</v>
      </c>
      <c r="C908" s="3" t="s">
        <v>120</v>
      </c>
      <c r="G908" s="3" t="s">
        <v>508</v>
      </c>
      <c r="H908" s="3">
        <v>0.5</v>
      </c>
      <c r="I908" s="3">
        <v>2.3</v>
      </c>
    </row>
    <row r="909" spans="1:9" s="3" customFormat="1" x14ac:dyDescent="0.25">
      <c r="A909" s="3" t="s">
        <v>532</v>
      </c>
      <c r="B909" s="3" t="s">
        <v>119</v>
      </c>
      <c r="C909" s="3" t="s">
        <v>120</v>
      </c>
      <c r="G909" s="3" t="s">
        <v>512</v>
      </c>
      <c r="H909" s="3">
        <v>0.5</v>
      </c>
      <c r="I909" s="3">
        <v>2.3</v>
      </c>
    </row>
    <row r="910" spans="1:9" s="3" customFormat="1" x14ac:dyDescent="0.25">
      <c r="A910" s="3" t="s">
        <v>532</v>
      </c>
      <c r="B910" s="3" t="s">
        <v>119</v>
      </c>
      <c r="C910" s="3" t="s">
        <v>120</v>
      </c>
      <c r="G910" s="3" t="s">
        <v>515</v>
      </c>
      <c r="H910" s="3">
        <v>0.5</v>
      </c>
      <c r="I910" s="3">
        <v>2.3</v>
      </c>
    </row>
    <row r="911" spans="1:9" s="3" customFormat="1" x14ac:dyDescent="0.25">
      <c r="A911" s="3" t="s">
        <v>532</v>
      </c>
      <c r="B911" s="3" t="s">
        <v>119</v>
      </c>
      <c r="C911" s="3" t="s">
        <v>120</v>
      </c>
      <c r="G911" s="3" t="s">
        <v>519</v>
      </c>
      <c r="H911" s="3">
        <v>0.4</v>
      </c>
      <c r="I911" s="3">
        <v>2.1</v>
      </c>
    </row>
    <row r="912" spans="1:9" s="3" customFormat="1" x14ac:dyDescent="0.25">
      <c r="A912" s="3" t="s">
        <v>532</v>
      </c>
      <c r="B912" s="3" t="s">
        <v>119</v>
      </c>
      <c r="C912" s="3" t="s">
        <v>120</v>
      </c>
      <c r="G912" s="3" t="s">
        <v>517</v>
      </c>
      <c r="H912" s="3">
        <v>0.4</v>
      </c>
      <c r="I912" s="3">
        <v>1.6</v>
      </c>
    </row>
    <row r="913" spans="1:9" s="3" customFormat="1" x14ac:dyDescent="0.25">
      <c r="A913" s="3" t="s">
        <v>532</v>
      </c>
      <c r="B913" s="3" t="s">
        <v>119</v>
      </c>
      <c r="C913" s="3" t="s">
        <v>120</v>
      </c>
      <c r="G913" s="3" t="s">
        <v>522</v>
      </c>
      <c r="H913" s="3">
        <v>0.3</v>
      </c>
      <c r="I913" s="3">
        <v>1.4</v>
      </c>
    </row>
    <row r="914" spans="1:9" s="3" customFormat="1" x14ac:dyDescent="0.25">
      <c r="A914" s="3" t="s">
        <v>532</v>
      </c>
      <c r="B914" s="3" t="s">
        <v>119</v>
      </c>
      <c r="C914" s="3" t="s">
        <v>120</v>
      </c>
      <c r="G914" s="3" t="s">
        <v>518</v>
      </c>
      <c r="H914" s="3">
        <v>0.2</v>
      </c>
      <c r="I914" s="3">
        <v>0.7</v>
      </c>
    </row>
    <row r="915" spans="1:9" s="3" customFormat="1" x14ac:dyDescent="0.25">
      <c r="A915" s="3" t="s">
        <v>532</v>
      </c>
      <c r="B915" s="3" t="s">
        <v>119</v>
      </c>
      <c r="C915" s="3" t="s">
        <v>120</v>
      </c>
      <c r="G915" s="3" t="s">
        <v>521</v>
      </c>
      <c r="H915" s="3">
        <v>0.1</v>
      </c>
      <c r="I915" s="3">
        <v>0.5</v>
      </c>
    </row>
    <row r="916" spans="1:9" s="3" customFormat="1" x14ac:dyDescent="0.25">
      <c r="A916" s="3" t="s">
        <v>532</v>
      </c>
      <c r="B916" s="3" t="s">
        <v>119</v>
      </c>
      <c r="C916" s="3" t="s">
        <v>120</v>
      </c>
      <c r="G916" s="3" t="s">
        <v>516</v>
      </c>
      <c r="H916" s="3">
        <v>0.1</v>
      </c>
      <c r="I916" s="3">
        <v>0.4</v>
      </c>
    </row>
    <row r="917" spans="1:9" s="3" customFormat="1" x14ac:dyDescent="0.25">
      <c r="A917" s="3" t="s">
        <v>532</v>
      </c>
      <c r="B917" s="3" t="s">
        <v>119</v>
      </c>
      <c r="C917" s="3" t="s">
        <v>120</v>
      </c>
      <c r="G917" s="3" t="s">
        <v>523</v>
      </c>
      <c r="H917" s="3">
        <v>0.1</v>
      </c>
      <c r="I917" s="3">
        <v>0.3</v>
      </c>
    </row>
    <row r="918" spans="1:9" s="3" customFormat="1" x14ac:dyDescent="0.25">
      <c r="A918" s="3" t="s">
        <v>532</v>
      </c>
      <c r="B918" s="3" t="s">
        <v>119</v>
      </c>
      <c r="C918" s="3" t="s">
        <v>120</v>
      </c>
      <c r="G918" s="3" t="s">
        <v>513</v>
      </c>
      <c r="H918" s="3">
        <v>0</v>
      </c>
      <c r="I918" s="3">
        <v>0.2</v>
      </c>
    </row>
    <row r="919" spans="1:9" s="3" customFormat="1" x14ac:dyDescent="0.25">
      <c r="A919" s="3" t="s">
        <v>532</v>
      </c>
      <c r="B919" s="3" t="s">
        <v>119</v>
      </c>
      <c r="C919" s="3" t="s">
        <v>120</v>
      </c>
      <c r="G919" s="3" t="s">
        <v>520</v>
      </c>
      <c r="H919" s="3">
        <v>0</v>
      </c>
      <c r="I919" s="3">
        <v>0.1</v>
      </c>
    </row>
    <row r="920" spans="1:9" s="3" customFormat="1" x14ac:dyDescent="0.25">
      <c r="A920" s="3" t="s">
        <v>532</v>
      </c>
      <c r="B920" s="3" t="s">
        <v>119</v>
      </c>
      <c r="C920" s="3" t="s">
        <v>120</v>
      </c>
      <c r="G920" s="3" t="s">
        <v>524</v>
      </c>
      <c r="H920" s="3">
        <v>0</v>
      </c>
      <c r="I920" s="3">
        <v>0.1</v>
      </c>
    </row>
    <row r="921" spans="1:9" s="3" customFormat="1" x14ac:dyDescent="0.25">
      <c r="A921" s="3" t="s">
        <v>532</v>
      </c>
      <c r="B921" s="3" t="s">
        <v>119</v>
      </c>
      <c r="C921" s="3" t="s">
        <v>120</v>
      </c>
      <c r="G921" s="3" t="s">
        <v>525</v>
      </c>
      <c r="H921" s="3">
        <v>0</v>
      </c>
      <c r="I921" s="3">
        <v>0</v>
      </c>
    </row>
  </sheetData>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B6C"/>
  </sheetPr>
  <dimension ref="A1:H161"/>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4" customWidth="1"/>
    <col min="4" max="4" width="13" customWidth="1"/>
    <col min="5" max="5" width="11" customWidth="1"/>
    <col min="6" max="6" width="28" customWidth="1"/>
    <col min="7" max="7" width="11" customWidth="1"/>
    <col min="8" max="8" width="12" customWidth="1"/>
  </cols>
  <sheetData>
    <row r="1" ht="30" customHeight="1" spans="1:8" s="21" customFormat="1" x14ac:dyDescent="0.25">
      <c r="A1" s="23" t="s">
        <v>129</v>
      </c>
      <c r="B1" s="23" t="s">
        <v>494</v>
      </c>
      <c r="C1" s="23" t="s">
        <v>533</v>
      </c>
      <c r="D1" s="23" t="s">
        <v>534</v>
      </c>
      <c r="E1" s="23" t="s">
        <v>535</v>
      </c>
      <c r="F1" s="23" t="s">
        <v>536</v>
      </c>
      <c r="G1" s="23" t="s">
        <v>537</v>
      </c>
      <c r="H1" s="23" t="s">
        <v>538</v>
      </c>
    </row>
    <row r="2" spans="1:8" s="3" customFormat="1" x14ac:dyDescent="0.25">
      <c r="A2" s="3" t="s">
        <v>284</v>
      </c>
      <c r="B2" s="3" t="s">
        <v>502</v>
      </c>
      <c r="C2" s="3">
        <v>2041.4</v>
      </c>
      <c r="D2" s="3">
        <v>457</v>
      </c>
      <c r="E2" s="3">
        <v>22.4</v>
      </c>
      <c r="F2" s="3" t="s">
        <v>503</v>
      </c>
      <c r="G2" s="3">
        <v>133.5</v>
      </c>
      <c r="H2" s="3">
        <v>6.54</v>
      </c>
    </row>
    <row r="3" spans="1:8" s="3" customFormat="1" x14ac:dyDescent="0.25">
      <c r="A3" s="3" t="s">
        <v>284</v>
      </c>
      <c r="B3" s="3" t="s">
        <v>502</v>
      </c>
      <c r="F3" s="3" t="s">
        <v>505</v>
      </c>
      <c r="G3" s="3">
        <v>84</v>
      </c>
      <c r="H3" s="3">
        <v>4.11</v>
      </c>
    </row>
    <row r="4" spans="1:8" s="3" customFormat="1" x14ac:dyDescent="0.25">
      <c r="A4" s="3" t="s">
        <v>284</v>
      </c>
      <c r="B4" s="3" t="s">
        <v>502</v>
      </c>
      <c r="F4" s="3" t="s">
        <v>504</v>
      </c>
      <c r="G4" s="3">
        <v>56.2</v>
      </c>
      <c r="H4" s="3">
        <v>2.76</v>
      </c>
    </row>
    <row r="5" spans="1:8" s="3" customFormat="1" x14ac:dyDescent="0.25">
      <c r="A5" s="3" t="s">
        <v>284</v>
      </c>
      <c r="B5" s="3" t="s">
        <v>502</v>
      </c>
      <c r="F5" s="3" t="s">
        <v>507</v>
      </c>
      <c r="G5" s="3">
        <v>38.3</v>
      </c>
      <c r="H5" s="3">
        <v>1.88</v>
      </c>
    </row>
    <row r="6" spans="1:8" s="3" customFormat="1" x14ac:dyDescent="0.25">
      <c r="A6" s="3" t="s">
        <v>284</v>
      </c>
      <c r="B6" s="3" t="s">
        <v>502</v>
      </c>
      <c r="F6" s="3" t="s">
        <v>513</v>
      </c>
      <c r="G6" s="3">
        <v>25.6</v>
      </c>
      <c r="H6" s="3">
        <v>1.26</v>
      </c>
    </row>
    <row r="7" spans="1:8" s="3" customFormat="1" x14ac:dyDescent="0.25">
      <c r="A7" s="3" t="s">
        <v>284</v>
      </c>
      <c r="B7" s="3" t="s">
        <v>502</v>
      </c>
      <c r="F7" s="3" t="s">
        <v>506</v>
      </c>
      <c r="G7" s="3">
        <v>22</v>
      </c>
      <c r="H7" s="3">
        <v>1.08</v>
      </c>
    </row>
    <row r="8" spans="1:8" s="3" customFormat="1" x14ac:dyDescent="0.25">
      <c r="A8" s="3" t="s">
        <v>284</v>
      </c>
      <c r="B8" s="3" t="s">
        <v>502</v>
      </c>
      <c r="F8" s="3" t="s">
        <v>510</v>
      </c>
      <c r="G8" s="3">
        <v>13.9</v>
      </c>
      <c r="H8" s="3">
        <v>0.68</v>
      </c>
    </row>
    <row r="9" spans="1:8" s="3" customFormat="1" x14ac:dyDescent="0.25">
      <c r="A9" s="3" t="s">
        <v>284</v>
      </c>
      <c r="B9" s="3" t="s">
        <v>502</v>
      </c>
      <c r="F9" s="3" t="s">
        <v>514</v>
      </c>
      <c r="G9" s="3">
        <v>12.2</v>
      </c>
      <c r="H9" s="3">
        <v>0.6</v>
      </c>
    </row>
    <row r="10" spans="1:8" s="3" customFormat="1" x14ac:dyDescent="0.25">
      <c r="A10" s="3" t="s">
        <v>526</v>
      </c>
      <c r="B10" s="3" t="s">
        <v>527</v>
      </c>
      <c r="C10" s="3">
        <v>181.8</v>
      </c>
      <c r="D10" s="3">
        <v>34.5</v>
      </c>
      <c r="E10" s="3">
        <v>19</v>
      </c>
      <c r="F10" s="3" t="s">
        <v>503</v>
      </c>
      <c r="G10" s="3">
        <v>10.7</v>
      </c>
      <c r="H10" s="3">
        <v>5.88</v>
      </c>
    </row>
    <row r="11" spans="1:8" s="3" customFormat="1" x14ac:dyDescent="0.25">
      <c r="A11" s="3" t="s">
        <v>526</v>
      </c>
      <c r="B11" s="3" t="s">
        <v>527</v>
      </c>
      <c r="F11" s="3" t="s">
        <v>505</v>
      </c>
      <c r="G11" s="3">
        <v>8</v>
      </c>
      <c r="H11" s="3">
        <v>4.42</v>
      </c>
    </row>
    <row r="12" spans="1:8" s="3" customFormat="1" x14ac:dyDescent="0.25">
      <c r="A12" s="3" t="s">
        <v>526</v>
      </c>
      <c r="B12" s="3" t="s">
        <v>527</v>
      </c>
      <c r="F12" s="3" t="s">
        <v>507</v>
      </c>
      <c r="G12" s="3">
        <v>3.5</v>
      </c>
      <c r="H12" s="3">
        <v>1.95</v>
      </c>
    </row>
    <row r="13" spans="1:8" s="3" customFormat="1" x14ac:dyDescent="0.25">
      <c r="A13" s="3" t="s">
        <v>526</v>
      </c>
      <c r="B13" s="3" t="s">
        <v>527</v>
      </c>
      <c r="F13" s="3" t="s">
        <v>504</v>
      </c>
      <c r="G13" s="3">
        <v>2.6</v>
      </c>
      <c r="H13" s="3">
        <v>1.45</v>
      </c>
    </row>
    <row r="14" spans="1:8" s="3" customFormat="1" x14ac:dyDescent="0.25">
      <c r="A14" s="3" t="s">
        <v>526</v>
      </c>
      <c r="B14" s="3" t="s">
        <v>527</v>
      </c>
      <c r="F14" s="3" t="s">
        <v>506</v>
      </c>
      <c r="G14" s="3">
        <v>1.6</v>
      </c>
      <c r="H14" s="3">
        <v>0.86</v>
      </c>
    </row>
    <row r="15" spans="1:8" s="3" customFormat="1" x14ac:dyDescent="0.25">
      <c r="A15" s="3" t="s">
        <v>526</v>
      </c>
      <c r="B15" s="3" t="s">
        <v>527</v>
      </c>
      <c r="F15" s="3" t="s">
        <v>513</v>
      </c>
      <c r="G15" s="3">
        <v>1.4</v>
      </c>
      <c r="H15" s="3">
        <v>0.75</v>
      </c>
    </row>
    <row r="16" spans="1:8" s="3" customFormat="1" x14ac:dyDescent="0.25">
      <c r="A16" s="3" t="s">
        <v>526</v>
      </c>
      <c r="B16" s="3" t="s">
        <v>527</v>
      </c>
      <c r="F16" s="3" t="s">
        <v>510</v>
      </c>
      <c r="G16" s="3">
        <v>0.8</v>
      </c>
      <c r="H16" s="3">
        <v>0.46</v>
      </c>
    </row>
    <row r="17" spans="1:8" s="3" customFormat="1" x14ac:dyDescent="0.25">
      <c r="A17" s="3" t="s">
        <v>526</v>
      </c>
      <c r="B17" s="3" t="s">
        <v>527</v>
      </c>
      <c r="F17" s="3" t="s">
        <v>511</v>
      </c>
      <c r="G17" s="3">
        <v>0.8</v>
      </c>
      <c r="H17" s="3">
        <v>0.46</v>
      </c>
    </row>
    <row r="18" spans="1:8" s="3" customFormat="1" x14ac:dyDescent="0.25">
      <c r="A18" s="3" t="s">
        <v>528</v>
      </c>
      <c r="B18" s="3" t="s">
        <v>529</v>
      </c>
      <c r="C18" s="3">
        <v>62</v>
      </c>
      <c r="D18" s="3">
        <v>11.2</v>
      </c>
      <c r="E18" s="3">
        <v>18.1</v>
      </c>
      <c r="F18" s="3" t="s">
        <v>503</v>
      </c>
      <c r="G18" s="3">
        <v>3.3</v>
      </c>
      <c r="H18" s="3">
        <v>5.36</v>
      </c>
    </row>
    <row r="19" spans="1:8" s="3" customFormat="1" x14ac:dyDescent="0.25">
      <c r="A19" s="3" t="s">
        <v>528</v>
      </c>
      <c r="B19" s="3" t="s">
        <v>529</v>
      </c>
      <c r="F19" s="3" t="s">
        <v>504</v>
      </c>
      <c r="G19" s="3">
        <v>2.8</v>
      </c>
      <c r="H19" s="3">
        <v>4.48</v>
      </c>
    </row>
    <row r="20" spans="1:8" s="3" customFormat="1" x14ac:dyDescent="0.25">
      <c r="A20" s="3" t="s">
        <v>528</v>
      </c>
      <c r="B20" s="3" t="s">
        <v>529</v>
      </c>
      <c r="F20" s="3" t="s">
        <v>505</v>
      </c>
      <c r="G20" s="3">
        <v>1.3</v>
      </c>
      <c r="H20" s="3">
        <v>2.13</v>
      </c>
    </row>
    <row r="21" spans="1:8" s="3" customFormat="1" x14ac:dyDescent="0.25">
      <c r="A21" s="3" t="s">
        <v>528</v>
      </c>
      <c r="B21" s="3" t="s">
        <v>529</v>
      </c>
      <c r="F21" s="3" t="s">
        <v>507</v>
      </c>
      <c r="G21" s="3">
        <v>0.7</v>
      </c>
      <c r="H21" s="3">
        <v>1.11</v>
      </c>
    </row>
    <row r="22" spans="1:8" s="3" customFormat="1" x14ac:dyDescent="0.25">
      <c r="A22" s="3" t="s">
        <v>528</v>
      </c>
      <c r="B22" s="3" t="s">
        <v>529</v>
      </c>
      <c r="F22" s="3" t="s">
        <v>506</v>
      </c>
      <c r="G22" s="3">
        <v>0.6</v>
      </c>
      <c r="H22" s="3">
        <v>0.9</v>
      </c>
    </row>
    <row r="23" spans="1:8" s="3" customFormat="1" x14ac:dyDescent="0.25">
      <c r="A23" s="3" t="s">
        <v>528</v>
      </c>
      <c r="B23" s="3" t="s">
        <v>529</v>
      </c>
      <c r="F23" s="3" t="s">
        <v>511</v>
      </c>
      <c r="G23" s="3">
        <v>0.5</v>
      </c>
      <c r="H23" s="3">
        <v>0.74</v>
      </c>
    </row>
    <row r="24" spans="1:8" s="3" customFormat="1" x14ac:dyDescent="0.25">
      <c r="A24" s="3" t="s">
        <v>528</v>
      </c>
      <c r="B24" s="3" t="s">
        <v>529</v>
      </c>
      <c r="F24" s="3" t="s">
        <v>508</v>
      </c>
      <c r="G24" s="3">
        <v>0.4</v>
      </c>
      <c r="H24" s="3">
        <v>0.68</v>
      </c>
    </row>
    <row r="25" spans="1:8" s="3" customFormat="1" x14ac:dyDescent="0.25">
      <c r="A25" s="3" t="s">
        <v>528</v>
      </c>
      <c r="B25" s="3" t="s">
        <v>529</v>
      </c>
      <c r="F25" s="3" t="s">
        <v>510</v>
      </c>
      <c r="G25" s="3">
        <v>0.3</v>
      </c>
      <c r="H25" s="3">
        <v>0.44</v>
      </c>
    </row>
    <row r="26" spans="1:8" s="3" customFormat="1" x14ac:dyDescent="0.25">
      <c r="A26" s="3" t="s">
        <v>85</v>
      </c>
      <c r="B26" s="3" t="s">
        <v>86</v>
      </c>
      <c r="C26" s="3">
        <v>27.4</v>
      </c>
      <c r="D26" s="3">
        <v>3.9</v>
      </c>
      <c r="E26" s="3">
        <v>14.2</v>
      </c>
      <c r="F26" s="3" t="s">
        <v>503</v>
      </c>
      <c r="G26" s="3">
        <v>1.1</v>
      </c>
      <c r="H26" s="3">
        <v>4.09</v>
      </c>
    </row>
    <row r="27" spans="1:8" s="3" customFormat="1" x14ac:dyDescent="0.25">
      <c r="A27" s="3" t="s">
        <v>85</v>
      </c>
      <c r="B27" s="3" t="s">
        <v>86</v>
      </c>
      <c r="F27" s="3" t="s">
        <v>505</v>
      </c>
      <c r="G27" s="3">
        <v>0.6</v>
      </c>
      <c r="H27" s="3">
        <v>2.17</v>
      </c>
    </row>
    <row r="28" spans="1:8" s="3" customFormat="1" x14ac:dyDescent="0.25">
      <c r="A28" s="3" t="s">
        <v>85</v>
      </c>
      <c r="B28" s="3" t="s">
        <v>86</v>
      </c>
      <c r="F28" s="3" t="s">
        <v>504</v>
      </c>
      <c r="G28" s="3">
        <v>0.5</v>
      </c>
      <c r="H28" s="3">
        <v>1.95</v>
      </c>
    </row>
    <row r="29" spans="1:8" s="3" customFormat="1" x14ac:dyDescent="0.25">
      <c r="A29" s="3" t="s">
        <v>85</v>
      </c>
      <c r="B29" s="3" t="s">
        <v>86</v>
      </c>
      <c r="F29" s="3" t="s">
        <v>507</v>
      </c>
      <c r="G29" s="3">
        <v>0.3</v>
      </c>
      <c r="H29" s="3">
        <v>1.07</v>
      </c>
    </row>
    <row r="30" spans="1:8" s="3" customFormat="1" x14ac:dyDescent="0.25">
      <c r="A30" s="3" t="s">
        <v>85</v>
      </c>
      <c r="B30" s="3" t="s">
        <v>86</v>
      </c>
      <c r="F30" s="3" t="s">
        <v>513</v>
      </c>
      <c r="G30" s="3">
        <v>0.3</v>
      </c>
      <c r="H30" s="3">
        <v>1</v>
      </c>
    </row>
    <row r="31" spans="1:8" s="3" customFormat="1" x14ac:dyDescent="0.25">
      <c r="A31" s="3" t="s">
        <v>85</v>
      </c>
      <c r="B31" s="3" t="s">
        <v>86</v>
      </c>
      <c r="F31" s="3" t="s">
        <v>506</v>
      </c>
      <c r="G31" s="3">
        <v>0.2</v>
      </c>
      <c r="H31" s="3">
        <v>0.79</v>
      </c>
    </row>
    <row r="32" spans="1:8" s="3" customFormat="1" x14ac:dyDescent="0.25">
      <c r="A32" s="3" t="s">
        <v>85</v>
      </c>
      <c r="B32" s="3" t="s">
        <v>86</v>
      </c>
      <c r="F32" s="3" t="s">
        <v>510</v>
      </c>
      <c r="G32" s="3">
        <v>0.1</v>
      </c>
      <c r="H32" s="3">
        <v>0.42</v>
      </c>
    </row>
    <row r="33" spans="1:8" s="3" customFormat="1" x14ac:dyDescent="0.25">
      <c r="A33" s="3" t="s">
        <v>85</v>
      </c>
      <c r="B33" s="3" t="s">
        <v>86</v>
      </c>
      <c r="F33" s="3" t="s">
        <v>517</v>
      </c>
      <c r="G33" s="3">
        <v>0.1</v>
      </c>
      <c r="H33" s="3">
        <v>0.37</v>
      </c>
    </row>
    <row r="34" spans="1:8" s="3" customFormat="1" x14ac:dyDescent="0.25">
      <c r="A34" s="3" t="s">
        <v>87</v>
      </c>
      <c r="B34" s="3" t="s">
        <v>88</v>
      </c>
      <c r="C34" s="3">
        <v>43.5</v>
      </c>
      <c r="D34" s="3">
        <v>7.6</v>
      </c>
      <c r="E34" s="3">
        <v>17.4</v>
      </c>
      <c r="F34" s="3" t="s">
        <v>503</v>
      </c>
      <c r="G34" s="3">
        <v>2</v>
      </c>
      <c r="H34" s="3">
        <v>4.65</v>
      </c>
    </row>
    <row r="35" spans="1:8" s="3" customFormat="1" x14ac:dyDescent="0.25">
      <c r="A35" s="3" t="s">
        <v>87</v>
      </c>
      <c r="B35" s="3" t="s">
        <v>88</v>
      </c>
      <c r="F35" s="3" t="s">
        <v>505</v>
      </c>
      <c r="G35" s="3">
        <v>1.3</v>
      </c>
      <c r="H35" s="3">
        <v>2.94</v>
      </c>
    </row>
    <row r="36" spans="1:8" s="3" customFormat="1" x14ac:dyDescent="0.25">
      <c r="A36" s="3" t="s">
        <v>87</v>
      </c>
      <c r="B36" s="3" t="s">
        <v>88</v>
      </c>
      <c r="F36" s="3" t="s">
        <v>504</v>
      </c>
      <c r="G36" s="3">
        <v>0.9</v>
      </c>
      <c r="H36" s="3">
        <v>1.99</v>
      </c>
    </row>
    <row r="37" spans="1:8" s="3" customFormat="1" x14ac:dyDescent="0.25">
      <c r="A37" s="3" t="s">
        <v>87</v>
      </c>
      <c r="B37" s="3" t="s">
        <v>88</v>
      </c>
      <c r="F37" s="3" t="s">
        <v>513</v>
      </c>
      <c r="G37" s="3">
        <v>0.7</v>
      </c>
      <c r="H37" s="3">
        <v>1.58</v>
      </c>
    </row>
    <row r="38" spans="1:8" s="3" customFormat="1" x14ac:dyDescent="0.25">
      <c r="A38" s="3" t="s">
        <v>87</v>
      </c>
      <c r="B38" s="3" t="s">
        <v>88</v>
      </c>
      <c r="F38" s="3" t="s">
        <v>507</v>
      </c>
      <c r="G38" s="3">
        <v>0.6</v>
      </c>
      <c r="H38" s="3">
        <v>1.47</v>
      </c>
    </row>
    <row r="39" spans="1:8" s="3" customFormat="1" x14ac:dyDescent="0.25">
      <c r="A39" s="3" t="s">
        <v>87</v>
      </c>
      <c r="B39" s="3" t="s">
        <v>88</v>
      </c>
      <c r="F39" s="3" t="s">
        <v>506</v>
      </c>
      <c r="G39" s="3">
        <v>0.4</v>
      </c>
      <c r="H39" s="3">
        <v>0.85</v>
      </c>
    </row>
    <row r="40" spans="1:8" s="3" customFormat="1" x14ac:dyDescent="0.25">
      <c r="A40" s="3" t="s">
        <v>87</v>
      </c>
      <c r="B40" s="3" t="s">
        <v>88</v>
      </c>
      <c r="F40" s="3" t="s">
        <v>510</v>
      </c>
      <c r="G40" s="3">
        <v>0.2</v>
      </c>
      <c r="H40" s="3">
        <v>0.55</v>
      </c>
    </row>
    <row r="41" spans="1:8" s="3" customFormat="1" x14ac:dyDescent="0.25">
      <c r="A41" s="3" t="s">
        <v>87</v>
      </c>
      <c r="B41" s="3" t="s">
        <v>88</v>
      </c>
      <c r="F41" s="3" t="s">
        <v>517</v>
      </c>
      <c r="G41" s="3">
        <v>0.2</v>
      </c>
      <c r="H41" s="3">
        <v>0.49</v>
      </c>
    </row>
    <row r="42" spans="1:8" s="3" customFormat="1" x14ac:dyDescent="0.25">
      <c r="A42" s="3" t="s">
        <v>89</v>
      </c>
      <c r="B42" s="3" t="s">
        <v>90</v>
      </c>
      <c r="C42" s="3">
        <v>4.7</v>
      </c>
      <c r="D42" s="3">
        <v>0.7</v>
      </c>
      <c r="E42" s="3">
        <v>15.9</v>
      </c>
      <c r="F42" s="3" t="s">
        <v>503</v>
      </c>
      <c r="G42" s="3">
        <v>0.2</v>
      </c>
      <c r="H42" s="3">
        <v>4.42</v>
      </c>
    </row>
    <row r="43" spans="1:8" s="3" customFormat="1" x14ac:dyDescent="0.25">
      <c r="A43" s="3" t="s">
        <v>89</v>
      </c>
      <c r="B43" s="3" t="s">
        <v>90</v>
      </c>
      <c r="F43" s="3" t="s">
        <v>505</v>
      </c>
      <c r="G43" s="3">
        <v>0.1</v>
      </c>
      <c r="H43" s="3">
        <v>3.17</v>
      </c>
    </row>
    <row r="44" spans="1:8" s="3" customFormat="1" x14ac:dyDescent="0.25">
      <c r="A44" s="3" t="s">
        <v>89</v>
      </c>
      <c r="B44" s="3" t="s">
        <v>90</v>
      </c>
      <c r="F44" s="3" t="s">
        <v>504</v>
      </c>
      <c r="G44" s="3">
        <v>0.1</v>
      </c>
      <c r="H44" s="3">
        <v>1.84</v>
      </c>
    </row>
    <row r="45" spans="1:8" s="3" customFormat="1" x14ac:dyDescent="0.25">
      <c r="A45" s="3" t="s">
        <v>89</v>
      </c>
      <c r="B45" s="3" t="s">
        <v>90</v>
      </c>
      <c r="F45" s="3" t="s">
        <v>507</v>
      </c>
      <c r="G45" s="3">
        <v>0.1</v>
      </c>
      <c r="H45" s="3">
        <v>1.35</v>
      </c>
    </row>
    <row r="46" spans="1:8" s="3" customFormat="1" x14ac:dyDescent="0.25">
      <c r="A46" s="3" t="s">
        <v>89</v>
      </c>
      <c r="B46" s="3" t="s">
        <v>90</v>
      </c>
      <c r="F46" s="3" t="s">
        <v>506</v>
      </c>
      <c r="G46" s="3">
        <v>0</v>
      </c>
      <c r="H46" s="3">
        <v>0.87</v>
      </c>
    </row>
    <row r="47" spans="1:8" s="3" customFormat="1" x14ac:dyDescent="0.25">
      <c r="A47" s="3" t="s">
        <v>89</v>
      </c>
      <c r="B47" s="3" t="s">
        <v>90</v>
      </c>
      <c r="F47" s="3" t="s">
        <v>510</v>
      </c>
      <c r="G47" s="3">
        <v>0</v>
      </c>
      <c r="H47" s="3">
        <v>0.63</v>
      </c>
    </row>
    <row r="48" spans="1:8" s="3" customFormat="1" x14ac:dyDescent="0.25">
      <c r="A48" s="3" t="s">
        <v>89</v>
      </c>
      <c r="B48" s="3" t="s">
        <v>90</v>
      </c>
      <c r="F48" s="3" t="s">
        <v>513</v>
      </c>
      <c r="G48" s="3">
        <v>0</v>
      </c>
      <c r="H48" s="3">
        <v>0.51</v>
      </c>
    </row>
    <row r="49" spans="1:8" s="3" customFormat="1" x14ac:dyDescent="0.25">
      <c r="A49" s="3" t="s">
        <v>89</v>
      </c>
      <c r="B49" s="3" t="s">
        <v>90</v>
      </c>
      <c r="F49" s="3" t="s">
        <v>511</v>
      </c>
      <c r="G49" s="3">
        <v>0</v>
      </c>
      <c r="H49" s="3">
        <v>0.5</v>
      </c>
    </row>
    <row r="50" spans="1:8" s="3" customFormat="1" x14ac:dyDescent="0.25">
      <c r="A50" s="3" t="s">
        <v>91</v>
      </c>
      <c r="B50" s="3" t="s">
        <v>92</v>
      </c>
      <c r="C50" s="3">
        <v>107.8</v>
      </c>
      <c r="D50" s="3">
        <v>69.2</v>
      </c>
      <c r="E50" s="3">
        <v>64.2</v>
      </c>
      <c r="F50" s="3" t="s">
        <v>503</v>
      </c>
      <c r="G50" s="3">
        <v>33.2</v>
      </c>
      <c r="H50" s="3">
        <v>30.84</v>
      </c>
    </row>
    <row r="51" spans="1:8" s="3" customFormat="1" x14ac:dyDescent="0.25">
      <c r="A51" s="3" t="s">
        <v>91</v>
      </c>
      <c r="B51" s="3" t="s">
        <v>92</v>
      </c>
      <c r="F51" s="3" t="s">
        <v>513</v>
      </c>
      <c r="G51" s="3">
        <v>10.2</v>
      </c>
      <c r="H51" s="3">
        <v>9.43</v>
      </c>
    </row>
    <row r="52" spans="1:8" s="3" customFormat="1" x14ac:dyDescent="0.25">
      <c r="A52" s="3" t="s">
        <v>91</v>
      </c>
      <c r="B52" s="3" t="s">
        <v>92</v>
      </c>
      <c r="F52" s="3" t="s">
        <v>505</v>
      </c>
      <c r="G52" s="3">
        <v>7.3</v>
      </c>
      <c r="H52" s="3">
        <v>6.79</v>
      </c>
    </row>
    <row r="53" spans="1:8" s="3" customFormat="1" x14ac:dyDescent="0.25">
      <c r="A53" s="3" t="s">
        <v>91</v>
      </c>
      <c r="B53" s="3" t="s">
        <v>92</v>
      </c>
      <c r="F53" s="3" t="s">
        <v>507</v>
      </c>
      <c r="G53" s="3">
        <v>5.2</v>
      </c>
      <c r="H53" s="3">
        <v>4.81</v>
      </c>
    </row>
    <row r="54" spans="1:8" s="3" customFormat="1" x14ac:dyDescent="0.25">
      <c r="A54" s="3" t="s">
        <v>91</v>
      </c>
      <c r="B54" s="3" t="s">
        <v>92</v>
      </c>
      <c r="F54" s="3" t="s">
        <v>514</v>
      </c>
      <c r="G54" s="3">
        <v>3.1</v>
      </c>
      <c r="H54" s="3">
        <v>2.88</v>
      </c>
    </row>
    <row r="55" spans="1:8" s="3" customFormat="1" x14ac:dyDescent="0.25">
      <c r="A55" s="3" t="s">
        <v>91</v>
      </c>
      <c r="B55" s="3" t="s">
        <v>92</v>
      </c>
      <c r="F55" s="3" t="s">
        <v>519</v>
      </c>
      <c r="G55" s="3">
        <v>2.6</v>
      </c>
      <c r="H55" s="3">
        <v>2.46</v>
      </c>
    </row>
    <row r="56" spans="1:8" s="3" customFormat="1" x14ac:dyDescent="0.25">
      <c r="A56" s="3" t="s">
        <v>91</v>
      </c>
      <c r="B56" s="3" t="s">
        <v>92</v>
      </c>
      <c r="F56" s="3" t="s">
        <v>517</v>
      </c>
      <c r="G56" s="3">
        <v>1.6</v>
      </c>
      <c r="H56" s="3">
        <v>1.48</v>
      </c>
    </row>
    <row r="57" spans="1:8" s="3" customFormat="1" x14ac:dyDescent="0.25">
      <c r="A57" s="3" t="s">
        <v>91</v>
      </c>
      <c r="B57" s="3" t="s">
        <v>92</v>
      </c>
      <c r="F57" s="3" t="s">
        <v>504</v>
      </c>
      <c r="G57" s="3">
        <v>1.2</v>
      </c>
      <c r="H57" s="3">
        <v>1.14</v>
      </c>
    </row>
    <row r="58" spans="1:8" s="3" customFormat="1" x14ac:dyDescent="0.25">
      <c r="A58" s="3" t="s">
        <v>93</v>
      </c>
      <c r="B58" s="3" t="s">
        <v>94</v>
      </c>
      <c r="C58" s="3">
        <v>189.6</v>
      </c>
      <c r="D58" s="3">
        <v>48.6</v>
      </c>
      <c r="E58" s="3">
        <v>25.6</v>
      </c>
      <c r="F58" s="3" t="s">
        <v>503</v>
      </c>
      <c r="G58" s="3">
        <v>14.8</v>
      </c>
      <c r="H58" s="3">
        <v>7.81</v>
      </c>
    </row>
    <row r="59" spans="1:8" s="3" customFormat="1" x14ac:dyDescent="0.25">
      <c r="A59" s="3" t="s">
        <v>93</v>
      </c>
      <c r="B59" s="3" t="s">
        <v>94</v>
      </c>
      <c r="F59" s="3" t="s">
        <v>505</v>
      </c>
      <c r="G59" s="3">
        <v>9.1</v>
      </c>
      <c r="H59" s="3">
        <v>4.79</v>
      </c>
    </row>
    <row r="60" spans="1:8" s="3" customFormat="1" x14ac:dyDescent="0.25">
      <c r="A60" s="3" t="s">
        <v>93</v>
      </c>
      <c r="B60" s="3" t="s">
        <v>94</v>
      </c>
      <c r="F60" s="3" t="s">
        <v>507</v>
      </c>
      <c r="G60" s="3">
        <v>4.4</v>
      </c>
      <c r="H60" s="3">
        <v>2.31</v>
      </c>
    </row>
    <row r="61" spans="1:8" s="3" customFormat="1" x14ac:dyDescent="0.25">
      <c r="A61" s="3" t="s">
        <v>93</v>
      </c>
      <c r="B61" s="3" t="s">
        <v>94</v>
      </c>
      <c r="F61" s="3" t="s">
        <v>504</v>
      </c>
      <c r="G61" s="3">
        <v>4.3</v>
      </c>
      <c r="H61" s="3">
        <v>2.26</v>
      </c>
    </row>
    <row r="62" spans="1:8" s="3" customFormat="1" x14ac:dyDescent="0.25">
      <c r="A62" s="3" t="s">
        <v>93</v>
      </c>
      <c r="B62" s="3" t="s">
        <v>94</v>
      </c>
      <c r="F62" s="3" t="s">
        <v>513</v>
      </c>
      <c r="G62" s="3">
        <v>3.1</v>
      </c>
      <c r="H62" s="3">
        <v>1.62</v>
      </c>
    </row>
    <row r="63" spans="1:8" s="3" customFormat="1" x14ac:dyDescent="0.25">
      <c r="A63" s="3" t="s">
        <v>93</v>
      </c>
      <c r="B63" s="3" t="s">
        <v>94</v>
      </c>
      <c r="F63" s="3" t="s">
        <v>506</v>
      </c>
      <c r="G63" s="3">
        <v>2.6</v>
      </c>
      <c r="H63" s="3">
        <v>1.37</v>
      </c>
    </row>
    <row r="64" spans="1:8" s="3" customFormat="1" x14ac:dyDescent="0.25">
      <c r="A64" s="3" t="s">
        <v>93</v>
      </c>
      <c r="B64" s="3" t="s">
        <v>94</v>
      </c>
      <c r="F64" s="3" t="s">
        <v>510</v>
      </c>
      <c r="G64" s="3">
        <v>1.5</v>
      </c>
      <c r="H64" s="3">
        <v>0.81</v>
      </c>
    </row>
    <row r="65" spans="1:8" s="3" customFormat="1" x14ac:dyDescent="0.25">
      <c r="A65" s="3" t="s">
        <v>93</v>
      </c>
      <c r="B65" s="3" t="s">
        <v>94</v>
      </c>
      <c r="F65" s="3" t="s">
        <v>514</v>
      </c>
      <c r="G65" s="3">
        <v>1.3</v>
      </c>
      <c r="H65" s="3">
        <v>0.71</v>
      </c>
    </row>
    <row r="66" spans="1:8" s="3" customFormat="1" x14ac:dyDescent="0.25">
      <c r="A66" s="3" t="s">
        <v>95</v>
      </c>
      <c r="B66" s="3" t="s">
        <v>96</v>
      </c>
      <c r="C66" s="3">
        <v>200</v>
      </c>
      <c r="D66" s="3">
        <v>40.3</v>
      </c>
      <c r="E66" s="3">
        <v>20.1</v>
      </c>
      <c r="F66" s="3" t="s">
        <v>505</v>
      </c>
      <c r="G66" s="3">
        <v>14.9</v>
      </c>
      <c r="H66" s="3">
        <v>7.45</v>
      </c>
    </row>
    <row r="67" spans="1:8" s="3" customFormat="1" x14ac:dyDescent="0.25">
      <c r="A67" s="3" t="s">
        <v>95</v>
      </c>
      <c r="B67" s="3" t="s">
        <v>96</v>
      </c>
      <c r="F67" s="3" t="s">
        <v>503</v>
      </c>
      <c r="G67" s="3">
        <v>6.9</v>
      </c>
      <c r="H67" s="3">
        <v>3.45</v>
      </c>
    </row>
    <row r="68" spans="1:8" s="3" customFormat="1" x14ac:dyDescent="0.25">
      <c r="A68" s="3" t="s">
        <v>95</v>
      </c>
      <c r="B68" s="3" t="s">
        <v>96</v>
      </c>
      <c r="F68" s="3" t="s">
        <v>507</v>
      </c>
      <c r="G68" s="3">
        <v>4.5</v>
      </c>
      <c r="H68" s="3">
        <v>2.27</v>
      </c>
    </row>
    <row r="69" spans="1:8" s="3" customFormat="1" x14ac:dyDescent="0.25">
      <c r="A69" s="3" t="s">
        <v>95</v>
      </c>
      <c r="B69" s="3" t="s">
        <v>96</v>
      </c>
      <c r="F69" s="3" t="s">
        <v>506</v>
      </c>
      <c r="G69" s="3">
        <v>4.4</v>
      </c>
      <c r="H69" s="3">
        <v>2.22</v>
      </c>
    </row>
    <row r="70" spans="1:8" s="3" customFormat="1" x14ac:dyDescent="0.25">
      <c r="A70" s="3" t="s">
        <v>95</v>
      </c>
      <c r="B70" s="3" t="s">
        <v>96</v>
      </c>
      <c r="F70" s="3" t="s">
        <v>504</v>
      </c>
      <c r="G70" s="3">
        <v>2.7</v>
      </c>
      <c r="H70" s="3">
        <v>1.34</v>
      </c>
    </row>
    <row r="71" spans="1:8" s="3" customFormat="1" x14ac:dyDescent="0.25">
      <c r="A71" s="3" t="s">
        <v>95</v>
      </c>
      <c r="B71" s="3" t="s">
        <v>96</v>
      </c>
      <c r="F71" s="3" t="s">
        <v>511</v>
      </c>
      <c r="G71" s="3">
        <v>1.1</v>
      </c>
      <c r="H71" s="3">
        <v>0.57</v>
      </c>
    </row>
    <row r="72" spans="1:8" s="3" customFormat="1" x14ac:dyDescent="0.25">
      <c r="A72" s="3" t="s">
        <v>95</v>
      </c>
      <c r="B72" s="3" t="s">
        <v>96</v>
      </c>
      <c r="F72" s="3" t="s">
        <v>510</v>
      </c>
      <c r="G72" s="3">
        <v>1</v>
      </c>
      <c r="H72" s="3">
        <v>0.5</v>
      </c>
    </row>
    <row r="73" spans="1:8" s="3" customFormat="1" x14ac:dyDescent="0.25">
      <c r="A73" s="3" t="s">
        <v>95</v>
      </c>
      <c r="B73" s="3" t="s">
        <v>96</v>
      </c>
      <c r="F73" s="3" t="s">
        <v>513</v>
      </c>
      <c r="G73" s="3">
        <v>0.8</v>
      </c>
      <c r="H73" s="3">
        <v>0.42</v>
      </c>
    </row>
    <row r="74" spans="1:8" s="3" customFormat="1" x14ac:dyDescent="0.25">
      <c r="A74" s="3" t="s">
        <v>97</v>
      </c>
      <c r="B74" s="3" t="s">
        <v>98</v>
      </c>
      <c r="C74" s="3">
        <v>65.1</v>
      </c>
      <c r="D74" s="3">
        <v>13.2</v>
      </c>
      <c r="E74" s="3">
        <v>20.3</v>
      </c>
      <c r="F74" s="3" t="s">
        <v>503</v>
      </c>
      <c r="G74" s="3">
        <v>3.6</v>
      </c>
      <c r="H74" s="3">
        <v>5.5</v>
      </c>
    </row>
    <row r="75" spans="1:8" s="3" customFormat="1" x14ac:dyDescent="0.25">
      <c r="A75" s="3" t="s">
        <v>97</v>
      </c>
      <c r="B75" s="3" t="s">
        <v>98</v>
      </c>
      <c r="F75" s="3" t="s">
        <v>505</v>
      </c>
      <c r="G75" s="3">
        <v>2.2</v>
      </c>
      <c r="H75" s="3">
        <v>3.41</v>
      </c>
    </row>
    <row r="76" spans="1:8" s="3" customFormat="1" x14ac:dyDescent="0.25">
      <c r="A76" s="3" t="s">
        <v>97</v>
      </c>
      <c r="B76" s="3" t="s">
        <v>98</v>
      </c>
      <c r="F76" s="3" t="s">
        <v>504</v>
      </c>
      <c r="G76" s="3">
        <v>1.8</v>
      </c>
      <c r="H76" s="3">
        <v>2.79</v>
      </c>
    </row>
    <row r="77" spans="1:8" s="3" customFormat="1" x14ac:dyDescent="0.25">
      <c r="A77" s="3" t="s">
        <v>97</v>
      </c>
      <c r="B77" s="3" t="s">
        <v>98</v>
      </c>
      <c r="F77" s="3" t="s">
        <v>507</v>
      </c>
      <c r="G77" s="3">
        <v>1.1</v>
      </c>
      <c r="H77" s="3">
        <v>1.7</v>
      </c>
    </row>
    <row r="78" spans="1:8" s="3" customFormat="1" x14ac:dyDescent="0.25">
      <c r="A78" s="3" t="s">
        <v>97</v>
      </c>
      <c r="B78" s="3" t="s">
        <v>98</v>
      </c>
      <c r="F78" s="3" t="s">
        <v>506</v>
      </c>
      <c r="G78" s="3">
        <v>0.8</v>
      </c>
      <c r="H78" s="3">
        <v>1.22</v>
      </c>
    </row>
    <row r="79" spans="1:8" s="3" customFormat="1" x14ac:dyDescent="0.25">
      <c r="A79" s="3" t="s">
        <v>97</v>
      </c>
      <c r="B79" s="3" t="s">
        <v>98</v>
      </c>
      <c r="F79" s="3" t="s">
        <v>510</v>
      </c>
      <c r="G79" s="3">
        <v>0.5</v>
      </c>
      <c r="H79" s="3">
        <v>0.81</v>
      </c>
    </row>
    <row r="80" spans="1:8" s="3" customFormat="1" x14ac:dyDescent="0.25">
      <c r="A80" s="3" t="s">
        <v>97</v>
      </c>
      <c r="B80" s="3" t="s">
        <v>98</v>
      </c>
      <c r="F80" s="3" t="s">
        <v>513</v>
      </c>
      <c r="G80" s="3">
        <v>0.5</v>
      </c>
      <c r="H80" s="3">
        <v>0.81</v>
      </c>
    </row>
    <row r="81" spans="1:8" s="3" customFormat="1" x14ac:dyDescent="0.25">
      <c r="A81" s="3" t="s">
        <v>97</v>
      </c>
      <c r="B81" s="3" t="s">
        <v>98</v>
      </c>
      <c r="F81" s="3" t="s">
        <v>514</v>
      </c>
      <c r="G81" s="3">
        <v>0.4</v>
      </c>
      <c r="H81" s="3">
        <v>0.59</v>
      </c>
    </row>
    <row r="82" spans="1:8" s="3" customFormat="1" x14ac:dyDescent="0.25">
      <c r="A82" s="3" t="s">
        <v>99</v>
      </c>
      <c r="B82" s="3" t="s">
        <v>100</v>
      </c>
      <c r="C82" s="3">
        <v>32.6</v>
      </c>
      <c r="D82" s="3">
        <v>5.7</v>
      </c>
      <c r="E82" s="3">
        <v>17.4</v>
      </c>
      <c r="F82" s="3" t="s">
        <v>503</v>
      </c>
      <c r="G82" s="3">
        <v>2</v>
      </c>
      <c r="H82" s="3">
        <v>6.06</v>
      </c>
    </row>
    <row r="83" spans="1:8" s="3" customFormat="1" x14ac:dyDescent="0.25">
      <c r="A83" s="3" t="s">
        <v>99</v>
      </c>
      <c r="B83" s="3" t="s">
        <v>100</v>
      </c>
      <c r="F83" s="3" t="s">
        <v>505</v>
      </c>
      <c r="G83" s="3">
        <v>0.8</v>
      </c>
      <c r="H83" s="3">
        <v>2.56</v>
      </c>
    </row>
    <row r="84" spans="1:8" s="3" customFormat="1" x14ac:dyDescent="0.25">
      <c r="A84" s="3" t="s">
        <v>99</v>
      </c>
      <c r="B84" s="3" t="s">
        <v>100</v>
      </c>
      <c r="F84" s="3" t="s">
        <v>504</v>
      </c>
      <c r="G84" s="3">
        <v>0.6</v>
      </c>
      <c r="H84" s="3">
        <v>1.99</v>
      </c>
    </row>
    <row r="85" spans="1:8" s="3" customFormat="1" x14ac:dyDescent="0.25">
      <c r="A85" s="3" t="s">
        <v>99</v>
      </c>
      <c r="B85" s="3" t="s">
        <v>100</v>
      </c>
      <c r="F85" s="3" t="s">
        <v>507</v>
      </c>
      <c r="G85" s="3">
        <v>0.4</v>
      </c>
      <c r="H85" s="3">
        <v>1.28</v>
      </c>
    </row>
    <row r="86" spans="1:8" s="3" customFormat="1" x14ac:dyDescent="0.25">
      <c r="A86" s="3" t="s">
        <v>99</v>
      </c>
      <c r="B86" s="3" t="s">
        <v>100</v>
      </c>
      <c r="F86" s="3" t="s">
        <v>513</v>
      </c>
      <c r="G86" s="3">
        <v>0.3</v>
      </c>
      <c r="H86" s="3">
        <v>1</v>
      </c>
    </row>
    <row r="87" spans="1:8" s="3" customFormat="1" x14ac:dyDescent="0.25">
      <c r="A87" s="3" t="s">
        <v>99</v>
      </c>
      <c r="B87" s="3" t="s">
        <v>100</v>
      </c>
      <c r="F87" s="3" t="s">
        <v>506</v>
      </c>
      <c r="G87" s="3">
        <v>0.2</v>
      </c>
      <c r="H87" s="3">
        <v>0.73</v>
      </c>
    </row>
    <row r="88" spans="1:8" s="3" customFormat="1" x14ac:dyDescent="0.25">
      <c r="A88" s="3" t="s">
        <v>99</v>
      </c>
      <c r="B88" s="3" t="s">
        <v>100</v>
      </c>
      <c r="F88" s="3" t="s">
        <v>514</v>
      </c>
      <c r="G88" s="3">
        <v>0.2</v>
      </c>
      <c r="H88" s="3">
        <v>0.55</v>
      </c>
    </row>
    <row r="89" spans="1:8" s="3" customFormat="1" x14ac:dyDescent="0.25">
      <c r="A89" s="3" t="s">
        <v>99</v>
      </c>
      <c r="B89" s="3" t="s">
        <v>100</v>
      </c>
      <c r="F89" s="3" t="s">
        <v>519</v>
      </c>
      <c r="G89" s="3">
        <v>0.2</v>
      </c>
      <c r="H89" s="3">
        <v>0.48</v>
      </c>
    </row>
    <row r="90" spans="1:8" s="3" customFormat="1" x14ac:dyDescent="0.25">
      <c r="A90" s="3" t="s">
        <v>101</v>
      </c>
      <c r="B90" s="3" t="s">
        <v>102</v>
      </c>
      <c r="C90" s="3">
        <v>86.8</v>
      </c>
      <c r="D90" s="3">
        <v>25</v>
      </c>
      <c r="E90" s="3">
        <v>28.8</v>
      </c>
      <c r="F90" s="3" t="s">
        <v>503</v>
      </c>
      <c r="G90" s="3">
        <v>8.3</v>
      </c>
      <c r="H90" s="3">
        <v>9.51</v>
      </c>
    </row>
    <row r="91" spans="1:8" s="3" customFormat="1" x14ac:dyDescent="0.25">
      <c r="A91" s="3" t="s">
        <v>101</v>
      </c>
      <c r="B91" s="3" t="s">
        <v>102</v>
      </c>
      <c r="F91" s="3" t="s">
        <v>505</v>
      </c>
      <c r="G91" s="3">
        <v>3</v>
      </c>
      <c r="H91" s="3">
        <v>3.48</v>
      </c>
    </row>
    <row r="92" spans="1:8" s="3" customFormat="1" x14ac:dyDescent="0.25">
      <c r="A92" s="3" t="s">
        <v>101</v>
      </c>
      <c r="B92" s="3" t="s">
        <v>102</v>
      </c>
      <c r="F92" s="3" t="s">
        <v>513</v>
      </c>
      <c r="G92" s="3">
        <v>2.7</v>
      </c>
      <c r="H92" s="3">
        <v>3.16</v>
      </c>
    </row>
    <row r="93" spans="1:8" s="3" customFormat="1" x14ac:dyDescent="0.25">
      <c r="A93" s="3" t="s">
        <v>101</v>
      </c>
      <c r="B93" s="3" t="s">
        <v>102</v>
      </c>
      <c r="F93" s="3" t="s">
        <v>504</v>
      </c>
      <c r="G93" s="3">
        <v>2.1</v>
      </c>
      <c r="H93" s="3">
        <v>2.42</v>
      </c>
    </row>
    <row r="94" spans="1:8" s="3" customFormat="1" x14ac:dyDescent="0.25">
      <c r="A94" s="3" t="s">
        <v>101</v>
      </c>
      <c r="B94" s="3" t="s">
        <v>102</v>
      </c>
      <c r="F94" s="3" t="s">
        <v>507</v>
      </c>
      <c r="G94" s="3">
        <v>1.9</v>
      </c>
      <c r="H94" s="3">
        <v>2.23</v>
      </c>
    </row>
    <row r="95" spans="1:8" s="3" customFormat="1" x14ac:dyDescent="0.25">
      <c r="A95" s="3" t="s">
        <v>101</v>
      </c>
      <c r="B95" s="3" t="s">
        <v>102</v>
      </c>
      <c r="F95" s="3" t="s">
        <v>514</v>
      </c>
      <c r="G95" s="3">
        <v>1.3</v>
      </c>
      <c r="H95" s="3">
        <v>1.55</v>
      </c>
    </row>
    <row r="96" spans="1:8" s="3" customFormat="1" x14ac:dyDescent="0.25">
      <c r="A96" s="3" t="s">
        <v>101</v>
      </c>
      <c r="B96" s="3" t="s">
        <v>102</v>
      </c>
      <c r="F96" s="3" t="s">
        <v>506</v>
      </c>
      <c r="G96" s="3">
        <v>0.7</v>
      </c>
      <c r="H96" s="3">
        <v>0.8</v>
      </c>
    </row>
    <row r="97" spans="1:8" s="3" customFormat="1" x14ac:dyDescent="0.25">
      <c r="A97" s="3" t="s">
        <v>101</v>
      </c>
      <c r="B97" s="3" t="s">
        <v>102</v>
      </c>
      <c r="F97" s="3" t="s">
        <v>510</v>
      </c>
      <c r="G97" s="3">
        <v>0.6</v>
      </c>
      <c r="H97" s="3">
        <v>0.68</v>
      </c>
    </row>
    <row r="98" spans="1:8" s="3" customFormat="1" x14ac:dyDescent="0.25">
      <c r="A98" s="3" t="s">
        <v>103</v>
      </c>
      <c r="B98" s="3" t="s">
        <v>104</v>
      </c>
      <c r="C98" s="3">
        <v>76.9</v>
      </c>
      <c r="D98" s="3">
        <v>12.7</v>
      </c>
      <c r="E98" s="3">
        <v>16.5</v>
      </c>
      <c r="F98" s="3" t="s">
        <v>503</v>
      </c>
      <c r="G98" s="3">
        <v>3.7</v>
      </c>
      <c r="H98" s="3">
        <v>4.76</v>
      </c>
    </row>
    <row r="99" spans="1:8" s="3" customFormat="1" x14ac:dyDescent="0.25">
      <c r="A99" s="3" t="s">
        <v>103</v>
      </c>
      <c r="B99" s="3" t="s">
        <v>104</v>
      </c>
      <c r="F99" s="3" t="s">
        <v>504</v>
      </c>
      <c r="G99" s="3">
        <v>1.8</v>
      </c>
      <c r="H99" s="3">
        <v>2.34</v>
      </c>
    </row>
    <row r="100" spans="1:8" s="3" customFormat="1" x14ac:dyDescent="0.25">
      <c r="A100" s="3" t="s">
        <v>103</v>
      </c>
      <c r="B100" s="3" t="s">
        <v>104</v>
      </c>
      <c r="F100" s="3" t="s">
        <v>505</v>
      </c>
      <c r="G100" s="3">
        <v>1.8</v>
      </c>
      <c r="H100" s="3">
        <v>2.33</v>
      </c>
    </row>
    <row r="101" spans="1:8" s="3" customFormat="1" x14ac:dyDescent="0.25">
      <c r="A101" s="3" t="s">
        <v>103</v>
      </c>
      <c r="B101" s="3" t="s">
        <v>104</v>
      </c>
      <c r="F101" s="3" t="s">
        <v>507</v>
      </c>
      <c r="G101" s="3">
        <v>1</v>
      </c>
      <c r="H101" s="3">
        <v>1.24</v>
      </c>
    </row>
    <row r="102" spans="1:8" s="3" customFormat="1" x14ac:dyDescent="0.25">
      <c r="A102" s="3" t="s">
        <v>103</v>
      </c>
      <c r="B102" s="3" t="s">
        <v>104</v>
      </c>
      <c r="F102" s="3" t="s">
        <v>513</v>
      </c>
      <c r="G102" s="3">
        <v>0.7</v>
      </c>
      <c r="H102" s="3">
        <v>0.88</v>
      </c>
    </row>
    <row r="103" spans="1:8" s="3" customFormat="1" x14ac:dyDescent="0.25">
      <c r="A103" s="3" t="s">
        <v>103</v>
      </c>
      <c r="B103" s="3" t="s">
        <v>104</v>
      </c>
      <c r="F103" s="3" t="s">
        <v>506</v>
      </c>
      <c r="G103" s="3">
        <v>0.6</v>
      </c>
      <c r="H103" s="3">
        <v>0.79</v>
      </c>
    </row>
    <row r="104" spans="1:8" s="3" customFormat="1" x14ac:dyDescent="0.25">
      <c r="A104" s="3" t="s">
        <v>103</v>
      </c>
      <c r="B104" s="3" t="s">
        <v>104</v>
      </c>
      <c r="F104" s="3" t="s">
        <v>514</v>
      </c>
      <c r="G104" s="3">
        <v>0.5</v>
      </c>
      <c r="H104" s="3">
        <v>0.64</v>
      </c>
    </row>
    <row r="105" spans="1:8" s="3" customFormat="1" x14ac:dyDescent="0.25">
      <c r="A105" s="3" t="s">
        <v>103</v>
      </c>
      <c r="B105" s="3" t="s">
        <v>104</v>
      </c>
      <c r="F105" s="3" t="s">
        <v>510</v>
      </c>
      <c r="G105" s="3">
        <v>0.4</v>
      </c>
      <c r="H105" s="3">
        <v>0.53</v>
      </c>
    </row>
    <row r="106" spans="1:8" s="3" customFormat="1" x14ac:dyDescent="0.25">
      <c r="A106" s="3" t="s">
        <v>105</v>
      </c>
      <c r="B106" s="3" t="s">
        <v>106</v>
      </c>
      <c r="C106" s="3">
        <v>141.2</v>
      </c>
      <c r="D106" s="3">
        <v>26.7</v>
      </c>
      <c r="E106" s="3">
        <v>18.9</v>
      </c>
      <c r="F106" s="3" t="s">
        <v>505</v>
      </c>
      <c r="G106" s="3">
        <v>7.1</v>
      </c>
      <c r="H106" s="3">
        <v>5.03</v>
      </c>
    </row>
    <row r="107" spans="1:8" s="3" customFormat="1" x14ac:dyDescent="0.25">
      <c r="A107" s="3" t="s">
        <v>105</v>
      </c>
      <c r="B107" s="3" t="s">
        <v>106</v>
      </c>
      <c r="F107" s="3" t="s">
        <v>503</v>
      </c>
      <c r="G107" s="3">
        <v>6.4</v>
      </c>
      <c r="H107" s="3">
        <v>4.57</v>
      </c>
    </row>
    <row r="108" spans="1:8" s="3" customFormat="1" x14ac:dyDescent="0.25">
      <c r="A108" s="3" t="s">
        <v>105</v>
      </c>
      <c r="B108" s="3" t="s">
        <v>106</v>
      </c>
      <c r="F108" s="3" t="s">
        <v>504</v>
      </c>
      <c r="G108" s="3">
        <v>5.2</v>
      </c>
      <c r="H108" s="3">
        <v>3.7</v>
      </c>
    </row>
    <row r="109" spans="1:8" s="3" customFormat="1" x14ac:dyDescent="0.25">
      <c r="A109" s="3" t="s">
        <v>105</v>
      </c>
      <c r="B109" s="3" t="s">
        <v>106</v>
      </c>
      <c r="F109" s="3" t="s">
        <v>507</v>
      </c>
      <c r="G109" s="3">
        <v>1.8</v>
      </c>
      <c r="H109" s="3">
        <v>1.27</v>
      </c>
    </row>
    <row r="110" spans="1:8" s="3" customFormat="1" x14ac:dyDescent="0.25">
      <c r="A110" s="3" t="s">
        <v>105</v>
      </c>
      <c r="B110" s="3" t="s">
        <v>106</v>
      </c>
      <c r="F110" s="3" t="s">
        <v>506</v>
      </c>
      <c r="G110" s="3">
        <v>1.3</v>
      </c>
      <c r="H110" s="3">
        <v>0.93</v>
      </c>
    </row>
    <row r="111" spans="1:8" s="3" customFormat="1" x14ac:dyDescent="0.25">
      <c r="A111" s="3" t="s">
        <v>105</v>
      </c>
      <c r="B111" s="3" t="s">
        <v>106</v>
      </c>
      <c r="F111" s="3" t="s">
        <v>510</v>
      </c>
      <c r="G111" s="3">
        <v>0.9</v>
      </c>
      <c r="H111" s="3">
        <v>0.62</v>
      </c>
    </row>
    <row r="112" spans="1:8" s="3" customFormat="1" x14ac:dyDescent="0.25">
      <c r="A112" s="3" t="s">
        <v>105</v>
      </c>
      <c r="B112" s="3" t="s">
        <v>106</v>
      </c>
      <c r="F112" s="3" t="s">
        <v>509</v>
      </c>
      <c r="G112" s="3">
        <v>0.7</v>
      </c>
      <c r="H112" s="3">
        <v>0.47</v>
      </c>
    </row>
    <row r="113" spans="1:8" s="3" customFormat="1" x14ac:dyDescent="0.25">
      <c r="A113" s="3" t="s">
        <v>105</v>
      </c>
      <c r="B113" s="3" t="s">
        <v>106</v>
      </c>
      <c r="F113" s="3" t="s">
        <v>511</v>
      </c>
      <c r="G113" s="3">
        <v>0.5</v>
      </c>
      <c r="H113" s="3">
        <v>0.37</v>
      </c>
    </row>
    <row r="114" spans="1:8" s="3" customFormat="1" x14ac:dyDescent="0.25">
      <c r="A114" s="3" t="s">
        <v>107</v>
      </c>
      <c r="B114" s="3" t="s">
        <v>108</v>
      </c>
      <c r="C114" s="3">
        <v>103</v>
      </c>
      <c r="D114" s="3">
        <v>21.4</v>
      </c>
      <c r="E114" s="3">
        <v>20.7</v>
      </c>
      <c r="F114" s="3" t="s">
        <v>504</v>
      </c>
      <c r="G114" s="3">
        <v>5.3</v>
      </c>
      <c r="H114" s="3">
        <v>5.16</v>
      </c>
    </row>
    <row r="115" spans="1:8" s="3" customFormat="1" x14ac:dyDescent="0.25">
      <c r="A115" s="3" t="s">
        <v>107</v>
      </c>
      <c r="B115" s="3" t="s">
        <v>108</v>
      </c>
      <c r="F115" s="3" t="s">
        <v>503</v>
      </c>
      <c r="G115" s="3">
        <v>5.3</v>
      </c>
      <c r="H115" s="3">
        <v>5.15</v>
      </c>
    </row>
    <row r="116" spans="1:8" s="3" customFormat="1" x14ac:dyDescent="0.25">
      <c r="A116" s="3" t="s">
        <v>107</v>
      </c>
      <c r="B116" s="3" t="s">
        <v>108</v>
      </c>
      <c r="F116" s="3" t="s">
        <v>505</v>
      </c>
      <c r="G116" s="3">
        <v>2.8</v>
      </c>
      <c r="H116" s="3">
        <v>2.71</v>
      </c>
    </row>
    <row r="117" spans="1:8" s="3" customFormat="1" x14ac:dyDescent="0.25">
      <c r="A117" s="3" t="s">
        <v>107</v>
      </c>
      <c r="B117" s="3" t="s">
        <v>108</v>
      </c>
      <c r="F117" s="3" t="s">
        <v>507</v>
      </c>
      <c r="G117" s="3">
        <v>1.3</v>
      </c>
      <c r="H117" s="3">
        <v>1.26</v>
      </c>
    </row>
    <row r="118" spans="1:8" s="3" customFormat="1" x14ac:dyDescent="0.25">
      <c r="A118" s="3" t="s">
        <v>107</v>
      </c>
      <c r="B118" s="3" t="s">
        <v>108</v>
      </c>
      <c r="F118" s="3" t="s">
        <v>506</v>
      </c>
      <c r="G118" s="3">
        <v>1.1</v>
      </c>
      <c r="H118" s="3">
        <v>1.04</v>
      </c>
    </row>
    <row r="119" spans="1:8" s="3" customFormat="1" x14ac:dyDescent="0.25">
      <c r="A119" s="3" t="s">
        <v>107</v>
      </c>
      <c r="B119" s="3" t="s">
        <v>108</v>
      </c>
      <c r="F119" s="3" t="s">
        <v>510</v>
      </c>
      <c r="G119" s="3">
        <v>0.8</v>
      </c>
      <c r="H119" s="3">
        <v>0.75</v>
      </c>
    </row>
    <row r="120" spans="1:8" s="3" customFormat="1" x14ac:dyDescent="0.25">
      <c r="A120" s="3" t="s">
        <v>107</v>
      </c>
      <c r="B120" s="3" t="s">
        <v>108</v>
      </c>
      <c r="F120" s="3" t="s">
        <v>509</v>
      </c>
      <c r="G120" s="3">
        <v>0.7</v>
      </c>
      <c r="H120" s="3">
        <v>0.67</v>
      </c>
    </row>
    <row r="121" spans="1:8" s="3" customFormat="1" x14ac:dyDescent="0.25">
      <c r="A121" s="3" t="s">
        <v>107</v>
      </c>
      <c r="B121" s="3" t="s">
        <v>108</v>
      </c>
      <c r="F121" s="3" t="s">
        <v>513</v>
      </c>
      <c r="G121" s="3">
        <v>0.6</v>
      </c>
      <c r="H121" s="3">
        <v>0.59</v>
      </c>
    </row>
    <row r="122" spans="1:8" s="3" customFormat="1" x14ac:dyDescent="0.25">
      <c r="A122" s="3" t="s">
        <v>109</v>
      </c>
      <c r="B122" s="3" t="s">
        <v>110</v>
      </c>
      <c r="C122" s="3">
        <v>260.4</v>
      </c>
      <c r="D122" s="3">
        <v>42</v>
      </c>
      <c r="E122" s="3">
        <v>16.1</v>
      </c>
      <c r="F122" s="3" t="s">
        <v>503</v>
      </c>
      <c r="G122" s="3">
        <v>10.4</v>
      </c>
      <c r="H122" s="3">
        <v>3.99</v>
      </c>
    </row>
    <row r="123" spans="1:8" s="3" customFormat="1" x14ac:dyDescent="0.25">
      <c r="A123" s="3" t="s">
        <v>109</v>
      </c>
      <c r="B123" s="3" t="s">
        <v>110</v>
      </c>
      <c r="F123" s="3" t="s">
        <v>504</v>
      </c>
      <c r="G123" s="3">
        <v>7.5</v>
      </c>
      <c r="H123" s="3">
        <v>2.88</v>
      </c>
    </row>
    <row r="124" spans="1:8" s="3" customFormat="1" x14ac:dyDescent="0.25">
      <c r="A124" s="3" t="s">
        <v>109</v>
      </c>
      <c r="B124" s="3" t="s">
        <v>110</v>
      </c>
      <c r="F124" s="3" t="s">
        <v>505</v>
      </c>
      <c r="G124" s="3">
        <v>6.9</v>
      </c>
      <c r="H124" s="3">
        <v>2.65</v>
      </c>
    </row>
    <row r="125" spans="1:8" s="3" customFormat="1" x14ac:dyDescent="0.25">
      <c r="A125" s="3" t="s">
        <v>109</v>
      </c>
      <c r="B125" s="3" t="s">
        <v>110</v>
      </c>
      <c r="F125" s="3" t="s">
        <v>507</v>
      </c>
      <c r="G125" s="3">
        <v>3.3</v>
      </c>
      <c r="H125" s="3">
        <v>1.29</v>
      </c>
    </row>
    <row r="126" spans="1:8" s="3" customFormat="1" x14ac:dyDescent="0.25">
      <c r="A126" s="3" t="s">
        <v>109</v>
      </c>
      <c r="B126" s="3" t="s">
        <v>110</v>
      </c>
      <c r="F126" s="3" t="s">
        <v>506</v>
      </c>
      <c r="G126" s="3">
        <v>2.7</v>
      </c>
      <c r="H126" s="3">
        <v>1.03</v>
      </c>
    </row>
    <row r="127" spans="1:8" s="3" customFormat="1" x14ac:dyDescent="0.25">
      <c r="A127" s="3" t="s">
        <v>109</v>
      </c>
      <c r="B127" s="3" t="s">
        <v>110</v>
      </c>
      <c r="F127" s="3" t="s">
        <v>510</v>
      </c>
      <c r="G127" s="3">
        <v>1.7</v>
      </c>
      <c r="H127" s="3">
        <v>0.66</v>
      </c>
    </row>
    <row r="128" spans="1:8" s="3" customFormat="1" x14ac:dyDescent="0.25">
      <c r="A128" s="3" t="s">
        <v>109</v>
      </c>
      <c r="B128" s="3" t="s">
        <v>110</v>
      </c>
      <c r="F128" s="3" t="s">
        <v>513</v>
      </c>
      <c r="G128" s="3">
        <v>1.4</v>
      </c>
      <c r="H128" s="3">
        <v>0.54</v>
      </c>
    </row>
    <row r="129" spans="1:8" s="3" customFormat="1" x14ac:dyDescent="0.25">
      <c r="A129" s="3" t="s">
        <v>109</v>
      </c>
      <c r="B129" s="3" t="s">
        <v>110</v>
      </c>
      <c r="F129" s="3" t="s">
        <v>511</v>
      </c>
      <c r="G129" s="3">
        <v>1.2</v>
      </c>
      <c r="H129" s="3">
        <v>0.48</v>
      </c>
    </row>
    <row r="130" spans="1:8" s="3" customFormat="1" x14ac:dyDescent="0.25">
      <c r="A130" s="3" t="s">
        <v>111</v>
      </c>
      <c r="B130" s="3" t="s">
        <v>112</v>
      </c>
      <c r="C130" s="3">
        <v>254.7</v>
      </c>
      <c r="D130" s="3">
        <v>50.1</v>
      </c>
      <c r="E130" s="3">
        <v>19.7</v>
      </c>
      <c r="F130" s="3" t="s">
        <v>503</v>
      </c>
      <c r="G130" s="3">
        <v>11.7</v>
      </c>
      <c r="H130" s="3">
        <v>4.6</v>
      </c>
    </row>
    <row r="131" spans="1:8" s="3" customFormat="1" x14ac:dyDescent="0.25">
      <c r="A131" s="3" t="s">
        <v>111</v>
      </c>
      <c r="B131" s="3" t="s">
        <v>112</v>
      </c>
      <c r="F131" s="3" t="s">
        <v>504</v>
      </c>
      <c r="G131" s="3">
        <v>9.4</v>
      </c>
      <c r="H131" s="3">
        <v>3.68</v>
      </c>
    </row>
    <row r="132" spans="1:8" s="3" customFormat="1" x14ac:dyDescent="0.25">
      <c r="A132" s="3" t="s">
        <v>111</v>
      </c>
      <c r="B132" s="3" t="s">
        <v>112</v>
      </c>
      <c r="F132" s="3" t="s">
        <v>505</v>
      </c>
      <c r="G132" s="3">
        <v>6.9</v>
      </c>
      <c r="H132" s="3">
        <v>2.72</v>
      </c>
    </row>
    <row r="133" spans="1:8" s="3" customFormat="1" x14ac:dyDescent="0.25">
      <c r="A133" s="3" t="s">
        <v>111</v>
      </c>
      <c r="B133" s="3" t="s">
        <v>112</v>
      </c>
      <c r="F133" s="3" t="s">
        <v>507</v>
      </c>
      <c r="G133" s="3">
        <v>4.2</v>
      </c>
      <c r="H133" s="3">
        <v>1.64</v>
      </c>
    </row>
    <row r="134" spans="1:8" s="3" customFormat="1" x14ac:dyDescent="0.25">
      <c r="A134" s="3" t="s">
        <v>111</v>
      </c>
      <c r="B134" s="3" t="s">
        <v>112</v>
      </c>
      <c r="F134" s="3" t="s">
        <v>510</v>
      </c>
      <c r="G134" s="3">
        <v>2.6</v>
      </c>
      <c r="H134" s="3">
        <v>1.03</v>
      </c>
    </row>
    <row r="135" spans="1:8" s="3" customFormat="1" x14ac:dyDescent="0.25">
      <c r="A135" s="3" t="s">
        <v>111</v>
      </c>
      <c r="B135" s="3" t="s">
        <v>112</v>
      </c>
      <c r="F135" s="3" t="s">
        <v>506</v>
      </c>
      <c r="G135" s="3">
        <v>2.4</v>
      </c>
      <c r="H135" s="3">
        <v>0.96</v>
      </c>
    </row>
    <row r="136" spans="1:8" s="3" customFormat="1" x14ac:dyDescent="0.25">
      <c r="A136" s="3" t="s">
        <v>111</v>
      </c>
      <c r="B136" s="3" t="s">
        <v>112</v>
      </c>
      <c r="F136" s="3" t="s">
        <v>509</v>
      </c>
      <c r="G136" s="3">
        <v>2.3</v>
      </c>
      <c r="H136" s="3">
        <v>0.92</v>
      </c>
    </row>
    <row r="137" spans="1:8" s="3" customFormat="1" x14ac:dyDescent="0.25">
      <c r="A137" s="3" t="s">
        <v>111</v>
      </c>
      <c r="B137" s="3" t="s">
        <v>112</v>
      </c>
      <c r="F137" s="3" t="s">
        <v>508</v>
      </c>
      <c r="G137" s="3">
        <v>1.5</v>
      </c>
      <c r="H137" s="3">
        <v>0.6</v>
      </c>
    </row>
    <row r="138" spans="1:8" s="3" customFormat="1" x14ac:dyDescent="0.25">
      <c r="A138" s="3" t="s">
        <v>113</v>
      </c>
      <c r="B138" s="3" t="s">
        <v>114</v>
      </c>
      <c r="C138" s="3">
        <v>103.5</v>
      </c>
      <c r="D138" s="3">
        <v>27</v>
      </c>
      <c r="E138" s="3">
        <v>26.1</v>
      </c>
      <c r="F138" s="3" t="s">
        <v>505</v>
      </c>
      <c r="G138" s="3">
        <v>5.8</v>
      </c>
      <c r="H138" s="3">
        <v>5.59</v>
      </c>
    </row>
    <row r="139" spans="1:8" s="3" customFormat="1" x14ac:dyDescent="0.25">
      <c r="A139" s="3" t="s">
        <v>113</v>
      </c>
      <c r="B139" s="3" t="s">
        <v>114</v>
      </c>
      <c r="F139" s="3" t="s">
        <v>503</v>
      </c>
      <c r="G139" s="3">
        <v>5.5</v>
      </c>
      <c r="H139" s="3">
        <v>5.34</v>
      </c>
    </row>
    <row r="140" spans="1:8" s="3" customFormat="1" x14ac:dyDescent="0.25">
      <c r="A140" s="3" t="s">
        <v>113</v>
      </c>
      <c r="B140" s="3" t="s">
        <v>114</v>
      </c>
      <c r="F140" s="3" t="s">
        <v>504</v>
      </c>
      <c r="G140" s="3">
        <v>4.7</v>
      </c>
      <c r="H140" s="3">
        <v>4.59</v>
      </c>
    </row>
    <row r="141" spans="1:8" s="3" customFormat="1" x14ac:dyDescent="0.25">
      <c r="A141" s="3" t="s">
        <v>113</v>
      </c>
      <c r="B141" s="3" t="s">
        <v>114</v>
      </c>
      <c r="F141" s="3" t="s">
        <v>507</v>
      </c>
      <c r="G141" s="3">
        <v>2.6</v>
      </c>
      <c r="H141" s="3">
        <v>2.47</v>
      </c>
    </row>
    <row r="142" spans="1:8" s="3" customFormat="1" x14ac:dyDescent="0.25">
      <c r="A142" s="3" t="s">
        <v>113</v>
      </c>
      <c r="B142" s="3" t="s">
        <v>114</v>
      </c>
      <c r="F142" s="3" t="s">
        <v>509</v>
      </c>
      <c r="G142" s="3">
        <v>1.6</v>
      </c>
      <c r="H142" s="3">
        <v>1.53</v>
      </c>
    </row>
    <row r="143" spans="1:8" s="3" customFormat="1" x14ac:dyDescent="0.25">
      <c r="A143" s="3" t="s">
        <v>113</v>
      </c>
      <c r="B143" s="3" t="s">
        <v>114</v>
      </c>
      <c r="F143" s="3" t="s">
        <v>510</v>
      </c>
      <c r="G143" s="3">
        <v>1.2</v>
      </c>
      <c r="H143" s="3">
        <v>1.12</v>
      </c>
    </row>
    <row r="144" spans="1:8" s="3" customFormat="1" x14ac:dyDescent="0.25">
      <c r="A144" s="3" t="s">
        <v>113</v>
      </c>
      <c r="B144" s="3" t="s">
        <v>114</v>
      </c>
      <c r="F144" s="3" t="s">
        <v>506</v>
      </c>
      <c r="G144" s="3">
        <v>1.1</v>
      </c>
      <c r="H144" s="3">
        <v>1.1</v>
      </c>
    </row>
    <row r="145" spans="1:8" s="3" customFormat="1" x14ac:dyDescent="0.25">
      <c r="A145" s="3" t="s">
        <v>113</v>
      </c>
      <c r="B145" s="3" t="s">
        <v>114</v>
      </c>
      <c r="F145" s="3" t="s">
        <v>511</v>
      </c>
      <c r="G145" s="3">
        <v>0.7</v>
      </c>
      <c r="H145" s="3">
        <v>0.7</v>
      </c>
    </row>
    <row r="146" spans="1:8" s="3" customFormat="1" x14ac:dyDescent="0.25">
      <c r="A146" s="3" t="s">
        <v>530</v>
      </c>
      <c r="B146" s="3" t="s">
        <v>531</v>
      </c>
      <c r="C146" s="3">
        <v>79.1</v>
      </c>
      <c r="D146" s="3">
        <v>14.1</v>
      </c>
      <c r="E146" s="3">
        <v>17.8</v>
      </c>
      <c r="F146" s="3" t="s">
        <v>503</v>
      </c>
      <c r="G146" s="3">
        <v>3.5</v>
      </c>
      <c r="H146" s="3">
        <v>4.41</v>
      </c>
    </row>
    <row r="147" spans="1:8" s="3" customFormat="1" x14ac:dyDescent="0.25">
      <c r="A147" s="3" t="s">
        <v>530</v>
      </c>
      <c r="B147" s="3" t="s">
        <v>531</v>
      </c>
      <c r="F147" s="3" t="s">
        <v>505</v>
      </c>
      <c r="G147" s="3">
        <v>3.4</v>
      </c>
      <c r="H147" s="3">
        <v>4.32</v>
      </c>
    </row>
    <row r="148" spans="1:8" s="3" customFormat="1" x14ac:dyDescent="0.25">
      <c r="A148" s="3" t="s">
        <v>530</v>
      </c>
      <c r="B148" s="3" t="s">
        <v>531</v>
      </c>
      <c r="F148" s="3" t="s">
        <v>504</v>
      </c>
      <c r="G148" s="3">
        <v>2.1</v>
      </c>
      <c r="H148" s="3">
        <v>2.59</v>
      </c>
    </row>
    <row r="149" spans="1:8" s="3" customFormat="1" x14ac:dyDescent="0.25">
      <c r="A149" s="3" t="s">
        <v>530</v>
      </c>
      <c r="B149" s="3" t="s">
        <v>531</v>
      </c>
      <c r="F149" s="3" t="s">
        <v>507</v>
      </c>
      <c r="G149" s="3">
        <v>1.2</v>
      </c>
      <c r="H149" s="3">
        <v>1.51</v>
      </c>
    </row>
    <row r="150" spans="1:8" s="3" customFormat="1" x14ac:dyDescent="0.25">
      <c r="A150" s="3" t="s">
        <v>530</v>
      </c>
      <c r="B150" s="3" t="s">
        <v>531</v>
      </c>
      <c r="F150" s="3" t="s">
        <v>506</v>
      </c>
      <c r="G150" s="3">
        <v>0.7</v>
      </c>
      <c r="H150" s="3">
        <v>0.87</v>
      </c>
    </row>
    <row r="151" spans="1:8" s="3" customFormat="1" x14ac:dyDescent="0.25">
      <c r="A151" s="3" t="s">
        <v>530</v>
      </c>
      <c r="B151" s="3" t="s">
        <v>531</v>
      </c>
      <c r="F151" s="3" t="s">
        <v>510</v>
      </c>
      <c r="G151" s="3">
        <v>0.5</v>
      </c>
      <c r="H151" s="3">
        <v>0.58</v>
      </c>
    </row>
    <row r="152" spans="1:8" s="3" customFormat="1" x14ac:dyDescent="0.25">
      <c r="A152" s="3" t="s">
        <v>530</v>
      </c>
      <c r="B152" s="3" t="s">
        <v>531</v>
      </c>
      <c r="F152" s="3" t="s">
        <v>513</v>
      </c>
      <c r="G152" s="3">
        <v>0.4</v>
      </c>
      <c r="H152" s="3">
        <v>0.52</v>
      </c>
    </row>
    <row r="153" spans="1:8" s="3" customFormat="1" x14ac:dyDescent="0.25">
      <c r="A153" s="3" t="s">
        <v>530</v>
      </c>
      <c r="B153" s="3" t="s">
        <v>531</v>
      </c>
      <c r="F153" s="3" t="s">
        <v>511</v>
      </c>
      <c r="G153" s="3">
        <v>0.4</v>
      </c>
      <c r="H153" s="3">
        <v>0.48</v>
      </c>
    </row>
    <row r="154" spans="1:8" s="3" customFormat="1" x14ac:dyDescent="0.25">
      <c r="A154" s="3" t="s">
        <v>119</v>
      </c>
      <c r="B154" s="3" t="s">
        <v>120</v>
      </c>
      <c r="C154" s="3">
        <v>21.4</v>
      </c>
      <c r="D154" s="3">
        <v>3.1</v>
      </c>
      <c r="E154" s="3">
        <v>14.5</v>
      </c>
      <c r="F154" s="3" t="s">
        <v>503</v>
      </c>
      <c r="G154" s="3">
        <v>0.8</v>
      </c>
      <c r="H154" s="3">
        <v>3.75</v>
      </c>
    </row>
    <row r="155" spans="1:8" s="3" customFormat="1" x14ac:dyDescent="0.25">
      <c r="A155" s="3" t="s">
        <v>119</v>
      </c>
      <c r="B155" s="3" t="s">
        <v>120</v>
      </c>
      <c r="F155" s="3" t="s">
        <v>504</v>
      </c>
      <c r="G155" s="3">
        <v>0.6</v>
      </c>
      <c r="H155" s="3">
        <v>2.59</v>
      </c>
    </row>
    <row r="156" spans="1:8" s="3" customFormat="1" x14ac:dyDescent="0.25">
      <c r="A156" s="3" t="s">
        <v>119</v>
      </c>
      <c r="B156" s="3" t="s">
        <v>120</v>
      </c>
      <c r="F156" s="3" t="s">
        <v>505</v>
      </c>
      <c r="G156" s="3">
        <v>0.5</v>
      </c>
      <c r="H156" s="3">
        <v>2.34</v>
      </c>
    </row>
    <row r="157" spans="1:8" s="3" customFormat="1" x14ac:dyDescent="0.25">
      <c r="A157" s="3" t="s">
        <v>119</v>
      </c>
      <c r="B157" s="3" t="s">
        <v>120</v>
      </c>
      <c r="F157" s="3" t="s">
        <v>507</v>
      </c>
      <c r="G157" s="3">
        <v>0.3</v>
      </c>
      <c r="H157" s="3">
        <v>1.19</v>
      </c>
    </row>
    <row r="158" spans="1:8" s="3" customFormat="1" x14ac:dyDescent="0.25">
      <c r="A158" s="3" t="s">
        <v>119</v>
      </c>
      <c r="B158" s="3" t="s">
        <v>120</v>
      </c>
      <c r="F158" s="3" t="s">
        <v>506</v>
      </c>
      <c r="G158" s="3">
        <v>0.2</v>
      </c>
      <c r="H158" s="3">
        <v>0.84</v>
      </c>
    </row>
    <row r="159" spans="1:8" s="3" customFormat="1" x14ac:dyDescent="0.25">
      <c r="A159" s="3" t="s">
        <v>119</v>
      </c>
      <c r="B159" s="3" t="s">
        <v>120</v>
      </c>
      <c r="F159" s="3" t="s">
        <v>510</v>
      </c>
      <c r="G159" s="3">
        <v>0.1</v>
      </c>
      <c r="H159" s="3">
        <v>0.62</v>
      </c>
    </row>
    <row r="160" spans="1:8" s="3" customFormat="1" x14ac:dyDescent="0.25">
      <c r="A160" s="3" t="s">
        <v>119</v>
      </c>
      <c r="B160" s="3" t="s">
        <v>120</v>
      </c>
      <c r="F160" s="3" t="s">
        <v>513</v>
      </c>
      <c r="G160" s="3">
        <v>0.1</v>
      </c>
      <c r="H160" s="3">
        <v>0.44</v>
      </c>
    </row>
    <row r="161" spans="1:8" s="3" customFormat="1" x14ac:dyDescent="0.25">
      <c r="A161" s="3" t="s">
        <v>119</v>
      </c>
      <c r="B161" s="3" t="s">
        <v>120</v>
      </c>
      <c r="F161" s="3" t="s">
        <v>511</v>
      </c>
      <c r="G161" s="3">
        <v>0.1</v>
      </c>
      <c r="H161" s="3">
        <v>0.41</v>
      </c>
    </row>
  </sheetData>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I135"/>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42" customWidth="1"/>
    <col min="3" max="3" width="13" customWidth="1"/>
    <col min="4" max="4" width="12" customWidth="1"/>
    <col min="5" max="5" width="11" customWidth="1"/>
    <col min="6" max="6" width="14" customWidth="1"/>
    <col min="7" max="7" width="55" customWidth="1"/>
    <col min="8" max="8" width="11" customWidth="1"/>
    <col min="9" max="9" width="13" customWidth="1"/>
  </cols>
  <sheetData>
    <row r="1" ht="30" customHeight="1" spans="1:9" s="21" customFormat="1" x14ac:dyDescent="0.25">
      <c r="A1" s="41" t="s">
        <v>129</v>
      </c>
      <c r="B1" s="41" t="s">
        <v>494</v>
      </c>
      <c r="C1" s="41" t="s">
        <v>539</v>
      </c>
      <c r="D1" s="41" t="s">
        <v>540</v>
      </c>
      <c r="E1" s="41" t="s">
        <v>541</v>
      </c>
      <c r="F1" s="41" t="s">
        <v>542</v>
      </c>
      <c r="G1" s="41" t="s">
        <v>543</v>
      </c>
      <c r="H1" s="41" t="s">
        <v>544</v>
      </c>
      <c r="I1" s="41" t="s">
        <v>545</v>
      </c>
    </row>
    <row r="2" spans="1:7" s="37" customFormat="1" x14ac:dyDescent="0.25">
      <c r="A2" s="37" t="s">
        <v>284</v>
      </c>
      <c r="B2" s="37" t="s">
        <v>502</v>
      </c>
      <c r="C2" s="37">
        <v>6233.9</v>
      </c>
      <c r="D2" s="37">
        <v>1196.3</v>
      </c>
      <c r="E2" s="37">
        <v>19.2</v>
      </c>
      <c r="G2" s="37" t="s">
        <v>546</v>
      </c>
    </row>
    <row r="3" spans="1:9" s="3" customFormat="1" x14ac:dyDescent="0.25">
      <c r="A3" s="3" t="s">
        <v>282</v>
      </c>
      <c r="B3" s="3" t="s">
        <v>527</v>
      </c>
      <c r="C3" s="3">
        <v>1055.5</v>
      </c>
      <c r="D3" s="3">
        <v>110.2</v>
      </c>
      <c r="E3" s="3">
        <v>10.4</v>
      </c>
      <c r="F3" s="3" t="s">
        <v>547</v>
      </c>
      <c r="G3" s="3" t="s">
        <v>548</v>
      </c>
      <c r="H3" s="3">
        <v>24.6</v>
      </c>
      <c r="I3" s="3">
        <v>22.3</v>
      </c>
    </row>
    <row r="4" spans="1:9" s="3" customFormat="1" x14ac:dyDescent="0.25">
      <c r="A4" s="3" t="s">
        <v>282</v>
      </c>
      <c r="B4" s="3" t="s">
        <v>527</v>
      </c>
      <c r="F4" s="3" t="s">
        <v>549</v>
      </c>
      <c r="G4" s="3" t="s">
        <v>550</v>
      </c>
      <c r="H4" s="3">
        <v>24</v>
      </c>
      <c r="I4" s="3">
        <v>21.8</v>
      </c>
    </row>
    <row r="5" spans="1:9" s="3" customFormat="1" x14ac:dyDescent="0.25">
      <c r="A5" s="3" t="s">
        <v>282</v>
      </c>
      <c r="B5" s="3" t="s">
        <v>527</v>
      </c>
      <c r="F5" s="3" t="s">
        <v>551</v>
      </c>
      <c r="G5" s="3" t="s">
        <v>552</v>
      </c>
      <c r="H5" s="3">
        <v>20.4</v>
      </c>
      <c r="I5" s="3">
        <v>18.5</v>
      </c>
    </row>
    <row r="6" spans="1:9" s="3" customFormat="1" x14ac:dyDescent="0.25">
      <c r="A6" s="3" t="s">
        <v>282</v>
      </c>
      <c r="B6" s="3" t="s">
        <v>527</v>
      </c>
      <c r="F6" s="3" t="s">
        <v>553</v>
      </c>
      <c r="G6" s="3" t="s">
        <v>554</v>
      </c>
      <c r="H6" s="3">
        <v>5.2</v>
      </c>
      <c r="I6" s="3">
        <v>4.7</v>
      </c>
    </row>
    <row r="7" spans="1:9" s="3" customFormat="1" x14ac:dyDescent="0.25">
      <c r="A7" s="3" t="s">
        <v>282</v>
      </c>
      <c r="B7" s="3" t="s">
        <v>527</v>
      </c>
      <c r="F7" s="3" t="s">
        <v>555</v>
      </c>
      <c r="G7" s="3" t="s">
        <v>556</v>
      </c>
      <c r="H7" s="3">
        <v>3.6</v>
      </c>
      <c r="I7" s="3">
        <v>3.2</v>
      </c>
    </row>
    <row r="8" spans="1:9" s="3" customFormat="1" x14ac:dyDescent="0.25">
      <c r="A8" s="3" t="s">
        <v>282</v>
      </c>
      <c r="B8" s="3" t="s">
        <v>527</v>
      </c>
      <c r="F8" s="3" t="s">
        <v>557</v>
      </c>
      <c r="G8" s="3" t="s">
        <v>558</v>
      </c>
      <c r="H8" s="3">
        <v>3.4</v>
      </c>
      <c r="I8" s="3">
        <v>3.1</v>
      </c>
    </row>
    <row r="9" spans="1:9" s="3" customFormat="1" x14ac:dyDescent="0.25">
      <c r="A9" s="3" t="s">
        <v>282</v>
      </c>
      <c r="B9" s="3" t="s">
        <v>527</v>
      </c>
      <c r="F9" s="3" t="s">
        <v>559</v>
      </c>
      <c r="G9" s="3" t="s">
        <v>560</v>
      </c>
      <c r="H9" s="3">
        <v>3.1</v>
      </c>
      <c r="I9" s="3">
        <v>2.8</v>
      </c>
    </row>
    <row r="10" spans="1:9" s="3" customFormat="1" x14ac:dyDescent="0.25">
      <c r="A10" s="3" t="s">
        <v>145</v>
      </c>
      <c r="B10" s="3" t="s">
        <v>529</v>
      </c>
      <c r="C10" s="3">
        <v>149.2</v>
      </c>
      <c r="D10" s="3">
        <v>26.6</v>
      </c>
      <c r="E10" s="3">
        <v>17.8</v>
      </c>
      <c r="F10" s="3" t="s">
        <v>561</v>
      </c>
      <c r="G10" s="3" t="s">
        <v>562</v>
      </c>
      <c r="H10" s="3">
        <v>14</v>
      </c>
      <c r="I10" s="3">
        <v>52.4</v>
      </c>
    </row>
    <row r="11" spans="1:9" s="3" customFormat="1" x14ac:dyDescent="0.25">
      <c r="A11" s="3" t="s">
        <v>145</v>
      </c>
      <c r="B11" s="3" t="s">
        <v>529</v>
      </c>
      <c r="F11" s="3" t="s">
        <v>547</v>
      </c>
      <c r="G11" s="3" t="s">
        <v>548</v>
      </c>
      <c r="H11" s="3">
        <v>4.4</v>
      </c>
      <c r="I11" s="3">
        <v>16.7</v>
      </c>
    </row>
    <row r="12" spans="1:9" s="3" customFormat="1" x14ac:dyDescent="0.25">
      <c r="A12" s="3" t="s">
        <v>145</v>
      </c>
      <c r="B12" s="3" t="s">
        <v>529</v>
      </c>
      <c r="F12" s="3" t="s">
        <v>563</v>
      </c>
      <c r="G12" s="3" t="s">
        <v>564</v>
      </c>
      <c r="H12" s="3">
        <v>1.7</v>
      </c>
      <c r="I12" s="3">
        <v>6.5</v>
      </c>
    </row>
    <row r="13" spans="1:9" s="3" customFormat="1" x14ac:dyDescent="0.25">
      <c r="A13" s="3" t="s">
        <v>145</v>
      </c>
      <c r="B13" s="3" t="s">
        <v>529</v>
      </c>
      <c r="F13" s="3" t="s">
        <v>553</v>
      </c>
      <c r="G13" s="3" t="s">
        <v>554</v>
      </c>
      <c r="H13" s="3">
        <v>1.1</v>
      </c>
      <c r="I13" s="3">
        <v>4</v>
      </c>
    </row>
    <row r="14" spans="1:9" s="3" customFormat="1" x14ac:dyDescent="0.25">
      <c r="A14" s="3" t="s">
        <v>145</v>
      </c>
      <c r="B14" s="3" t="s">
        <v>529</v>
      </c>
      <c r="F14" s="3" t="s">
        <v>565</v>
      </c>
      <c r="G14" s="3" t="s">
        <v>566</v>
      </c>
      <c r="H14" s="3">
        <v>1</v>
      </c>
      <c r="I14" s="3">
        <v>3.7</v>
      </c>
    </row>
    <row r="15" spans="1:9" s="3" customFormat="1" x14ac:dyDescent="0.25">
      <c r="A15" s="3" t="s">
        <v>145</v>
      </c>
      <c r="B15" s="3" t="s">
        <v>529</v>
      </c>
      <c r="F15" s="3" t="s">
        <v>559</v>
      </c>
      <c r="G15" s="3" t="s">
        <v>560</v>
      </c>
      <c r="H15" s="3">
        <v>0.6</v>
      </c>
      <c r="I15" s="3">
        <v>2.3</v>
      </c>
    </row>
    <row r="16" spans="1:9" s="3" customFormat="1" x14ac:dyDescent="0.25">
      <c r="A16" s="3" t="s">
        <v>145</v>
      </c>
      <c r="B16" s="3" t="s">
        <v>529</v>
      </c>
      <c r="F16" s="3" t="s">
        <v>567</v>
      </c>
      <c r="G16" s="3" t="s">
        <v>568</v>
      </c>
      <c r="H16" s="3">
        <v>0.4</v>
      </c>
      <c r="I16" s="3">
        <v>1.6</v>
      </c>
    </row>
    <row r="17" spans="1:9" s="3" customFormat="1" x14ac:dyDescent="0.25">
      <c r="A17" s="3" t="s">
        <v>85</v>
      </c>
      <c r="B17" s="3" t="s">
        <v>86</v>
      </c>
      <c r="C17" s="3">
        <v>122.3</v>
      </c>
      <c r="D17" s="3">
        <v>11.7</v>
      </c>
      <c r="E17" s="3">
        <v>9.6</v>
      </c>
      <c r="F17" s="3" t="s">
        <v>569</v>
      </c>
      <c r="G17" s="3" t="s">
        <v>570</v>
      </c>
      <c r="H17" s="3">
        <v>4</v>
      </c>
      <c r="I17" s="3">
        <v>34.6</v>
      </c>
    </row>
    <row r="18" spans="1:9" s="3" customFormat="1" x14ac:dyDescent="0.25">
      <c r="A18" s="3" t="s">
        <v>85</v>
      </c>
      <c r="B18" s="3" t="s">
        <v>86</v>
      </c>
      <c r="F18" s="3" t="s">
        <v>547</v>
      </c>
      <c r="G18" s="3" t="s">
        <v>548</v>
      </c>
      <c r="H18" s="3">
        <v>2</v>
      </c>
      <c r="I18" s="3">
        <v>16.9</v>
      </c>
    </row>
    <row r="19" spans="1:9" s="3" customFormat="1" x14ac:dyDescent="0.25">
      <c r="A19" s="3" t="s">
        <v>85</v>
      </c>
      <c r="B19" s="3" t="s">
        <v>86</v>
      </c>
      <c r="F19" s="3" t="s">
        <v>565</v>
      </c>
      <c r="G19" s="3" t="s">
        <v>566</v>
      </c>
      <c r="H19" s="3">
        <v>1</v>
      </c>
      <c r="I19" s="3">
        <v>8.2</v>
      </c>
    </row>
    <row r="20" spans="1:9" s="3" customFormat="1" x14ac:dyDescent="0.25">
      <c r="A20" s="3" t="s">
        <v>85</v>
      </c>
      <c r="B20" s="3" t="s">
        <v>86</v>
      </c>
      <c r="F20" s="3" t="s">
        <v>563</v>
      </c>
      <c r="G20" s="3" t="s">
        <v>564</v>
      </c>
      <c r="H20" s="3">
        <v>0.7</v>
      </c>
      <c r="I20" s="3">
        <v>6.1</v>
      </c>
    </row>
    <row r="21" spans="1:9" s="3" customFormat="1" x14ac:dyDescent="0.25">
      <c r="A21" s="3" t="s">
        <v>85</v>
      </c>
      <c r="B21" s="3" t="s">
        <v>86</v>
      </c>
      <c r="F21" s="3" t="s">
        <v>553</v>
      </c>
      <c r="G21" s="3" t="s">
        <v>554</v>
      </c>
      <c r="H21" s="3">
        <v>0.6</v>
      </c>
      <c r="I21" s="3">
        <v>4.9</v>
      </c>
    </row>
    <row r="22" spans="1:9" s="3" customFormat="1" x14ac:dyDescent="0.25">
      <c r="A22" s="3" t="s">
        <v>85</v>
      </c>
      <c r="B22" s="3" t="s">
        <v>86</v>
      </c>
      <c r="F22" s="3" t="s">
        <v>571</v>
      </c>
      <c r="G22" s="3" t="s">
        <v>572</v>
      </c>
      <c r="H22" s="3">
        <v>0.6</v>
      </c>
      <c r="I22" s="3">
        <v>4.8</v>
      </c>
    </row>
    <row r="23" spans="1:9" s="3" customFormat="1" x14ac:dyDescent="0.25">
      <c r="A23" s="3" t="s">
        <v>85</v>
      </c>
      <c r="B23" s="3" t="s">
        <v>86</v>
      </c>
      <c r="F23" s="3" t="s">
        <v>573</v>
      </c>
      <c r="G23" s="3" t="s">
        <v>574</v>
      </c>
      <c r="H23" s="3">
        <v>0.4</v>
      </c>
      <c r="I23" s="3">
        <v>3.2</v>
      </c>
    </row>
    <row r="24" spans="1:9" s="3" customFormat="1" x14ac:dyDescent="0.25">
      <c r="A24" s="3" t="s">
        <v>87</v>
      </c>
      <c r="B24" s="3" t="s">
        <v>88</v>
      </c>
      <c r="C24" s="3">
        <v>166.7</v>
      </c>
      <c r="D24" s="3">
        <v>19.4</v>
      </c>
      <c r="E24" s="3">
        <v>11.7</v>
      </c>
      <c r="F24" s="3" t="s">
        <v>575</v>
      </c>
      <c r="G24" s="3" t="s">
        <v>576</v>
      </c>
      <c r="H24" s="3">
        <v>6.1</v>
      </c>
      <c r="I24" s="3">
        <v>31.6</v>
      </c>
    </row>
    <row r="25" spans="1:9" s="3" customFormat="1" x14ac:dyDescent="0.25">
      <c r="A25" s="3" t="s">
        <v>87</v>
      </c>
      <c r="B25" s="3" t="s">
        <v>88</v>
      </c>
      <c r="F25" s="3" t="s">
        <v>547</v>
      </c>
      <c r="G25" s="3" t="s">
        <v>548</v>
      </c>
      <c r="H25" s="3">
        <v>2.3</v>
      </c>
      <c r="I25" s="3">
        <v>12</v>
      </c>
    </row>
    <row r="26" spans="1:9" s="3" customFormat="1" x14ac:dyDescent="0.25">
      <c r="A26" s="3" t="s">
        <v>87</v>
      </c>
      <c r="B26" s="3" t="s">
        <v>88</v>
      </c>
      <c r="F26" s="3" t="s">
        <v>563</v>
      </c>
      <c r="G26" s="3" t="s">
        <v>564</v>
      </c>
      <c r="H26" s="3">
        <v>1.9</v>
      </c>
      <c r="I26" s="3">
        <v>9.6</v>
      </c>
    </row>
    <row r="27" spans="1:9" s="3" customFormat="1" x14ac:dyDescent="0.25">
      <c r="A27" s="3" t="s">
        <v>87</v>
      </c>
      <c r="B27" s="3" t="s">
        <v>88</v>
      </c>
      <c r="F27" s="3" t="s">
        <v>577</v>
      </c>
      <c r="G27" s="3" t="s">
        <v>281</v>
      </c>
      <c r="H27" s="3">
        <v>1.6</v>
      </c>
      <c r="I27" s="3">
        <v>8.5</v>
      </c>
    </row>
    <row r="28" spans="1:9" s="3" customFormat="1" x14ac:dyDescent="0.25">
      <c r="A28" s="3" t="s">
        <v>87</v>
      </c>
      <c r="B28" s="3" t="s">
        <v>88</v>
      </c>
      <c r="F28" s="3" t="s">
        <v>565</v>
      </c>
      <c r="G28" s="3" t="s">
        <v>566</v>
      </c>
      <c r="H28" s="3">
        <v>1.1</v>
      </c>
      <c r="I28" s="3">
        <v>5.8</v>
      </c>
    </row>
    <row r="29" spans="1:9" s="3" customFormat="1" x14ac:dyDescent="0.25">
      <c r="A29" s="3" t="s">
        <v>87</v>
      </c>
      <c r="B29" s="3" t="s">
        <v>88</v>
      </c>
      <c r="F29" s="3" t="s">
        <v>553</v>
      </c>
      <c r="G29" s="3" t="s">
        <v>554</v>
      </c>
      <c r="H29" s="3">
        <v>1.1</v>
      </c>
      <c r="I29" s="3">
        <v>5.6</v>
      </c>
    </row>
    <row r="30" spans="1:9" s="3" customFormat="1" x14ac:dyDescent="0.25">
      <c r="A30" s="3" t="s">
        <v>87</v>
      </c>
      <c r="B30" s="3" t="s">
        <v>88</v>
      </c>
      <c r="F30" s="3" t="s">
        <v>555</v>
      </c>
      <c r="G30" s="3" t="s">
        <v>556</v>
      </c>
      <c r="H30" s="3">
        <v>0.6</v>
      </c>
      <c r="I30" s="3">
        <v>2.9</v>
      </c>
    </row>
    <row r="31" spans="1:9" s="3" customFormat="1" x14ac:dyDescent="0.25">
      <c r="A31" s="3" t="s">
        <v>89</v>
      </c>
      <c r="B31" s="3" t="s">
        <v>90</v>
      </c>
      <c r="C31" s="3">
        <v>43.6</v>
      </c>
      <c r="D31" s="3">
        <v>5.4</v>
      </c>
      <c r="E31" s="3">
        <v>12.4</v>
      </c>
      <c r="F31" s="3" t="s">
        <v>575</v>
      </c>
      <c r="G31" s="3" t="s">
        <v>576</v>
      </c>
      <c r="H31" s="3">
        <v>1.1</v>
      </c>
      <c r="I31" s="3">
        <v>19.8</v>
      </c>
    </row>
    <row r="32" spans="1:9" s="3" customFormat="1" x14ac:dyDescent="0.25">
      <c r="A32" s="3" t="s">
        <v>89</v>
      </c>
      <c r="B32" s="3" t="s">
        <v>90</v>
      </c>
      <c r="F32" s="3" t="s">
        <v>565</v>
      </c>
      <c r="G32" s="3" t="s">
        <v>566</v>
      </c>
      <c r="H32" s="3">
        <v>0.9</v>
      </c>
      <c r="I32" s="3">
        <v>17</v>
      </c>
    </row>
    <row r="33" spans="1:9" s="3" customFormat="1" x14ac:dyDescent="0.25">
      <c r="A33" s="3" t="s">
        <v>89</v>
      </c>
      <c r="B33" s="3" t="s">
        <v>90</v>
      </c>
      <c r="F33" s="3" t="s">
        <v>578</v>
      </c>
      <c r="G33" s="3" t="s">
        <v>579</v>
      </c>
      <c r="H33" s="3">
        <v>0.7</v>
      </c>
      <c r="I33" s="3">
        <v>12.1</v>
      </c>
    </row>
    <row r="34" spans="1:9" s="3" customFormat="1" x14ac:dyDescent="0.25">
      <c r="A34" s="3" t="s">
        <v>89</v>
      </c>
      <c r="B34" s="3" t="s">
        <v>90</v>
      </c>
      <c r="F34" s="3" t="s">
        <v>547</v>
      </c>
      <c r="G34" s="3" t="s">
        <v>548</v>
      </c>
      <c r="H34" s="3">
        <v>0.4</v>
      </c>
      <c r="I34" s="3">
        <v>7.9</v>
      </c>
    </row>
    <row r="35" spans="1:9" s="3" customFormat="1" x14ac:dyDescent="0.25">
      <c r="A35" s="3" t="s">
        <v>89</v>
      </c>
      <c r="B35" s="3" t="s">
        <v>90</v>
      </c>
      <c r="F35" s="3" t="s">
        <v>563</v>
      </c>
      <c r="G35" s="3" t="s">
        <v>564</v>
      </c>
      <c r="H35" s="3">
        <v>0.4</v>
      </c>
      <c r="I35" s="3">
        <v>7.5</v>
      </c>
    </row>
    <row r="36" spans="1:9" s="3" customFormat="1" x14ac:dyDescent="0.25">
      <c r="A36" s="3" t="s">
        <v>89</v>
      </c>
      <c r="B36" s="3" t="s">
        <v>90</v>
      </c>
      <c r="F36" s="3" t="s">
        <v>561</v>
      </c>
      <c r="G36" s="3" t="s">
        <v>562</v>
      </c>
      <c r="H36" s="3">
        <v>0.2</v>
      </c>
      <c r="I36" s="3">
        <v>4.1</v>
      </c>
    </row>
    <row r="37" spans="1:9" s="3" customFormat="1" x14ac:dyDescent="0.25">
      <c r="A37" s="3" t="s">
        <v>89</v>
      </c>
      <c r="B37" s="3" t="s">
        <v>90</v>
      </c>
      <c r="F37" s="3" t="s">
        <v>567</v>
      </c>
      <c r="G37" s="3" t="s">
        <v>568</v>
      </c>
      <c r="H37" s="3">
        <v>0.2</v>
      </c>
      <c r="I37" s="3">
        <v>3.2</v>
      </c>
    </row>
    <row r="38" spans="1:9" s="3" customFormat="1" x14ac:dyDescent="0.25">
      <c r="A38" s="3" t="s">
        <v>91</v>
      </c>
      <c r="B38" s="3" t="s">
        <v>92</v>
      </c>
      <c r="C38" s="3">
        <v>477.4</v>
      </c>
      <c r="D38" s="3">
        <v>302.7</v>
      </c>
      <c r="E38" s="3">
        <v>63.4</v>
      </c>
      <c r="F38" s="3" t="s">
        <v>577</v>
      </c>
      <c r="G38" s="3" t="s">
        <v>281</v>
      </c>
      <c r="H38" s="3">
        <v>266.3</v>
      </c>
      <c r="I38" s="3">
        <v>88</v>
      </c>
    </row>
    <row r="39" spans="1:9" s="3" customFormat="1" x14ac:dyDescent="0.25">
      <c r="A39" s="3" t="s">
        <v>91</v>
      </c>
      <c r="B39" s="3" t="s">
        <v>92</v>
      </c>
      <c r="F39" s="3" t="s">
        <v>553</v>
      </c>
      <c r="G39" s="3" t="s">
        <v>554</v>
      </c>
      <c r="H39" s="3">
        <v>12.7</v>
      </c>
      <c r="I39" s="3">
        <v>4.2</v>
      </c>
    </row>
    <row r="40" spans="1:9" s="3" customFormat="1" x14ac:dyDescent="0.25">
      <c r="A40" s="3" t="s">
        <v>91</v>
      </c>
      <c r="B40" s="3" t="s">
        <v>92</v>
      </c>
      <c r="F40" s="3" t="s">
        <v>580</v>
      </c>
      <c r="G40" s="3" t="s">
        <v>581</v>
      </c>
      <c r="H40" s="3">
        <v>6.3</v>
      </c>
      <c r="I40" s="3">
        <v>2.1</v>
      </c>
    </row>
    <row r="41" spans="1:9" s="3" customFormat="1" x14ac:dyDescent="0.25">
      <c r="A41" s="3" t="s">
        <v>91</v>
      </c>
      <c r="B41" s="3" t="s">
        <v>92</v>
      </c>
      <c r="F41" s="3" t="s">
        <v>582</v>
      </c>
      <c r="G41" s="3" t="s">
        <v>583</v>
      </c>
      <c r="H41" s="3">
        <v>3.8</v>
      </c>
      <c r="I41" s="3">
        <v>1.3</v>
      </c>
    </row>
    <row r="42" spans="1:9" s="3" customFormat="1" x14ac:dyDescent="0.25">
      <c r="A42" s="3" t="s">
        <v>91</v>
      </c>
      <c r="B42" s="3" t="s">
        <v>92</v>
      </c>
      <c r="F42" s="3" t="s">
        <v>563</v>
      </c>
      <c r="G42" s="3" t="s">
        <v>564</v>
      </c>
      <c r="H42" s="3">
        <v>3.2</v>
      </c>
      <c r="I42" s="3">
        <v>1</v>
      </c>
    </row>
    <row r="43" spans="1:9" s="3" customFormat="1" x14ac:dyDescent="0.25">
      <c r="A43" s="3" t="s">
        <v>91</v>
      </c>
      <c r="B43" s="3" t="s">
        <v>92</v>
      </c>
      <c r="F43" s="3" t="s">
        <v>547</v>
      </c>
      <c r="G43" s="3" t="s">
        <v>548</v>
      </c>
      <c r="H43" s="3">
        <v>3.1</v>
      </c>
      <c r="I43" s="3">
        <v>1</v>
      </c>
    </row>
    <row r="44" spans="1:9" s="3" customFormat="1" x14ac:dyDescent="0.25">
      <c r="A44" s="3" t="s">
        <v>91</v>
      </c>
      <c r="B44" s="3" t="s">
        <v>92</v>
      </c>
      <c r="F44" s="3" t="s">
        <v>565</v>
      </c>
      <c r="G44" s="3" t="s">
        <v>566</v>
      </c>
      <c r="H44" s="3">
        <v>1.4</v>
      </c>
      <c r="I44" s="3">
        <v>0.5</v>
      </c>
    </row>
    <row r="45" spans="1:9" s="3" customFormat="1" x14ac:dyDescent="0.25">
      <c r="A45" s="3" t="s">
        <v>93</v>
      </c>
      <c r="B45" s="3" t="s">
        <v>94</v>
      </c>
      <c r="C45" s="3">
        <v>479.9</v>
      </c>
      <c r="D45" s="3">
        <v>95.2</v>
      </c>
      <c r="E45" s="3">
        <v>19.8</v>
      </c>
      <c r="F45" s="3" t="s">
        <v>563</v>
      </c>
      <c r="G45" s="3" t="s">
        <v>564</v>
      </c>
      <c r="H45" s="3">
        <v>40.7</v>
      </c>
      <c r="I45" s="3">
        <v>42.8</v>
      </c>
    </row>
    <row r="46" spans="1:9" s="3" customFormat="1" x14ac:dyDescent="0.25">
      <c r="A46" s="3" t="s">
        <v>93</v>
      </c>
      <c r="B46" s="3" t="s">
        <v>94</v>
      </c>
      <c r="F46" s="3" t="s">
        <v>577</v>
      </c>
      <c r="G46" s="3" t="s">
        <v>281</v>
      </c>
      <c r="H46" s="3">
        <v>13.3</v>
      </c>
      <c r="I46" s="3">
        <v>14</v>
      </c>
    </row>
    <row r="47" spans="1:9" s="3" customFormat="1" x14ac:dyDescent="0.25">
      <c r="A47" s="3" t="s">
        <v>93</v>
      </c>
      <c r="B47" s="3" t="s">
        <v>94</v>
      </c>
      <c r="F47" s="3" t="s">
        <v>547</v>
      </c>
      <c r="G47" s="3" t="s">
        <v>548</v>
      </c>
      <c r="H47" s="3">
        <v>9.2</v>
      </c>
      <c r="I47" s="3">
        <v>9.7</v>
      </c>
    </row>
    <row r="48" spans="1:9" s="3" customFormat="1" x14ac:dyDescent="0.25">
      <c r="A48" s="3" t="s">
        <v>93</v>
      </c>
      <c r="B48" s="3" t="s">
        <v>94</v>
      </c>
      <c r="F48" s="3" t="s">
        <v>580</v>
      </c>
      <c r="G48" s="3" t="s">
        <v>581</v>
      </c>
      <c r="H48" s="3">
        <v>6.5</v>
      </c>
      <c r="I48" s="3">
        <v>6.8</v>
      </c>
    </row>
    <row r="49" spans="1:9" s="3" customFormat="1" x14ac:dyDescent="0.25">
      <c r="A49" s="3" t="s">
        <v>93</v>
      </c>
      <c r="B49" s="3" t="s">
        <v>94</v>
      </c>
      <c r="F49" s="3" t="s">
        <v>553</v>
      </c>
      <c r="G49" s="3" t="s">
        <v>554</v>
      </c>
      <c r="H49" s="3">
        <v>4.3</v>
      </c>
      <c r="I49" s="3">
        <v>4.5</v>
      </c>
    </row>
    <row r="50" spans="1:9" s="3" customFormat="1" x14ac:dyDescent="0.25">
      <c r="A50" s="3" t="s">
        <v>93</v>
      </c>
      <c r="B50" s="3" t="s">
        <v>94</v>
      </c>
      <c r="F50" s="3" t="s">
        <v>567</v>
      </c>
      <c r="G50" s="3" t="s">
        <v>568</v>
      </c>
      <c r="H50" s="3">
        <v>1.9</v>
      </c>
      <c r="I50" s="3">
        <v>2</v>
      </c>
    </row>
    <row r="51" spans="1:9" s="3" customFormat="1" x14ac:dyDescent="0.25">
      <c r="A51" s="3" t="s">
        <v>93</v>
      </c>
      <c r="B51" s="3" t="s">
        <v>94</v>
      </c>
      <c r="F51" s="3" t="s">
        <v>559</v>
      </c>
      <c r="G51" s="3" t="s">
        <v>560</v>
      </c>
      <c r="H51" s="3">
        <v>1.8</v>
      </c>
      <c r="I51" s="3">
        <v>1.9</v>
      </c>
    </row>
    <row r="52" spans="1:9" s="3" customFormat="1" x14ac:dyDescent="0.25">
      <c r="A52" s="3" t="s">
        <v>95</v>
      </c>
      <c r="B52" s="3" t="s">
        <v>96</v>
      </c>
      <c r="C52" s="3">
        <v>198.1</v>
      </c>
      <c r="D52" s="3">
        <v>58.1</v>
      </c>
      <c r="E52" s="3">
        <v>29.3</v>
      </c>
      <c r="F52" s="3" t="s">
        <v>584</v>
      </c>
      <c r="G52" s="3" t="s">
        <v>585</v>
      </c>
      <c r="H52" s="3">
        <v>17.5</v>
      </c>
      <c r="I52" s="3">
        <v>30.2</v>
      </c>
    </row>
    <row r="53" spans="1:9" s="3" customFormat="1" x14ac:dyDescent="0.25">
      <c r="A53" s="3" t="s">
        <v>95</v>
      </c>
      <c r="B53" s="3" t="s">
        <v>96</v>
      </c>
      <c r="F53" s="3" t="s">
        <v>547</v>
      </c>
      <c r="G53" s="3" t="s">
        <v>548</v>
      </c>
      <c r="H53" s="3">
        <v>10.4</v>
      </c>
      <c r="I53" s="3">
        <v>17.9</v>
      </c>
    </row>
    <row r="54" spans="1:9" s="3" customFormat="1" x14ac:dyDescent="0.25">
      <c r="A54" s="3" t="s">
        <v>95</v>
      </c>
      <c r="B54" s="3" t="s">
        <v>96</v>
      </c>
      <c r="F54" s="3" t="s">
        <v>563</v>
      </c>
      <c r="G54" s="3" t="s">
        <v>564</v>
      </c>
      <c r="H54" s="3">
        <v>7.8</v>
      </c>
      <c r="I54" s="3">
        <v>13.5</v>
      </c>
    </row>
    <row r="55" spans="1:9" s="3" customFormat="1" x14ac:dyDescent="0.25">
      <c r="A55" s="3" t="s">
        <v>95</v>
      </c>
      <c r="B55" s="3" t="s">
        <v>96</v>
      </c>
      <c r="F55" s="3" t="s">
        <v>586</v>
      </c>
      <c r="G55" s="3" t="s">
        <v>587</v>
      </c>
      <c r="H55" s="3">
        <v>4.4</v>
      </c>
      <c r="I55" s="3">
        <v>7.6</v>
      </c>
    </row>
    <row r="56" spans="1:9" s="3" customFormat="1" x14ac:dyDescent="0.25">
      <c r="A56" s="3" t="s">
        <v>95</v>
      </c>
      <c r="B56" s="3" t="s">
        <v>96</v>
      </c>
      <c r="F56" s="3" t="s">
        <v>555</v>
      </c>
      <c r="G56" s="3" t="s">
        <v>556</v>
      </c>
      <c r="H56" s="3">
        <v>1.8</v>
      </c>
      <c r="I56" s="3">
        <v>3</v>
      </c>
    </row>
    <row r="57" spans="1:9" s="3" customFormat="1" x14ac:dyDescent="0.25">
      <c r="A57" s="3" t="s">
        <v>95</v>
      </c>
      <c r="B57" s="3" t="s">
        <v>96</v>
      </c>
      <c r="F57" s="3" t="s">
        <v>567</v>
      </c>
      <c r="G57" s="3" t="s">
        <v>568</v>
      </c>
      <c r="H57" s="3">
        <v>1.7</v>
      </c>
      <c r="I57" s="3">
        <v>2.9</v>
      </c>
    </row>
    <row r="58" spans="1:9" s="3" customFormat="1" x14ac:dyDescent="0.25">
      <c r="A58" s="3" t="s">
        <v>95</v>
      </c>
      <c r="B58" s="3" t="s">
        <v>96</v>
      </c>
      <c r="F58" s="3" t="s">
        <v>588</v>
      </c>
      <c r="G58" s="3" t="s">
        <v>589</v>
      </c>
      <c r="H58" s="3">
        <v>1.5</v>
      </c>
      <c r="I58" s="3">
        <v>2.6</v>
      </c>
    </row>
    <row r="59" spans="1:9" s="3" customFormat="1" x14ac:dyDescent="0.25">
      <c r="A59" s="3" t="s">
        <v>97</v>
      </c>
      <c r="B59" s="3" t="s">
        <v>98</v>
      </c>
      <c r="C59" s="3">
        <v>244.2</v>
      </c>
      <c r="D59" s="3">
        <v>40.9</v>
      </c>
      <c r="E59" s="3">
        <v>16.7</v>
      </c>
      <c r="F59" s="3" t="s">
        <v>563</v>
      </c>
      <c r="G59" s="3" t="s">
        <v>564</v>
      </c>
      <c r="H59" s="3">
        <v>14.6</v>
      </c>
      <c r="I59" s="3">
        <v>35.8</v>
      </c>
    </row>
    <row r="60" spans="1:9" s="3" customFormat="1" x14ac:dyDescent="0.25">
      <c r="A60" s="3" t="s">
        <v>97</v>
      </c>
      <c r="B60" s="3" t="s">
        <v>98</v>
      </c>
      <c r="F60" s="3" t="s">
        <v>555</v>
      </c>
      <c r="G60" s="3" t="s">
        <v>556</v>
      </c>
      <c r="H60" s="3">
        <v>7</v>
      </c>
      <c r="I60" s="3">
        <v>17.2</v>
      </c>
    </row>
    <row r="61" spans="1:9" s="3" customFormat="1" x14ac:dyDescent="0.25">
      <c r="A61" s="3" t="s">
        <v>97</v>
      </c>
      <c r="B61" s="3" t="s">
        <v>98</v>
      </c>
      <c r="F61" s="3" t="s">
        <v>547</v>
      </c>
      <c r="G61" s="3" t="s">
        <v>548</v>
      </c>
      <c r="H61" s="3">
        <v>5</v>
      </c>
      <c r="I61" s="3">
        <v>12.3</v>
      </c>
    </row>
    <row r="62" spans="1:9" s="3" customFormat="1" x14ac:dyDescent="0.25">
      <c r="A62" s="3" t="s">
        <v>97</v>
      </c>
      <c r="B62" s="3" t="s">
        <v>98</v>
      </c>
      <c r="F62" s="3" t="s">
        <v>553</v>
      </c>
      <c r="G62" s="3" t="s">
        <v>554</v>
      </c>
      <c r="H62" s="3">
        <v>2.1</v>
      </c>
      <c r="I62" s="3">
        <v>5</v>
      </c>
    </row>
    <row r="63" spans="1:9" s="3" customFormat="1" x14ac:dyDescent="0.25">
      <c r="A63" s="3" t="s">
        <v>97</v>
      </c>
      <c r="B63" s="3" t="s">
        <v>98</v>
      </c>
      <c r="F63" s="3" t="s">
        <v>565</v>
      </c>
      <c r="G63" s="3" t="s">
        <v>566</v>
      </c>
      <c r="H63" s="3">
        <v>1.4</v>
      </c>
      <c r="I63" s="3">
        <v>3.3</v>
      </c>
    </row>
    <row r="64" spans="1:9" s="3" customFormat="1" x14ac:dyDescent="0.25">
      <c r="A64" s="3" t="s">
        <v>97</v>
      </c>
      <c r="B64" s="3" t="s">
        <v>98</v>
      </c>
      <c r="F64" s="3" t="s">
        <v>561</v>
      </c>
      <c r="G64" s="3" t="s">
        <v>562</v>
      </c>
      <c r="H64" s="3">
        <v>1.3</v>
      </c>
      <c r="I64" s="3">
        <v>3.2</v>
      </c>
    </row>
    <row r="65" spans="1:9" s="3" customFormat="1" x14ac:dyDescent="0.25">
      <c r="A65" s="3" t="s">
        <v>97</v>
      </c>
      <c r="B65" s="3" t="s">
        <v>98</v>
      </c>
      <c r="F65" s="3" t="s">
        <v>559</v>
      </c>
      <c r="G65" s="3" t="s">
        <v>560</v>
      </c>
      <c r="H65" s="3">
        <v>1.2</v>
      </c>
      <c r="I65" s="3">
        <v>2.8</v>
      </c>
    </row>
    <row r="66" spans="1:9" s="3" customFormat="1" x14ac:dyDescent="0.25">
      <c r="A66" s="3" t="s">
        <v>99</v>
      </c>
      <c r="B66" s="3" t="s">
        <v>100</v>
      </c>
      <c r="C66" s="3">
        <v>177.5</v>
      </c>
      <c r="D66" s="3">
        <v>22.7</v>
      </c>
      <c r="E66" s="3">
        <v>12.8</v>
      </c>
      <c r="F66" s="3" t="s">
        <v>577</v>
      </c>
      <c r="G66" s="3" t="s">
        <v>281</v>
      </c>
      <c r="H66" s="3">
        <v>5.8</v>
      </c>
      <c r="I66" s="3">
        <v>25.7</v>
      </c>
    </row>
    <row r="67" spans="1:9" s="3" customFormat="1" x14ac:dyDescent="0.25">
      <c r="A67" s="3" t="s">
        <v>99</v>
      </c>
      <c r="B67" s="3" t="s">
        <v>100</v>
      </c>
      <c r="F67" s="3" t="s">
        <v>590</v>
      </c>
      <c r="G67" s="3" t="s">
        <v>591</v>
      </c>
      <c r="H67" s="3">
        <v>3.7</v>
      </c>
      <c r="I67" s="3">
        <v>16.5</v>
      </c>
    </row>
    <row r="68" spans="1:9" s="3" customFormat="1" x14ac:dyDescent="0.25">
      <c r="A68" s="3" t="s">
        <v>99</v>
      </c>
      <c r="B68" s="3" t="s">
        <v>100</v>
      </c>
      <c r="F68" s="3" t="s">
        <v>547</v>
      </c>
      <c r="G68" s="3" t="s">
        <v>548</v>
      </c>
      <c r="H68" s="3">
        <v>2.7</v>
      </c>
      <c r="I68" s="3">
        <v>11.8</v>
      </c>
    </row>
    <row r="69" spans="1:9" s="3" customFormat="1" x14ac:dyDescent="0.25">
      <c r="A69" s="3" t="s">
        <v>99</v>
      </c>
      <c r="B69" s="3" t="s">
        <v>100</v>
      </c>
      <c r="F69" s="3" t="s">
        <v>563</v>
      </c>
      <c r="G69" s="3" t="s">
        <v>564</v>
      </c>
      <c r="H69" s="3">
        <v>1.5</v>
      </c>
      <c r="I69" s="3">
        <v>6.5</v>
      </c>
    </row>
    <row r="70" spans="1:9" s="3" customFormat="1" x14ac:dyDescent="0.25">
      <c r="A70" s="3" t="s">
        <v>99</v>
      </c>
      <c r="B70" s="3" t="s">
        <v>100</v>
      </c>
      <c r="F70" s="3" t="s">
        <v>553</v>
      </c>
      <c r="G70" s="3" t="s">
        <v>554</v>
      </c>
      <c r="H70" s="3">
        <v>1.4</v>
      </c>
      <c r="I70" s="3">
        <v>6</v>
      </c>
    </row>
    <row r="71" spans="1:9" s="3" customFormat="1" x14ac:dyDescent="0.25">
      <c r="A71" s="3" t="s">
        <v>99</v>
      </c>
      <c r="B71" s="3" t="s">
        <v>100</v>
      </c>
      <c r="F71" s="3" t="s">
        <v>565</v>
      </c>
      <c r="G71" s="3" t="s">
        <v>566</v>
      </c>
      <c r="H71" s="3">
        <v>1.1</v>
      </c>
      <c r="I71" s="3">
        <v>5</v>
      </c>
    </row>
    <row r="72" spans="1:9" s="3" customFormat="1" x14ac:dyDescent="0.25">
      <c r="A72" s="3" t="s">
        <v>99</v>
      </c>
      <c r="B72" s="3" t="s">
        <v>100</v>
      </c>
      <c r="F72" s="3" t="s">
        <v>580</v>
      </c>
      <c r="G72" s="3" t="s">
        <v>581</v>
      </c>
      <c r="H72" s="3">
        <v>0.7</v>
      </c>
      <c r="I72" s="3">
        <v>3.3</v>
      </c>
    </row>
    <row r="73" spans="1:9" s="3" customFormat="1" x14ac:dyDescent="0.25">
      <c r="A73" s="3" t="s">
        <v>101</v>
      </c>
      <c r="B73" s="3" t="s">
        <v>102</v>
      </c>
      <c r="C73" s="3">
        <v>414.2</v>
      </c>
      <c r="D73" s="3">
        <v>87.6</v>
      </c>
      <c r="E73" s="3">
        <v>21.2</v>
      </c>
      <c r="F73" s="3" t="s">
        <v>577</v>
      </c>
      <c r="G73" s="3" t="s">
        <v>281</v>
      </c>
      <c r="H73" s="3">
        <v>35.7</v>
      </c>
      <c r="I73" s="3">
        <v>40.7</v>
      </c>
    </row>
    <row r="74" spans="1:9" s="3" customFormat="1" x14ac:dyDescent="0.25">
      <c r="A74" s="3" t="s">
        <v>101</v>
      </c>
      <c r="B74" s="3" t="s">
        <v>102</v>
      </c>
      <c r="F74" s="3" t="s">
        <v>592</v>
      </c>
      <c r="G74" s="3" t="s">
        <v>102</v>
      </c>
      <c r="H74" s="3">
        <v>27.9</v>
      </c>
      <c r="I74" s="3">
        <v>31.8</v>
      </c>
    </row>
    <row r="75" spans="1:9" s="3" customFormat="1" x14ac:dyDescent="0.25">
      <c r="A75" s="3" t="s">
        <v>101</v>
      </c>
      <c r="B75" s="3" t="s">
        <v>102</v>
      </c>
      <c r="F75" s="3" t="s">
        <v>553</v>
      </c>
      <c r="G75" s="3" t="s">
        <v>554</v>
      </c>
      <c r="H75" s="3">
        <v>5.1</v>
      </c>
      <c r="I75" s="3">
        <v>5.8</v>
      </c>
    </row>
    <row r="76" spans="1:9" s="3" customFormat="1" x14ac:dyDescent="0.25">
      <c r="A76" s="3" t="s">
        <v>101</v>
      </c>
      <c r="B76" s="3" t="s">
        <v>102</v>
      </c>
      <c r="F76" s="3" t="s">
        <v>547</v>
      </c>
      <c r="G76" s="3" t="s">
        <v>548</v>
      </c>
      <c r="H76" s="3">
        <v>3.7</v>
      </c>
      <c r="I76" s="3">
        <v>4.3</v>
      </c>
    </row>
    <row r="77" spans="1:9" s="3" customFormat="1" x14ac:dyDescent="0.25">
      <c r="A77" s="3" t="s">
        <v>101</v>
      </c>
      <c r="B77" s="3" t="s">
        <v>102</v>
      </c>
      <c r="F77" s="3" t="s">
        <v>565</v>
      </c>
      <c r="G77" s="3" t="s">
        <v>566</v>
      </c>
      <c r="H77" s="3">
        <v>1.5</v>
      </c>
      <c r="I77" s="3">
        <v>1.7</v>
      </c>
    </row>
    <row r="78" spans="1:9" s="3" customFormat="1" x14ac:dyDescent="0.25">
      <c r="A78" s="3" t="s">
        <v>101</v>
      </c>
      <c r="B78" s="3" t="s">
        <v>102</v>
      </c>
      <c r="F78" s="3" t="s">
        <v>593</v>
      </c>
      <c r="G78" s="3" t="s">
        <v>594</v>
      </c>
      <c r="H78" s="3">
        <v>1.4</v>
      </c>
      <c r="I78" s="3">
        <v>1.6</v>
      </c>
    </row>
    <row r="79" spans="1:9" s="3" customFormat="1" x14ac:dyDescent="0.25">
      <c r="A79" s="3" t="s">
        <v>101</v>
      </c>
      <c r="B79" s="3" t="s">
        <v>102</v>
      </c>
      <c r="F79" s="3" t="s">
        <v>559</v>
      </c>
      <c r="G79" s="3" t="s">
        <v>560</v>
      </c>
      <c r="H79" s="3">
        <v>1.4</v>
      </c>
      <c r="I79" s="3">
        <v>1.6</v>
      </c>
    </row>
    <row r="80" spans="1:9" s="3" customFormat="1" x14ac:dyDescent="0.25">
      <c r="A80" s="3" t="s">
        <v>103</v>
      </c>
      <c r="B80" s="3" t="s">
        <v>104</v>
      </c>
      <c r="C80" s="3">
        <v>403.8</v>
      </c>
      <c r="D80" s="3">
        <v>44.9</v>
      </c>
      <c r="E80" s="3">
        <v>11.1</v>
      </c>
      <c r="F80" s="3" t="s">
        <v>592</v>
      </c>
      <c r="G80" s="3" t="s">
        <v>102</v>
      </c>
      <c r="H80" s="3">
        <v>12.5</v>
      </c>
      <c r="I80" s="3">
        <v>27.9</v>
      </c>
    </row>
    <row r="81" spans="1:9" s="3" customFormat="1" x14ac:dyDescent="0.25">
      <c r="A81" s="3" t="s">
        <v>103</v>
      </c>
      <c r="B81" s="3" t="s">
        <v>104</v>
      </c>
      <c r="F81" s="3" t="s">
        <v>573</v>
      </c>
      <c r="G81" s="3" t="s">
        <v>574</v>
      </c>
      <c r="H81" s="3">
        <v>8.2</v>
      </c>
      <c r="I81" s="3">
        <v>18.3</v>
      </c>
    </row>
    <row r="82" spans="1:9" s="3" customFormat="1" x14ac:dyDescent="0.25">
      <c r="A82" s="3" t="s">
        <v>103</v>
      </c>
      <c r="B82" s="3" t="s">
        <v>104</v>
      </c>
      <c r="F82" s="3" t="s">
        <v>547</v>
      </c>
      <c r="G82" s="3" t="s">
        <v>548</v>
      </c>
      <c r="H82" s="3">
        <v>5.4</v>
      </c>
      <c r="I82" s="3">
        <v>12</v>
      </c>
    </row>
    <row r="83" spans="1:9" s="3" customFormat="1" x14ac:dyDescent="0.25">
      <c r="A83" s="3" t="s">
        <v>103</v>
      </c>
      <c r="B83" s="3" t="s">
        <v>104</v>
      </c>
      <c r="F83" s="3" t="s">
        <v>563</v>
      </c>
      <c r="G83" s="3" t="s">
        <v>564</v>
      </c>
      <c r="H83" s="3">
        <v>1.8</v>
      </c>
      <c r="I83" s="3">
        <v>4.1</v>
      </c>
    </row>
    <row r="84" spans="1:9" s="3" customFormat="1" x14ac:dyDescent="0.25">
      <c r="A84" s="3" t="s">
        <v>103</v>
      </c>
      <c r="B84" s="3" t="s">
        <v>104</v>
      </c>
      <c r="F84" s="3" t="s">
        <v>595</v>
      </c>
      <c r="G84" s="3" t="s">
        <v>596</v>
      </c>
      <c r="H84" s="3">
        <v>1.8</v>
      </c>
      <c r="I84" s="3">
        <v>4</v>
      </c>
    </row>
    <row r="85" spans="1:9" s="3" customFormat="1" x14ac:dyDescent="0.25">
      <c r="A85" s="3" t="s">
        <v>103</v>
      </c>
      <c r="B85" s="3" t="s">
        <v>104</v>
      </c>
      <c r="F85" s="3" t="s">
        <v>553</v>
      </c>
      <c r="G85" s="3" t="s">
        <v>554</v>
      </c>
      <c r="H85" s="3">
        <v>1.6</v>
      </c>
      <c r="I85" s="3">
        <v>3.7</v>
      </c>
    </row>
    <row r="86" spans="1:9" s="3" customFormat="1" x14ac:dyDescent="0.25">
      <c r="A86" s="3" t="s">
        <v>103</v>
      </c>
      <c r="B86" s="3" t="s">
        <v>104</v>
      </c>
      <c r="F86" s="3" t="s">
        <v>597</v>
      </c>
      <c r="G86" s="3" t="s">
        <v>108</v>
      </c>
      <c r="H86" s="3">
        <v>1.4</v>
      </c>
      <c r="I86" s="3">
        <v>3.1</v>
      </c>
    </row>
    <row r="87" spans="1:9" s="3" customFormat="1" x14ac:dyDescent="0.25">
      <c r="A87" s="3" t="s">
        <v>105</v>
      </c>
      <c r="B87" s="3" t="s">
        <v>106</v>
      </c>
      <c r="C87" s="3">
        <v>206.4</v>
      </c>
      <c r="D87" s="3">
        <v>58.2</v>
      </c>
      <c r="E87" s="3">
        <v>28.2</v>
      </c>
      <c r="F87" s="3" t="s">
        <v>598</v>
      </c>
      <c r="G87" s="3" t="s">
        <v>599</v>
      </c>
      <c r="H87" s="3">
        <v>26.8</v>
      </c>
      <c r="I87" s="3">
        <v>45.9</v>
      </c>
    </row>
    <row r="88" spans="1:9" s="3" customFormat="1" x14ac:dyDescent="0.25">
      <c r="A88" s="3" t="s">
        <v>105</v>
      </c>
      <c r="B88" s="3" t="s">
        <v>106</v>
      </c>
      <c r="F88" s="3" t="s">
        <v>547</v>
      </c>
      <c r="G88" s="3" t="s">
        <v>548</v>
      </c>
      <c r="H88" s="3">
        <v>11.6</v>
      </c>
      <c r="I88" s="3">
        <v>19.9</v>
      </c>
    </row>
    <row r="89" spans="1:9" s="3" customFormat="1" x14ac:dyDescent="0.25">
      <c r="A89" s="3" t="s">
        <v>105</v>
      </c>
      <c r="B89" s="3" t="s">
        <v>106</v>
      </c>
      <c r="F89" s="3" t="s">
        <v>586</v>
      </c>
      <c r="G89" s="3" t="s">
        <v>587</v>
      </c>
      <c r="H89" s="3">
        <v>4</v>
      </c>
      <c r="I89" s="3">
        <v>6.8</v>
      </c>
    </row>
    <row r="90" spans="1:9" s="3" customFormat="1" x14ac:dyDescent="0.25">
      <c r="A90" s="3" t="s">
        <v>105</v>
      </c>
      <c r="B90" s="3" t="s">
        <v>106</v>
      </c>
      <c r="F90" s="3" t="s">
        <v>597</v>
      </c>
      <c r="G90" s="3" t="s">
        <v>108</v>
      </c>
      <c r="H90" s="3">
        <v>3.8</v>
      </c>
      <c r="I90" s="3">
        <v>6.5</v>
      </c>
    </row>
    <row r="91" spans="1:9" s="3" customFormat="1" x14ac:dyDescent="0.25">
      <c r="A91" s="3" t="s">
        <v>105</v>
      </c>
      <c r="B91" s="3" t="s">
        <v>106</v>
      </c>
      <c r="F91" s="3" t="s">
        <v>553</v>
      </c>
      <c r="G91" s="3" t="s">
        <v>554</v>
      </c>
      <c r="H91" s="3">
        <v>1.3</v>
      </c>
      <c r="I91" s="3">
        <v>2.3</v>
      </c>
    </row>
    <row r="92" spans="1:9" s="3" customFormat="1" x14ac:dyDescent="0.25">
      <c r="A92" s="3" t="s">
        <v>105</v>
      </c>
      <c r="B92" s="3" t="s">
        <v>106</v>
      </c>
      <c r="F92" s="3" t="s">
        <v>565</v>
      </c>
      <c r="G92" s="3" t="s">
        <v>566</v>
      </c>
      <c r="H92" s="3">
        <v>1.2</v>
      </c>
      <c r="I92" s="3">
        <v>2.1</v>
      </c>
    </row>
    <row r="93" spans="1:9" s="3" customFormat="1" x14ac:dyDescent="0.25">
      <c r="A93" s="3" t="s">
        <v>105</v>
      </c>
      <c r="B93" s="3" t="s">
        <v>106</v>
      </c>
      <c r="F93" s="3" t="s">
        <v>563</v>
      </c>
      <c r="G93" s="3" t="s">
        <v>564</v>
      </c>
      <c r="H93" s="3">
        <v>1.1</v>
      </c>
      <c r="I93" s="3">
        <v>1.8</v>
      </c>
    </row>
    <row r="94" spans="1:9" s="3" customFormat="1" x14ac:dyDescent="0.25">
      <c r="A94" s="3" t="s">
        <v>107</v>
      </c>
      <c r="B94" s="3" t="s">
        <v>108</v>
      </c>
      <c r="C94" s="3">
        <v>264.6</v>
      </c>
      <c r="D94" s="3">
        <v>49.5</v>
      </c>
      <c r="E94" s="3">
        <v>18.7</v>
      </c>
      <c r="F94" s="3" t="s">
        <v>597</v>
      </c>
      <c r="G94" s="3" t="s">
        <v>108</v>
      </c>
      <c r="H94" s="3">
        <v>18.4</v>
      </c>
      <c r="I94" s="3">
        <v>37.1</v>
      </c>
    </row>
    <row r="95" spans="1:9" s="3" customFormat="1" x14ac:dyDescent="0.25">
      <c r="A95" s="3" t="s">
        <v>107</v>
      </c>
      <c r="B95" s="3" t="s">
        <v>108</v>
      </c>
      <c r="F95" s="3" t="s">
        <v>598</v>
      </c>
      <c r="G95" s="3" t="s">
        <v>599</v>
      </c>
      <c r="H95" s="3">
        <v>5.5</v>
      </c>
      <c r="I95" s="3">
        <v>11</v>
      </c>
    </row>
    <row r="96" spans="1:9" s="3" customFormat="1" x14ac:dyDescent="0.25">
      <c r="A96" s="3" t="s">
        <v>107</v>
      </c>
      <c r="B96" s="3" t="s">
        <v>108</v>
      </c>
      <c r="F96" s="3" t="s">
        <v>547</v>
      </c>
      <c r="G96" s="3" t="s">
        <v>548</v>
      </c>
      <c r="H96" s="3">
        <v>5.3</v>
      </c>
      <c r="I96" s="3">
        <v>10.7</v>
      </c>
    </row>
    <row r="97" spans="1:9" s="3" customFormat="1" x14ac:dyDescent="0.25">
      <c r="A97" s="3" t="s">
        <v>107</v>
      </c>
      <c r="B97" s="3" t="s">
        <v>108</v>
      </c>
      <c r="F97" s="3" t="s">
        <v>592</v>
      </c>
      <c r="G97" s="3" t="s">
        <v>102</v>
      </c>
      <c r="H97" s="3">
        <v>4.2</v>
      </c>
      <c r="I97" s="3">
        <v>8.4</v>
      </c>
    </row>
    <row r="98" spans="1:9" s="3" customFormat="1" x14ac:dyDescent="0.25">
      <c r="A98" s="3" t="s">
        <v>107</v>
      </c>
      <c r="B98" s="3" t="s">
        <v>108</v>
      </c>
      <c r="F98" s="3" t="s">
        <v>563</v>
      </c>
      <c r="G98" s="3" t="s">
        <v>564</v>
      </c>
      <c r="H98" s="3">
        <v>2.1</v>
      </c>
      <c r="I98" s="3">
        <v>4.2</v>
      </c>
    </row>
    <row r="99" spans="1:9" s="3" customFormat="1" x14ac:dyDescent="0.25">
      <c r="A99" s="3" t="s">
        <v>107</v>
      </c>
      <c r="B99" s="3" t="s">
        <v>108</v>
      </c>
      <c r="F99" s="3" t="s">
        <v>553</v>
      </c>
      <c r="G99" s="3" t="s">
        <v>554</v>
      </c>
      <c r="H99" s="3">
        <v>1.8</v>
      </c>
      <c r="I99" s="3">
        <v>3.6</v>
      </c>
    </row>
    <row r="100" spans="1:9" s="3" customFormat="1" x14ac:dyDescent="0.25">
      <c r="A100" s="3" t="s">
        <v>107</v>
      </c>
      <c r="B100" s="3" t="s">
        <v>108</v>
      </c>
      <c r="F100" s="3" t="s">
        <v>573</v>
      </c>
      <c r="G100" s="3" t="s">
        <v>574</v>
      </c>
      <c r="H100" s="3">
        <v>1.7</v>
      </c>
      <c r="I100" s="3">
        <v>3.5</v>
      </c>
    </row>
    <row r="101" spans="1:9" s="3" customFormat="1" x14ac:dyDescent="0.25">
      <c r="A101" s="3" t="s">
        <v>109</v>
      </c>
      <c r="B101" s="3" t="s">
        <v>110</v>
      </c>
      <c r="C101" s="3">
        <v>513.7</v>
      </c>
      <c r="D101" s="3">
        <v>67.1</v>
      </c>
      <c r="E101" s="3">
        <v>13.1</v>
      </c>
      <c r="F101" s="3" t="s">
        <v>595</v>
      </c>
      <c r="G101" s="3" t="s">
        <v>596</v>
      </c>
      <c r="H101" s="3">
        <v>20.8</v>
      </c>
      <c r="I101" s="3">
        <v>31</v>
      </c>
    </row>
    <row r="102" spans="1:9" s="3" customFormat="1" x14ac:dyDescent="0.25">
      <c r="A102" s="3" t="s">
        <v>109</v>
      </c>
      <c r="B102" s="3" t="s">
        <v>110</v>
      </c>
      <c r="F102" s="3" t="s">
        <v>547</v>
      </c>
      <c r="G102" s="3" t="s">
        <v>548</v>
      </c>
      <c r="H102" s="3">
        <v>9.7</v>
      </c>
      <c r="I102" s="3">
        <v>14.5</v>
      </c>
    </row>
    <row r="103" spans="1:9" s="3" customFormat="1" x14ac:dyDescent="0.25">
      <c r="A103" s="3" t="s">
        <v>109</v>
      </c>
      <c r="B103" s="3" t="s">
        <v>110</v>
      </c>
      <c r="F103" s="3" t="s">
        <v>597</v>
      </c>
      <c r="G103" s="3" t="s">
        <v>108</v>
      </c>
      <c r="H103" s="3">
        <v>6.2</v>
      </c>
      <c r="I103" s="3">
        <v>9.2</v>
      </c>
    </row>
    <row r="104" spans="1:9" s="3" customFormat="1" x14ac:dyDescent="0.25">
      <c r="A104" s="3" t="s">
        <v>109</v>
      </c>
      <c r="B104" s="3" t="s">
        <v>110</v>
      </c>
      <c r="F104" s="3" t="s">
        <v>592</v>
      </c>
      <c r="G104" s="3" t="s">
        <v>102</v>
      </c>
      <c r="H104" s="3">
        <v>5.4</v>
      </c>
      <c r="I104" s="3">
        <v>8.1</v>
      </c>
    </row>
    <row r="105" spans="1:9" s="3" customFormat="1" x14ac:dyDescent="0.25">
      <c r="A105" s="3" t="s">
        <v>109</v>
      </c>
      <c r="B105" s="3" t="s">
        <v>110</v>
      </c>
      <c r="F105" s="3" t="s">
        <v>573</v>
      </c>
      <c r="G105" s="3" t="s">
        <v>574</v>
      </c>
      <c r="H105" s="3">
        <v>3.9</v>
      </c>
      <c r="I105" s="3">
        <v>5.9</v>
      </c>
    </row>
    <row r="106" spans="1:9" s="3" customFormat="1" x14ac:dyDescent="0.25">
      <c r="A106" s="3" t="s">
        <v>109</v>
      </c>
      <c r="B106" s="3" t="s">
        <v>110</v>
      </c>
      <c r="F106" s="3" t="s">
        <v>598</v>
      </c>
      <c r="G106" s="3" t="s">
        <v>599</v>
      </c>
      <c r="H106" s="3">
        <v>3.7</v>
      </c>
      <c r="I106" s="3">
        <v>5.5</v>
      </c>
    </row>
    <row r="107" spans="1:9" s="3" customFormat="1" x14ac:dyDescent="0.25">
      <c r="A107" s="3" t="s">
        <v>109</v>
      </c>
      <c r="B107" s="3" t="s">
        <v>110</v>
      </c>
      <c r="F107" s="3" t="s">
        <v>553</v>
      </c>
      <c r="G107" s="3" t="s">
        <v>554</v>
      </c>
      <c r="H107" s="3">
        <v>1.9</v>
      </c>
      <c r="I107" s="3">
        <v>2.9</v>
      </c>
    </row>
    <row r="108" spans="1:9" s="3" customFormat="1" x14ac:dyDescent="0.25">
      <c r="A108" s="3" t="s">
        <v>111</v>
      </c>
      <c r="B108" s="3" t="s">
        <v>112</v>
      </c>
      <c r="C108" s="3">
        <v>801.4</v>
      </c>
      <c r="D108" s="3">
        <v>105.3</v>
      </c>
      <c r="E108" s="3">
        <v>13.1</v>
      </c>
      <c r="F108" s="3" t="s">
        <v>600</v>
      </c>
      <c r="G108" s="3" t="s">
        <v>601</v>
      </c>
      <c r="H108" s="3">
        <v>36.6</v>
      </c>
      <c r="I108" s="3">
        <v>34.8</v>
      </c>
    </row>
    <row r="109" spans="1:9" s="3" customFormat="1" x14ac:dyDescent="0.25">
      <c r="A109" s="3" t="s">
        <v>111</v>
      </c>
      <c r="B109" s="3" t="s">
        <v>112</v>
      </c>
      <c r="F109" s="3" t="s">
        <v>547</v>
      </c>
      <c r="G109" s="3" t="s">
        <v>548</v>
      </c>
      <c r="H109" s="3">
        <v>10.3</v>
      </c>
      <c r="I109" s="3">
        <v>9.7</v>
      </c>
    </row>
    <row r="110" spans="1:9" s="3" customFormat="1" x14ac:dyDescent="0.25">
      <c r="A110" s="3" t="s">
        <v>111</v>
      </c>
      <c r="B110" s="3" t="s">
        <v>112</v>
      </c>
      <c r="F110" s="3" t="s">
        <v>597</v>
      </c>
      <c r="G110" s="3" t="s">
        <v>108</v>
      </c>
      <c r="H110" s="3">
        <v>9.1</v>
      </c>
      <c r="I110" s="3">
        <v>8.7</v>
      </c>
    </row>
    <row r="111" spans="1:9" s="3" customFormat="1" x14ac:dyDescent="0.25">
      <c r="A111" s="3" t="s">
        <v>111</v>
      </c>
      <c r="B111" s="3" t="s">
        <v>112</v>
      </c>
      <c r="F111" s="3" t="s">
        <v>595</v>
      </c>
      <c r="G111" s="3" t="s">
        <v>596</v>
      </c>
      <c r="H111" s="3">
        <v>8.8</v>
      </c>
      <c r="I111" s="3">
        <v>8.4</v>
      </c>
    </row>
    <row r="112" spans="1:9" s="3" customFormat="1" x14ac:dyDescent="0.25">
      <c r="A112" s="3" t="s">
        <v>111</v>
      </c>
      <c r="B112" s="3" t="s">
        <v>112</v>
      </c>
      <c r="F112" s="3" t="s">
        <v>573</v>
      </c>
      <c r="G112" s="3" t="s">
        <v>574</v>
      </c>
      <c r="H112" s="3">
        <v>5</v>
      </c>
      <c r="I112" s="3">
        <v>4.8</v>
      </c>
    </row>
    <row r="113" spans="1:9" s="3" customFormat="1" x14ac:dyDescent="0.25">
      <c r="A113" s="3" t="s">
        <v>111</v>
      </c>
      <c r="B113" s="3" t="s">
        <v>112</v>
      </c>
      <c r="F113" s="3" t="s">
        <v>553</v>
      </c>
      <c r="G113" s="3" t="s">
        <v>554</v>
      </c>
      <c r="H113" s="3">
        <v>4.4</v>
      </c>
      <c r="I113" s="3">
        <v>4.2</v>
      </c>
    </row>
    <row r="114" spans="1:9" s="3" customFormat="1" x14ac:dyDescent="0.25">
      <c r="A114" s="3" t="s">
        <v>111</v>
      </c>
      <c r="B114" s="3" t="s">
        <v>112</v>
      </c>
      <c r="F114" s="3" t="s">
        <v>555</v>
      </c>
      <c r="G114" s="3" t="s">
        <v>556</v>
      </c>
      <c r="H114" s="3">
        <v>4.4</v>
      </c>
      <c r="I114" s="3">
        <v>4.2</v>
      </c>
    </row>
    <row r="115" spans="1:9" s="3" customFormat="1" x14ac:dyDescent="0.25">
      <c r="A115" s="3" t="s">
        <v>113</v>
      </c>
      <c r="B115" s="3" t="s">
        <v>114</v>
      </c>
      <c r="C115" s="3">
        <v>202.6</v>
      </c>
      <c r="D115" s="3">
        <v>43.7</v>
      </c>
      <c r="E115" s="3">
        <v>21.6</v>
      </c>
      <c r="F115" s="3" t="s">
        <v>602</v>
      </c>
      <c r="G115" s="3" t="s">
        <v>603</v>
      </c>
      <c r="H115" s="3">
        <v>25.9</v>
      </c>
      <c r="I115" s="3">
        <v>59.4</v>
      </c>
    </row>
    <row r="116" spans="1:9" s="3" customFormat="1" x14ac:dyDescent="0.25">
      <c r="A116" s="3" t="s">
        <v>113</v>
      </c>
      <c r="B116" s="3" t="s">
        <v>114</v>
      </c>
      <c r="F116" s="3" t="s">
        <v>595</v>
      </c>
      <c r="G116" s="3" t="s">
        <v>596</v>
      </c>
      <c r="H116" s="3">
        <v>2.3</v>
      </c>
      <c r="I116" s="3">
        <v>5.4</v>
      </c>
    </row>
    <row r="117" spans="1:9" s="3" customFormat="1" x14ac:dyDescent="0.25">
      <c r="A117" s="3" t="s">
        <v>113</v>
      </c>
      <c r="B117" s="3" t="s">
        <v>114</v>
      </c>
      <c r="F117" s="3" t="s">
        <v>547</v>
      </c>
      <c r="G117" s="3" t="s">
        <v>548</v>
      </c>
      <c r="H117" s="3">
        <v>2.1</v>
      </c>
      <c r="I117" s="3">
        <v>4.7</v>
      </c>
    </row>
    <row r="118" spans="1:9" s="3" customFormat="1" x14ac:dyDescent="0.25">
      <c r="A118" s="3" t="s">
        <v>113</v>
      </c>
      <c r="B118" s="3" t="s">
        <v>114</v>
      </c>
      <c r="F118" s="3" t="s">
        <v>598</v>
      </c>
      <c r="G118" s="3" t="s">
        <v>599</v>
      </c>
      <c r="H118" s="3">
        <v>2</v>
      </c>
      <c r="I118" s="3">
        <v>4.5</v>
      </c>
    </row>
    <row r="119" spans="1:9" s="3" customFormat="1" x14ac:dyDescent="0.25">
      <c r="A119" s="3" t="s">
        <v>113</v>
      </c>
      <c r="B119" s="3" t="s">
        <v>114</v>
      </c>
      <c r="F119" s="3" t="s">
        <v>597</v>
      </c>
      <c r="G119" s="3" t="s">
        <v>108</v>
      </c>
      <c r="H119" s="3">
        <v>1.8</v>
      </c>
      <c r="I119" s="3">
        <v>4.2</v>
      </c>
    </row>
    <row r="120" spans="1:9" s="3" customFormat="1" x14ac:dyDescent="0.25">
      <c r="A120" s="3" t="s">
        <v>113</v>
      </c>
      <c r="B120" s="3" t="s">
        <v>114</v>
      </c>
      <c r="F120" s="3" t="s">
        <v>573</v>
      </c>
      <c r="G120" s="3" t="s">
        <v>574</v>
      </c>
      <c r="H120" s="3">
        <v>1.3</v>
      </c>
      <c r="I120" s="3">
        <v>2.9</v>
      </c>
    </row>
    <row r="121" spans="1:9" s="3" customFormat="1" x14ac:dyDescent="0.25">
      <c r="A121" s="3" t="s">
        <v>113</v>
      </c>
      <c r="B121" s="3" t="s">
        <v>114</v>
      </c>
      <c r="F121" s="3" t="s">
        <v>565</v>
      </c>
      <c r="G121" s="3" t="s">
        <v>566</v>
      </c>
      <c r="H121" s="3">
        <v>1.1</v>
      </c>
      <c r="I121" s="3">
        <v>2.5</v>
      </c>
    </row>
    <row r="122" spans="1:9" s="3" customFormat="1" x14ac:dyDescent="0.25">
      <c r="A122" s="3" t="s">
        <v>301</v>
      </c>
      <c r="B122" s="3" t="s">
        <v>531</v>
      </c>
      <c r="C122" s="3">
        <v>168.9</v>
      </c>
      <c r="D122" s="3">
        <v>27.7</v>
      </c>
      <c r="E122" s="3">
        <v>16.4</v>
      </c>
      <c r="F122" s="3" t="s">
        <v>547</v>
      </c>
      <c r="G122" s="3" t="s">
        <v>548</v>
      </c>
      <c r="H122" s="3">
        <v>6.8</v>
      </c>
      <c r="I122" s="3">
        <v>24.4</v>
      </c>
    </row>
    <row r="123" spans="1:9" s="3" customFormat="1" x14ac:dyDescent="0.25">
      <c r="A123" s="3" t="s">
        <v>301</v>
      </c>
      <c r="B123" s="3" t="s">
        <v>531</v>
      </c>
      <c r="F123" s="3" t="s">
        <v>604</v>
      </c>
      <c r="G123" s="3" t="s">
        <v>605</v>
      </c>
      <c r="H123" s="3">
        <v>3</v>
      </c>
      <c r="I123" s="3">
        <v>10.9</v>
      </c>
    </row>
    <row r="124" spans="1:9" s="3" customFormat="1" x14ac:dyDescent="0.25">
      <c r="A124" s="3" t="s">
        <v>301</v>
      </c>
      <c r="B124" s="3" t="s">
        <v>531</v>
      </c>
      <c r="F124" s="3" t="s">
        <v>569</v>
      </c>
      <c r="G124" s="3" t="s">
        <v>570</v>
      </c>
      <c r="H124" s="3">
        <v>1.9</v>
      </c>
      <c r="I124" s="3">
        <v>6.7</v>
      </c>
    </row>
    <row r="125" spans="1:9" s="3" customFormat="1" x14ac:dyDescent="0.25">
      <c r="A125" s="3" t="s">
        <v>301</v>
      </c>
      <c r="B125" s="3" t="s">
        <v>531</v>
      </c>
      <c r="F125" s="3" t="s">
        <v>561</v>
      </c>
      <c r="G125" s="3" t="s">
        <v>562</v>
      </c>
      <c r="H125" s="3">
        <v>1.8</v>
      </c>
      <c r="I125" s="3">
        <v>6.4</v>
      </c>
    </row>
    <row r="126" spans="1:9" s="3" customFormat="1" x14ac:dyDescent="0.25">
      <c r="A126" s="3" t="s">
        <v>301</v>
      </c>
      <c r="B126" s="3" t="s">
        <v>531</v>
      </c>
      <c r="F126" s="3" t="s">
        <v>592</v>
      </c>
      <c r="G126" s="3" t="s">
        <v>102</v>
      </c>
      <c r="H126" s="3">
        <v>1.8</v>
      </c>
      <c r="I126" s="3">
        <v>6.3</v>
      </c>
    </row>
    <row r="127" spans="1:9" s="3" customFormat="1" x14ac:dyDescent="0.25">
      <c r="A127" s="3" t="s">
        <v>301</v>
      </c>
      <c r="B127" s="3" t="s">
        <v>531</v>
      </c>
      <c r="F127" s="3" t="s">
        <v>573</v>
      </c>
      <c r="G127" s="3" t="s">
        <v>574</v>
      </c>
      <c r="H127" s="3">
        <v>1.2</v>
      </c>
      <c r="I127" s="3">
        <v>4.4</v>
      </c>
    </row>
    <row r="128" spans="1:9" s="3" customFormat="1" x14ac:dyDescent="0.25">
      <c r="A128" s="3" t="s">
        <v>301</v>
      </c>
      <c r="B128" s="3" t="s">
        <v>531</v>
      </c>
      <c r="F128" s="3" t="s">
        <v>563</v>
      </c>
      <c r="G128" s="3" t="s">
        <v>564</v>
      </c>
      <c r="H128" s="3">
        <v>1.2</v>
      </c>
      <c r="I128" s="3">
        <v>4.2</v>
      </c>
    </row>
    <row r="129" spans="1:9" s="3" customFormat="1" x14ac:dyDescent="0.25">
      <c r="A129" s="3" t="s">
        <v>119</v>
      </c>
      <c r="B129" s="3" t="s">
        <v>120</v>
      </c>
      <c r="C129" s="3">
        <v>143.9</v>
      </c>
      <c r="D129" s="3">
        <v>19.4</v>
      </c>
      <c r="E129" s="3">
        <v>13.5</v>
      </c>
      <c r="F129" s="3" t="s">
        <v>595</v>
      </c>
      <c r="G129" s="3" t="s">
        <v>596</v>
      </c>
      <c r="H129" s="3">
        <v>2.7</v>
      </c>
      <c r="I129" s="3">
        <v>14</v>
      </c>
    </row>
    <row r="130" spans="1:9" s="3" customFormat="1" x14ac:dyDescent="0.25">
      <c r="A130" s="3" t="s">
        <v>119</v>
      </c>
      <c r="B130" s="3" t="s">
        <v>120</v>
      </c>
      <c r="F130" s="3" t="s">
        <v>547</v>
      </c>
      <c r="G130" s="3" t="s">
        <v>548</v>
      </c>
      <c r="H130" s="3">
        <v>2.4</v>
      </c>
      <c r="I130" s="3">
        <v>12.2</v>
      </c>
    </row>
    <row r="131" spans="1:9" s="3" customFormat="1" x14ac:dyDescent="0.25">
      <c r="A131" s="3" t="s">
        <v>119</v>
      </c>
      <c r="B131" s="3" t="s">
        <v>120</v>
      </c>
      <c r="F131" s="3" t="s">
        <v>602</v>
      </c>
      <c r="G131" s="3" t="s">
        <v>603</v>
      </c>
      <c r="H131" s="3">
        <v>2.1</v>
      </c>
      <c r="I131" s="3">
        <v>10.7</v>
      </c>
    </row>
    <row r="132" spans="1:9" s="3" customFormat="1" x14ac:dyDescent="0.25">
      <c r="A132" s="3" t="s">
        <v>119</v>
      </c>
      <c r="B132" s="3" t="s">
        <v>120</v>
      </c>
      <c r="F132" s="3" t="s">
        <v>598</v>
      </c>
      <c r="G132" s="3" t="s">
        <v>599</v>
      </c>
      <c r="H132" s="3">
        <v>1.9</v>
      </c>
      <c r="I132" s="3">
        <v>10</v>
      </c>
    </row>
    <row r="133" spans="1:9" s="3" customFormat="1" x14ac:dyDescent="0.25">
      <c r="A133" s="3" t="s">
        <v>119</v>
      </c>
      <c r="B133" s="3" t="s">
        <v>120</v>
      </c>
      <c r="F133" s="3" t="s">
        <v>597</v>
      </c>
      <c r="G133" s="3" t="s">
        <v>108</v>
      </c>
      <c r="H133" s="3">
        <v>1.8</v>
      </c>
      <c r="I133" s="3">
        <v>9.4</v>
      </c>
    </row>
    <row r="134" spans="1:9" s="3" customFormat="1" x14ac:dyDescent="0.25">
      <c r="A134" s="3" t="s">
        <v>119</v>
      </c>
      <c r="B134" s="3" t="s">
        <v>120</v>
      </c>
      <c r="F134" s="3" t="s">
        <v>565</v>
      </c>
      <c r="G134" s="3" t="s">
        <v>566</v>
      </c>
      <c r="H134" s="3">
        <v>1.1</v>
      </c>
      <c r="I134" s="3">
        <v>5.8</v>
      </c>
    </row>
    <row r="135" spans="1:9" s="3" customFormat="1" x14ac:dyDescent="0.25">
      <c r="A135" s="3" t="s">
        <v>119</v>
      </c>
      <c r="B135" s="3" t="s">
        <v>120</v>
      </c>
      <c r="F135" s="3" t="s">
        <v>573</v>
      </c>
      <c r="G135" s="3" t="s">
        <v>574</v>
      </c>
      <c r="H135" s="3">
        <v>1.1</v>
      </c>
      <c r="I135" s="3">
        <v>5.7</v>
      </c>
    </row>
  </sheetData>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H15"/>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3" customWidth="1"/>
    <col min="4" max="4" width="22" customWidth="1"/>
    <col min="5" max="5" width="15" customWidth="1"/>
    <col min="6" max="6" width="52" customWidth="1"/>
    <col min="7" max="7" width="65" customWidth="1"/>
    <col min="8" max="8" width="55" customWidth="1"/>
  </cols>
  <sheetData>
    <row r="1" ht="30" customHeight="1" spans="1:8" s="21" customFormat="1" x14ac:dyDescent="0.25">
      <c r="A1" s="42" t="s">
        <v>606</v>
      </c>
      <c r="B1" s="42" t="s">
        <v>607</v>
      </c>
      <c r="C1" s="42" t="s">
        <v>608</v>
      </c>
      <c r="D1" s="42" t="s">
        <v>609</v>
      </c>
      <c r="E1" s="42" t="s">
        <v>610</v>
      </c>
      <c r="F1" s="42" t="s">
        <v>611</v>
      </c>
      <c r="G1" s="42" t="s">
        <v>612</v>
      </c>
      <c r="H1" s="42" t="s">
        <v>613</v>
      </c>
    </row>
    <row r="2" spans="1:8" s="3" customFormat="1" x14ac:dyDescent="0.25">
      <c r="A2" s="3" t="s">
        <v>614</v>
      </c>
      <c r="B2" s="3" t="s">
        <v>615</v>
      </c>
      <c r="C2" s="3">
        <v>100</v>
      </c>
      <c r="D2" s="3" t="s">
        <v>60</v>
      </c>
      <c r="E2" s="3">
        <v>100</v>
      </c>
      <c r="F2" s="3" t="s">
        <v>616</v>
      </c>
      <c r="G2" s="3" t="s">
        <v>617</v>
      </c>
      <c r="H2" s="3" t="s">
        <v>618</v>
      </c>
    </row>
    <row r="3" spans="1:8" s="3" customFormat="1" x14ac:dyDescent="0.25">
      <c r="A3" s="3" t="s">
        <v>619</v>
      </c>
      <c r="B3" s="3" t="s">
        <v>615</v>
      </c>
      <c r="C3" s="3">
        <v>100</v>
      </c>
      <c r="D3" s="3" t="s">
        <v>60</v>
      </c>
      <c r="E3" s="3">
        <v>85</v>
      </c>
      <c r="F3" s="3" t="s">
        <v>620</v>
      </c>
      <c r="G3" s="3" t="s">
        <v>621</v>
      </c>
      <c r="H3" s="3" t="s">
        <v>618</v>
      </c>
    </row>
    <row r="4" spans="1:8" s="3" customFormat="1" x14ac:dyDescent="0.25">
      <c r="A4" s="3" t="s">
        <v>622</v>
      </c>
      <c r="B4" s="3" t="s">
        <v>615</v>
      </c>
      <c r="C4" s="3">
        <v>100</v>
      </c>
      <c r="D4" s="3" t="s">
        <v>60</v>
      </c>
      <c r="E4" s="3">
        <v>93</v>
      </c>
      <c r="F4" s="3" t="s">
        <v>623</v>
      </c>
      <c r="G4" s="3" t="s">
        <v>624</v>
      </c>
      <c r="H4" s="3" t="s">
        <v>625</v>
      </c>
    </row>
    <row r="5" spans="1:8" s="3" customFormat="1" x14ac:dyDescent="0.25">
      <c r="A5" s="3" t="s">
        <v>626</v>
      </c>
      <c r="B5" s="3" t="s">
        <v>615</v>
      </c>
      <c r="C5" s="3">
        <v>100</v>
      </c>
      <c r="D5" s="3" t="s">
        <v>66</v>
      </c>
      <c r="E5" s="3">
        <v>98</v>
      </c>
      <c r="F5" s="3" t="s">
        <v>627</v>
      </c>
      <c r="G5" s="3" t="s">
        <v>628</v>
      </c>
      <c r="H5" s="3" t="s">
        <v>618</v>
      </c>
    </row>
    <row r="6" spans="1:8" s="3" customFormat="1" x14ac:dyDescent="0.25">
      <c r="A6" s="3" t="s">
        <v>629</v>
      </c>
      <c r="B6" s="3" t="s">
        <v>615</v>
      </c>
      <c r="C6" s="3">
        <v>76</v>
      </c>
      <c r="D6" s="3" t="s">
        <v>62</v>
      </c>
      <c r="E6" s="3">
        <v>63</v>
      </c>
      <c r="F6" s="3" t="s">
        <v>630</v>
      </c>
      <c r="G6" s="3" t="s">
        <v>631</v>
      </c>
      <c r="H6" s="3" t="s">
        <v>618</v>
      </c>
    </row>
    <row r="7" spans="1:8" s="3" customFormat="1" x14ac:dyDescent="0.25">
      <c r="A7" s="3" t="s">
        <v>632</v>
      </c>
      <c r="B7" s="3" t="s">
        <v>615</v>
      </c>
      <c r="C7" s="3">
        <v>100</v>
      </c>
      <c r="D7" s="3" t="s">
        <v>60</v>
      </c>
      <c r="E7" s="3">
        <v>43</v>
      </c>
      <c r="F7" s="3" t="s">
        <v>633</v>
      </c>
      <c r="G7" s="3" t="s">
        <v>634</v>
      </c>
      <c r="H7" s="3" t="s">
        <v>635</v>
      </c>
    </row>
    <row r="8" spans="1:8" s="3" customFormat="1" x14ac:dyDescent="0.25">
      <c r="A8" s="3" t="s">
        <v>636</v>
      </c>
      <c r="B8" s="3" t="s">
        <v>615</v>
      </c>
      <c r="C8" s="3">
        <v>100</v>
      </c>
      <c r="D8" s="3" t="s">
        <v>60</v>
      </c>
      <c r="E8" s="3">
        <v>77</v>
      </c>
      <c r="F8" s="3" t="s">
        <v>637</v>
      </c>
      <c r="G8" s="3" t="s">
        <v>638</v>
      </c>
      <c r="H8" s="3" t="s">
        <v>635</v>
      </c>
    </row>
    <row r="9" spans="1:8" s="3" customFormat="1" x14ac:dyDescent="0.25">
      <c r="A9" s="3" t="s">
        <v>639</v>
      </c>
      <c r="B9" s="3" t="s">
        <v>615</v>
      </c>
      <c r="C9" s="3">
        <v>100</v>
      </c>
      <c r="D9" s="3" t="s">
        <v>60</v>
      </c>
      <c r="E9" s="3">
        <v>45</v>
      </c>
      <c r="F9" s="3" t="s">
        <v>640</v>
      </c>
      <c r="G9" s="3" t="s">
        <v>641</v>
      </c>
      <c r="H9" s="3" t="s">
        <v>618</v>
      </c>
    </row>
    <row r="10" spans="1:8" s="3" customFormat="1" x14ac:dyDescent="0.25">
      <c r="A10" s="3" t="s">
        <v>642</v>
      </c>
      <c r="B10" s="3" t="s">
        <v>615</v>
      </c>
      <c r="C10" s="3">
        <v>100</v>
      </c>
      <c r="D10" s="3" t="s">
        <v>59</v>
      </c>
      <c r="E10" s="3">
        <v>70</v>
      </c>
      <c r="F10" s="3" t="s">
        <v>643</v>
      </c>
      <c r="G10" s="3" t="s">
        <v>644</v>
      </c>
      <c r="H10" s="3" t="s">
        <v>645</v>
      </c>
    </row>
    <row r="11" spans="1:8" s="3" customFormat="1" x14ac:dyDescent="0.25">
      <c r="A11" s="3" t="s">
        <v>646</v>
      </c>
      <c r="B11" s="3" t="s">
        <v>615</v>
      </c>
      <c r="C11" s="3">
        <v>100</v>
      </c>
      <c r="D11" s="3" t="s">
        <v>63</v>
      </c>
      <c r="E11" s="3">
        <v>71</v>
      </c>
      <c r="F11" s="3" t="s">
        <v>647</v>
      </c>
      <c r="G11" s="3" t="s">
        <v>648</v>
      </c>
      <c r="H11" s="3" t="s">
        <v>618</v>
      </c>
    </row>
    <row r="12" spans="1:8" s="3" customFormat="1" x14ac:dyDescent="0.25">
      <c r="A12" s="3" t="s">
        <v>649</v>
      </c>
      <c r="B12" s="3" t="s">
        <v>615</v>
      </c>
      <c r="C12" s="3" t="s">
        <v>650</v>
      </c>
      <c r="D12" s="3" t="s">
        <v>60</v>
      </c>
      <c r="E12" s="3">
        <v>68</v>
      </c>
      <c r="F12" s="3" t="s">
        <v>651</v>
      </c>
      <c r="G12" s="3" t="s">
        <v>652</v>
      </c>
      <c r="H12" s="3" t="s">
        <v>645</v>
      </c>
    </row>
    <row r="13" spans="1:8" s="3" customFormat="1" x14ac:dyDescent="0.25">
      <c r="A13" s="3" t="s">
        <v>653</v>
      </c>
      <c r="B13" s="3" t="s">
        <v>654</v>
      </c>
      <c r="C13" s="3">
        <v>100</v>
      </c>
      <c r="D13" s="3" t="s">
        <v>58</v>
      </c>
      <c r="E13" s="3">
        <v>92</v>
      </c>
      <c r="F13" s="3" t="s">
        <v>655</v>
      </c>
      <c r="G13" s="3" t="s">
        <v>656</v>
      </c>
      <c r="H13" s="3" t="s">
        <v>618</v>
      </c>
    </row>
    <row r="14" spans="1:8" s="3" customFormat="1" x14ac:dyDescent="0.25">
      <c r="A14" s="3" t="s">
        <v>657</v>
      </c>
      <c r="B14" s="3" t="s">
        <v>615</v>
      </c>
      <c r="C14" s="3">
        <v>63</v>
      </c>
      <c r="D14" s="3" t="s">
        <v>60</v>
      </c>
      <c r="E14" s="3">
        <v>76</v>
      </c>
      <c r="F14" s="3" t="s">
        <v>658</v>
      </c>
      <c r="G14" s="3" t="s">
        <v>659</v>
      </c>
      <c r="H14" s="3" t="s">
        <v>618</v>
      </c>
    </row>
    <row r="15" spans="1:8" s="3" customFormat="1" x14ac:dyDescent="0.25">
      <c r="A15" s="3" t="s">
        <v>660</v>
      </c>
      <c r="B15" s="3" t="s">
        <v>654</v>
      </c>
      <c r="C15" s="3">
        <v>100</v>
      </c>
      <c r="D15" s="3" t="s">
        <v>60</v>
      </c>
      <c r="E15" s="3">
        <v>66</v>
      </c>
      <c r="F15" s="3" t="s">
        <v>661</v>
      </c>
      <c r="G15" s="3" t="s">
        <v>662</v>
      </c>
      <c r="H15" s="3" t="s">
        <v>618</v>
      </c>
    </row>
  </sheetData>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I12"/>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15" customWidth="1"/>
    <col min="4" max="4" width="13" customWidth="1"/>
    <col min="5" max="5" width="20" customWidth="1"/>
    <col min="6" max="6" width="12" customWidth="1"/>
    <col min="7" max="7" width="34" customWidth="1"/>
    <col min="8" max="8" width="80" customWidth="1"/>
    <col min="9" max="9" width="50" customWidth="1"/>
  </cols>
  <sheetData>
    <row r="1" ht="30" customHeight="1" spans="1:9" s="21" customFormat="1" x14ac:dyDescent="0.25">
      <c r="A1" s="42" t="s">
        <v>663</v>
      </c>
      <c r="B1" s="42" t="s">
        <v>664</v>
      </c>
      <c r="C1" s="42" t="s">
        <v>665</v>
      </c>
      <c r="D1" s="42" t="s">
        <v>608</v>
      </c>
      <c r="E1" s="42" t="s">
        <v>666</v>
      </c>
      <c r="F1" s="42" t="s">
        <v>667</v>
      </c>
      <c r="G1" s="42" t="s">
        <v>668</v>
      </c>
      <c r="H1" s="42" t="s">
        <v>612</v>
      </c>
      <c r="I1" s="42" t="s">
        <v>613</v>
      </c>
    </row>
    <row r="2" spans="1:9" s="3" customFormat="1" x14ac:dyDescent="0.25">
      <c r="A2" s="3" t="s">
        <v>669</v>
      </c>
      <c r="B2" s="3" t="s">
        <v>670</v>
      </c>
      <c r="C2" s="3" t="s">
        <v>671</v>
      </c>
      <c r="D2" s="3" t="s">
        <v>650</v>
      </c>
      <c r="E2" s="3" t="s">
        <v>60</v>
      </c>
      <c r="F2" s="3">
        <v>98</v>
      </c>
      <c r="G2" s="3" t="s">
        <v>672</v>
      </c>
      <c r="H2" s="3" t="s">
        <v>673</v>
      </c>
      <c r="I2" s="3" t="s">
        <v>674</v>
      </c>
    </row>
    <row r="3" spans="1:9" s="3" customFormat="1" x14ac:dyDescent="0.25">
      <c r="A3" s="3" t="s">
        <v>675</v>
      </c>
      <c r="B3" s="3" t="s">
        <v>670</v>
      </c>
      <c r="C3" s="3" t="s">
        <v>676</v>
      </c>
      <c r="D3" s="3">
        <v>90</v>
      </c>
      <c r="E3" s="3" t="s">
        <v>60</v>
      </c>
      <c r="F3" s="3">
        <v>87</v>
      </c>
      <c r="G3" s="3" t="s">
        <v>677</v>
      </c>
      <c r="H3" s="3" t="s">
        <v>678</v>
      </c>
      <c r="I3" s="3" t="s">
        <v>679</v>
      </c>
    </row>
    <row r="4" spans="1:9" s="3" customFormat="1" x14ac:dyDescent="0.25">
      <c r="A4" s="3" t="s">
        <v>680</v>
      </c>
      <c r="B4" s="3" t="s">
        <v>681</v>
      </c>
      <c r="C4" s="3" t="s">
        <v>105</v>
      </c>
      <c r="D4" s="3" t="s">
        <v>650</v>
      </c>
      <c r="E4" s="3" t="s">
        <v>60</v>
      </c>
      <c r="F4" s="3">
        <v>90</v>
      </c>
      <c r="G4" s="3" t="s">
        <v>682</v>
      </c>
      <c r="H4" s="3" t="s">
        <v>683</v>
      </c>
      <c r="I4" s="3" t="s">
        <v>684</v>
      </c>
    </row>
    <row r="5" spans="1:9" s="3" customFormat="1" x14ac:dyDescent="0.25">
      <c r="A5" s="3" t="s">
        <v>685</v>
      </c>
      <c r="B5" s="3" t="s">
        <v>681</v>
      </c>
      <c r="C5" s="3" t="s">
        <v>105</v>
      </c>
      <c r="D5" s="3" t="s">
        <v>650</v>
      </c>
      <c r="E5" s="3" t="s">
        <v>60</v>
      </c>
      <c r="F5" s="3" t="s">
        <v>650</v>
      </c>
      <c r="G5" s="3" t="s">
        <v>686</v>
      </c>
      <c r="H5" s="3" t="s">
        <v>687</v>
      </c>
      <c r="I5" s="3" t="s">
        <v>688</v>
      </c>
    </row>
    <row r="6" spans="1:9" s="3" customFormat="1" x14ac:dyDescent="0.25">
      <c r="A6" s="3" t="s">
        <v>689</v>
      </c>
      <c r="B6" s="3" t="s">
        <v>681</v>
      </c>
      <c r="C6" s="3" t="s">
        <v>105</v>
      </c>
      <c r="D6" s="3" t="s">
        <v>650</v>
      </c>
      <c r="E6" s="3" t="s">
        <v>65</v>
      </c>
      <c r="F6" s="3">
        <v>92</v>
      </c>
      <c r="G6" s="3" t="s">
        <v>690</v>
      </c>
      <c r="H6" s="3" t="s">
        <v>691</v>
      </c>
      <c r="I6" s="3" t="s">
        <v>692</v>
      </c>
    </row>
    <row r="7" spans="1:9" s="3" customFormat="1" x14ac:dyDescent="0.25">
      <c r="A7" s="3" t="s">
        <v>693</v>
      </c>
      <c r="B7" s="3" t="s">
        <v>96</v>
      </c>
      <c r="C7" s="3" t="s">
        <v>95</v>
      </c>
      <c r="D7" s="3">
        <v>80</v>
      </c>
      <c r="E7" s="3" t="s">
        <v>61</v>
      </c>
      <c r="F7" s="3">
        <v>45</v>
      </c>
      <c r="G7" s="3" t="s">
        <v>694</v>
      </c>
      <c r="H7" s="3" t="s">
        <v>695</v>
      </c>
      <c r="I7" s="3" t="s">
        <v>696</v>
      </c>
    </row>
    <row r="8" spans="1:9" s="3" customFormat="1" x14ac:dyDescent="0.25">
      <c r="A8" s="3" t="s">
        <v>697</v>
      </c>
      <c r="B8" s="3" t="s">
        <v>698</v>
      </c>
      <c r="C8" s="3" t="s">
        <v>81</v>
      </c>
      <c r="D8" s="3" t="s">
        <v>650</v>
      </c>
      <c r="E8" s="3" t="s">
        <v>60</v>
      </c>
      <c r="F8" s="3">
        <v>29</v>
      </c>
      <c r="G8" s="3" t="s">
        <v>699</v>
      </c>
      <c r="H8" s="3" t="s">
        <v>700</v>
      </c>
      <c r="I8" s="3" t="s">
        <v>701</v>
      </c>
    </row>
    <row r="9" spans="1:9" s="3" customFormat="1" x14ac:dyDescent="0.25">
      <c r="A9" s="3" t="s">
        <v>702</v>
      </c>
      <c r="B9" s="3" t="s">
        <v>98</v>
      </c>
      <c r="C9" s="3" t="s">
        <v>97</v>
      </c>
      <c r="D9" s="3">
        <v>100</v>
      </c>
      <c r="E9" s="3" t="s">
        <v>64</v>
      </c>
      <c r="F9" s="3">
        <v>65</v>
      </c>
      <c r="G9" s="3" t="s">
        <v>703</v>
      </c>
      <c r="H9" s="3" t="s">
        <v>704</v>
      </c>
      <c r="I9" s="3" t="s">
        <v>705</v>
      </c>
    </row>
    <row r="10" spans="1:9" s="3" customFormat="1" x14ac:dyDescent="0.25">
      <c r="A10" s="3" t="s">
        <v>706</v>
      </c>
      <c r="B10" s="3" t="s">
        <v>670</v>
      </c>
      <c r="C10" s="3" t="s">
        <v>109</v>
      </c>
      <c r="D10" s="3" t="s">
        <v>650</v>
      </c>
      <c r="E10" s="3" t="s">
        <v>60</v>
      </c>
      <c r="F10" s="3">
        <v>60</v>
      </c>
      <c r="G10" s="3" t="s">
        <v>707</v>
      </c>
      <c r="H10" s="3" t="s">
        <v>708</v>
      </c>
      <c r="I10" s="3" t="s">
        <v>709</v>
      </c>
    </row>
    <row r="11" spans="1:9" s="3" customFormat="1" x14ac:dyDescent="0.25">
      <c r="A11" s="3" t="s">
        <v>483</v>
      </c>
      <c r="B11" s="3" t="s">
        <v>698</v>
      </c>
      <c r="C11" s="3" t="s">
        <v>115</v>
      </c>
      <c r="D11" s="3" t="s">
        <v>650</v>
      </c>
      <c r="E11" s="3" t="s">
        <v>60</v>
      </c>
      <c r="F11" s="3">
        <v>57</v>
      </c>
      <c r="G11" s="3" t="s">
        <v>710</v>
      </c>
      <c r="H11" s="3" t="s">
        <v>711</v>
      </c>
      <c r="I11" s="3" t="s">
        <v>712</v>
      </c>
    </row>
    <row r="12" spans="1:9" s="3" customFormat="1" x14ac:dyDescent="0.25">
      <c r="A12" s="3" t="s">
        <v>713</v>
      </c>
      <c r="B12" s="3" t="s">
        <v>714</v>
      </c>
      <c r="C12" s="3" t="s">
        <v>117</v>
      </c>
      <c r="D12" s="3" t="s">
        <v>650</v>
      </c>
      <c r="E12" s="3" t="s">
        <v>60</v>
      </c>
      <c r="F12" s="3">
        <v>50</v>
      </c>
      <c r="G12" s="3" t="s">
        <v>715</v>
      </c>
      <c r="H12" s="3" t="s">
        <v>716</v>
      </c>
      <c r="I12" s="3" t="s">
        <v>717</v>
      </c>
    </row>
  </sheetData>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4B7F"/>
  </sheetPr>
  <dimension ref="A1:H7"/>
  <sheetViews>
    <sheetView workbookViewId="0">
      <pane ySplit="1" topLeftCell="A2" activePane="bottomLeft" state="frozen"/>
      <selection pane="bottomLeft"/>
    </sheetView>
  </sheetViews>
  <sheetFormatPr defaultRowHeight="15" outlineLevelRow="0" outlineLevelCol="0" x14ac:dyDescent="55"/>
  <cols>
    <col min="1" max="1" width="36" customWidth="1"/>
    <col min="2" max="2" width="14" customWidth="1"/>
    <col min="3" max="3" width="28" customWidth="1"/>
    <col min="4" max="4" width="13" customWidth="1"/>
    <col min="5" max="5" width="20" customWidth="1"/>
    <col min="6" max="6" width="11" customWidth="1"/>
    <col min="7" max="7" width="90" customWidth="1"/>
    <col min="8" max="8" width="50" customWidth="1"/>
  </cols>
  <sheetData>
    <row r="1" ht="30" customHeight="1" spans="1:8" s="21" customFormat="1" x14ac:dyDescent="0.25">
      <c r="A1" s="22" t="s">
        <v>718</v>
      </c>
      <c r="B1" s="22" t="s">
        <v>665</v>
      </c>
      <c r="C1" s="22" t="s">
        <v>719</v>
      </c>
      <c r="D1" s="22" t="s">
        <v>608</v>
      </c>
      <c r="E1" s="22" t="s">
        <v>609</v>
      </c>
      <c r="F1" s="22" t="s">
        <v>667</v>
      </c>
      <c r="G1" s="22" t="s">
        <v>720</v>
      </c>
      <c r="H1" s="22" t="s">
        <v>613</v>
      </c>
    </row>
    <row r="2" spans="1:8" s="3" customFormat="1" x14ac:dyDescent="0.25">
      <c r="A2" s="3" t="s">
        <v>721</v>
      </c>
      <c r="B2" s="3" t="s">
        <v>676</v>
      </c>
      <c r="C2" s="3" t="s">
        <v>722</v>
      </c>
      <c r="D2" s="3">
        <v>100</v>
      </c>
      <c r="E2" s="3" t="s">
        <v>60</v>
      </c>
      <c r="F2" s="3">
        <v>98</v>
      </c>
      <c r="G2" s="3" t="s">
        <v>723</v>
      </c>
      <c r="H2" s="3" t="s">
        <v>692</v>
      </c>
    </row>
    <row r="3" spans="1:8" s="3" customFormat="1" x14ac:dyDescent="0.25">
      <c r="A3" s="3" t="s">
        <v>622</v>
      </c>
      <c r="B3" s="3" t="s">
        <v>101</v>
      </c>
      <c r="C3" s="3" t="s">
        <v>724</v>
      </c>
      <c r="D3" s="3">
        <v>100</v>
      </c>
      <c r="E3" s="3" t="s">
        <v>60</v>
      </c>
      <c r="F3" s="3">
        <v>93</v>
      </c>
      <c r="G3" s="3" t="s">
        <v>725</v>
      </c>
      <c r="H3" s="3" t="s">
        <v>692</v>
      </c>
    </row>
    <row r="4" spans="1:8" s="3" customFormat="1" x14ac:dyDescent="0.25">
      <c r="A4" s="3" t="s">
        <v>726</v>
      </c>
      <c r="B4" s="3" t="s">
        <v>95</v>
      </c>
      <c r="C4" s="3" t="s">
        <v>727</v>
      </c>
      <c r="D4" s="3" t="s">
        <v>650</v>
      </c>
      <c r="E4" s="3" t="s">
        <v>61</v>
      </c>
      <c r="F4" s="3" t="s">
        <v>650</v>
      </c>
      <c r="G4" s="3" t="s">
        <v>728</v>
      </c>
      <c r="H4" s="3" t="s">
        <v>692</v>
      </c>
    </row>
    <row r="5" spans="1:8" s="3" customFormat="1" x14ac:dyDescent="0.25">
      <c r="A5" s="3" t="s">
        <v>729</v>
      </c>
      <c r="B5" s="3" t="s">
        <v>105</v>
      </c>
      <c r="C5" s="3" t="s">
        <v>730</v>
      </c>
      <c r="D5" s="3" t="s">
        <v>650</v>
      </c>
      <c r="E5" s="3" t="s">
        <v>65</v>
      </c>
      <c r="F5" s="3" t="s">
        <v>650</v>
      </c>
      <c r="G5" s="3" t="s">
        <v>731</v>
      </c>
      <c r="H5" s="3" t="s">
        <v>692</v>
      </c>
    </row>
    <row r="6" spans="1:8" s="3" customFormat="1" x14ac:dyDescent="0.25">
      <c r="A6" s="3" t="s">
        <v>732</v>
      </c>
      <c r="B6" s="3" t="s">
        <v>733</v>
      </c>
      <c r="C6" s="3" t="s">
        <v>724</v>
      </c>
      <c r="D6" s="3">
        <v>100</v>
      </c>
      <c r="E6" s="3" t="s">
        <v>66</v>
      </c>
      <c r="F6" s="3">
        <v>98</v>
      </c>
      <c r="G6" s="3" t="s">
        <v>734</v>
      </c>
      <c r="H6" s="3" t="s">
        <v>618</v>
      </c>
    </row>
    <row r="7" spans="1:8" s="3" customFormat="1" x14ac:dyDescent="0.25">
      <c r="A7" s="3" t="s">
        <v>646</v>
      </c>
      <c r="B7" s="3" t="s">
        <v>735</v>
      </c>
      <c r="C7" s="3" t="s">
        <v>736</v>
      </c>
      <c r="D7" s="3">
        <v>100</v>
      </c>
      <c r="E7" s="3" t="s">
        <v>63</v>
      </c>
      <c r="F7" s="3">
        <v>71</v>
      </c>
      <c r="G7" s="3" t="s">
        <v>737</v>
      </c>
      <c r="H7" s="3" t="s">
        <v>618</v>
      </c>
    </row>
  </sheetData>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33"/>
  </sheetPr>
  <dimension ref="A1:F18"/>
  <sheetViews>
    <sheetView workbookViewId="0">
      <pane ySplit="1" topLeftCell="A2" activePane="bottomLeft" state="frozen"/>
      <selection pane="bottomLeft"/>
    </sheetView>
  </sheetViews>
  <sheetFormatPr defaultRowHeight="15" outlineLevelRow="0" outlineLevelCol="0" x14ac:dyDescent="55"/>
  <cols>
    <col min="1" max="1" width="42" customWidth="1"/>
    <col min="2" max="2" width="26" customWidth="1"/>
    <col min="3" max="3" width="13" customWidth="1"/>
    <col min="4" max="4" width="8" customWidth="1"/>
    <col min="5" max="5" width="85" customWidth="1"/>
    <col min="6" max="6" width="55" customWidth="1"/>
  </cols>
  <sheetData>
    <row r="1" ht="30" customHeight="1" spans="1:6" s="21" customFormat="1" x14ac:dyDescent="0.25">
      <c r="A1" s="35" t="s">
        <v>738</v>
      </c>
      <c r="B1" s="35" t="s">
        <v>739</v>
      </c>
      <c r="C1" s="35" t="s">
        <v>740</v>
      </c>
      <c r="D1" s="35" t="s">
        <v>741</v>
      </c>
      <c r="E1" s="35" t="s">
        <v>612</v>
      </c>
      <c r="F1" s="35" t="s">
        <v>613</v>
      </c>
    </row>
    <row r="2" spans="1:6" s="3" customFormat="1" x14ac:dyDescent="0.25">
      <c r="A2" s="3" t="s">
        <v>742</v>
      </c>
      <c r="B2" s="3" t="s">
        <v>743</v>
      </c>
      <c r="C2" s="3">
        <v>57.3</v>
      </c>
      <c r="D2" s="3" t="s">
        <v>744</v>
      </c>
      <c r="E2" s="3" t="s">
        <v>745</v>
      </c>
      <c r="F2" s="3" t="s">
        <v>746</v>
      </c>
    </row>
    <row r="3" spans="1:6" s="3" customFormat="1" x14ac:dyDescent="0.25">
      <c r="A3" s="3" t="s">
        <v>747</v>
      </c>
      <c r="B3" s="3" t="s">
        <v>748</v>
      </c>
      <c r="C3" s="3">
        <v>96.6</v>
      </c>
      <c r="D3" s="3" t="s">
        <v>744</v>
      </c>
      <c r="E3" s="3" t="s">
        <v>749</v>
      </c>
      <c r="F3" s="3" t="s">
        <v>746</v>
      </c>
    </row>
    <row r="4" spans="1:6" s="3" customFormat="1" x14ac:dyDescent="0.25">
      <c r="A4" s="3" t="s">
        <v>750</v>
      </c>
      <c r="B4" s="3" t="s">
        <v>751</v>
      </c>
      <c r="C4" s="3">
        <v>85</v>
      </c>
      <c r="D4" s="3" t="s">
        <v>744</v>
      </c>
      <c r="E4" s="3" t="s">
        <v>752</v>
      </c>
      <c r="F4" s="3" t="s">
        <v>746</v>
      </c>
    </row>
    <row r="5" spans="1:6" s="3" customFormat="1" x14ac:dyDescent="0.25">
      <c r="A5" s="3" t="s">
        <v>753</v>
      </c>
      <c r="B5" s="3" t="s">
        <v>754</v>
      </c>
      <c r="C5" s="3">
        <v>15</v>
      </c>
      <c r="D5" s="3" t="s">
        <v>755</v>
      </c>
      <c r="E5" s="3" t="s">
        <v>756</v>
      </c>
      <c r="F5" s="3" t="s">
        <v>757</v>
      </c>
    </row>
    <row r="7" spans="1:6" s="3" customFormat="1" x14ac:dyDescent="0.25">
      <c r="A7" s="3" t="s">
        <v>758</v>
      </c>
      <c r="B7" s="3" t="s">
        <v>759</v>
      </c>
      <c r="C7" s="3">
        <v>55.5</v>
      </c>
      <c r="D7" s="3" t="s">
        <v>760</v>
      </c>
      <c r="E7" s="3" t="s">
        <v>761</v>
      </c>
      <c r="F7" s="3" t="s">
        <v>746</v>
      </c>
    </row>
    <row r="8" spans="1:6" s="3" customFormat="1" x14ac:dyDescent="0.25">
      <c r="A8" s="3" t="s">
        <v>758</v>
      </c>
      <c r="B8" s="3" t="s">
        <v>759</v>
      </c>
      <c r="C8" s="3">
        <v>62.5</v>
      </c>
      <c r="D8" s="3" t="s">
        <v>762</v>
      </c>
      <c r="E8" s="3" t="s">
        <v>761</v>
      </c>
      <c r="F8" s="3" t="s">
        <v>746</v>
      </c>
    </row>
    <row r="9" spans="1:6" s="3" customFormat="1" x14ac:dyDescent="0.25">
      <c r="A9" s="3" t="s">
        <v>758</v>
      </c>
      <c r="B9" s="3" t="s">
        <v>759</v>
      </c>
      <c r="C9" s="3">
        <v>58.3</v>
      </c>
      <c r="D9" s="3" t="s">
        <v>755</v>
      </c>
      <c r="E9" s="3" t="s">
        <v>761</v>
      </c>
      <c r="F9" s="3" t="s">
        <v>746</v>
      </c>
    </row>
    <row r="10" spans="1:6" s="3" customFormat="1" x14ac:dyDescent="0.25">
      <c r="A10" s="3" t="s">
        <v>758</v>
      </c>
      <c r="B10" s="3" t="s">
        <v>759</v>
      </c>
      <c r="C10" s="3">
        <v>57.3</v>
      </c>
      <c r="D10" s="3" t="s">
        <v>744</v>
      </c>
      <c r="E10" s="3" t="s">
        <v>761</v>
      </c>
      <c r="F10" s="3" t="s">
        <v>746</v>
      </c>
    </row>
    <row r="11" spans="1:6" s="3" customFormat="1" x14ac:dyDescent="0.25">
      <c r="A11" s="3" t="s">
        <v>763</v>
      </c>
      <c r="B11" s="3" t="s">
        <v>759</v>
      </c>
      <c r="C11" s="3">
        <v>83.6</v>
      </c>
      <c r="D11" s="3" t="s">
        <v>760</v>
      </c>
      <c r="E11" s="3" t="s">
        <v>761</v>
      </c>
      <c r="F11" s="3" t="s">
        <v>746</v>
      </c>
    </row>
    <row r="12" spans="1:6" s="3" customFormat="1" x14ac:dyDescent="0.25">
      <c r="A12" s="3" t="s">
        <v>763</v>
      </c>
      <c r="B12" s="3" t="s">
        <v>759</v>
      </c>
      <c r="C12" s="3">
        <v>97.6</v>
      </c>
      <c r="D12" s="3" t="s">
        <v>762</v>
      </c>
      <c r="E12" s="3" t="s">
        <v>761</v>
      </c>
      <c r="F12" s="3" t="s">
        <v>746</v>
      </c>
    </row>
    <row r="13" spans="1:6" s="3" customFormat="1" x14ac:dyDescent="0.25">
      <c r="A13" s="3" t="s">
        <v>763</v>
      </c>
      <c r="B13" s="3" t="s">
        <v>759</v>
      </c>
      <c r="C13" s="3">
        <v>90</v>
      </c>
      <c r="D13" s="3" t="s">
        <v>755</v>
      </c>
      <c r="E13" s="3" t="s">
        <v>761</v>
      </c>
      <c r="F13" s="3" t="s">
        <v>746</v>
      </c>
    </row>
    <row r="14" spans="1:6" s="3" customFormat="1" x14ac:dyDescent="0.25">
      <c r="A14" s="3" t="s">
        <v>763</v>
      </c>
      <c r="B14" s="3" t="s">
        <v>759</v>
      </c>
      <c r="C14" s="3">
        <v>85</v>
      </c>
      <c r="D14" s="3" t="s">
        <v>744</v>
      </c>
      <c r="E14" s="3" t="s">
        <v>761</v>
      </c>
      <c r="F14" s="3" t="s">
        <v>746</v>
      </c>
    </row>
    <row r="15" spans="1:6" s="3" customFormat="1" x14ac:dyDescent="0.25">
      <c r="A15" s="3" t="s">
        <v>764</v>
      </c>
      <c r="B15" s="3" t="s">
        <v>759</v>
      </c>
      <c r="C15" s="3">
        <v>91.7</v>
      </c>
      <c r="D15" s="3" t="s">
        <v>760</v>
      </c>
      <c r="E15" s="3" t="s">
        <v>761</v>
      </c>
      <c r="F15" s="3" t="s">
        <v>746</v>
      </c>
    </row>
    <row r="16" spans="1:6" s="3" customFormat="1" x14ac:dyDescent="0.25">
      <c r="A16" s="3" t="s">
        <v>764</v>
      </c>
      <c r="B16" s="3" t="s">
        <v>759</v>
      </c>
      <c r="C16" s="3">
        <v>97.8</v>
      </c>
      <c r="D16" s="3" t="s">
        <v>762</v>
      </c>
      <c r="E16" s="3" t="s">
        <v>761</v>
      </c>
      <c r="F16" s="3" t="s">
        <v>746</v>
      </c>
    </row>
    <row r="17" spans="1:6" s="3" customFormat="1" x14ac:dyDescent="0.25">
      <c r="A17" s="3" t="s">
        <v>764</v>
      </c>
      <c r="B17" s="3" t="s">
        <v>759</v>
      </c>
      <c r="C17" s="3">
        <v>94.9</v>
      </c>
      <c r="D17" s="3" t="s">
        <v>755</v>
      </c>
      <c r="E17" s="3" t="s">
        <v>761</v>
      </c>
      <c r="F17" s="3" t="s">
        <v>746</v>
      </c>
    </row>
    <row r="18" spans="1:6" s="3" customFormat="1" x14ac:dyDescent="0.25">
      <c r="A18" s="3" t="s">
        <v>764</v>
      </c>
      <c r="B18" s="3" t="s">
        <v>759</v>
      </c>
      <c r="C18" s="3">
        <v>96.6</v>
      </c>
      <c r="D18" s="3" t="s">
        <v>744</v>
      </c>
      <c r="E18" s="3" t="s">
        <v>761</v>
      </c>
      <c r="F18" s="3" t="s">
        <v>746</v>
      </c>
    </row>
  </sheetData>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3230"/>
  </sheetPr>
  <dimension ref="A1:G22"/>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36" customWidth="1"/>
    <col min="3" max="3" width="15" customWidth="1"/>
    <col min="4" max="4" width="12" customWidth="1"/>
    <col min="5" max="5" width="14" customWidth="1"/>
    <col min="6" max="6" width="24" customWidth="1"/>
    <col min="7" max="7" width="55" customWidth="1"/>
  </cols>
  <sheetData>
    <row r="1" ht="30" customHeight="1" spans="1:7" s="21" customFormat="1" x14ac:dyDescent="0.25">
      <c r="A1" s="42" t="s">
        <v>765</v>
      </c>
      <c r="B1" s="42" t="s">
        <v>766</v>
      </c>
      <c r="C1" s="42" t="s">
        <v>665</v>
      </c>
      <c r="D1" s="42" t="s">
        <v>767</v>
      </c>
      <c r="E1" s="42" t="s">
        <v>768</v>
      </c>
      <c r="F1" s="42" t="s">
        <v>769</v>
      </c>
      <c r="G1" s="42" t="s">
        <v>613</v>
      </c>
    </row>
    <row r="2" spans="1:7" s="3" customFormat="1" x14ac:dyDescent="0.25">
      <c r="A2" s="3" t="s">
        <v>770</v>
      </c>
      <c r="B2" s="3" t="s">
        <v>721</v>
      </c>
      <c r="C2" s="3" t="s">
        <v>676</v>
      </c>
      <c r="D2" s="3">
        <v>100</v>
      </c>
      <c r="E2" s="3">
        <v>100</v>
      </c>
      <c r="F2" s="3" t="s">
        <v>60</v>
      </c>
      <c r="G2" s="3" t="s">
        <v>618</v>
      </c>
    </row>
    <row r="3" spans="1:7" s="3" customFormat="1" x14ac:dyDescent="0.25">
      <c r="A3" s="3" t="s">
        <v>770</v>
      </c>
      <c r="B3" s="3" t="s">
        <v>771</v>
      </c>
      <c r="C3" s="3" t="s">
        <v>101</v>
      </c>
      <c r="D3" s="3">
        <v>100</v>
      </c>
      <c r="E3" s="3">
        <v>93</v>
      </c>
      <c r="F3" s="3" t="s">
        <v>60</v>
      </c>
      <c r="G3" s="3" t="s">
        <v>625</v>
      </c>
    </row>
    <row r="4" spans="1:7" s="3" customFormat="1" x14ac:dyDescent="0.25">
      <c r="A4" s="3" t="s">
        <v>770</v>
      </c>
      <c r="B4" s="3" t="s">
        <v>626</v>
      </c>
      <c r="C4" s="3" t="s">
        <v>733</v>
      </c>
      <c r="D4" s="3">
        <v>100</v>
      </c>
      <c r="E4" s="3">
        <v>98</v>
      </c>
      <c r="F4" s="3" t="s">
        <v>66</v>
      </c>
      <c r="G4" s="3" t="s">
        <v>618</v>
      </c>
    </row>
    <row r="5" spans="1:7" s="3" customFormat="1" x14ac:dyDescent="0.25">
      <c r="A5" s="3" t="s">
        <v>770</v>
      </c>
      <c r="B5" s="3" t="s">
        <v>772</v>
      </c>
      <c r="C5" s="3" t="s">
        <v>101</v>
      </c>
      <c r="D5" s="3">
        <v>100</v>
      </c>
      <c r="E5" s="3">
        <v>92</v>
      </c>
      <c r="F5" s="3" t="s">
        <v>58</v>
      </c>
      <c r="G5" s="3" t="s">
        <v>618</v>
      </c>
    </row>
    <row r="6" spans="1:7" s="3" customFormat="1" x14ac:dyDescent="0.25">
      <c r="A6" s="3" t="s">
        <v>770</v>
      </c>
      <c r="B6" s="3" t="s">
        <v>657</v>
      </c>
      <c r="C6" s="3" t="s">
        <v>773</v>
      </c>
      <c r="D6" s="3">
        <v>63</v>
      </c>
      <c r="E6" s="3">
        <v>76</v>
      </c>
      <c r="F6" s="3" t="s">
        <v>60</v>
      </c>
      <c r="G6" s="3" t="s">
        <v>618</v>
      </c>
    </row>
    <row r="7" spans="1:7" s="3" customFormat="1" x14ac:dyDescent="0.25">
      <c r="A7" s="3" t="s">
        <v>770</v>
      </c>
      <c r="B7" s="3" t="s">
        <v>774</v>
      </c>
      <c r="C7" s="3" t="s">
        <v>105</v>
      </c>
      <c r="D7" s="3">
        <v>100</v>
      </c>
      <c r="E7" s="3">
        <v>77</v>
      </c>
      <c r="F7" s="3" t="s">
        <v>60</v>
      </c>
      <c r="G7" s="3" t="s">
        <v>635</v>
      </c>
    </row>
    <row r="8" spans="1:7" s="3" customFormat="1" x14ac:dyDescent="0.25">
      <c r="A8" s="3" t="s">
        <v>770</v>
      </c>
      <c r="B8" s="3" t="s">
        <v>646</v>
      </c>
      <c r="C8" s="3" t="s">
        <v>735</v>
      </c>
      <c r="D8" s="3">
        <v>100</v>
      </c>
      <c r="E8" s="3">
        <v>71</v>
      </c>
      <c r="F8" s="3" t="s">
        <v>63</v>
      </c>
      <c r="G8" s="3" t="s">
        <v>618</v>
      </c>
    </row>
    <row r="9" spans="1:7" s="3" customFormat="1" x14ac:dyDescent="0.25">
      <c r="A9" s="3" t="s">
        <v>770</v>
      </c>
      <c r="B9" s="3" t="s">
        <v>775</v>
      </c>
      <c r="C9" s="3" t="s">
        <v>676</v>
      </c>
      <c r="D9" s="3">
        <v>100</v>
      </c>
      <c r="E9" s="3">
        <v>70</v>
      </c>
      <c r="F9" s="3" t="s">
        <v>59</v>
      </c>
      <c r="G9" s="3" t="s">
        <v>645</v>
      </c>
    </row>
    <row r="10" spans="1:7" s="3" customFormat="1" x14ac:dyDescent="0.25">
      <c r="A10" s="3" t="s">
        <v>770</v>
      </c>
      <c r="B10" s="3" t="s">
        <v>776</v>
      </c>
      <c r="C10" s="3" t="s">
        <v>676</v>
      </c>
      <c r="D10" s="3">
        <v>76</v>
      </c>
      <c r="E10" s="3">
        <v>63</v>
      </c>
      <c r="F10" s="3" t="s">
        <v>777</v>
      </c>
      <c r="G10" s="3" t="s">
        <v>618</v>
      </c>
    </row>
    <row r="11" spans="1:7" s="3" customFormat="1" x14ac:dyDescent="0.25">
      <c r="A11" s="3" t="s">
        <v>770</v>
      </c>
      <c r="B11" s="3" t="s">
        <v>778</v>
      </c>
      <c r="C11" s="3" t="s">
        <v>676</v>
      </c>
      <c r="D11" s="3">
        <v>100</v>
      </c>
      <c r="E11" s="3">
        <v>43</v>
      </c>
      <c r="F11" s="3" t="s">
        <v>60</v>
      </c>
      <c r="G11" s="3" t="s">
        <v>635</v>
      </c>
    </row>
    <row r="12" spans="1:7" s="3" customFormat="1" x14ac:dyDescent="0.25">
      <c r="A12" s="3" t="s">
        <v>770</v>
      </c>
      <c r="B12" s="3" t="s">
        <v>639</v>
      </c>
      <c r="C12" s="3" t="s">
        <v>671</v>
      </c>
      <c r="D12" s="3">
        <v>100</v>
      </c>
      <c r="E12" s="3">
        <v>45</v>
      </c>
      <c r="F12" s="3" t="s">
        <v>60</v>
      </c>
      <c r="G12" s="3" t="s">
        <v>618</v>
      </c>
    </row>
    <row r="13" spans="1:7" s="3" customFormat="1" x14ac:dyDescent="0.25">
      <c r="A13" s="3" t="s">
        <v>770</v>
      </c>
      <c r="B13" s="3" t="s">
        <v>779</v>
      </c>
      <c r="C13" s="3" t="s">
        <v>105</v>
      </c>
      <c r="D13" s="3">
        <v>90</v>
      </c>
      <c r="E13" s="3">
        <v>60</v>
      </c>
      <c r="F13" s="3" t="s">
        <v>780</v>
      </c>
      <c r="G13" s="3" t="s">
        <v>781</v>
      </c>
    </row>
    <row r="14" spans="1:7" s="3" customFormat="1" x14ac:dyDescent="0.25">
      <c r="A14" s="3" t="s">
        <v>770</v>
      </c>
      <c r="B14" s="3" t="s">
        <v>782</v>
      </c>
      <c r="C14" s="3" t="s">
        <v>783</v>
      </c>
      <c r="D14" s="3">
        <v>100</v>
      </c>
      <c r="E14" s="3">
        <v>50</v>
      </c>
      <c r="F14" s="3" t="s">
        <v>784</v>
      </c>
      <c r="G14" s="3" t="s">
        <v>785</v>
      </c>
    </row>
    <row r="15" spans="1:7" s="3" customFormat="1" x14ac:dyDescent="0.25">
      <c r="A15" s="3" t="s">
        <v>770</v>
      </c>
      <c r="B15" s="3" t="s">
        <v>786</v>
      </c>
      <c r="C15" s="3" t="s">
        <v>91</v>
      </c>
      <c r="D15" s="3">
        <v>97</v>
      </c>
      <c r="E15" s="3">
        <v>16</v>
      </c>
      <c r="F15" s="3" t="s">
        <v>787</v>
      </c>
      <c r="G15" s="3" t="s">
        <v>788</v>
      </c>
    </row>
    <row r="16" spans="1:7" s="3" customFormat="1" x14ac:dyDescent="0.25">
      <c r="A16" s="3" t="s">
        <v>770</v>
      </c>
      <c r="B16" s="3" t="s">
        <v>789</v>
      </c>
      <c r="C16" s="3" t="s">
        <v>93</v>
      </c>
      <c r="D16" s="3">
        <v>90</v>
      </c>
      <c r="E16" s="3">
        <v>30</v>
      </c>
      <c r="F16" s="3" t="s">
        <v>790</v>
      </c>
      <c r="G16" s="3" t="s">
        <v>788</v>
      </c>
    </row>
    <row r="17" spans="1:7" s="3" customFormat="1" x14ac:dyDescent="0.25">
      <c r="A17" s="3" t="s">
        <v>663</v>
      </c>
      <c r="B17" s="3" t="s">
        <v>669</v>
      </c>
      <c r="C17" s="3" t="s">
        <v>671</v>
      </c>
      <c r="D17" s="3">
        <v>95</v>
      </c>
      <c r="E17" s="3">
        <v>98</v>
      </c>
      <c r="F17" s="3" t="s">
        <v>60</v>
      </c>
      <c r="G17" s="3" t="s">
        <v>674</v>
      </c>
    </row>
    <row r="18" spans="1:7" s="3" customFormat="1" x14ac:dyDescent="0.25">
      <c r="A18" s="3" t="s">
        <v>663</v>
      </c>
      <c r="B18" s="3" t="s">
        <v>675</v>
      </c>
      <c r="C18" s="3" t="s">
        <v>676</v>
      </c>
      <c r="D18" s="3">
        <v>90</v>
      </c>
      <c r="E18" s="3">
        <v>87</v>
      </c>
      <c r="F18" s="3" t="s">
        <v>60</v>
      </c>
      <c r="G18" s="3" t="s">
        <v>679</v>
      </c>
    </row>
    <row r="19" spans="1:7" s="3" customFormat="1" x14ac:dyDescent="0.25">
      <c r="A19" s="3" t="s">
        <v>663</v>
      </c>
      <c r="B19" s="3" t="s">
        <v>680</v>
      </c>
      <c r="C19" s="3" t="s">
        <v>105</v>
      </c>
      <c r="D19" s="3">
        <v>95</v>
      </c>
      <c r="E19" s="3">
        <v>90</v>
      </c>
      <c r="F19" s="3" t="s">
        <v>60</v>
      </c>
      <c r="G19" s="3" t="s">
        <v>684</v>
      </c>
    </row>
    <row r="20" spans="1:7" s="3" customFormat="1" x14ac:dyDescent="0.25">
      <c r="A20" s="3" t="s">
        <v>663</v>
      </c>
      <c r="B20" s="3" t="s">
        <v>693</v>
      </c>
      <c r="C20" s="3" t="s">
        <v>95</v>
      </c>
      <c r="D20" s="3">
        <v>80</v>
      </c>
      <c r="E20" s="3">
        <v>45</v>
      </c>
      <c r="F20" s="3" t="s">
        <v>61</v>
      </c>
      <c r="G20" s="3" t="s">
        <v>696</v>
      </c>
    </row>
    <row r="22" spans="1:2" s="3" customFormat="1" x14ac:dyDescent="0.25">
      <c r="A22" s="3" t="s">
        <v>791</v>
      </c>
      <c r="B22" s="3" t="s">
        <v>792</v>
      </c>
    </row>
  </sheetData>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2"/>
  <sheetViews>
    <sheetView workbookViewId="0">
      <pane ySplit="1" topLeftCell="A2" activePane="bottomLeft" state="frozen"/>
      <selection pane="bottomLeft"/>
    </sheetView>
  </sheetViews>
  <sheetFormatPr defaultRowHeight="15" outlineLevelRow="0" outlineLevelCol="0" x14ac:dyDescent="55"/>
  <cols>
    <col min="2" max="2" width="34" customWidth="1"/>
    <col min="3" max="3" width="44" customWidth="1"/>
    <col min="4" max="4" width="85" customWidth="1"/>
    <col min="5" max="5" width="55" customWidth="1"/>
  </cols>
  <sheetData>
    <row r="1" ht="30" customHeight="1" spans="1:5" s="21" customFormat="1" x14ac:dyDescent="0.25">
      <c r="A1" s="41" t="s">
        <v>68</v>
      </c>
      <c r="B1" s="41" t="s">
        <v>437</v>
      </c>
      <c r="C1" s="41" t="s">
        <v>793</v>
      </c>
      <c r="D1" s="41" t="s">
        <v>794</v>
      </c>
      <c r="E1" s="41" t="s">
        <v>613</v>
      </c>
    </row>
    <row r="2" spans="1:5" s="3" customFormat="1" x14ac:dyDescent="0.25">
      <c r="A2" s="3" t="s">
        <v>101</v>
      </c>
      <c r="B2" s="3" t="s">
        <v>102</v>
      </c>
      <c r="C2" s="3" t="s">
        <v>795</v>
      </c>
      <c r="D2" s="3" t="s">
        <v>796</v>
      </c>
      <c r="E2" s="3" t="s">
        <v>797</v>
      </c>
    </row>
    <row r="3" spans="1:5" s="3" customFormat="1" x14ac:dyDescent="0.25">
      <c r="A3" s="3" t="s">
        <v>101</v>
      </c>
      <c r="C3" s="3" t="s">
        <v>798</v>
      </c>
      <c r="D3" s="3" t="s">
        <v>799</v>
      </c>
      <c r="E3" s="3" t="s">
        <v>800</v>
      </c>
    </row>
    <row r="4" spans="1:5" s="3" customFormat="1" x14ac:dyDescent="0.25">
      <c r="A4" s="3" t="s">
        <v>101</v>
      </c>
      <c r="C4" s="3" t="s">
        <v>801</v>
      </c>
      <c r="D4" s="3" t="s">
        <v>802</v>
      </c>
      <c r="E4" s="3" t="s">
        <v>803</v>
      </c>
    </row>
    <row r="5" spans="1:5" s="3" customFormat="1" x14ac:dyDescent="0.25">
      <c r="A5" s="3" t="s">
        <v>101</v>
      </c>
      <c r="C5" s="3" t="s">
        <v>804</v>
      </c>
      <c r="D5" s="3" t="s">
        <v>805</v>
      </c>
      <c r="E5" s="3" t="s">
        <v>803</v>
      </c>
    </row>
    <row r="6" spans="1:5" s="3" customFormat="1" x14ac:dyDescent="0.25">
      <c r="A6" s="3" t="s">
        <v>101</v>
      </c>
      <c r="C6" s="3" t="s">
        <v>806</v>
      </c>
      <c r="D6" s="3" t="s">
        <v>807</v>
      </c>
      <c r="E6" s="3" t="s">
        <v>808</v>
      </c>
    </row>
    <row r="7" spans="1:5" s="3" customFormat="1" x14ac:dyDescent="0.25">
      <c r="A7" s="3" t="s">
        <v>101</v>
      </c>
      <c r="C7" s="3" t="s">
        <v>809</v>
      </c>
      <c r="D7" s="3" t="s">
        <v>810</v>
      </c>
      <c r="E7" s="3" t="s">
        <v>808</v>
      </c>
    </row>
    <row r="8" spans="1:5" s="3" customFormat="1" x14ac:dyDescent="0.25">
      <c r="A8" s="3" t="s">
        <v>93</v>
      </c>
      <c r="B8" s="3" t="s">
        <v>811</v>
      </c>
      <c r="C8" s="3" t="s">
        <v>812</v>
      </c>
      <c r="D8" s="3" t="s">
        <v>813</v>
      </c>
      <c r="E8" s="3" t="s">
        <v>814</v>
      </c>
    </row>
    <row r="9" spans="1:5" s="3" customFormat="1" x14ac:dyDescent="0.25">
      <c r="A9" s="3" t="s">
        <v>93</v>
      </c>
      <c r="C9" s="3" t="s">
        <v>815</v>
      </c>
      <c r="D9" s="3" t="s">
        <v>816</v>
      </c>
      <c r="E9" s="3" t="s">
        <v>814</v>
      </c>
    </row>
    <row r="10" spans="1:5" s="3" customFormat="1" x14ac:dyDescent="0.25">
      <c r="A10" s="3" t="s">
        <v>93</v>
      </c>
      <c r="C10" s="3" t="s">
        <v>817</v>
      </c>
      <c r="D10" s="3" t="s">
        <v>818</v>
      </c>
      <c r="E10" s="3" t="s">
        <v>819</v>
      </c>
    </row>
    <row r="11" spans="1:5" s="3" customFormat="1" x14ac:dyDescent="0.25">
      <c r="A11" s="3" t="s">
        <v>93</v>
      </c>
      <c r="C11" s="3" t="s">
        <v>820</v>
      </c>
      <c r="D11" s="3" t="s">
        <v>821</v>
      </c>
      <c r="E11" s="3" t="s">
        <v>819</v>
      </c>
    </row>
    <row r="12" spans="1:5" s="3" customFormat="1" x14ac:dyDescent="0.25">
      <c r="A12" s="3" t="s">
        <v>91</v>
      </c>
      <c r="B12" s="3" t="s">
        <v>92</v>
      </c>
      <c r="C12" s="3" t="s">
        <v>822</v>
      </c>
      <c r="D12" s="3" t="s">
        <v>823</v>
      </c>
      <c r="E12" s="3" t="s">
        <v>814</v>
      </c>
    </row>
    <row r="13" spans="1:5" s="3" customFormat="1" x14ac:dyDescent="0.25">
      <c r="A13" s="3" t="s">
        <v>99</v>
      </c>
      <c r="B13" s="3" t="s">
        <v>824</v>
      </c>
      <c r="C13" s="3" t="s">
        <v>632</v>
      </c>
      <c r="D13" s="3" t="s">
        <v>825</v>
      </c>
      <c r="E13" s="3" t="s">
        <v>803</v>
      </c>
    </row>
    <row r="14" spans="1:5" s="3" customFormat="1" x14ac:dyDescent="0.25">
      <c r="A14" s="3" t="s">
        <v>99</v>
      </c>
      <c r="C14" s="3" t="s">
        <v>826</v>
      </c>
      <c r="D14" s="3" t="s">
        <v>827</v>
      </c>
      <c r="E14" s="3" t="s">
        <v>803</v>
      </c>
    </row>
    <row r="15" spans="1:5" s="3" customFormat="1" x14ac:dyDescent="0.25">
      <c r="A15" s="3" t="s">
        <v>99</v>
      </c>
      <c r="C15" s="3" t="s">
        <v>828</v>
      </c>
      <c r="D15" s="3" t="s">
        <v>829</v>
      </c>
      <c r="E15" s="3" t="s">
        <v>803</v>
      </c>
    </row>
    <row r="16" spans="1:5" s="3" customFormat="1" x14ac:dyDescent="0.25">
      <c r="A16" s="3" t="s">
        <v>99</v>
      </c>
      <c r="C16" s="3" t="s">
        <v>830</v>
      </c>
      <c r="D16" s="3" t="s">
        <v>831</v>
      </c>
      <c r="E16" s="3" t="s">
        <v>803</v>
      </c>
    </row>
    <row r="17" spans="1:5" s="3" customFormat="1" x14ac:dyDescent="0.25">
      <c r="A17" s="3" t="s">
        <v>105</v>
      </c>
      <c r="B17" s="3" t="s">
        <v>106</v>
      </c>
      <c r="C17" s="3" t="s">
        <v>832</v>
      </c>
      <c r="D17" s="3" t="s">
        <v>833</v>
      </c>
      <c r="E17" s="3" t="s">
        <v>834</v>
      </c>
    </row>
    <row r="18" spans="1:5" s="3" customFormat="1" x14ac:dyDescent="0.25">
      <c r="A18" s="3" t="s">
        <v>105</v>
      </c>
      <c r="C18" s="3" t="s">
        <v>835</v>
      </c>
      <c r="D18" s="3" t="s">
        <v>836</v>
      </c>
      <c r="E18" s="3" t="s">
        <v>803</v>
      </c>
    </row>
    <row r="19" spans="1:5" s="3" customFormat="1" x14ac:dyDescent="0.25">
      <c r="A19" s="3" t="s">
        <v>105</v>
      </c>
      <c r="C19" s="3" t="s">
        <v>657</v>
      </c>
      <c r="D19" s="3" t="s">
        <v>837</v>
      </c>
      <c r="E19" s="3" t="s">
        <v>803</v>
      </c>
    </row>
    <row r="20" spans="1:5" s="3" customFormat="1" x14ac:dyDescent="0.25">
      <c r="A20" s="3" t="s">
        <v>107</v>
      </c>
      <c r="B20" s="3" t="s">
        <v>108</v>
      </c>
      <c r="C20" s="3" t="s">
        <v>838</v>
      </c>
      <c r="D20" s="3" t="s">
        <v>839</v>
      </c>
      <c r="E20" s="3" t="s">
        <v>840</v>
      </c>
    </row>
    <row r="21" spans="1:5" s="3" customFormat="1" x14ac:dyDescent="0.25">
      <c r="A21" s="3" t="s">
        <v>107</v>
      </c>
      <c r="C21" s="3" t="s">
        <v>841</v>
      </c>
      <c r="D21" s="3" t="s">
        <v>842</v>
      </c>
      <c r="E21" s="3" t="s">
        <v>834</v>
      </c>
    </row>
    <row r="22" spans="1:5" s="3" customFormat="1" x14ac:dyDescent="0.25">
      <c r="A22" s="3" t="s">
        <v>107</v>
      </c>
      <c r="C22" s="3" t="s">
        <v>843</v>
      </c>
      <c r="D22" s="3" t="s">
        <v>844</v>
      </c>
      <c r="E22" s="3" t="s">
        <v>803</v>
      </c>
    </row>
    <row r="23" spans="1:5" s="3" customFormat="1" x14ac:dyDescent="0.25">
      <c r="A23" s="3" t="s">
        <v>111</v>
      </c>
      <c r="B23" s="3" t="s">
        <v>845</v>
      </c>
      <c r="C23" s="3" t="s">
        <v>846</v>
      </c>
      <c r="D23" s="3" t="s">
        <v>847</v>
      </c>
      <c r="E23" s="3" t="s">
        <v>848</v>
      </c>
    </row>
    <row r="24" spans="1:5" s="3" customFormat="1" x14ac:dyDescent="0.25">
      <c r="A24" s="3" t="s">
        <v>111</v>
      </c>
      <c r="C24" s="3" t="s">
        <v>849</v>
      </c>
      <c r="D24" s="3" t="s">
        <v>850</v>
      </c>
      <c r="E24" s="3" t="s">
        <v>840</v>
      </c>
    </row>
    <row r="25" spans="1:5" s="3" customFormat="1" x14ac:dyDescent="0.25">
      <c r="A25" s="3" t="s">
        <v>111</v>
      </c>
      <c r="C25" s="3" t="s">
        <v>851</v>
      </c>
      <c r="D25" s="3" t="s">
        <v>852</v>
      </c>
      <c r="E25" s="3" t="s">
        <v>834</v>
      </c>
    </row>
    <row r="26" spans="1:5" s="3" customFormat="1" x14ac:dyDescent="0.25">
      <c r="A26" s="3" t="s">
        <v>109</v>
      </c>
      <c r="B26" s="3" t="s">
        <v>110</v>
      </c>
      <c r="C26" s="3" t="s">
        <v>853</v>
      </c>
      <c r="D26" s="3" t="s">
        <v>842</v>
      </c>
      <c r="E26" s="3" t="s">
        <v>834</v>
      </c>
    </row>
    <row r="27" spans="1:5" s="3" customFormat="1" x14ac:dyDescent="0.25">
      <c r="A27" s="3" t="s">
        <v>109</v>
      </c>
      <c r="C27" s="3" t="s">
        <v>854</v>
      </c>
      <c r="D27" s="3" t="s">
        <v>60</v>
      </c>
      <c r="E27" s="3" t="s">
        <v>840</v>
      </c>
    </row>
    <row r="28" spans="1:5" s="3" customFormat="1" x14ac:dyDescent="0.25">
      <c r="A28" s="3" t="s">
        <v>109</v>
      </c>
      <c r="C28" s="3" t="s">
        <v>855</v>
      </c>
      <c r="D28" s="3" t="s">
        <v>856</v>
      </c>
      <c r="E28" s="3" t="s">
        <v>808</v>
      </c>
    </row>
    <row r="29" spans="1:5" s="3" customFormat="1" x14ac:dyDescent="0.25">
      <c r="A29" s="3" t="s">
        <v>87</v>
      </c>
      <c r="B29" s="3" t="s">
        <v>88</v>
      </c>
      <c r="C29" s="3" t="s">
        <v>857</v>
      </c>
      <c r="D29" s="3" t="s">
        <v>858</v>
      </c>
      <c r="E29" s="3" t="s">
        <v>859</v>
      </c>
    </row>
    <row r="30" spans="1:5" s="3" customFormat="1" x14ac:dyDescent="0.25">
      <c r="A30" s="3" t="s">
        <v>87</v>
      </c>
      <c r="C30" s="3" t="s">
        <v>860</v>
      </c>
      <c r="D30" s="3" t="s">
        <v>861</v>
      </c>
      <c r="E30" s="3" t="s">
        <v>859</v>
      </c>
    </row>
    <row r="31" spans="1:5" s="3" customFormat="1" x14ac:dyDescent="0.25">
      <c r="A31" s="3" t="s">
        <v>73</v>
      </c>
      <c r="B31" s="3" t="s">
        <v>450</v>
      </c>
      <c r="C31" s="3" t="s">
        <v>862</v>
      </c>
      <c r="D31" s="3" t="s">
        <v>863</v>
      </c>
      <c r="E31" s="3" t="s">
        <v>864</v>
      </c>
    </row>
    <row r="32" spans="1:5" s="3" customFormat="1" x14ac:dyDescent="0.25">
      <c r="A32" s="3" t="s">
        <v>73</v>
      </c>
      <c r="C32" s="3" t="s">
        <v>865</v>
      </c>
      <c r="D32" s="3" t="s">
        <v>866</v>
      </c>
      <c r="E32" s="3" t="s">
        <v>864</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67AB"/>
  </sheetPr>
  <dimension ref="A1:E37"/>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75" customWidth="1"/>
    <col min="3" max="3" width="8" customWidth="1"/>
    <col min="4" max="4" width="70" customWidth="1"/>
    <col min="5" max="5" width="80" customWidth="1"/>
  </cols>
  <sheetData>
    <row r="1" ht="30" customHeight="1" spans="1:5" s="21" customFormat="1" x14ac:dyDescent="0.25">
      <c r="A1" s="41" t="s">
        <v>867</v>
      </c>
      <c r="B1" s="41" t="s">
        <v>868</v>
      </c>
      <c r="C1" s="41" t="s">
        <v>741</v>
      </c>
      <c r="D1" s="41" t="s">
        <v>869</v>
      </c>
      <c r="E1" s="41" t="s">
        <v>870</v>
      </c>
    </row>
    <row r="2" spans="1:5" s="3" customFormat="1" x14ac:dyDescent="0.25">
      <c r="A2" s="3" t="s">
        <v>871</v>
      </c>
      <c r="B2" s="3" t="s">
        <v>872</v>
      </c>
      <c r="C2" s="3" t="s">
        <v>744</v>
      </c>
      <c r="D2" s="3" t="s">
        <v>873</v>
      </c>
      <c r="E2" s="43" t="s">
        <v>874</v>
      </c>
    </row>
    <row r="3" spans="1:5" s="3" customFormat="1" x14ac:dyDescent="0.25">
      <c r="A3" s="3" t="s">
        <v>871</v>
      </c>
      <c r="B3" s="3" t="s">
        <v>875</v>
      </c>
      <c r="C3" s="3" t="s">
        <v>744</v>
      </c>
      <c r="D3" s="3" t="s">
        <v>876</v>
      </c>
      <c r="E3" s="43" t="s">
        <v>877</v>
      </c>
    </row>
    <row r="4" spans="1:5" s="3" customFormat="1" x14ac:dyDescent="0.25">
      <c r="A4" s="3" t="s">
        <v>878</v>
      </c>
      <c r="B4" s="3" t="s">
        <v>879</v>
      </c>
      <c r="C4" s="3" t="s">
        <v>755</v>
      </c>
      <c r="D4" s="3" t="s">
        <v>880</v>
      </c>
      <c r="E4" s="43" t="s">
        <v>881</v>
      </c>
    </row>
    <row r="5" spans="1:5" s="3" customFormat="1" x14ac:dyDescent="0.25">
      <c r="A5" s="3" t="s">
        <v>882</v>
      </c>
      <c r="B5" s="3" t="s">
        <v>883</v>
      </c>
      <c r="C5" s="3" t="s">
        <v>884</v>
      </c>
      <c r="D5" s="3" t="s">
        <v>885</v>
      </c>
      <c r="E5" s="43" t="s">
        <v>886</v>
      </c>
    </row>
    <row r="6" spans="1:5" s="3" customFormat="1" x14ac:dyDescent="0.25">
      <c r="A6" s="3" t="s">
        <v>882</v>
      </c>
      <c r="B6" s="3" t="s">
        <v>887</v>
      </c>
      <c r="C6" s="3" t="s">
        <v>762</v>
      </c>
      <c r="D6" s="3" t="s">
        <v>888</v>
      </c>
      <c r="E6" s="43" t="s">
        <v>889</v>
      </c>
    </row>
    <row r="7" spans="1:5" s="3" customFormat="1" x14ac:dyDescent="0.25">
      <c r="A7" s="3" t="s">
        <v>882</v>
      </c>
      <c r="B7" s="3" t="s">
        <v>890</v>
      </c>
      <c r="C7" s="3" t="s">
        <v>760</v>
      </c>
      <c r="D7" s="3" t="s">
        <v>891</v>
      </c>
      <c r="E7" s="43" t="s">
        <v>892</v>
      </c>
    </row>
    <row r="8" spans="1:5" s="3" customFormat="1" x14ac:dyDescent="0.25">
      <c r="A8" s="3" t="s">
        <v>893</v>
      </c>
      <c r="B8" s="3" t="s">
        <v>894</v>
      </c>
      <c r="C8" s="3" t="s">
        <v>744</v>
      </c>
      <c r="D8" s="3" t="s">
        <v>895</v>
      </c>
      <c r="E8" s="43" t="s">
        <v>896</v>
      </c>
    </row>
    <row r="9" spans="1:5" s="3" customFormat="1" x14ac:dyDescent="0.25">
      <c r="A9" s="3" t="s">
        <v>897</v>
      </c>
      <c r="B9" s="3" t="s">
        <v>898</v>
      </c>
      <c r="C9" s="3" t="s">
        <v>744</v>
      </c>
      <c r="D9" s="3" t="s">
        <v>899</v>
      </c>
      <c r="E9" s="43" t="s">
        <v>900</v>
      </c>
    </row>
    <row r="10" spans="1:5" s="3" customFormat="1" x14ac:dyDescent="0.25">
      <c r="A10" s="3" t="s">
        <v>901</v>
      </c>
      <c r="B10" s="3" t="s">
        <v>902</v>
      </c>
      <c r="C10" s="3" t="s">
        <v>755</v>
      </c>
      <c r="D10" s="3" t="s">
        <v>903</v>
      </c>
      <c r="E10" s="43" t="s">
        <v>904</v>
      </c>
    </row>
    <row r="11" spans="1:5" s="3" customFormat="1" x14ac:dyDescent="0.25">
      <c r="A11" s="3" t="s">
        <v>905</v>
      </c>
      <c r="B11" s="3" t="s">
        <v>906</v>
      </c>
      <c r="C11" s="3" t="s">
        <v>755</v>
      </c>
      <c r="D11" s="3" t="s">
        <v>907</v>
      </c>
      <c r="E11" s="43" t="s">
        <v>908</v>
      </c>
    </row>
    <row r="12" spans="1:5" s="3" customFormat="1" x14ac:dyDescent="0.25">
      <c r="A12" s="3" t="s">
        <v>909</v>
      </c>
      <c r="B12" s="3" t="s">
        <v>910</v>
      </c>
      <c r="C12" s="3" t="s">
        <v>744</v>
      </c>
      <c r="D12" s="3" t="s">
        <v>911</v>
      </c>
      <c r="E12" s="43" t="s">
        <v>912</v>
      </c>
    </row>
    <row r="13" spans="1:5" s="3" customFormat="1" x14ac:dyDescent="0.25">
      <c r="A13" s="3" t="s">
        <v>913</v>
      </c>
      <c r="B13" s="3" t="s">
        <v>914</v>
      </c>
      <c r="C13" s="3" t="s">
        <v>744</v>
      </c>
      <c r="D13" s="3" t="s">
        <v>915</v>
      </c>
      <c r="E13" s="43" t="s">
        <v>916</v>
      </c>
    </row>
    <row r="14" spans="1:5" s="3" customFormat="1" x14ac:dyDescent="0.25">
      <c r="A14" s="3" t="s">
        <v>913</v>
      </c>
      <c r="B14" s="3" t="s">
        <v>917</v>
      </c>
      <c r="C14" s="3" t="s">
        <v>744</v>
      </c>
      <c r="D14" s="3" t="s">
        <v>918</v>
      </c>
      <c r="E14" s="43" t="s">
        <v>919</v>
      </c>
    </row>
    <row r="15" spans="1:5" s="3" customFormat="1" x14ac:dyDescent="0.25">
      <c r="A15" s="3" t="s">
        <v>913</v>
      </c>
      <c r="B15" s="3" t="s">
        <v>920</v>
      </c>
      <c r="C15" s="3" t="s">
        <v>921</v>
      </c>
      <c r="D15" s="3" t="s">
        <v>922</v>
      </c>
      <c r="E15" s="43" t="s">
        <v>923</v>
      </c>
    </row>
    <row r="16" spans="1:5" s="3" customFormat="1" x14ac:dyDescent="0.25">
      <c r="A16" s="3" t="s">
        <v>913</v>
      </c>
      <c r="B16" s="3" t="s">
        <v>924</v>
      </c>
      <c r="C16" s="3" t="s">
        <v>755</v>
      </c>
      <c r="D16" s="3" t="s">
        <v>925</v>
      </c>
      <c r="E16" s="43" t="s">
        <v>926</v>
      </c>
    </row>
    <row r="17" spans="1:5" s="3" customFormat="1" x14ac:dyDescent="0.25">
      <c r="A17" s="3" t="s">
        <v>913</v>
      </c>
      <c r="B17" s="3" t="s">
        <v>927</v>
      </c>
      <c r="C17" s="3" t="s">
        <v>884</v>
      </c>
      <c r="D17" s="3" t="s">
        <v>928</v>
      </c>
      <c r="E17" s="43" t="s">
        <v>929</v>
      </c>
    </row>
    <row r="18" spans="1:5" s="3" customFormat="1" x14ac:dyDescent="0.25">
      <c r="A18" s="3" t="s">
        <v>913</v>
      </c>
      <c r="B18" s="3" t="s">
        <v>930</v>
      </c>
      <c r="C18" s="3" t="s">
        <v>931</v>
      </c>
      <c r="D18" s="3" t="s">
        <v>932</v>
      </c>
      <c r="E18" s="43" t="s">
        <v>933</v>
      </c>
    </row>
    <row r="19" spans="1:5" s="3" customFormat="1" x14ac:dyDescent="0.25">
      <c r="A19" s="3" t="s">
        <v>913</v>
      </c>
      <c r="B19" s="3" t="s">
        <v>934</v>
      </c>
      <c r="C19" s="3" t="s">
        <v>744</v>
      </c>
      <c r="D19" s="3" t="s">
        <v>935</v>
      </c>
      <c r="E19" s="43" t="s">
        <v>936</v>
      </c>
    </row>
    <row r="20" spans="1:5" s="3" customFormat="1" x14ac:dyDescent="0.25">
      <c r="A20" s="3" t="s">
        <v>913</v>
      </c>
      <c r="B20" s="3" t="s">
        <v>937</v>
      </c>
      <c r="C20" s="3" t="s">
        <v>938</v>
      </c>
      <c r="D20" s="3" t="s">
        <v>939</v>
      </c>
      <c r="E20" s="43" t="s">
        <v>940</v>
      </c>
    </row>
    <row r="21" spans="1:5" s="3" customFormat="1" x14ac:dyDescent="0.25">
      <c r="A21" s="3" t="s">
        <v>941</v>
      </c>
      <c r="B21" s="3" t="s">
        <v>942</v>
      </c>
      <c r="C21" s="3" t="s">
        <v>755</v>
      </c>
      <c r="D21" s="3" t="s">
        <v>943</v>
      </c>
      <c r="E21" s="43" t="s">
        <v>944</v>
      </c>
    </row>
    <row r="22" spans="1:5" s="3" customFormat="1" x14ac:dyDescent="0.25">
      <c r="A22" s="3" t="s">
        <v>941</v>
      </c>
      <c r="B22" s="3" t="s">
        <v>945</v>
      </c>
      <c r="C22" s="3" t="s">
        <v>755</v>
      </c>
      <c r="D22" s="3" t="s">
        <v>946</v>
      </c>
      <c r="E22" s="43" t="s">
        <v>947</v>
      </c>
    </row>
    <row r="23" spans="1:5" s="3" customFormat="1" x14ac:dyDescent="0.25">
      <c r="A23" s="3" t="s">
        <v>941</v>
      </c>
      <c r="B23" s="3" t="s">
        <v>948</v>
      </c>
      <c r="C23" s="3" t="s">
        <v>755</v>
      </c>
      <c r="D23" s="3" t="s">
        <v>949</v>
      </c>
      <c r="E23" s="43" t="s">
        <v>950</v>
      </c>
    </row>
    <row r="24" spans="1:5" s="3" customFormat="1" x14ac:dyDescent="0.25">
      <c r="A24" s="3" t="s">
        <v>941</v>
      </c>
      <c r="B24" s="3" t="s">
        <v>951</v>
      </c>
      <c r="C24" s="3" t="s">
        <v>755</v>
      </c>
      <c r="D24" s="3" t="s">
        <v>952</v>
      </c>
      <c r="E24" s="43" t="s">
        <v>953</v>
      </c>
    </row>
    <row r="25" spans="1:5" s="3" customFormat="1" x14ac:dyDescent="0.25">
      <c r="A25" s="3" t="s">
        <v>954</v>
      </c>
      <c r="B25" s="3" t="s">
        <v>955</v>
      </c>
      <c r="C25" s="3" t="s">
        <v>744</v>
      </c>
      <c r="D25" s="3" t="s">
        <v>956</v>
      </c>
      <c r="E25" s="43" t="s">
        <v>957</v>
      </c>
    </row>
    <row r="26" spans="1:5" s="3" customFormat="1" x14ac:dyDescent="0.25">
      <c r="A26" s="3" t="s">
        <v>954</v>
      </c>
      <c r="B26" s="3" t="s">
        <v>958</v>
      </c>
      <c r="C26" s="3" t="s">
        <v>744</v>
      </c>
      <c r="D26" s="3" t="s">
        <v>959</v>
      </c>
      <c r="E26" s="43" t="s">
        <v>960</v>
      </c>
    </row>
    <row r="27" spans="1:5" s="3" customFormat="1" x14ac:dyDescent="0.25">
      <c r="A27" s="3" t="s">
        <v>954</v>
      </c>
      <c r="B27" s="3" t="s">
        <v>961</v>
      </c>
      <c r="C27" s="3" t="s">
        <v>744</v>
      </c>
      <c r="D27" s="3" t="s">
        <v>962</v>
      </c>
      <c r="E27" s="43" t="s">
        <v>963</v>
      </c>
    </row>
    <row r="28" spans="1:5" s="3" customFormat="1" x14ac:dyDescent="0.25">
      <c r="A28" s="3" t="s">
        <v>964</v>
      </c>
      <c r="B28" s="3" t="s">
        <v>965</v>
      </c>
      <c r="C28" s="3" t="s">
        <v>744</v>
      </c>
      <c r="D28" s="3" t="s">
        <v>966</v>
      </c>
      <c r="E28" s="43" t="s">
        <v>967</v>
      </c>
    </row>
    <row r="29" spans="1:5" s="3" customFormat="1" x14ac:dyDescent="0.25">
      <c r="A29" s="3" t="s">
        <v>964</v>
      </c>
      <c r="B29" s="3" t="s">
        <v>968</v>
      </c>
      <c r="C29" s="3" t="s">
        <v>744</v>
      </c>
      <c r="D29" s="3" t="s">
        <v>969</v>
      </c>
      <c r="E29" s="43" t="s">
        <v>970</v>
      </c>
    </row>
    <row r="30" spans="1:5" s="3" customFormat="1" x14ac:dyDescent="0.25">
      <c r="A30" s="3" t="s">
        <v>971</v>
      </c>
      <c r="B30" s="3" t="s">
        <v>972</v>
      </c>
      <c r="C30" s="3" t="s">
        <v>755</v>
      </c>
      <c r="D30" s="3" t="s">
        <v>973</v>
      </c>
      <c r="E30" s="43" t="s">
        <v>974</v>
      </c>
    </row>
    <row r="31" spans="1:5" s="3" customFormat="1" x14ac:dyDescent="0.25">
      <c r="A31" s="3" t="s">
        <v>975</v>
      </c>
      <c r="B31" s="3" t="s">
        <v>976</v>
      </c>
      <c r="C31" s="3" t="s">
        <v>762</v>
      </c>
      <c r="D31" s="3" t="s">
        <v>977</v>
      </c>
      <c r="E31" s="43" t="s">
        <v>978</v>
      </c>
    </row>
    <row r="32" spans="1:5" s="3" customFormat="1" x14ac:dyDescent="0.25">
      <c r="A32" s="3" t="s">
        <v>979</v>
      </c>
      <c r="B32" s="3" t="s">
        <v>980</v>
      </c>
      <c r="C32" s="3" t="s">
        <v>884</v>
      </c>
      <c r="D32" s="3" t="s">
        <v>981</v>
      </c>
      <c r="E32" s="43" t="s">
        <v>982</v>
      </c>
    </row>
    <row r="33" spans="1:5" s="3" customFormat="1" x14ac:dyDescent="0.25">
      <c r="A33" s="3" t="s">
        <v>983</v>
      </c>
      <c r="B33" s="3" t="s">
        <v>984</v>
      </c>
      <c r="C33" s="3" t="s">
        <v>985</v>
      </c>
      <c r="D33" s="3" t="s">
        <v>986</v>
      </c>
      <c r="E33" s="43" t="s">
        <v>987</v>
      </c>
    </row>
    <row r="34" spans="1:5" s="3" customFormat="1" x14ac:dyDescent="0.25">
      <c r="A34" s="3" t="s">
        <v>988</v>
      </c>
      <c r="B34" s="3" t="s">
        <v>989</v>
      </c>
      <c r="C34" s="3" t="s">
        <v>884</v>
      </c>
      <c r="D34" s="3" t="s">
        <v>990</v>
      </c>
      <c r="E34" s="43" t="s">
        <v>991</v>
      </c>
    </row>
    <row r="35" spans="1:5" s="3" customFormat="1" x14ac:dyDescent="0.25">
      <c r="A35" s="3" t="s">
        <v>992</v>
      </c>
      <c r="B35" s="3" t="s">
        <v>993</v>
      </c>
      <c r="C35" s="3" t="s">
        <v>884</v>
      </c>
      <c r="D35" s="3" t="s">
        <v>994</v>
      </c>
      <c r="E35" s="43" t="s">
        <v>995</v>
      </c>
    </row>
    <row r="36" spans="1:5" s="3" customFormat="1" x14ac:dyDescent="0.25">
      <c r="A36" s="3" t="s">
        <v>992</v>
      </c>
      <c r="B36" s="3" t="s">
        <v>996</v>
      </c>
      <c r="C36" s="3" t="s">
        <v>884</v>
      </c>
      <c r="D36" s="3" t="s">
        <v>997</v>
      </c>
      <c r="E36" s="43" t="s">
        <v>998</v>
      </c>
    </row>
    <row r="37" spans="1:5" s="3" customFormat="1" x14ac:dyDescent="0.25">
      <c r="A37" s="3" t="s">
        <v>999</v>
      </c>
      <c r="B37" s="3" t="s">
        <v>1000</v>
      </c>
      <c r="C37" s="3" t="s">
        <v>744</v>
      </c>
      <c r="D37" s="3" t="s">
        <v>1001</v>
      </c>
      <c r="E37" s="43" t="s">
        <v>1002</v>
      </c>
    </row>
  </sheetData>
  <hyperlinks>
    <hyperlink ref="E2" r:id="rId1"/>
    <hyperlink ref="E3" r:id="rId2"/>
    <hyperlink ref="E4" r:id="rId3"/>
    <hyperlink ref="E5" r:id="rId4"/>
    <hyperlink ref="E6" r:id="rId5"/>
    <hyperlink ref="E7" r:id="rId6"/>
    <hyperlink ref="E8" r:id="rId7"/>
    <hyperlink ref="E9" r:id="rId8"/>
    <hyperlink ref="E10" r:id="rId9"/>
    <hyperlink ref="E11" r:id="rId10"/>
    <hyperlink ref="E12" r:id="rId11"/>
    <hyperlink ref="E13" r:id="rId12"/>
    <hyperlink ref="E14" r:id="rId13"/>
    <hyperlink ref="E15" r:id="rId14"/>
    <hyperlink ref="E16" r:id="rId15"/>
    <hyperlink ref="E17" r:id="rId16"/>
    <hyperlink ref="E18" r:id="rId17"/>
    <hyperlink ref="E19" r:id="rId18"/>
    <hyperlink ref="E20" r:id="rId19"/>
    <hyperlink ref="E21" r:id="rId20"/>
    <hyperlink ref="E22" r:id="rId21"/>
    <hyperlink ref="E23" r:id="rId22"/>
    <hyperlink ref="E24" r:id="rId23"/>
    <hyperlink ref="E25" r:id="rId24"/>
    <hyperlink ref="E26" r:id="rId25"/>
    <hyperlink ref="E27" r:id="rId26"/>
    <hyperlink ref="E28" r:id="rId27"/>
    <hyperlink ref="E29" r:id="rId28"/>
    <hyperlink ref="E30" r:id="rId29"/>
    <hyperlink ref="E31" r:id="rId30"/>
    <hyperlink ref="E32" r:id="rId31"/>
    <hyperlink ref="E33" r:id="rId32"/>
    <hyperlink ref="E34" r:id="rId33"/>
    <hyperlink ref="E35" r:id="rId34"/>
    <hyperlink ref="E36" r:id="rId35"/>
    <hyperlink ref="E37" r:id="rId36"/>
  </hyperlinks>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728C"/>
  </sheetPr>
  <dimension ref="A1:I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26" customWidth="1"/>
    <col min="5" max="6" width="20" customWidth="1"/>
    <col min="7" max="8" width="60" customWidth="1"/>
    <col min="9" max="9" width="16" customWidth="1"/>
  </cols>
  <sheetData>
    <row r="1" ht="30" customHeight="1" spans="1:9" s="21" customFormat="1" x14ac:dyDescent="0.25">
      <c r="A1" s="44" t="s">
        <v>1003</v>
      </c>
      <c r="B1" s="44" t="s">
        <v>1004</v>
      </c>
      <c r="C1" s="44" t="s">
        <v>1005</v>
      </c>
      <c r="D1" s="44" t="s">
        <v>1006</v>
      </c>
      <c r="E1" s="44" t="s">
        <v>1007</v>
      </c>
      <c r="F1" s="44" t="s">
        <v>1008</v>
      </c>
      <c r="G1" s="44" t="s">
        <v>1009</v>
      </c>
      <c r="H1" s="44" t="s">
        <v>1010</v>
      </c>
      <c r="I1" s="44" t="s">
        <v>1011</v>
      </c>
    </row>
    <row r="2" spans="1:9" s="3" customFormat="1" x14ac:dyDescent="0.25">
      <c r="A2" s="3" t="s">
        <v>4</v>
      </c>
      <c r="B2" s="3" t="s">
        <v>1012</v>
      </c>
      <c r="C2" s="3" t="s">
        <v>1013</v>
      </c>
      <c r="D2" s="3" t="s">
        <v>1013</v>
      </c>
      <c r="E2" s="3" t="s">
        <v>1013</v>
      </c>
      <c r="F2" s="3" t="s">
        <v>1013</v>
      </c>
      <c r="G2" s="3" t="s">
        <v>1014</v>
      </c>
      <c r="H2" s="3" t="s">
        <v>1015</v>
      </c>
      <c r="I2" s="3" t="s">
        <v>1016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Read me</vt:lpstr>
      <vt:lpstr>Dashboard</vt:lpstr>
      <vt:lpstr>Figures</vt:lpstr>
      <vt:lpstr>Methodology</vt:lpstr>
      <vt:lpstr>Method figure</vt:lpstr>
      <vt:lpstr>Concepts</vt:lpstr>
      <vt:lpstr>IO model</vt:lpstr>
      <vt:lpstr>Z total</vt:lpstr>
      <vt:lpstr>Z domestic</vt:lpstr>
      <vt:lpstr>Z imported</vt:lpstr>
      <vt:lpstr>A domestic</vt:lpstr>
      <vt:lpstr>A import</vt:lpstr>
      <vt:lpstr>I minus A</vt:lpstr>
      <vt:lpstr>Leontief inverse</vt:lpstr>
      <vt:lpstr>Import requirements</vt:lpstr>
      <vt:lpstr>Multipliers</vt:lpstr>
      <vt:lpstr>Trade backbone</vt:lpstr>
      <vt:lpstr>FIGARO partners</vt:lpstr>
      <vt:lpstr>Foreign value added</vt:lpstr>
      <vt:lpstr>Imported inputs</vt:lpstr>
      <vt:lpstr>Critical materials</vt:lpstr>
      <vt:lpstr>Product dependencies</vt:lpstr>
      <vt:lpstr>Strategic dependencies</vt:lpstr>
      <vt:lpstr>Energy dependency</vt:lpstr>
      <vt:lpstr>Risk map</vt:lpstr>
      <vt:lpstr>Critical inputs</vt:lpstr>
      <vt:lpstr>Sources</vt:lpstr>
      <vt:lpstr>Change log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ESABCC MethodHub — Overview Industry / Trade flows</dc:creator>
  <dc:title/>
  <dc:subject/>
  <dc:description/>
  <cp:keywords/>
  <cp:category/>
  <cp:lastModifiedBy>Unknown</cp:lastModifiedBy>
  <dcterms:created xsi:type="dcterms:W3CDTF">2026-08-11T13:17:20Z</dcterms:created>
  <dcterms:modified xsi:type="dcterms:W3CDTF">2026-08-11T13:17:20Z</dcterms:modified>
</cp:coreProperties>
</file>